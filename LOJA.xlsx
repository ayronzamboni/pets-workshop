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ce868b963834f29/Área de Trabalho/"/>
    </mc:Choice>
  </mc:AlternateContent>
  <xr:revisionPtr revIDLastSave="154" documentId="8_{C57A91AB-E8FF-4FBD-9694-4F32EC54F27B}" xr6:coauthVersionLast="47" xr6:coauthVersionMax="47" xr10:uidLastSave="{6339505B-6658-40E6-A9F8-6E240FDB9C56}"/>
  <bookViews>
    <workbookView xWindow="-108" yWindow="-108" windowWidth="23256" windowHeight="13896" tabRatio="784" activeTab="4" xr2:uid="{00000000-000D-0000-FFFF-FFFF00000000}"/>
  </bookViews>
  <sheets>
    <sheet name="CADASTRO DE MATERIAL" sheetId="1" r:id="rId1"/>
    <sheet name="CADASTRO DE CLIENTES" sheetId="2" r:id="rId2"/>
    <sheet name="SAÍDA DE VENDAS" sheetId="3" r:id="rId3"/>
    <sheet name="CONTROLE DE PARCELAS" sheetId="4" r:id="rId4"/>
    <sheet name="CLIENTES EM ATRASO (DASHBOARD)" sheetId="5" r:id="rId5"/>
  </sheets>
  <definedNames>
    <definedName name="_xlnm._FilterDatabase" localSheetId="2" hidden="1">'SAÍDA DE VENDAS'!$B$5:$P$500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3" l="1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 s="1"/>
  <c r="I41" i="3"/>
  <c r="J41" i="3" s="1"/>
  <c r="I42" i="3"/>
  <c r="J42" i="3" s="1"/>
  <c r="I43" i="3"/>
  <c r="J43" i="3" s="1"/>
  <c r="I44" i="3"/>
  <c r="J44" i="3" s="1"/>
  <c r="I45" i="3"/>
  <c r="J45" i="3" s="1"/>
  <c r="I46" i="3"/>
  <c r="J46" i="3" s="1"/>
  <c r="I47" i="3"/>
  <c r="J47" i="3" s="1"/>
  <c r="I48" i="3"/>
  <c r="J48" i="3" s="1"/>
  <c r="I49" i="3"/>
  <c r="J49" i="3" s="1"/>
  <c r="I50" i="3"/>
  <c r="J50" i="3" s="1"/>
  <c r="I51" i="3"/>
  <c r="J51" i="3" s="1"/>
  <c r="I52" i="3"/>
  <c r="J52" i="3" s="1"/>
  <c r="C15" i="5"/>
  <c r="C14" i="5"/>
  <c r="C13" i="5"/>
  <c r="C12" i="5"/>
  <c r="C11" i="5"/>
  <c r="C10" i="5"/>
  <c r="C9" i="5"/>
  <c r="C8" i="5"/>
  <c r="C7" i="5"/>
  <c r="C6" i="5"/>
  <c r="G6" i="4"/>
  <c r="K6" i="4" s="1"/>
  <c r="D6" i="4"/>
  <c r="C6" i="4"/>
  <c r="I6" i="4" s="1"/>
  <c r="J500" i="1"/>
  <c r="F500" i="1"/>
  <c r="H500" i="1" s="1"/>
  <c r="E500" i="1"/>
  <c r="J499" i="1"/>
  <c r="F499" i="1"/>
  <c r="H499" i="1" s="1"/>
  <c r="E499" i="1"/>
  <c r="J498" i="1"/>
  <c r="F498" i="1"/>
  <c r="H498" i="1" s="1"/>
  <c r="E498" i="1"/>
  <c r="J497" i="1"/>
  <c r="F497" i="1"/>
  <c r="H497" i="1" s="1"/>
  <c r="E497" i="1"/>
  <c r="J496" i="1"/>
  <c r="F496" i="1"/>
  <c r="H496" i="1" s="1"/>
  <c r="E496" i="1"/>
  <c r="J495" i="1"/>
  <c r="F495" i="1"/>
  <c r="H495" i="1" s="1"/>
  <c r="E495" i="1"/>
  <c r="J494" i="1"/>
  <c r="F494" i="1"/>
  <c r="H494" i="1" s="1"/>
  <c r="E494" i="1"/>
  <c r="J493" i="1"/>
  <c r="F493" i="1"/>
  <c r="H493" i="1" s="1"/>
  <c r="E493" i="1"/>
  <c r="J492" i="1"/>
  <c r="F492" i="1"/>
  <c r="H492" i="1" s="1"/>
  <c r="E492" i="1"/>
  <c r="J491" i="1"/>
  <c r="F491" i="1"/>
  <c r="H491" i="1" s="1"/>
  <c r="E491" i="1"/>
  <c r="J490" i="1"/>
  <c r="F490" i="1"/>
  <c r="H490" i="1" s="1"/>
  <c r="E490" i="1"/>
  <c r="J489" i="1"/>
  <c r="F489" i="1"/>
  <c r="H489" i="1" s="1"/>
  <c r="E489" i="1"/>
  <c r="J488" i="1"/>
  <c r="F488" i="1"/>
  <c r="H488" i="1" s="1"/>
  <c r="E488" i="1"/>
  <c r="J487" i="1"/>
  <c r="F487" i="1"/>
  <c r="H487" i="1" s="1"/>
  <c r="E487" i="1"/>
  <c r="J486" i="1"/>
  <c r="F486" i="1"/>
  <c r="H486" i="1" s="1"/>
  <c r="E486" i="1"/>
  <c r="J485" i="1"/>
  <c r="F485" i="1"/>
  <c r="H485" i="1" s="1"/>
  <c r="E485" i="1"/>
  <c r="J484" i="1"/>
  <c r="F484" i="1"/>
  <c r="H484" i="1" s="1"/>
  <c r="E484" i="1"/>
  <c r="J483" i="1"/>
  <c r="F483" i="1"/>
  <c r="H483" i="1" s="1"/>
  <c r="E483" i="1"/>
  <c r="J482" i="1"/>
  <c r="F482" i="1"/>
  <c r="H482" i="1" s="1"/>
  <c r="E482" i="1"/>
  <c r="J481" i="1"/>
  <c r="F481" i="1"/>
  <c r="H481" i="1" s="1"/>
  <c r="E481" i="1"/>
  <c r="J480" i="1"/>
  <c r="F480" i="1"/>
  <c r="H480" i="1" s="1"/>
  <c r="E480" i="1"/>
  <c r="J479" i="1"/>
  <c r="F479" i="1"/>
  <c r="H479" i="1" s="1"/>
  <c r="E479" i="1"/>
  <c r="J478" i="1"/>
  <c r="F478" i="1"/>
  <c r="H478" i="1" s="1"/>
  <c r="E478" i="1"/>
  <c r="J477" i="1"/>
  <c r="F477" i="1"/>
  <c r="H477" i="1" s="1"/>
  <c r="E477" i="1"/>
  <c r="J476" i="1"/>
  <c r="F476" i="1"/>
  <c r="H476" i="1" s="1"/>
  <c r="E476" i="1"/>
  <c r="J475" i="1"/>
  <c r="F475" i="1"/>
  <c r="H475" i="1" s="1"/>
  <c r="E475" i="1"/>
  <c r="J474" i="1"/>
  <c r="F474" i="1"/>
  <c r="H474" i="1" s="1"/>
  <c r="E474" i="1"/>
  <c r="J473" i="1"/>
  <c r="F473" i="1"/>
  <c r="H473" i="1" s="1"/>
  <c r="E473" i="1"/>
  <c r="J472" i="1"/>
  <c r="F472" i="1"/>
  <c r="H472" i="1" s="1"/>
  <c r="E472" i="1"/>
  <c r="J471" i="1"/>
  <c r="F471" i="1"/>
  <c r="H471" i="1" s="1"/>
  <c r="E471" i="1"/>
  <c r="J470" i="1"/>
  <c r="F470" i="1"/>
  <c r="H470" i="1" s="1"/>
  <c r="E470" i="1"/>
  <c r="J469" i="1"/>
  <c r="F469" i="1"/>
  <c r="H469" i="1" s="1"/>
  <c r="E469" i="1"/>
  <c r="J468" i="1"/>
  <c r="F468" i="1"/>
  <c r="H468" i="1" s="1"/>
  <c r="E468" i="1"/>
  <c r="J467" i="1"/>
  <c r="F467" i="1"/>
  <c r="H467" i="1" s="1"/>
  <c r="E467" i="1"/>
  <c r="J466" i="1"/>
  <c r="F466" i="1"/>
  <c r="H466" i="1" s="1"/>
  <c r="E466" i="1"/>
  <c r="J465" i="1"/>
  <c r="F465" i="1"/>
  <c r="H465" i="1" s="1"/>
  <c r="E465" i="1"/>
  <c r="J464" i="1"/>
  <c r="F464" i="1"/>
  <c r="H464" i="1" s="1"/>
  <c r="E464" i="1"/>
  <c r="J463" i="1"/>
  <c r="F463" i="1"/>
  <c r="H463" i="1" s="1"/>
  <c r="E463" i="1"/>
  <c r="J462" i="1"/>
  <c r="F462" i="1"/>
  <c r="H462" i="1" s="1"/>
  <c r="E462" i="1"/>
  <c r="J461" i="1"/>
  <c r="F461" i="1"/>
  <c r="H461" i="1" s="1"/>
  <c r="E461" i="1"/>
  <c r="J460" i="1"/>
  <c r="F460" i="1"/>
  <c r="H460" i="1" s="1"/>
  <c r="E460" i="1"/>
  <c r="J459" i="1"/>
  <c r="F459" i="1"/>
  <c r="H459" i="1" s="1"/>
  <c r="E459" i="1"/>
  <c r="J458" i="1"/>
  <c r="F458" i="1"/>
  <c r="H458" i="1" s="1"/>
  <c r="E458" i="1"/>
  <c r="J457" i="1"/>
  <c r="F457" i="1"/>
  <c r="H457" i="1" s="1"/>
  <c r="E457" i="1"/>
  <c r="J456" i="1"/>
  <c r="F456" i="1"/>
  <c r="H456" i="1" s="1"/>
  <c r="E456" i="1"/>
  <c r="J455" i="1"/>
  <c r="F455" i="1"/>
  <c r="H455" i="1" s="1"/>
  <c r="E455" i="1"/>
  <c r="J454" i="1"/>
  <c r="F454" i="1"/>
  <c r="H454" i="1" s="1"/>
  <c r="E454" i="1"/>
  <c r="J453" i="1"/>
  <c r="F453" i="1"/>
  <c r="H453" i="1" s="1"/>
  <c r="E453" i="1"/>
  <c r="J452" i="1"/>
  <c r="F452" i="1"/>
  <c r="H452" i="1" s="1"/>
  <c r="E452" i="1"/>
  <c r="J451" i="1"/>
  <c r="F451" i="1"/>
  <c r="H451" i="1" s="1"/>
  <c r="E451" i="1"/>
  <c r="J450" i="1"/>
  <c r="F450" i="1"/>
  <c r="H450" i="1" s="1"/>
  <c r="E450" i="1"/>
  <c r="J449" i="1"/>
  <c r="F449" i="1"/>
  <c r="H449" i="1" s="1"/>
  <c r="E449" i="1"/>
  <c r="J448" i="1"/>
  <c r="F448" i="1"/>
  <c r="H448" i="1" s="1"/>
  <c r="E448" i="1"/>
  <c r="J447" i="1"/>
  <c r="F447" i="1"/>
  <c r="H447" i="1" s="1"/>
  <c r="E447" i="1"/>
  <c r="J446" i="1"/>
  <c r="F446" i="1"/>
  <c r="H446" i="1" s="1"/>
  <c r="E446" i="1"/>
  <c r="J445" i="1"/>
  <c r="F445" i="1"/>
  <c r="H445" i="1" s="1"/>
  <c r="E445" i="1"/>
  <c r="J444" i="1"/>
  <c r="F444" i="1"/>
  <c r="H444" i="1" s="1"/>
  <c r="E444" i="1"/>
  <c r="J443" i="1"/>
  <c r="F443" i="1"/>
  <c r="H443" i="1" s="1"/>
  <c r="E443" i="1"/>
  <c r="J442" i="1"/>
  <c r="F442" i="1"/>
  <c r="H442" i="1" s="1"/>
  <c r="E442" i="1"/>
  <c r="J441" i="1"/>
  <c r="F441" i="1"/>
  <c r="H441" i="1" s="1"/>
  <c r="E441" i="1"/>
  <c r="J440" i="1"/>
  <c r="F440" i="1"/>
  <c r="H440" i="1" s="1"/>
  <c r="E440" i="1"/>
  <c r="J439" i="1"/>
  <c r="F439" i="1"/>
  <c r="H439" i="1" s="1"/>
  <c r="E439" i="1"/>
  <c r="J438" i="1"/>
  <c r="F438" i="1"/>
  <c r="H438" i="1" s="1"/>
  <c r="E438" i="1"/>
  <c r="J437" i="1"/>
  <c r="F437" i="1"/>
  <c r="H437" i="1" s="1"/>
  <c r="E437" i="1"/>
  <c r="J436" i="1"/>
  <c r="F436" i="1"/>
  <c r="H436" i="1" s="1"/>
  <c r="E436" i="1"/>
  <c r="J435" i="1"/>
  <c r="F435" i="1"/>
  <c r="H435" i="1" s="1"/>
  <c r="E435" i="1"/>
  <c r="J434" i="1"/>
  <c r="F434" i="1"/>
  <c r="H434" i="1" s="1"/>
  <c r="E434" i="1"/>
  <c r="J433" i="1"/>
  <c r="F433" i="1"/>
  <c r="H433" i="1" s="1"/>
  <c r="E433" i="1"/>
  <c r="J432" i="1"/>
  <c r="F432" i="1"/>
  <c r="H432" i="1" s="1"/>
  <c r="E432" i="1"/>
  <c r="J431" i="1"/>
  <c r="F431" i="1"/>
  <c r="H431" i="1" s="1"/>
  <c r="E431" i="1"/>
  <c r="J430" i="1"/>
  <c r="F430" i="1"/>
  <c r="H430" i="1" s="1"/>
  <c r="E430" i="1"/>
  <c r="J429" i="1"/>
  <c r="F429" i="1"/>
  <c r="H429" i="1" s="1"/>
  <c r="E429" i="1"/>
  <c r="J428" i="1"/>
  <c r="F428" i="1"/>
  <c r="H428" i="1" s="1"/>
  <c r="E428" i="1"/>
  <c r="J427" i="1"/>
  <c r="F427" i="1"/>
  <c r="H427" i="1" s="1"/>
  <c r="E427" i="1"/>
  <c r="J426" i="1"/>
  <c r="F426" i="1"/>
  <c r="H426" i="1" s="1"/>
  <c r="E426" i="1"/>
  <c r="J425" i="1"/>
  <c r="F425" i="1"/>
  <c r="H425" i="1" s="1"/>
  <c r="E425" i="1"/>
  <c r="J424" i="1"/>
  <c r="F424" i="1"/>
  <c r="H424" i="1" s="1"/>
  <c r="E424" i="1"/>
  <c r="J423" i="1"/>
  <c r="F423" i="1"/>
  <c r="H423" i="1" s="1"/>
  <c r="E423" i="1"/>
  <c r="J422" i="1"/>
  <c r="F422" i="1"/>
  <c r="H422" i="1" s="1"/>
  <c r="E422" i="1"/>
  <c r="J421" i="1"/>
  <c r="F421" i="1"/>
  <c r="H421" i="1" s="1"/>
  <c r="E421" i="1"/>
  <c r="J420" i="1"/>
  <c r="F420" i="1"/>
  <c r="H420" i="1" s="1"/>
  <c r="E420" i="1"/>
  <c r="J419" i="1"/>
  <c r="F419" i="1"/>
  <c r="H419" i="1" s="1"/>
  <c r="E419" i="1"/>
  <c r="J418" i="1"/>
  <c r="F418" i="1"/>
  <c r="H418" i="1" s="1"/>
  <c r="E418" i="1"/>
  <c r="J417" i="1"/>
  <c r="F417" i="1"/>
  <c r="H417" i="1" s="1"/>
  <c r="E417" i="1"/>
  <c r="J416" i="1"/>
  <c r="F416" i="1"/>
  <c r="H416" i="1" s="1"/>
  <c r="E416" i="1"/>
  <c r="J415" i="1"/>
  <c r="F415" i="1"/>
  <c r="H415" i="1" s="1"/>
  <c r="E415" i="1"/>
  <c r="J414" i="1"/>
  <c r="F414" i="1"/>
  <c r="H414" i="1" s="1"/>
  <c r="E414" i="1"/>
  <c r="J413" i="1"/>
  <c r="F413" i="1"/>
  <c r="H413" i="1" s="1"/>
  <c r="E413" i="1"/>
  <c r="J412" i="1"/>
  <c r="F412" i="1"/>
  <c r="H412" i="1" s="1"/>
  <c r="E412" i="1"/>
  <c r="J411" i="1"/>
  <c r="F411" i="1"/>
  <c r="H411" i="1" s="1"/>
  <c r="E411" i="1"/>
  <c r="J410" i="1"/>
  <c r="F410" i="1"/>
  <c r="H410" i="1" s="1"/>
  <c r="E410" i="1"/>
  <c r="J409" i="1"/>
  <c r="F409" i="1"/>
  <c r="H409" i="1" s="1"/>
  <c r="E409" i="1"/>
  <c r="J408" i="1"/>
  <c r="F408" i="1"/>
  <c r="H408" i="1" s="1"/>
  <c r="E408" i="1"/>
  <c r="J407" i="1"/>
  <c r="F407" i="1"/>
  <c r="H407" i="1" s="1"/>
  <c r="E407" i="1"/>
  <c r="J406" i="1"/>
  <c r="F406" i="1"/>
  <c r="H406" i="1" s="1"/>
  <c r="E406" i="1"/>
  <c r="J405" i="1"/>
  <c r="F405" i="1"/>
  <c r="H405" i="1" s="1"/>
  <c r="E405" i="1"/>
  <c r="J404" i="1"/>
  <c r="F404" i="1"/>
  <c r="H404" i="1" s="1"/>
  <c r="E404" i="1"/>
  <c r="J403" i="1"/>
  <c r="F403" i="1"/>
  <c r="H403" i="1" s="1"/>
  <c r="E403" i="1"/>
  <c r="J402" i="1"/>
  <c r="F402" i="1"/>
  <c r="H402" i="1" s="1"/>
  <c r="E402" i="1"/>
  <c r="J401" i="1"/>
  <c r="F401" i="1"/>
  <c r="H401" i="1" s="1"/>
  <c r="E401" i="1"/>
  <c r="J400" i="1"/>
  <c r="F400" i="1"/>
  <c r="H400" i="1" s="1"/>
  <c r="E400" i="1"/>
  <c r="J399" i="1"/>
  <c r="F399" i="1"/>
  <c r="H399" i="1" s="1"/>
  <c r="E399" i="1"/>
  <c r="J398" i="1"/>
  <c r="F398" i="1"/>
  <c r="H398" i="1" s="1"/>
  <c r="E398" i="1"/>
  <c r="J397" i="1"/>
  <c r="F397" i="1"/>
  <c r="H397" i="1" s="1"/>
  <c r="E397" i="1"/>
  <c r="J396" i="1"/>
  <c r="F396" i="1"/>
  <c r="H396" i="1" s="1"/>
  <c r="E396" i="1"/>
  <c r="J395" i="1"/>
  <c r="F395" i="1"/>
  <c r="H395" i="1" s="1"/>
  <c r="E395" i="1"/>
  <c r="J394" i="1"/>
  <c r="F394" i="1"/>
  <c r="H394" i="1" s="1"/>
  <c r="E394" i="1"/>
  <c r="J393" i="1"/>
  <c r="F393" i="1"/>
  <c r="H393" i="1" s="1"/>
  <c r="E393" i="1"/>
  <c r="J392" i="1"/>
  <c r="F392" i="1"/>
  <c r="H392" i="1" s="1"/>
  <c r="E392" i="1"/>
  <c r="J391" i="1"/>
  <c r="F391" i="1"/>
  <c r="H391" i="1" s="1"/>
  <c r="E391" i="1"/>
  <c r="J390" i="1"/>
  <c r="F390" i="1"/>
  <c r="H390" i="1" s="1"/>
  <c r="E390" i="1"/>
  <c r="J389" i="1"/>
  <c r="F389" i="1"/>
  <c r="H389" i="1" s="1"/>
  <c r="E389" i="1"/>
  <c r="J388" i="1"/>
  <c r="F388" i="1"/>
  <c r="H388" i="1" s="1"/>
  <c r="E388" i="1"/>
  <c r="J387" i="1"/>
  <c r="F387" i="1"/>
  <c r="H387" i="1" s="1"/>
  <c r="E387" i="1"/>
  <c r="J386" i="1"/>
  <c r="F386" i="1"/>
  <c r="H386" i="1" s="1"/>
  <c r="E386" i="1"/>
  <c r="J385" i="1"/>
  <c r="F385" i="1"/>
  <c r="H385" i="1" s="1"/>
  <c r="E385" i="1"/>
  <c r="J384" i="1"/>
  <c r="F384" i="1"/>
  <c r="H384" i="1" s="1"/>
  <c r="E384" i="1"/>
  <c r="J383" i="1"/>
  <c r="F383" i="1"/>
  <c r="H383" i="1" s="1"/>
  <c r="E383" i="1"/>
  <c r="J382" i="1"/>
  <c r="F382" i="1"/>
  <c r="H382" i="1" s="1"/>
  <c r="E382" i="1"/>
  <c r="J381" i="1"/>
  <c r="F381" i="1"/>
  <c r="H381" i="1" s="1"/>
  <c r="E381" i="1"/>
  <c r="J380" i="1"/>
  <c r="F380" i="1"/>
  <c r="H380" i="1" s="1"/>
  <c r="E380" i="1"/>
  <c r="J379" i="1"/>
  <c r="F379" i="1"/>
  <c r="H379" i="1" s="1"/>
  <c r="E379" i="1"/>
  <c r="J378" i="1"/>
  <c r="F378" i="1"/>
  <c r="H378" i="1" s="1"/>
  <c r="E378" i="1"/>
  <c r="J377" i="1"/>
  <c r="F377" i="1"/>
  <c r="H377" i="1" s="1"/>
  <c r="E377" i="1"/>
  <c r="J376" i="1"/>
  <c r="F376" i="1"/>
  <c r="H376" i="1" s="1"/>
  <c r="E376" i="1"/>
  <c r="J375" i="1"/>
  <c r="F375" i="1"/>
  <c r="H375" i="1" s="1"/>
  <c r="E375" i="1"/>
  <c r="J374" i="1"/>
  <c r="F374" i="1"/>
  <c r="H374" i="1" s="1"/>
  <c r="E374" i="1"/>
  <c r="J373" i="1"/>
  <c r="F373" i="1"/>
  <c r="H373" i="1" s="1"/>
  <c r="E373" i="1"/>
  <c r="J372" i="1"/>
  <c r="F372" i="1"/>
  <c r="H372" i="1" s="1"/>
  <c r="E372" i="1"/>
  <c r="J371" i="1"/>
  <c r="F371" i="1"/>
  <c r="H371" i="1" s="1"/>
  <c r="E371" i="1"/>
  <c r="J370" i="1"/>
  <c r="F370" i="1"/>
  <c r="H370" i="1" s="1"/>
  <c r="E370" i="1"/>
  <c r="J369" i="1"/>
  <c r="F369" i="1"/>
  <c r="H369" i="1" s="1"/>
  <c r="E369" i="1"/>
  <c r="J368" i="1"/>
  <c r="F368" i="1"/>
  <c r="H368" i="1" s="1"/>
  <c r="E368" i="1"/>
  <c r="J367" i="1"/>
  <c r="F367" i="1"/>
  <c r="H367" i="1" s="1"/>
  <c r="E367" i="1"/>
  <c r="J366" i="1"/>
  <c r="F366" i="1"/>
  <c r="H366" i="1" s="1"/>
  <c r="E366" i="1"/>
  <c r="J365" i="1"/>
  <c r="F365" i="1"/>
  <c r="H365" i="1" s="1"/>
  <c r="E365" i="1"/>
  <c r="J364" i="1"/>
  <c r="F364" i="1"/>
  <c r="H364" i="1" s="1"/>
  <c r="E364" i="1"/>
  <c r="J363" i="1"/>
  <c r="F363" i="1"/>
  <c r="H363" i="1" s="1"/>
  <c r="E363" i="1"/>
  <c r="J362" i="1"/>
  <c r="F362" i="1"/>
  <c r="H362" i="1" s="1"/>
  <c r="E362" i="1"/>
  <c r="J361" i="1"/>
  <c r="F361" i="1"/>
  <c r="H361" i="1" s="1"/>
  <c r="E361" i="1"/>
  <c r="J360" i="1"/>
  <c r="F360" i="1"/>
  <c r="H360" i="1" s="1"/>
  <c r="E360" i="1"/>
  <c r="J359" i="1"/>
  <c r="F359" i="1"/>
  <c r="H359" i="1" s="1"/>
  <c r="E359" i="1"/>
  <c r="J358" i="1"/>
  <c r="F358" i="1"/>
  <c r="H358" i="1" s="1"/>
  <c r="E358" i="1"/>
  <c r="J357" i="1"/>
  <c r="F357" i="1"/>
  <c r="H357" i="1" s="1"/>
  <c r="E357" i="1"/>
  <c r="J356" i="1"/>
  <c r="F356" i="1"/>
  <c r="H356" i="1" s="1"/>
  <c r="E356" i="1"/>
  <c r="J355" i="1"/>
  <c r="F355" i="1"/>
  <c r="H355" i="1" s="1"/>
  <c r="E355" i="1"/>
  <c r="J354" i="1"/>
  <c r="F354" i="1"/>
  <c r="H354" i="1" s="1"/>
  <c r="E354" i="1"/>
  <c r="J353" i="1"/>
  <c r="F353" i="1"/>
  <c r="H353" i="1" s="1"/>
  <c r="E353" i="1"/>
  <c r="J352" i="1"/>
  <c r="F352" i="1"/>
  <c r="H352" i="1" s="1"/>
  <c r="E352" i="1"/>
  <c r="J351" i="1"/>
  <c r="F351" i="1"/>
  <c r="H351" i="1" s="1"/>
  <c r="E351" i="1"/>
  <c r="J350" i="1"/>
  <c r="F350" i="1"/>
  <c r="H350" i="1" s="1"/>
  <c r="E350" i="1"/>
  <c r="J349" i="1"/>
  <c r="F349" i="1"/>
  <c r="H349" i="1" s="1"/>
  <c r="E349" i="1"/>
  <c r="J348" i="1"/>
  <c r="F348" i="1"/>
  <c r="H348" i="1" s="1"/>
  <c r="E348" i="1"/>
  <c r="J347" i="1"/>
  <c r="F347" i="1"/>
  <c r="H347" i="1" s="1"/>
  <c r="E347" i="1"/>
  <c r="J346" i="1"/>
  <c r="F346" i="1"/>
  <c r="H346" i="1" s="1"/>
  <c r="E346" i="1"/>
  <c r="J345" i="1"/>
  <c r="F345" i="1"/>
  <c r="H345" i="1" s="1"/>
  <c r="E345" i="1"/>
  <c r="J344" i="1"/>
  <c r="F344" i="1"/>
  <c r="H344" i="1" s="1"/>
  <c r="E344" i="1"/>
  <c r="J343" i="1"/>
  <c r="F343" i="1"/>
  <c r="H343" i="1" s="1"/>
  <c r="E343" i="1"/>
  <c r="J342" i="1"/>
  <c r="F342" i="1"/>
  <c r="H342" i="1" s="1"/>
  <c r="E342" i="1"/>
  <c r="J341" i="1"/>
  <c r="F341" i="1"/>
  <c r="H341" i="1" s="1"/>
  <c r="E341" i="1"/>
  <c r="J340" i="1"/>
  <c r="F340" i="1"/>
  <c r="H340" i="1" s="1"/>
  <c r="E340" i="1"/>
  <c r="J339" i="1"/>
  <c r="F339" i="1"/>
  <c r="H339" i="1" s="1"/>
  <c r="E339" i="1"/>
  <c r="J338" i="1"/>
  <c r="F338" i="1"/>
  <c r="H338" i="1" s="1"/>
  <c r="E338" i="1"/>
  <c r="J337" i="1"/>
  <c r="F337" i="1"/>
  <c r="H337" i="1" s="1"/>
  <c r="E337" i="1"/>
  <c r="J336" i="1"/>
  <c r="F336" i="1"/>
  <c r="H336" i="1" s="1"/>
  <c r="E336" i="1"/>
  <c r="J335" i="1"/>
  <c r="F335" i="1"/>
  <c r="H335" i="1" s="1"/>
  <c r="E335" i="1"/>
  <c r="J334" i="1"/>
  <c r="F334" i="1"/>
  <c r="H334" i="1" s="1"/>
  <c r="E334" i="1"/>
  <c r="J333" i="1"/>
  <c r="F333" i="1"/>
  <c r="H333" i="1" s="1"/>
  <c r="E333" i="1"/>
  <c r="J332" i="1"/>
  <c r="F332" i="1"/>
  <c r="H332" i="1" s="1"/>
  <c r="E332" i="1"/>
  <c r="J331" i="1"/>
  <c r="F331" i="1"/>
  <c r="H331" i="1" s="1"/>
  <c r="E331" i="1"/>
  <c r="J330" i="1"/>
  <c r="F330" i="1"/>
  <c r="H330" i="1" s="1"/>
  <c r="E330" i="1"/>
  <c r="J329" i="1"/>
  <c r="F329" i="1"/>
  <c r="H329" i="1" s="1"/>
  <c r="E329" i="1"/>
  <c r="J328" i="1"/>
  <c r="F328" i="1"/>
  <c r="H328" i="1" s="1"/>
  <c r="E328" i="1"/>
  <c r="J327" i="1"/>
  <c r="F327" i="1"/>
  <c r="H327" i="1" s="1"/>
  <c r="E327" i="1"/>
  <c r="J326" i="1"/>
  <c r="F326" i="1"/>
  <c r="H326" i="1" s="1"/>
  <c r="E326" i="1"/>
  <c r="J325" i="1"/>
  <c r="F325" i="1"/>
  <c r="H325" i="1" s="1"/>
  <c r="E325" i="1"/>
  <c r="J324" i="1"/>
  <c r="F324" i="1"/>
  <c r="H324" i="1" s="1"/>
  <c r="E324" i="1"/>
  <c r="J323" i="1"/>
  <c r="F323" i="1"/>
  <c r="H323" i="1" s="1"/>
  <c r="E323" i="1"/>
  <c r="J322" i="1"/>
  <c r="F322" i="1"/>
  <c r="H322" i="1" s="1"/>
  <c r="E322" i="1"/>
  <c r="J321" i="1"/>
  <c r="F321" i="1"/>
  <c r="H321" i="1" s="1"/>
  <c r="E321" i="1"/>
  <c r="J320" i="1"/>
  <c r="F320" i="1"/>
  <c r="H320" i="1" s="1"/>
  <c r="E320" i="1"/>
  <c r="J319" i="1"/>
  <c r="F319" i="1"/>
  <c r="H319" i="1" s="1"/>
  <c r="E319" i="1"/>
  <c r="J318" i="1"/>
  <c r="F318" i="1"/>
  <c r="H318" i="1" s="1"/>
  <c r="E318" i="1"/>
  <c r="J317" i="1"/>
  <c r="F317" i="1"/>
  <c r="H317" i="1" s="1"/>
  <c r="E317" i="1"/>
  <c r="J316" i="1"/>
  <c r="F316" i="1"/>
  <c r="H316" i="1" s="1"/>
  <c r="E316" i="1"/>
  <c r="J315" i="1"/>
  <c r="F315" i="1"/>
  <c r="H315" i="1" s="1"/>
  <c r="E315" i="1"/>
  <c r="J314" i="1"/>
  <c r="F314" i="1"/>
  <c r="H314" i="1" s="1"/>
  <c r="E314" i="1"/>
  <c r="J313" i="1"/>
  <c r="F313" i="1"/>
  <c r="H313" i="1" s="1"/>
  <c r="E313" i="1"/>
  <c r="J312" i="1"/>
  <c r="F312" i="1"/>
  <c r="H312" i="1" s="1"/>
  <c r="E312" i="1"/>
  <c r="J311" i="1"/>
  <c r="F311" i="1"/>
  <c r="H311" i="1" s="1"/>
  <c r="E311" i="1"/>
  <c r="J310" i="1"/>
  <c r="F310" i="1"/>
  <c r="H310" i="1" s="1"/>
  <c r="E310" i="1"/>
  <c r="J309" i="1"/>
  <c r="F309" i="1"/>
  <c r="H309" i="1" s="1"/>
  <c r="E309" i="1"/>
  <c r="J308" i="1"/>
  <c r="F308" i="1"/>
  <c r="H308" i="1" s="1"/>
  <c r="E308" i="1"/>
  <c r="J307" i="1"/>
  <c r="F307" i="1"/>
  <c r="H307" i="1" s="1"/>
  <c r="E307" i="1"/>
  <c r="J306" i="1"/>
  <c r="F306" i="1"/>
  <c r="H306" i="1" s="1"/>
  <c r="E306" i="1"/>
  <c r="J305" i="1"/>
  <c r="F305" i="1"/>
  <c r="H305" i="1" s="1"/>
  <c r="E305" i="1"/>
  <c r="J304" i="1"/>
  <c r="F304" i="1"/>
  <c r="H304" i="1" s="1"/>
  <c r="E304" i="1"/>
  <c r="J303" i="1"/>
  <c r="F303" i="1"/>
  <c r="H303" i="1" s="1"/>
  <c r="E303" i="1"/>
  <c r="J302" i="1"/>
  <c r="F302" i="1"/>
  <c r="H302" i="1" s="1"/>
  <c r="E302" i="1"/>
  <c r="J301" i="1"/>
  <c r="F301" i="1"/>
  <c r="H301" i="1" s="1"/>
  <c r="E301" i="1"/>
  <c r="J300" i="1"/>
  <c r="F300" i="1"/>
  <c r="H300" i="1" s="1"/>
  <c r="E300" i="1"/>
  <c r="J299" i="1"/>
  <c r="F299" i="1"/>
  <c r="H299" i="1" s="1"/>
  <c r="E299" i="1"/>
  <c r="J298" i="1"/>
  <c r="F298" i="1"/>
  <c r="H298" i="1" s="1"/>
  <c r="E298" i="1"/>
  <c r="J297" i="1"/>
  <c r="F297" i="1"/>
  <c r="H297" i="1" s="1"/>
  <c r="E297" i="1"/>
  <c r="J296" i="1"/>
  <c r="F296" i="1"/>
  <c r="H296" i="1" s="1"/>
  <c r="E296" i="1"/>
  <c r="J295" i="1"/>
  <c r="F295" i="1"/>
  <c r="H295" i="1" s="1"/>
  <c r="E295" i="1"/>
  <c r="J294" i="1"/>
  <c r="F294" i="1"/>
  <c r="H294" i="1" s="1"/>
  <c r="E294" i="1"/>
  <c r="J293" i="1"/>
  <c r="F293" i="1"/>
  <c r="H293" i="1" s="1"/>
  <c r="E293" i="1"/>
  <c r="J292" i="1"/>
  <c r="F292" i="1"/>
  <c r="H292" i="1" s="1"/>
  <c r="E292" i="1"/>
  <c r="J291" i="1"/>
  <c r="F291" i="1"/>
  <c r="H291" i="1" s="1"/>
  <c r="E291" i="1"/>
  <c r="J290" i="1"/>
  <c r="F290" i="1"/>
  <c r="H290" i="1" s="1"/>
  <c r="E290" i="1"/>
  <c r="J289" i="1"/>
  <c r="F289" i="1"/>
  <c r="H289" i="1" s="1"/>
  <c r="E289" i="1"/>
  <c r="J288" i="1"/>
  <c r="F288" i="1"/>
  <c r="H288" i="1" s="1"/>
  <c r="E288" i="1"/>
  <c r="J287" i="1"/>
  <c r="F287" i="1"/>
  <c r="H287" i="1" s="1"/>
  <c r="E287" i="1"/>
  <c r="J286" i="1"/>
  <c r="F286" i="1"/>
  <c r="H286" i="1" s="1"/>
  <c r="E286" i="1"/>
  <c r="J285" i="1"/>
  <c r="F285" i="1"/>
  <c r="H285" i="1" s="1"/>
  <c r="E285" i="1"/>
  <c r="J284" i="1"/>
  <c r="F284" i="1"/>
  <c r="H284" i="1" s="1"/>
  <c r="E284" i="1"/>
  <c r="J283" i="1"/>
  <c r="F283" i="1"/>
  <c r="H283" i="1" s="1"/>
  <c r="E283" i="1"/>
  <c r="J282" i="1"/>
  <c r="F282" i="1"/>
  <c r="H282" i="1" s="1"/>
  <c r="E282" i="1"/>
  <c r="J281" i="1"/>
  <c r="F281" i="1"/>
  <c r="H281" i="1" s="1"/>
  <c r="E281" i="1"/>
  <c r="J280" i="1"/>
  <c r="F280" i="1"/>
  <c r="H280" i="1" s="1"/>
  <c r="E280" i="1"/>
  <c r="J279" i="1"/>
  <c r="F279" i="1"/>
  <c r="H279" i="1" s="1"/>
  <c r="E279" i="1"/>
  <c r="J278" i="1"/>
  <c r="F278" i="1"/>
  <c r="H278" i="1" s="1"/>
  <c r="E278" i="1"/>
  <c r="J277" i="1"/>
  <c r="F277" i="1"/>
  <c r="H277" i="1" s="1"/>
  <c r="E277" i="1"/>
  <c r="J276" i="1"/>
  <c r="F276" i="1"/>
  <c r="H276" i="1" s="1"/>
  <c r="E276" i="1"/>
  <c r="J275" i="1"/>
  <c r="F275" i="1"/>
  <c r="H275" i="1" s="1"/>
  <c r="E275" i="1"/>
  <c r="J274" i="1"/>
  <c r="F274" i="1"/>
  <c r="H274" i="1" s="1"/>
  <c r="E274" i="1"/>
  <c r="J273" i="1"/>
  <c r="F273" i="1"/>
  <c r="H273" i="1" s="1"/>
  <c r="E273" i="1"/>
  <c r="J272" i="1"/>
  <c r="F272" i="1"/>
  <c r="H272" i="1" s="1"/>
  <c r="E272" i="1"/>
  <c r="J271" i="1"/>
  <c r="F271" i="1"/>
  <c r="H271" i="1" s="1"/>
  <c r="E271" i="1"/>
  <c r="J270" i="1"/>
  <c r="F270" i="1"/>
  <c r="H270" i="1" s="1"/>
  <c r="E270" i="1"/>
  <c r="J269" i="1"/>
  <c r="F269" i="1"/>
  <c r="H269" i="1" s="1"/>
  <c r="E269" i="1"/>
  <c r="J268" i="1"/>
  <c r="F268" i="1"/>
  <c r="H268" i="1" s="1"/>
  <c r="E268" i="1"/>
  <c r="J267" i="1"/>
  <c r="F267" i="1"/>
  <c r="H267" i="1" s="1"/>
  <c r="E267" i="1"/>
  <c r="J266" i="1"/>
  <c r="F266" i="1"/>
  <c r="H266" i="1" s="1"/>
  <c r="E266" i="1"/>
  <c r="J265" i="1"/>
  <c r="F265" i="1"/>
  <c r="H265" i="1" s="1"/>
  <c r="E265" i="1"/>
  <c r="J264" i="1"/>
  <c r="F264" i="1"/>
  <c r="H264" i="1" s="1"/>
  <c r="E264" i="1"/>
  <c r="J263" i="1"/>
  <c r="F263" i="1"/>
  <c r="H263" i="1" s="1"/>
  <c r="E263" i="1"/>
  <c r="J262" i="1"/>
  <c r="F262" i="1"/>
  <c r="H262" i="1" s="1"/>
  <c r="E262" i="1"/>
  <c r="J261" i="1"/>
  <c r="F261" i="1"/>
  <c r="H261" i="1" s="1"/>
  <c r="E261" i="1"/>
  <c r="J260" i="1"/>
  <c r="F260" i="1"/>
  <c r="H260" i="1" s="1"/>
  <c r="E260" i="1"/>
  <c r="J259" i="1"/>
  <c r="F259" i="1"/>
  <c r="H259" i="1" s="1"/>
  <c r="E259" i="1"/>
  <c r="J258" i="1"/>
  <c r="F258" i="1"/>
  <c r="H258" i="1" s="1"/>
  <c r="E258" i="1"/>
  <c r="J257" i="1"/>
  <c r="F257" i="1"/>
  <c r="H257" i="1" s="1"/>
  <c r="E257" i="1"/>
  <c r="J256" i="1"/>
  <c r="F256" i="1"/>
  <c r="H256" i="1" s="1"/>
  <c r="E256" i="1"/>
  <c r="J255" i="1"/>
  <c r="F255" i="1"/>
  <c r="H255" i="1" s="1"/>
  <c r="E255" i="1"/>
  <c r="J254" i="1"/>
  <c r="F254" i="1"/>
  <c r="H254" i="1" s="1"/>
  <c r="E254" i="1"/>
  <c r="J253" i="1"/>
  <c r="F253" i="1"/>
  <c r="H253" i="1" s="1"/>
  <c r="E253" i="1"/>
  <c r="J252" i="1"/>
  <c r="F252" i="1"/>
  <c r="H252" i="1" s="1"/>
  <c r="E252" i="1"/>
  <c r="J251" i="1"/>
  <c r="F251" i="1"/>
  <c r="H251" i="1" s="1"/>
  <c r="E251" i="1"/>
  <c r="J250" i="1"/>
  <c r="F250" i="1"/>
  <c r="H250" i="1" s="1"/>
  <c r="E250" i="1"/>
  <c r="J249" i="1"/>
  <c r="F249" i="1"/>
  <c r="H249" i="1" s="1"/>
  <c r="E249" i="1"/>
  <c r="J248" i="1"/>
  <c r="F248" i="1"/>
  <c r="H248" i="1" s="1"/>
  <c r="E248" i="1"/>
  <c r="J247" i="1"/>
  <c r="E247" i="1"/>
  <c r="F247" i="1" s="1"/>
  <c r="H247" i="1" s="1"/>
  <c r="J246" i="1"/>
  <c r="E246" i="1"/>
  <c r="F246" i="1" s="1"/>
  <c r="H246" i="1" s="1"/>
  <c r="J245" i="1"/>
  <c r="E245" i="1"/>
  <c r="F245" i="1" s="1"/>
  <c r="H245" i="1" s="1"/>
  <c r="D245" i="1"/>
  <c r="J244" i="1"/>
  <c r="E244" i="1"/>
  <c r="F244" i="1" s="1"/>
  <c r="H244" i="1" s="1"/>
  <c r="J243" i="1"/>
  <c r="E243" i="1"/>
  <c r="F243" i="1" s="1"/>
  <c r="H243" i="1" s="1"/>
  <c r="J242" i="1"/>
  <c r="E242" i="1"/>
  <c r="F242" i="1" s="1"/>
  <c r="H242" i="1" s="1"/>
  <c r="J241" i="1"/>
  <c r="E241" i="1"/>
  <c r="F241" i="1" s="1"/>
  <c r="H241" i="1" s="1"/>
  <c r="J240" i="1"/>
  <c r="E240" i="1"/>
  <c r="F240" i="1" s="1"/>
  <c r="H240" i="1" s="1"/>
  <c r="J239" i="1"/>
  <c r="E239" i="1"/>
  <c r="F239" i="1" s="1"/>
  <c r="H239" i="1" s="1"/>
  <c r="J238" i="1"/>
  <c r="E238" i="1"/>
  <c r="F238" i="1" s="1"/>
  <c r="H238" i="1" s="1"/>
  <c r="J237" i="1"/>
  <c r="E237" i="1"/>
  <c r="F237" i="1" s="1"/>
  <c r="H237" i="1" s="1"/>
  <c r="J236" i="1"/>
  <c r="E236" i="1"/>
  <c r="F236" i="1" s="1"/>
  <c r="H236" i="1" s="1"/>
  <c r="J235" i="1"/>
  <c r="E235" i="1"/>
  <c r="F235" i="1" s="1"/>
  <c r="H235" i="1" s="1"/>
  <c r="J234" i="1"/>
  <c r="E234" i="1"/>
  <c r="F234" i="1" s="1"/>
  <c r="H234" i="1" s="1"/>
  <c r="J233" i="1"/>
  <c r="E233" i="1"/>
  <c r="F233" i="1" s="1"/>
  <c r="H233" i="1" s="1"/>
  <c r="J232" i="1"/>
  <c r="E232" i="1"/>
  <c r="F232" i="1" s="1"/>
  <c r="H232" i="1" s="1"/>
  <c r="J231" i="1"/>
  <c r="E231" i="1"/>
  <c r="F231" i="1" s="1"/>
  <c r="H231" i="1" s="1"/>
  <c r="J230" i="1"/>
  <c r="E230" i="1"/>
  <c r="F230" i="1" s="1"/>
  <c r="H230" i="1" s="1"/>
  <c r="J229" i="1"/>
  <c r="E229" i="1"/>
  <c r="F229" i="1" s="1"/>
  <c r="H229" i="1" s="1"/>
  <c r="J228" i="1"/>
  <c r="E228" i="1"/>
  <c r="F228" i="1" s="1"/>
  <c r="H228" i="1" s="1"/>
  <c r="J227" i="1"/>
  <c r="E227" i="1"/>
  <c r="F227" i="1" s="1"/>
  <c r="H227" i="1" s="1"/>
  <c r="J226" i="1"/>
  <c r="E226" i="1"/>
  <c r="F226" i="1" s="1"/>
  <c r="H226" i="1" s="1"/>
  <c r="J225" i="1"/>
  <c r="E225" i="1"/>
  <c r="F225" i="1" s="1"/>
  <c r="H225" i="1" s="1"/>
  <c r="J224" i="1"/>
  <c r="E224" i="1"/>
  <c r="F224" i="1" s="1"/>
  <c r="H224" i="1" s="1"/>
  <c r="J223" i="1"/>
  <c r="E223" i="1"/>
  <c r="F223" i="1" s="1"/>
  <c r="H223" i="1" s="1"/>
  <c r="J222" i="1"/>
  <c r="E222" i="1"/>
  <c r="F222" i="1" s="1"/>
  <c r="H222" i="1" s="1"/>
  <c r="J221" i="1"/>
  <c r="E221" i="1"/>
  <c r="F221" i="1" s="1"/>
  <c r="H221" i="1" s="1"/>
  <c r="J220" i="1"/>
  <c r="E220" i="1"/>
  <c r="F220" i="1" s="1"/>
  <c r="H220" i="1" s="1"/>
  <c r="J219" i="1"/>
  <c r="E219" i="1"/>
  <c r="F219" i="1" s="1"/>
  <c r="H219" i="1" s="1"/>
  <c r="J218" i="1"/>
  <c r="E218" i="1"/>
  <c r="F218" i="1" s="1"/>
  <c r="H218" i="1" s="1"/>
  <c r="J217" i="1"/>
  <c r="E217" i="1"/>
  <c r="F217" i="1" s="1"/>
  <c r="H217" i="1" s="1"/>
  <c r="J216" i="1"/>
  <c r="E216" i="1"/>
  <c r="F216" i="1" s="1"/>
  <c r="H216" i="1" s="1"/>
  <c r="J215" i="1"/>
  <c r="E215" i="1"/>
  <c r="F215" i="1" s="1"/>
  <c r="H215" i="1" s="1"/>
  <c r="J214" i="1"/>
  <c r="E214" i="1"/>
  <c r="F214" i="1" s="1"/>
  <c r="H214" i="1" s="1"/>
  <c r="J213" i="1"/>
  <c r="E213" i="1"/>
  <c r="F213" i="1" s="1"/>
  <c r="H213" i="1" s="1"/>
  <c r="J212" i="1"/>
  <c r="E212" i="1"/>
  <c r="F212" i="1" s="1"/>
  <c r="H212" i="1" s="1"/>
  <c r="J211" i="1"/>
  <c r="E211" i="1"/>
  <c r="F211" i="1" s="1"/>
  <c r="H211" i="1" s="1"/>
  <c r="J210" i="1"/>
  <c r="E210" i="1"/>
  <c r="F210" i="1" s="1"/>
  <c r="H210" i="1" s="1"/>
  <c r="J209" i="1"/>
  <c r="E209" i="1"/>
  <c r="F209" i="1" s="1"/>
  <c r="H209" i="1" s="1"/>
  <c r="J208" i="1"/>
  <c r="E208" i="1"/>
  <c r="F208" i="1" s="1"/>
  <c r="H208" i="1" s="1"/>
  <c r="J207" i="1"/>
  <c r="E207" i="1"/>
  <c r="F207" i="1" s="1"/>
  <c r="H207" i="1" s="1"/>
  <c r="J206" i="1"/>
  <c r="E206" i="1"/>
  <c r="F206" i="1" s="1"/>
  <c r="H206" i="1" s="1"/>
  <c r="J205" i="1"/>
  <c r="E205" i="1"/>
  <c r="F205" i="1" s="1"/>
  <c r="H205" i="1" s="1"/>
  <c r="J204" i="1"/>
  <c r="E204" i="1"/>
  <c r="F204" i="1" s="1"/>
  <c r="H204" i="1" s="1"/>
  <c r="J203" i="1"/>
  <c r="E203" i="1"/>
  <c r="F203" i="1" s="1"/>
  <c r="H203" i="1" s="1"/>
  <c r="J202" i="1"/>
  <c r="E202" i="1"/>
  <c r="F202" i="1" s="1"/>
  <c r="H202" i="1" s="1"/>
  <c r="J201" i="1"/>
  <c r="E201" i="1"/>
  <c r="F201" i="1" s="1"/>
  <c r="H201" i="1" s="1"/>
  <c r="J200" i="1"/>
  <c r="E200" i="1"/>
  <c r="F200" i="1" s="1"/>
  <c r="H200" i="1" s="1"/>
  <c r="J199" i="1"/>
  <c r="E199" i="1"/>
  <c r="F199" i="1" s="1"/>
  <c r="H199" i="1" s="1"/>
  <c r="J198" i="1"/>
  <c r="E198" i="1"/>
  <c r="F198" i="1" s="1"/>
  <c r="H198" i="1" s="1"/>
  <c r="J197" i="1"/>
  <c r="E197" i="1"/>
  <c r="F197" i="1" s="1"/>
  <c r="H197" i="1" s="1"/>
  <c r="J196" i="1"/>
  <c r="E196" i="1"/>
  <c r="F196" i="1" s="1"/>
  <c r="H196" i="1" s="1"/>
  <c r="J195" i="1"/>
  <c r="E195" i="1"/>
  <c r="F195" i="1" s="1"/>
  <c r="H195" i="1" s="1"/>
  <c r="J194" i="1"/>
  <c r="E194" i="1"/>
  <c r="F194" i="1" s="1"/>
  <c r="H194" i="1" s="1"/>
  <c r="J193" i="1"/>
  <c r="E193" i="1"/>
  <c r="F193" i="1" s="1"/>
  <c r="H193" i="1" s="1"/>
  <c r="J192" i="1"/>
  <c r="E192" i="1"/>
  <c r="F192" i="1" s="1"/>
  <c r="H192" i="1" s="1"/>
  <c r="J191" i="1"/>
  <c r="E191" i="1"/>
  <c r="F191" i="1" s="1"/>
  <c r="H191" i="1" s="1"/>
  <c r="J190" i="1"/>
  <c r="E190" i="1"/>
  <c r="F190" i="1" s="1"/>
  <c r="H190" i="1" s="1"/>
  <c r="J189" i="1"/>
  <c r="E189" i="1"/>
  <c r="F189" i="1" s="1"/>
  <c r="H189" i="1" s="1"/>
  <c r="J188" i="1"/>
  <c r="E188" i="1"/>
  <c r="F188" i="1" s="1"/>
  <c r="H188" i="1" s="1"/>
  <c r="J187" i="1"/>
  <c r="E187" i="1"/>
  <c r="F187" i="1" s="1"/>
  <c r="H187" i="1" s="1"/>
  <c r="J186" i="1"/>
  <c r="E186" i="1"/>
  <c r="F186" i="1" s="1"/>
  <c r="H186" i="1" s="1"/>
  <c r="J185" i="1"/>
  <c r="E185" i="1"/>
  <c r="F185" i="1" s="1"/>
  <c r="H185" i="1" s="1"/>
  <c r="J184" i="1"/>
  <c r="E184" i="1"/>
  <c r="F184" i="1" s="1"/>
  <c r="H184" i="1" s="1"/>
  <c r="J183" i="1"/>
  <c r="E183" i="1"/>
  <c r="F183" i="1" s="1"/>
  <c r="H183" i="1" s="1"/>
  <c r="J182" i="1"/>
  <c r="E182" i="1"/>
  <c r="F182" i="1" s="1"/>
  <c r="H182" i="1" s="1"/>
  <c r="J181" i="1"/>
  <c r="E181" i="1"/>
  <c r="F181" i="1" s="1"/>
  <c r="H181" i="1" s="1"/>
  <c r="J180" i="1"/>
  <c r="E180" i="1"/>
  <c r="F180" i="1" s="1"/>
  <c r="H180" i="1" s="1"/>
  <c r="J179" i="1"/>
  <c r="E179" i="1"/>
  <c r="F179" i="1" s="1"/>
  <c r="H179" i="1" s="1"/>
  <c r="J178" i="1"/>
  <c r="E178" i="1"/>
  <c r="F178" i="1" s="1"/>
  <c r="H178" i="1" s="1"/>
  <c r="J177" i="1"/>
  <c r="E177" i="1"/>
  <c r="F177" i="1" s="1"/>
  <c r="H177" i="1" s="1"/>
  <c r="J176" i="1"/>
  <c r="E176" i="1"/>
  <c r="F176" i="1" s="1"/>
  <c r="H176" i="1" s="1"/>
  <c r="J175" i="1"/>
  <c r="E175" i="1"/>
  <c r="F175" i="1" s="1"/>
  <c r="H175" i="1" s="1"/>
  <c r="J174" i="1"/>
  <c r="E174" i="1"/>
  <c r="F174" i="1" s="1"/>
  <c r="H174" i="1" s="1"/>
  <c r="J173" i="1"/>
  <c r="E173" i="1"/>
  <c r="F173" i="1" s="1"/>
  <c r="H173" i="1" s="1"/>
  <c r="J172" i="1"/>
  <c r="E172" i="1"/>
  <c r="F172" i="1" s="1"/>
  <c r="H172" i="1" s="1"/>
  <c r="J171" i="1"/>
  <c r="E171" i="1"/>
  <c r="F171" i="1" s="1"/>
  <c r="H171" i="1" s="1"/>
  <c r="J170" i="1"/>
  <c r="E170" i="1"/>
  <c r="F170" i="1" s="1"/>
  <c r="H170" i="1" s="1"/>
  <c r="J169" i="1"/>
  <c r="E169" i="1"/>
  <c r="F169" i="1" s="1"/>
  <c r="H169" i="1" s="1"/>
  <c r="J168" i="1"/>
  <c r="E168" i="1"/>
  <c r="F168" i="1" s="1"/>
  <c r="H168" i="1" s="1"/>
  <c r="J167" i="1"/>
  <c r="E167" i="1"/>
  <c r="F167" i="1" s="1"/>
  <c r="H167" i="1" s="1"/>
  <c r="J166" i="1"/>
  <c r="E166" i="1"/>
  <c r="F166" i="1" s="1"/>
  <c r="H166" i="1" s="1"/>
  <c r="J165" i="1"/>
  <c r="E165" i="1"/>
  <c r="F165" i="1" s="1"/>
  <c r="H165" i="1" s="1"/>
  <c r="J164" i="1"/>
  <c r="E164" i="1"/>
  <c r="F164" i="1" s="1"/>
  <c r="H164" i="1" s="1"/>
  <c r="J163" i="1"/>
  <c r="E163" i="1"/>
  <c r="F163" i="1" s="1"/>
  <c r="H163" i="1" s="1"/>
  <c r="J162" i="1"/>
  <c r="E162" i="1"/>
  <c r="F162" i="1" s="1"/>
  <c r="H162" i="1" s="1"/>
  <c r="J161" i="1"/>
  <c r="E161" i="1"/>
  <c r="F161" i="1" s="1"/>
  <c r="H161" i="1" s="1"/>
  <c r="J160" i="1"/>
  <c r="E160" i="1"/>
  <c r="F160" i="1" s="1"/>
  <c r="H160" i="1" s="1"/>
  <c r="J159" i="1"/>
  <c r="E159" i="1"/>
  <c r="F159" i="1" s="1"/>
  <c r="H159" i="1" s="1"/>
  <c r="J158" i="1"/>
  <c r="E158" i="1"/>
  <c r="F158" i="1" s="1"/>
  <c r="H158" i="1" s="1"/>
  <c r="J157" i="1"/>
  <c r="E157" i="1"/>
  <c r="F157" i="1" s="1"/>
  <c r="H157" i="1" s="1"/>
  <c r="J156" i="1"/>
  <c r="E156" i="1"/>
  <c r="F156" i="1" s="1"/>
  <c r="H156" i="1" s="1"/>
  <c r="J155" i="1"/>
  <c r="E155" i="1"/>
  <c r="F155" i="1" s="1"/>
  <c r="H155" i="1" s="1"/>
  <c r="J154" i="1"/>
  <c r="E154" i="1"/>
  <c r="F154" i="1" s="1"/>
  <c r="H154" i="1" s="1"/>
  <c r="J153" i="1"/>
  <c r="E153" i="1"/>
  <c r="F153" i="1" s="1"/>
  <c r="H153" i="1" s="1"/>
  <c r="J152" i="1"/>
  <c r="E152" i="1"/>
  <c r="F152" i="1" s="1"/>
  <c r="H152" i="1" s="1"/>
  <c r="J151" i="1"/>
  <c r="E151" i="1"/>
  <c r="F151" i="1" s="1"/>
  <c r="H151" i="1" s="1"/>
  <c r="J150" i="1"/>
  <c r="E150" i="1"/>
  <c r="F150" i="1" s="1"/>
  <c r="H150" i="1" s="1"/>
  <c r="J149" i="1"/>
  <c r="E149" i="1"/>
  <c r="F149" i="1" s="1"/>
  <c r="H149" i="1" s="1"/>
  <c r="J148" i="1"/>
  <c r="E148" i="1"/>
  <c r="F148" i="1" s="1"/>
  <c r="H148" i="1" s="1"/>
  <c r="J147" i="1"/>
  <c r="E147" i="1"/>
  <c r="F147" i="1" s="1"/>
  <c r="H147" i="1" s="1"/>
  <c r="J146" i="1"/>
  <c r="E146" i="1"/>
  <c r="F146" i="1" s="1"/>
  <c r="H146" i="1" s="1"/>
  <c r="J145" i="1"/>
  <c r="E145" i="1"/>
  <c r="F145" i="1" s="1"/>
  <c r="H145" i="1" s="1"/>
  <c r="J144" i="1"/>
  <c r="E144" i="1"/>
  <c r="F144" i="1" s="1"/>
  <c r="H144" i="1" s="1"/>
  <c r="J143" i="1"/>
  <c r="E143" i="1"/>
  <c r="F143" i="1" s="1"/>
  <c r="H143" i="1" s="1"/>
  <c r="J142" i="1"/>
  <c r="E142" i="1"/>
  <c r="F142" i="1" s="1"/>
  <c r="H142" i="1" s="1"/>
  <c r="J141" i="1"/>
  <c r="E141" i="1"/>
  <c r="F141" i="1" s="1"/>
  <c r="H141" i="1" s="1"/>
  <c r="J140" i="1"/>
  <c r="E140" i="1"/>
  <c r="F140" i="1" s="1"/>
  <c r="H140" i="1" s="1"/>
  <c r="J139" i="1"/>
  <c r="E139" i="1"/>
  <c r="F139" i="1" s="1"/>
  <c r="H139" i="1" s="1"/>
  <c r="J138" i="1"/>
  <c r="E138" i="1"/>
  <c r="F138" i="1" s="1"/>
  <c r="H138" i="1" s="1"/>
  <c r="J137" i="1"/>
  <c r="E137" i="1"/>
  <c r="F137" i="1" s="1"/>
  <c r="H137" i="1" s="1"/>
  <c r="J136" i="1"/>
  <c r="E136" i="1"/>
  <c r="F136" i="1" s="1"/>
  <c r="H136" i="1" s="1"/>
  <c r="J135" i="1"/>
  <c r="E135" i="1"/>
  <c r="F135" i="1" s="1"/>
  <c r="H135" i="1" s="1"/>
  <c r="J134" i="1"/>
  <c r="E134" i="1"/>
  <c r="F134" i="1" s="1"/>
  <c r="H134" i="1" s="1"/>
  <c r="J133" i="1"/>
  <c r="E133" i="1"/>
  <c r="F133" i="1" s="1"/>
  <c r="H133" i="1" s="1"/>
  <c r="J132" i="1"/>
  <c r="E132" i="1"/>
  <c r="F132" i="1" s="1"/>
  <c r="H132" i="1" s="1"/>
  <c r="J131" i="1"/>
  <c r="E131" i="1"/>
  <c r="F131" i="1" s="1"/>
  <c r="H131" i="1" s="1"/>
  <c r="J130" i="1"/>
  <c r="E130" i="1"/>
  <c r="F130" i="1" s="1"/>
  <c r="H130" i="1" s="1"/>
  <c r="J129" i="1"/>
  <c r="E129" i="1"/>
  <c r="F129" i="1" s="1"/>
  <c r="H129" i="1" s="1"/>
  <c r="J128" i="1"/>
  <c r="E128" i="1"/>
  <c r="F128" i="1" s="1"/>
  <c r="H128" i="1" s="1"/>
  <c r="J127" i="1"/>
  <c r="E127" i="1"/>
  <c r="F127" i="1" s="1"/>
  <c r="H127" i="1" s="1"/>
  <c r="J126" i="1"/>
  <c r="E126" i="1"/>
  <c r="F126" i="1" s="1"/>
  <c r="H126" i="1" s="1"/>
  <c r="J125" i="1"/>
  <c r="E125" i="1"/>
  <c r="F125" i="1" s="1"/>
  <c r="H125" i="1" s="1"/>
  <c r="J124" i="1"/>
  <c r="E124" i="1"/>
  <c r="F124" i="1" s="1"/>
  <c r="H124" i="1" s="1"/>
  <c r="J123" i="1"/>
  <c r="E123" i="1"/>
  <c r="F123" i="1" s="1"/>
  <c r="H123" i="1" s="1"/>
  <c r="D123" i="1"/>
  <c r="J122" i="1"/>
  <c r="E122" i="1"/>
  <c r="F122" i="1" s="1"/>
  <c r="H122" i="1" s="1"/>
  <c r="J121" i="1"/>
  <c r="E121" i="1"/>
  <c r="F121" i="1" s="1"/>
  <c r="H121" i="1" s="1"/>
  <c r="J120" i="1"/>
  <c r="E120" i="1"/>
  <c r="F120" i="1" s="1"/>
  <c r="H120" i="1" s="1"/>
  <c r="J119" i="1"/>
  <c r="E119" i="1"/>
  <c r="F119" i="1" s="1"/>
  <c r="H119" i="1" s="1"/>
  <c r="J118" i="1"/>
  <c r="E118" i="1"/>
  <c r="F118" i="1" s="1"/>
  <c r="H118" i="1" s="1"/>
  <c r="J117" i="1"/>
  <c r="E117" i="1"/>
  <c r="F117" i="1" s="1"/>
  <c r="H117" i="1" s="1"/>
  <c r="J116" i="1"/>
  <c r="E116" i="1"/>
  <c r="F116" i="1" s="1"/>
  <c r="H116" i="1" s="1"/>
  <c r="J115" i="1"/>
  <c r="E115" i="1"/>
  <c r="F115" i="1" s="1"/>
  <c r="H115" i="1" s="1"/>
  <c r="J114" i="1"/>
  <c r="E114" i="1"/>
  <c r="F114" i="1" s="1"/>
  <c r="H114" i="1" s="1"/>
  <c r="J113" i="1"/>
  <c r="E113" i="1"/>
  <c r="F113" i="1" s="1"/>
  <c r="H113" i="1" s="1"/>
  <c r="J112" i="1"/>
  <c r="E112" i="1"/>
  <c r="F112" i="1" s="1"/>
  <c r="H112" i="1" s="1"/>
  <c r="J111" i="1"/>
  <c r="E111" i="1"/>
  <c r="F111" i="1" s="1"/>
  <c r="H111" i="1" s="1"/>
  <c r="J110" i="1"/>
  <c r="E110" i="1"/>
  <c r="F110" i="1" s="1"/>
  <c r="H110" i="1" s="1"/>
  <c r="J109" i="1"/>
  <c r="E109" i="1"/>
  <c r="F109" i="1" s="1"/>
  <c r="H109" i="1" s="1"/>
  <c r="J108" i="1"/>
  <c r="E108" i="1"/>
  <c r="F108" i="1" s="1"/>
  <c r="H108" i="1" s="1"/>
  <c r="J107" i="1"/>
  <c r="E107" i="1"/>
  <c r="F107" i="1" s="1"/>
  <c r="H107" i="1" s="1"/>
  <c r="J106" i="1"/>
  <c r="E106" i="1"/>
  <c r="F106" i="1" s="1"/>
  <c r="H106" i="1" s="1"/>
  <c r="J105" i="1"/>
  <c r="E105" i="1"/>
  <c r="F105" i="1" s="1"/>
  <c r="H105" i="1" s="1"/>
  <c r="J104" i="1"/>
  <c r="E104" i="1"/>
  <c r="F104" i="1" s="1"/>
  <c r="H104" i="1" s="1"/>
  <c r="J103" i="1"/>
  <c r="E103" i="1"/>
  <c r="F103" i="1" s="1"/>
  <c r="H103" i="1" s="1"/>
  <c r="J102" i="1"/>
  <c r="E102" i="1"/>
  <c r="F102" i="1" s="1"/>
  <c r="H102" i="1" s="1"/>
  <c r="J101" i="1"/>
  <c r="E101" i="1"/>
  <c r="F101" i="1" s="1"/>
  <c r="H101" i="1" s="1"/>
  <c r="J100" i="1"/>
  <c r="E100" i="1"/>
  <c r="F100" i="1" s="1"/>
  <c r="H100" i="1" s="1"/>
  <c r="J99" i="1"/>
  <c r="E99" i="1"/>
  <c r="F99" i="1" s="1"/>
  <c r="H99" i="1" s="1"/>
  <c r="J98" i="1"/>
  <c r="E98" i="1"/>
  <c r="F98" i="1" s="1"/>
  <c r="H98" i="1" s="1"/>
  <c r="J97" i="1"/>
  <c r="E97" i="1"/>
  <c r="F97" i="1" s="1"/>
  <c r="H97" i="1" s="1"/>
  <c r="J96" i="1"/>
  <c r="E96" i="1"/>
  <c r="F96" i="1" s="1"/>
  <c r="H96" i="1" s="1"/>
  <c r="J95" i="1"/>
  <c r="E95" i="1"/>
  <c r="F95" i="1" s="1"/>
  <c r="H95" i="1" s="1"/>
  <c r="J94" i="1"/>
  <c r="E94" i="1"/>
  <c r="F94" i="1" s="1"/>
  <c r="H94" i="1" s="1"/>
  <c r="J93" i="1"/>
  <c r="E93" i="1"/>
  <c r="F93" i="1" s="1"/>
  <c r="H93" i="1" s="1"/>
  <c r="J92" i="1"/>
  <c r="E92" i="1"/>
  <c r="F92" i="1" s="1"/>
  <c r="H92" i="1" s="1"/>
  <c r="J91" i="1"/>
  <c r="E91" i="1"/>
  <c r="F91" i="1" s="1"/>
  <c r="H91" i="1" s="1"/>
  <c r="J90" i="1"/>
  <c r="E90" i="1"/>
  <c r="F90" i="1" s="1"/>
  <c r="H90" i="1" s="1"/>
  <c r="J89" i="1"/>
  <c r="E89" i="1"/>
  <c r="F89" i="1" s="1"/>
  <c r="H89" i="1" s="1"/>
  <c r="J88" i="1"/>
  <c r="E88" i="1"/>
  <c r="F88" i="1" s="1"/>
  <c r="H88" i="1" s="1"/>
  <c r="J87" i="1"/>
  <c r="E87" i="1"/>
  <c r="F87" i="1" s="1"/>
  <c r="H87" i="1" s="1"/>
  <c r="J86" i="1"/>
  <c r="E86" i="1"/>
  <c r="F86" i="1" s="1"/>
  <c r="H86" i="1" s="1"/>
  <c r="J85" i="1"/>
  <c r="E85" i="1"/>
  <c r="F85" i="1" s="1"/>
  <c r="H85" i="1" s="1"/>
  <c r="J84" i="1"/>
  <c r="E84" i="1"/>
  <c r="F84" i="1" s="1"/>
  <c r="H84" i="1" s="1"/>
  <c r="J83" i="1"/>
  <c r="E83" i="1"/>
  <c r="F83" i="1" s="1"/>
  <c r="H83" i="1" s="1"/>
  <c r="J82" i="1"/>
  <c r="E82" i="1"/>
  <c r="F82" i="1" s="1"/>
  <c r="H82" i="1" s="1"/>
  <c r="J81" i="1"/>
  <c r="E81" i="1"/>
  <c r="F81" i="1" s="1"/>
  <c r="H81" i="1" s="1"/>
  <c r="J80" i="1"/>
  <c r="E80" i="1"/>
  <c r="F80" i="1" s="1"/>
  <c r="H80" i="1" s="1"/>
  <c r="J79" i="1"/>
  <c r="E79" i="1"/>
  <c r="F79" i="1" s="1"/>
  <c r="H79" i="1" s="1"/>
  <c r="J78" i="1"/>
  <c r="E78" i="1"/>
  <c r="F78" i="1" s="1"/>
  <c r="H78" i="1" s="1"/>
  <c r="J77" i="1"/>
  <c r="E77" i="1"/>
  <c r="F77" i="1" s="1"/>
  <c r="H77" i="1" s="1"/>
  <c r="J76" i="1"/>
  <c r="E76" i="1"/>
  <c r="F76" i="1" s="1"/>
  <c r="H76" i="1" s="1"/>
  <c r="J75" i="1"/>
  <c r="E75" i="1"/>
  <c r="F75" i="1" s="1"/>
  <c r="H75" i="1" s="1"/>
  <c r="J74" i="1"/>
  <c r="E74" i="1"/>
  <c r="F74" i="1" s="1"/>
  <c r="H74" i="1" s="1"/>
  <c r="J73" i="1"/>
  <c r="E73" i="1"/>
  <c r="F73" i="1" s="1"/>
  <c r="H73" i="1" s="1"/>
  <c r="J72" i="1"/>
  <c r="E72" i="1"/>
  <c r="F72" i="1" s="1"/>
  <c r="H72" i="1" s="1"/>
  <c r="J71" i="1"/>
  <c r="E71" i="1"/>
  <c r="F71" i="1" s="1"/>
  <c r="H71" i="1" s="1"/>
  <c r="J70" i="1"/>
  <c r="E70" i="1"/>
  <c r="F70" i="1" s="1"/>
  <c r="H70" i="1" s="1"/>
  <c r="J69" i="1"/>
  <c r="E69" i="1"/>
  <c r="F69" i="1" s="1"/>
  <c r="H69" i="1" s="1"/>
  <c r="J68" i="1"/>
  <c r="E68" i="1"/>
  <c r="F68" i="1" s="1"/>
  <c r="H68" i="1" s="1"/>
  <c r="J67" i="1"/>
  <c r="E67" i="1"/>
  <c r="F67" i="1" s="1"/>
  <c r="H67" i="1" s="1"/>
  <c r="J66" i="1"/>
  <c r="E66" i="1"/>
  <c r="F66" i="1" s="1"/>
  <c r="H66" i="1" s="1"/>
  <c r="J65" i="1"/>
  <c r="E65" i="1"/>
  <c r="F65" i="1" s="1"/>
  <c r="H65" i="1" s="1"/>
  <c r="J64" i="1"/>
  <c r="E64" i="1"/>
  <c r="F64" i="1" s="1"/>
  <c r="H64" i="1" s="1"/>
  <c r="D64" i="1"/>
  <c r="J63" i="1"/>
  <c r="E63" i="1"/>
  <c r="F63" i="1" s="1"/>
  <c r="H63" i="1" s="1"/>
  <c r="J62" i="1"/>
  <c r="E62" i="1"/>
  <c r="F62" i="1" s="1"/>
  <c r="H62" i="1" s="1"/>
  <c r="J61" i="1"/>
  <c r="E61" i="1"/>
  <c r="F61" i="1" s="1"/>
  <c r="H61" i="1" s="1"/>
  <c r="J60" i="1"/>
  <c r="E60" i="1"/>
  <c r="F60" i="1" s="1"/>
  <c r="H60" i="1" s="1"/>
  <c r="J59" i="1"/>
  <c r="E59" i="1"/>
  <c r="F59" i="1" s="1"/>
  <c r="H59" i="1" s="1"/>
  <c r="J58" i="1"/>
  <c r="E58" i="1"/>
  <c r="F58" i="1" s="1"/>
  <c r="H58" i="1" s="1"/>
  <c r="J57" i="1"/>
  <c r="E57" i="1"/>
  <c r="F57" i="1" s="1"/>
  <c r="H57" i="1" s="1"/>
  <c r="J56" i="1"/>
  <c r="E56" i="1"/>
  <c r="F56" i="1" s="1"/>
  <c r="H56" i="1" s="1"/>
  <c r="J55" i="1"/>
  <c r="E55" i="1"/>
  <c r="F55" i="1" s="1"/>
  <c r="H55" i="1" s="1"/>
  <c r="J54" i="1"/>
  <c r="E54" i="1"/>
  <c r="F54" i="1" s="1"/>
  <c r="H54" i="1" s="1"/>
  <c r="J53" i="1"/>
  <c r="E53" i="1"/>
  <c r="F53" i="1" s="1"/>
  <c r="H53" i="1" s="1"/>
  <c r="J52" i="1"/>
  <c r="E52" i="1"/>
  <c r="F52" i="1" s="1"/>
  <c r="H52" i="1" s="1"/>
  <c r="J51" i="1"/>
  <c r="E51" i="1"/>
  <c r="F51" i="1" s="1"/>
  <c r="H51" i="1" s="1"/>
  <c r="J50" i="1"/>
  <c r="E50" i="1"/>
  <c r="F50" i="1" s="1"/>
  <c r="H50" i="1" s="1"/>
  <c r="J49" i="1"/>
  <c r="E49" i="1"/>
  <c r="F49" i="1" s="1"/>
  <c r="H49" i="1" s="1"/>
  <c r="J48" i="1"/>
  <c r="E48" i="1"/>
  <c r="F48" i="1" s="1"/>
  <c r="H48" i="1" s="1"/>
  <c r="J47" i="1"/>
  <c r="E47" i="1"/>
  <c r="F47" i="1" s="1"/>
  <c r="H47" i="1" s="1"/>
  <c r="J46" i="1"/>
  <c r="E46" i="1"/>
  <c r="F46" i="1" s="1"/>
  <c r="H46" i="1" s="1"/>
  <c r="J45" i="1"/>
  <c r="E45" i="1"/>
  <c r="F45" i="1" s="1"/>
  <c r="H45" i="1" s="1"/>
  <c r="J44" i="1"/>
  <c r="E44" i="1"/>
  <c r="F44" i="1" s="1"/>
  <c r="H44" i="1" s="1"/>
  <c r="J43" i="1"/>
  <c r="E43" i="1"/>
  <c r="F43" i="1" s="1"/>
  <c r="H43" i="1" s="1"/>
  <c r="J42" i="1"/>
  <c r="E42" i="1"/>
  <c r="F42" i="1" s="1"/>
  <c r="H42" i="1" s="1"/>
  <c r="J41" i="1"/>
  <c r="E41" i="1"/>
  <c r="F41" i="1" s="1"/>
  <c r="H41" i="1" s="1"/>
  <c r="J40" i="1"/>
  <c r="E40" i="1"/>
  <c r="F40" i="1" s="1"/>
  <c r="H40" i="1" s="1"/>
  <c r="J39" i="1"/>
  <c r="E39" i="1"/>
  <c r="F39" i="1" s="1"/>
  <c r="H39" i="1" s="1"/>
  <c r="J38" i="1"/>
  <c r="E38" i="1"/>
  <c r="F38" i="1" s="1"/>
  <c r="H38" i="1" s="1"/>
  <c r="J37" i="1"/>
  <c r="E37" i="1"/>
  <c r="F37" i="1" s="1"/>
  <c r="H37" i="1" s="1"/>
  <c r="J36" i="1"/>
  <c r="E36" i="1"/>
  <c r="F36" i="1" s="1"/>
  <c r="H36" i="1" s="1"/>
  <c r="J35" i="1"/>
  <c r="E35" i="1"/>
  <c r="F35" i="1" s="1"/>
  <c r="H35" i="1" s="1"/>
  <c r="J34" i="1"/>
  <c r="E34" i="1"/>
  <c r="F34" i="1" s="1"/>
  <c r="H34" i="1" s="1"/>
  <c r="J33" i="1"/>
  <c r="E33" i="1"/>
  <c r="F33" i="1" s="1"/>
  <c r="H33" i="1" s="1"/>
  <c r="J32" i="1"/>
  <c r="E32" i="1"/>
  <c r="F32" i="1" s="1"/>
  <c r="H32" i="1" s="1"/>
  <c r="J31" i="1"/>
  <c r="E31" i="1"/>
  <c r="F31" i="1" s="1"/>
  <c r="H31" i="1" s="1"/>
  <c r="J30" i="1"/>
  <c r="E30" i="1"/>
  <c r="F30" i="1" s="1"/>
  <c r="H30" i="1" s="1"/>
  <c r="J29" i="1"/>
  <c r="E29" i="1"/>
  <c r="F29" i="1" s="1"/>
  <c r="H29" i="1" s="1"/>
  <c r="J28" i="1"/>
  <c r="E28" i="1"/>
  <c r="F28" i="1" s="1"/>
  <c r="H28" i="1" s="1"/>
  <c r="J27" i="1"/>
  <c r="E27" i="1"/>
  <c r="F27" i="1" s="1"/>
  <c r="H27" i="1" s="1"/>
  <c r="J26" i="1"/>
  <c r="E26" i="1"/>
  <c r="F26" i="1" s="1"/>
  <c r="H26" i="1" s="1"/>
  <c r="J25" i="1"/>
  <c r="E25" i="1"/>
  <c r="F25" i="1" s="1"/>
  <c r="H25" i="1" s="1"/>
  <c r="J24" i="1"/>
  <c r="E24" i="1"/>
  <c r="F24" i="1" s="1"/>
  <c r="H24" i="1" s="1"/>
  <c r="J23" i="1"/>
  <c r="E23" i="1"/>
  <c r="F23" i="1" s="1"/>
  <c r="H23" i="1" s="1"/>
  <c r="J22" i="1"/>
  <c r="E22" i="1"/>
  <c r="F22" i="1" s="1"/>
  <c r="H22" i="1" s="1"/>
  <c r="J21" i="1"/>
  <c r="E21" i="1"/>
  <c r="F21" i="1" s="1"/>
  <c r="H21" i="1" s="1"/>
  <c r="J20" i="1"/>
  <c r="E20" i="1"/>
  <c r="F20" i="1" s="1"/>
  <c r="H20" i="1" s="1"/>
  <c r="J19" i="1"/>
  <c r="E19" i="1"/>
  <c r="F19" i="1" s="1"/>
  <c r="H19" i="1" s="1"/>
  <c r="J18" i="1"/>
  <c r="E18" i="1"/>
  <c r="F18" i="1" s="1"/>
  <c r="H18" i="1" s="1"/>
  <c r="J17" i="1"/>
  <c r="E17" i="1"/>
  <c r="F17" i="1" s="1"/>
  <c r="H17" i="1" s="1"/>
  <c r="J16" i="1"/>
  <c r="E16" i="1"/>
  <c r="F16" i="1" s="1"/>
  <c r="H16" i="1" s="1"/>
  <c r="J15" i="1"/>
  <c r="E15" i="1"/>
  <c r="F15" i="1" s="1"/>
  <c r="H15" i="1" s="1"/>
  <c r="J14" i="1"/>
  <c r="E14" i="1"/>
  <c r="F14" i="1" s="1"/>
  <c r="H14" i="1" s="1"/>
  <c r="J13" i="1"/>
  <c r="E13" i="1"/>
  <c r="F13" i="1" s="1"/>
  <c r="H13" i="1" s="1"/>
  <c r="J12" i="1"/>
  <c r="E12" i="1"/>
  <c r="F12" i="1" s="1"/>
  <c r="H12" i="1" s="1"/>
  <c r="J11" i="1"/>
  <c r="E11" i="1"/>
  <c r="F11" i="1" s="1"/>
  <c r="H11" i="1" s="1"/>
  <c r="J10" i="1"/>
  <c r="E10" i="1"/>
  <c r="F10" i="1" s="1"/>
  <c r="H10" i="1" s="1"/>
  <c r="J9" i="1"/>
  <c r="E9" i="1"/>
  <c r="F9" i="1" s="1"/>
  <c r="H9" i="1" s="1"/>
  <c r="J8" i="1"/>
  <c r="E8" i="1"/>
  <c r="D8" i="1"/>
  <c r="J7" i="1"/>
  <c r="E7" i="1"/>
  <c r="F7" i="1" s="1"/>
  <c r="H7" i="1" s="1"/>
  <c r="D7" i="1"/>
  <c r="J6" i="1"/>
  <c r="E6" i="1"/>
  <c r="F6" i="1" s="1"/>
  <c r="H6" i="1" s="1"/>
  <c r="I500" i="3"/>
  <c r="J500" i="3" s="1"/>
  <c r="F500" i="3"/>
  <c r="B500" i="3"/>
  <c r="I499" i="3"/>
  <c r="J499" i="3" s="1"/>
  <c r="F499" i="3"/>
  <c r="B499" i="3"/>
  <c r="L499" i="3" s="1"/>
  <c r="I498" i="3"/>
  <c r="J498" i="3" s="1"/>
  <c r="F498" i="3"/>
  <c r="B498" i="3"/>
  <c r="I497" i="3"/>
  <c r="J497" i="3" s="1"/>
  <c r="F497" i="3"/>
  <c r="B497" i="3"/>
  <c r="L497" i="3" s="1"/>
  <c r="I496" i="3"/>
  <c r="J496" i="3" s="1"/>
  <c r="F496" i="3"/>
  <c r="B496" i="3"/>
  <c r="L496" i="3" s="1"/>
  <c r="I495" i="3"/>
  <c r="J495" i="3" s="1"/>
  <c r="F495" i="3"/>
  <c r="B495" i="3"/>
  <c r="I494" i="3"/>
  <c r="J494" i="3" s="1"/>
  <c r="F494" i="3"/>
  <c r="B494" i="3"/>
  <c r="L494" i="3" s="1"/>
  <c r="I493" i="3"/>
  <c r="J493" i="3" s="1"/>
  <c r="F493" i="3"/>
  <c r="B493" i="3"/>
  <c r="I492" i="3"/>
  <c r="J492" i="3" s="1"/>
  <c r="F492" i="3"/>
  <c r="B492" i="3"/>
  <c r="I491" i="3"/>
  <c r="J491" i="3" s="1"/>
  <c r="F491" i="3"/>
  <c r="B491" i="3"/>
  <c r="I490" i="3"/>
  <c r="J490" i="3" s="1"/>
  <c r="F490" i="3"/>
  <c r="B490" i="3"/>
  <c r="L490" i="3" s="1"/>
  <c r="I489" i="3"/>
  <c r="J489" i="3" s="1"/>
  <c r="F489" i="3"/>
  <c r="B489" i="3"/>
  <c r="I488" i="3"/>
  <c r="J488" i="3" s="1"/>
  <c r="F488" i="3"/>
  <c r="B488" i="3"/>
  <c r="I487" i="3"/>
  <c r="J487" i="3" s="1"/>
  <c r="F487" i="3"/>
  <c r="B487" i="3"/>
  <c r="I486" i="3"/>
  <c r="J486" i="3" s="1"/>
  <c r="F486" i="3"/>
  <c r="B486" i="3"/>
  <c r="L486" i="3" s="1"/>
  <c r="I485" i="3"/>
  <c r="J485" i="3" s="1"/>
  <c r="F485" i="3"/>
  <c r="B485" i="3"/>
  <c r="I484" i="3"/>
  <c r="J484" i="3" s="1"/>
  <c r="F484" i="3"/>
  <c r="B484" i="3"/>
  <c r="I483" i="3"/>
  <c r="J483" i="3" s="1"/>
  <c r="F483" i="3"/>
  <c r="B483" i="3"/>
  <c r="I482" i="3"/>
  <c r="J482" i="3" s="1"/>
  <c r="F482" i="3"/>
  <c r="B482" i="3"/>
  <c r="I481" i="3"/>
  <c r="J481" i="3" s="1"/>
  <c r="F481" i="3"/>
  <c r="B481" i="3"/>
  <c r="L481" i="3" s="1"/>
  <c r="I480" i="3"/>
  <c r="J480" i="3" s="1"/>
  <c r="F480" i="3"/>
  <c r="B480" i="3"/>
  <c r="I479" i="3"/>
  <c r="J479" i="3" s="1"/>
  <c r="F479" i="3"/>
  <c r="B479" i="3"/>
  <c r="I478" i="3"/>
  <c r="J478" i="3" s="1"/>
  <c r="F478" i="3"/>
  <c r="B478" i="3"/>
  <c r="I477" i="3"/>
  <c r="J477" i="3" s="1"/>
  <c r="F477" i="3"/>
  <c r="B477" i="3"/>
  <c r="I476" i="3"/>
  <c r="J476" i="3" s="1"/>
  <c r="F476" i="3"/>
  <c r="B476" i="3"/>
  <c r="I475" i="3"/>
  <c r="J475" i="3" s="1"/>
  <c r="F475" i="3"/>
  <c r="B475" i="3"/>
  <c r="L475" i="3" s="1"/>
  <c r="I474" i="3"/>
  <c r="J474" i="3" s="1"/>
  <c r="F474" i="3"/>
  <c r="B474" i="3"/>
  <c r="I473" i="3"/>
  <c r="J473" i="3" s="1"/>
  <c r="F473" i="3"/>
  <c r="B473" i="3"/>
  <c r="L473" i="3" s="1"/>
  <c r="I472" i="3"/>
  <c r="J472" i="3" s="1"/>
  <c r="F472" i="3"/>
  <c r="B472" i="3"/>
  <c r="L472" i="3" s="1"/>
  <c r="I471" i="3"/>
  <c r="J471" i="3" s="1"/>
  <c r="F471" i="3"/>
  <c r="B471" i="3"/>
  <c r="I470" i="3"/>
  <c r="J470" i="3" s="1"/>
  <c r="F470" i="3"/>
  <c r="B470" i="3"/>
  <c r="L470" i="3" s="1"/>
  <c r="I469" i="3"/>
  <c r="J469" i="3" s="1"/>
  <c r="F469" i="3"/>
  <c r="B469" i="3"/>
  <c r="L469" i="3" s="1"/>
  <c r="I468" i="3"/>
  <c r="J468" i="3" s="1"/>
  <c r="F468" i="3"/>
  <c r="B468" i="3"/>
  <c r="I467" i="3"/>
  <c r="J467" i="3" s="1"/>
  <c r="F467" i="3"/>
  <c r="B467" i="3"/>
  <c r="L467" i="3" s="1"/>
  <c r="I466" i="3"/>
  <c r="J466" i="3" s="1"/>
  <c r="F466" i="3"/>
  <c r="B466" i="3"/>
  <c r="I465" i="3"/>
  <c r="J465" i="3" s="1"/>
  <c r="F465" i="3"/>
  <c r="B465" i="3"/>
  <c r="I464" i="3"/>
  <c r="J464" i="3" s="1"/>
  <c r="F464" i="3"/>
  <c r="B464" i="3"/>
  <c r="I463" i="3"/>
  <c r="J463" i="3" s="1"/>
  <c r="F463" i="3"/>
  <c r="B463" i="3"/>
  <c r="L463" i="3" s="1"/>
  <c r="I462" i="3"/>
  <c r="J462" i="3" s="1"/>
  <c r="F462" i="3"/>
  <c r="B462" i="3"/>
  <c r="I461" i="3"/>
  <c r="J461" i="3" s="1"/>
  <c r="F461" i="3"/>
  <c r="B461" i="3"/>
  <c r="L461" i="3" s="1"/>
  <c r="I460" i="3"/>
  <c r="J460" i="3" s="1"/>
  <c r="F460" i="3"/>
  <c r="B460" i="3"/>
  <c r="I459" i="3"/>
  <c r="J459" i="3" s="1"/>
  <c r="F459" i="3"/>
  <c r="B459" i="3"/>
  <c r="I458" i="3"/>
  <c r="J458" i="3" s="1"/>
  <c r="F458" i="3"/>
  <c r="B458" i="3"/>
  <c r="I457" i="3"/>
  <c r="J457" i="3" s="1"/>
  <c r="F457" i="3"/>
  <c r="B457" i="3"/>
  <c r="L457" i="3" s="1"/>
  <c r="I456" i="3"/>
  <c r="J456" i="3" s="1"/>
  <c r="F456" i="3"/>
  <c r="B456" i="3"/>
  <c r="I455" i="3"/>
  <c r="J455" i="3" s="1"/>
  <c r="F455" i="3"/>
  <c r="B455" i="3"/>
  <c r="I454" i="3"/>
  <c r="J454" i="3" s="1"/>
  <c r="F454" i="3"/>
  <c r="B454" i="3"/>
  <c r="L454" i="3" s="1"/>
  <c r="I453" i="3"/>
  <c r="J453" i="3" s="1"/>
  <c r="F453" i="3"/>
  <c r="B453" i="3"/>
  <c r="L453" i="3" s="1"/>
  <c r="I452" i="3"/>
  <c r="J452" i="3" s="1"/>
  <c r="F452" i="3"/>
  <c r="B452" i="3"/>
  <c r="L452" i="3" s="1"/>
  <c r="I451" i="3"/>
  <c r="J451" i="3" s="1"/>
  <c r="F451" i="3"/>
  <c r="B451" i="3"/>
  <c r="I450" i="3"/>
  <c r="J450" i="3" s="1"/>
  <c r="F450" i="3"/>
  <c r="B450" i="3"/>
  <c r="I449" i="3"/>
  <c r="J449" i="3" s="1"/>
  <c r="F449" i="3"/>
  <c r="B449" i="3"/>
  <c r="L449" i="3" s="1"/>
  <c r="I448" i="3"/>
  <c r="J448" i="3" s="1"/>
  <c r="F448" i="3"/>
  <c r="B448" i="3"/>
  <c r="L448" i="3" s="1"/>
  <c r="I447" i="3"/>
  <c r="J447" i="3" s="1"/>
  <c r="F447" i="3"/>
  <c r="B447" i="3"/>
  <c r="I446" i="3"/>
  <c r="J446" i="3" s="1"/>
  <c r="F446" i="3"/>
  <c r="B446" i="3"/>
  <c r="I445" i="3"/>
  <c r="J445" i="3" s="1"/>
  <c r="F445" i="3"/>
  <c r="B445" i="3"/>
  <c r="L445" i="3" s="1"/>
  <c r="I444" i="3"/>
  <c r="J444" i="3" s="1"/>
  <c r="F444" i="3"/>
  <c r="B444" i="3"/>
  <c r="I443" i="3"/>
  <c r="J443" i="3" s="1"/>
  <c r="F443" i="3"/>
  <c r="B443" i="3"/>
  <c r="I442" i="3"/>
  <c r="J442" i="3" s="1"/>
  <c r="F442" i="3"/>
  <c r="B442" i="3"/>
  <c r="I441" i="3"/>
  <c r="J441" i="3" s="1"/>
  <c r="F441" i="3"/>
  <c r="B441" i="3"/>
  <c r="I440" i="3"/>
  <c r="J440" i="3" s="1"/>
  <c r="F440" i="3"/>
  <c r="B440" i="3"/>
  <c r="L440" i="3" s="1"/>
  <c r="I439" i="3"/>
  <c r="J439" i="3" s="1"/>
  <c r="F439" i="3"/>
  <c r="B439" i="3"/>
  <c r="I438" i="3"/>
  <c r="J438" i="3" s="1"/>
  <c r="F438" i="3"/>
  <c r="B438" i="3"/>
  <c r="L438" i="3" s="1"/>
  <c r="I437" i="3"/>
  <c r="J437" i="3" s="1"/>
  <c r="F437" i="3"/>
  <c r="B437" i="3"/>
  <c r="L437" i="3" s="1"/>
  <c r="I436" i="3"/>
  <c r="J436" i="3" s="1"/>
  <c r="F436" i="3"/>
  <c r="B436" i="3"/>
  <c r="L436" i="3" s="1"/>
  <c r="I435" i="3"/>
  <c r="J435" i="3" s="1"/>
  <c r="F435" i="3"/>
  <c r="B435" i="3"/>
  <c r="I434" i="3"/>
  <c r="J434" i="3" s="1"/>
  <c r="F434" i="3"/>
  <c r="B434" i="3"/>
  <c r="I433" i="3"/>
  <c r="J433" i="3" s="1"/>
  <c r="F433" i="3"/>
  <c r="B433" i="3"/>
  <c r="I432" i="3"/>
  <c r="J432" i="3" s="1"/>
  <c r="F432" i="3"/>
  <c r="B432" i="3"/>
  <c r="I431" i="3"/>
  <c r="J431" i="3" s="1"/>
  <c r="F431" i="3"/>
  <c r="B431" i="3"/>
  <c r="I430" i="3"/>
  <c r="J430" i="3" s="1"/>
  <c r="F430" i="3"/>
  <c r="B430" i="3"/>
  <c r="L430" i="3" s="1"/>
  <c r="I429" i="3"/>
  <c r="J429" i="3" s="1"/>
  <c r="F429" i="3"/>
  <c r="B429" i="3"/>
  <c r="L429" i="3" s="1"/>
  <c r="I428" i="3"/>
  <c r="J428" i="3" s="1"/>
  <c r="F428" i="3"/>
  <c r="B428" i="3"/>
  <c r="I427" i="3"/>
  <c r="J427" i="3" s="1"/>
  <c r="F427" i="3"/>
  <c r="B427" i="3"/>
  <c r="L427" i="3" s="1"/>
  <c r="I426" i="3"/>
  <c r="J426" i="3" s="1"/>
  <c r="F426" i="3"/>
  <c r="B426" i="3"/>
  <c r="L426" i="3" s="1"/>
  <c r="I425" i="3"/>
  <c r="J425" i="3" s="1"/>
  <c r="F425" i="3"/>
  <c r="B425" i="3"/>
  <c r="L425" i="3" s="1"/>
  <c r="I424" i="3"/>
  <c r="J424" i="3" s="1"/>
  <c r="F424" i="3"/>
  <c r="B424" i="3"/>
  <c r="L424" i="3" s="1"/>
  <c r="I423" i="3"/>
  <c r="J423" i="3" s="1"/>
  <c r="F423" i="3"/>
  <c r="B423" i="3"/>
  <c r="I422" i="3"/>
  <c r="J422" i="3" s="1"/>
  <c r="F422" i="3"/>
  <c r="B422" i="3"/>
  <c r="L422" i="3" s="1"/>
  <c r="I421" i="3"/>
  <c r="J421" i="3" s="1"/>
  <c r="F421" i="3"/>
  <c r="B421" i="3"/>
  <c r="I420" i="3"/>
  <c r="J420" i="3" s="1"/>
  <c r="F420" i="3"/>
  <c r="B420" i="3"/>
  <c r="L420" i="3" s="1"/>
  <c r="I419" i="3"/>
  <c r="J419" i="3" s="1"/>
  <c r="F419" i="3"/>
  <c r="B419" i="3"/>
  <c r="L419" i="3" s="1"/>
  <c r="I418" i="3"/>
  <c r="J418" i="3" s="1"/>
  <c r="F418" i="3"/>
  <c r="B418" i="3"/>
  <c r="I417" i="3"/>
  <c r="J417" i="3" s="1"/>
  <c r="F417" i="3"/>
  <c r="B417" i="3"/>
  <c r="I416" i="3"/>
  <c r="J416" i="3" s="1"/>
  <c r="F416" i="3"/>
  <c r="B416" i="3"/>
  <c r="L416" i="3" s="1"/>
  <c r="I415" i="3"/>
  <c r="J415" i="3" s="1"/>
  <c r="F415" i="3"/>
  <c r="B415" i="3"/>
  <c r="I414" i="3"/>
  <c r="J414" i="3" s="1"/>
  <c r="F414" i="3"/>
  <c r="B414" i="3"/>
  <c r="I413" i="3"/>
  <c r="J413" i="3" s="1"/>
  <c r="F413" i="3"/>
  <c r="B413" i="3"/>
  <c r="I412" i="3"/>
  <c r="J412" i="3" s="1"/>
  <c r="F412" i="3"/>
  <c r="B412" i="3"/>
  <c r="I411" i="3"/>
  <c r="J411" i="3" s="1"/>
  <c r="F411" i="3"/>
  <c r="B411" i="3"/>
  <c r="I410" i="3"/>
  <c r="J410" i="3" s="1"/>
  <c r="F410" i="3"/>
  <c r="B410" i="3"/>
  <c r="L410" i="3" s="1"/>
  <c r="I409" i="3"/>
  <c r="J409" i="3" s="1"/>
  <c r="F409" i="3"/>
  <c r="B409" i="3"/>
  <c r="L409" i="3" s="1"/>
  <c r="I408" i="3"/>
  <c r="J408" i="3" s="1"/>
  <c r="F408" i="3"/>
  <c r="B408" i="3"/>
  <c r="I407" i="3"/>
  <c r="J407" i="3" s="1"/>
  <c r="F407" i="3"/>
  <c r="B407" i="3"/>
  <c r="I406" i="3"/>
  <c r="J406" i="3" s="1"/>
  <c r="F406" i="3"/>
  <c r="B406" i="3"/>
  <c r="I405" i="3"/>
  <c r="J405" i="3" s="1"/>
  <c r="F405" i="3"/>
  <c r="B405" i="3"/>
  <c r="I404" i="3"/>
  <c r="J404" i="3" s="1"/>
  <c r="F404" i="3"/>
  <c r="B404" i="3"/>
  <c r="L404" i="3" s="1"/>
  <c r="I403" i="3"/>
  <c r="J403" i="3" s="1"/>
  <c r="F403" i="3"/>
  <c r="B403" i="3"/>
  <c r="L403" i="3" s="1"/>
  <c r="I402" i="3"/>
  <c r="J402" i="3" s="1"/>
  <c r="F402" i="3"/>
  <c r="B402" i="3"/>
  <c r="L402" i="3" s="1"/>
  <c r="I401" i="3"/>
  <c r="J401" i="3" s="1"/>
  <c r="F401" i="3"/>
  <c r="B401" i="3"/>
  <c r="I400" i="3"/>
  <c r="J400" i="3" s="1"/>
  <c r="F400" i="3"/>
  <c r="B400" i="3"/>
  <c r="I399" i="3"/>
  <c r="J399" i="3" s="1"/>
  <c r="F399" i="3"/>
  <c r="B399" i="3"/>
  <c r="L399" i="3" s="1"/>
  <c r="I398" i="3"/>
  <c r="J398" i="3" s="1"/>
  <c r="F398" i="3"/>
  <c r="B398" i="3"/>
  <c r="I397" i="3"/>
  <c r="J397" i="3" s="1"/>
  <c r="F397" i="3"/>
  <c r="B397" i="3"/>
  <c r="I396" i="3"/>
  <c r="J396" i="3" s="1"/>
  <c r="F396" i="3"/>
  <c r="B396" i="3"/>
  <c r="I395" i="3"/>
  <c r="J395" i="3" s="1"/>
  <c r="F395" i="3"/>
  <c r="B395" i="3"/>
  <c r="I394" i="3"/>
  <c r="J394" i="3" s="1"/>
  <c r="F394" i="3"/>
  <c r="B394" i="3"/>
  <c r="L394" i="3" s="1"/>
  <c r="I393" i="3"/>
  <c r="J393" i="3" s="1"/>
  <c r="F393" i="3"/>
  <c r="B393" i="3"/>
  <c r="L393" i="3" s="1"/>
  <c r="I392" i="3"/>
  <c r="J392" i="3" s="1"/>
  <c r="F392" i="3"/>
  <c r="B392" i="3"/>
  <c r="I391" i="3"/>
  <c r="J391" i="3" s="1"/>
  <c r="F391" i="3"/>
  <c r="B391" i="3"/>
  <c r="I390" i="3"/>
  <c r="J390" i="3" s="1"/>
  <c r="F390" i="3"/>
  <c r="B390" i="3"/>
  <c r="I389" i="3"/>
  <c r="J389" i="3" s="1"/>
  <c r="F389" i="3"/>
  <c r="B389" i="3"/>
  <c r="L389" i="3" s="1"/>
  <c r="I388" i="3"/>
  <c r="J388" i="3" s="1"/>
  <c r="F388" i="3"/>
  <c r="B388" i="3"/>
  <c r="L388" i="3" s="1"/>
  <c r="I387" i="3"/>
  <c r="J387" i="3" s="1"/>
  <c r="F387" i="3"/>
  <c r="B387" i="3"/>
  <c r="I386" i="3"/>
  <c r="J386" i="3" s="1"/>
  <c r="F386" i="3"/>
  <c r="B386" i="3"/>
  <c r="I385" i="3"/>
  <c r="J385" i="3" s="1"/>
  <c r="F385" i="3"/>
  <c r="B385" i="3"/>
  <c r="I384" i="3"/>
  <c r="J384" i="3" s="1"/>
  <c r="F384" i="3"/>
  <c r="B384" i="3"/>
  <c r="L384" i="3" s="1"/>
  <c r="I383" i="3"/>
  <c r="J383" i="3" s="1"/>
  <c r="F383" i="3"/>
  <c r="B383" i="3"/>
  <c r="I382" i="3"/>
  <c r="J382" i="3" s="1"/>
  <c r="F382" i="3"/>
  <c r="B382" i="3"/>
  <c r="I381" i="3"/>
  <c r="J381" i="3" s="1"/>
  <c r="F381" i="3"/>
  <c r="B381" i="3"/>
  <c r="I380" i="3"/>
  <c r="J380" i="3" s="1"/>
  <c r="F380" i="3"/>
  <c r="B380" i="3"/>
  <c r="I379" i="3"/>
  <c r="J379" i="3" s="1"/>
  <c r="F379" i="3"/>
  <c r="B379" i="3"/>
  <c r="L379" i="3" s="1"/>
  <c r="I378" i="3"/>
  <c r="J378" i="3" s="1"/>
  <c r="F378" i="3"/>
  <c r="B378" i="3"/>
  <c r="I377" i="3"/>
  <c r="J377" i="3" s="1"/>
  <c r="F377" i="3"/>
  <c r="B377" i="3"/>
  <c r="L377" i="3" s="1"/>
  <c r="I376" i="3"/>
  <c r="J376" i="3" s="1"/>
  <c r="F376" i="3"/>
  <c r="B376" i="3"/>
  <c r="I375" i="3"/>
  <c r="J375" i="3" s="1"/>
  <c r="F375" i="3"/>
  <c r="B375" i="3"/>
  <c r="L375" i="3" s="1"/>
  <c r="I374" i="3"/>
  <c r="J374" i="3" s="1"/>
  <c r="F374" i="3"/>
  <c r="B374" i="3"/>
  <c r="L374" i="3" s="1"/>
  <c r="I373" i="3"/>
  <c r="J373" i="3" s="1"/>
  <c r="F373" i="3"/>
  <c r="B373" i="3"/>
  <c r="I372" i="3"/>
  <c r="J372" i="3" s="1"/>
  <c r="F372" i="3"/>
  <c r="B372" i="3"/>
  <c r="L372" i="3" s="1"/>
  <c r="I371" i="3"/>
  <c r="J371" i="3" s="1"/>
  <c r="F371" i="3"/>
  <c r="B371" i="3"/>
  <c r="I370" i="3"/>
  <c r="J370" i="3" s="1"/>
  <c r="F370" i="3"/>
  <c r="B370" i="3"/>
  <c r="I369" i="3"/>
  <c r="J369" i="3" s="1"/>
  <c r="F369" i="3"/>
  <c r="B369" i="3"/>
  <c r="L369" i="3" s="1"/>
  <c r="I368" i="3"/>
  <c r="J368" i="3" s="1"/>
  <c r="F368" i="3"/>
  <c r="B368" i="3"/>
  <c r="I367" i="3"/>
  <c r="J367" i="3" s="1"/>
  <c r="F367" i="3"/>
  <c r="B367" i="3"/>
  <c r="L367" i="3" s="1"/>
  <c r="I366" i="3"/>
  <c r="J366" i="3" s="1"/>
  <c r="F366" i="3"/>
  <c r="B366" i="3"/>
  <c r="I365" i="3"/>
  <c r="J365" i="3" s="1"/>
  <c r="F365" i="3"/>
  <c r="B365" i="3"/>
  <c r="L365" i="3" s="1"/>
  <c r="I364" i="3"/>
  <c r="J364" i="3" s="1"/>
  <c r="F364" i="3"/>
  <c r="B364" i="3"/>
  <c r="L364" i="3" s="1"/>
  <c r="I363" i="3"/>
  <c r="J363" i="3" s="1"/>
  <c r="F363" i="3"/>
  <c r="B363" i="3"/>
  <c r="L363" i="3" s="1"/>
  <c r="I362" i="3"/>
  <c r="J362" i="3" s="1"/>
  <c r="F362" i="3"/>
  <c r="B362" i="3"/>
  <c r="I361" i="3"/>
  <c r="J361" i="3" s="1"/>
  <c r="F361" i="3"/>
  <c r="B361" i="3"/>
  <c r="I360" i="3"/>
  <c r="J360" i="3" s="1"/>
  <c r="F360" i="3"/>
  <c r="B360" i="3"/>
  <c r="I359" i="3"/>
  <c r="J359" i="3" s="1"/>
  <c r="F359" i="3"/>
  <c r="B359" i="3"/>
  <c r="L359" i="3" s="1"/>
  <c r="I358" i="3"/>
  <c r="J358" i="3" s="1"/>
  <c r="F358" i="3"/>
  <c r="B358" i="3"/>
  <c r="L358" i="3" s="1"/>
  <c r="I357" i="3"/>
  <c r="J357" i="3" s="1"/>
  <c r="F357" i="3"/>
  <c r="B357" i="3"/>
  <c r="I356" i="3"/>
  <c r="J356" i="3" s="1"/>
  <c r="F356" i="3"/>
  <c r="B356" i="3"/>
  <c r="I355" i="3"/>
  <c r="J355" i="3" s="1"/>
  <c r="F355" i="3"/>
  <c r="B355" i="3"/>
  <c r="L355" i="3" s="1"/>
  <c r="I354" i="3"/>
  <c r="J354" i="3" s="1"/>
  <c r="F354" i="3"/>
  <c r="B354" i="3"/>
  <c r="L354" i="3" s="1"/>
  <c r="I353" i="3"/>
  <c r="J353" i="3" s="1"/>
  <c r="F353" i="3"/>
  <c r="B353" i="3"/>
  <c r="L353" i="3" s="1"/>
  <c r="I352" i="3"/>
  <c r="J352" i="3" s="1"/>
  <c r="F352" i="3"/>
  <c r="B352" i="3"/>
  <c r="I351" i="3"/>
  <c r="J351" i="3" s="1"/>
  <c r="F351" i="3"/>
  <c r="B351" i="3"/>
  <c r="I350" i="3"/>
  <c r="J350" i="3" s="1"/>
  <c r="F350" i="3"/>
  <c r="B350" i="3"/>
  <c r="L350" i="3" s="1"/>
  <c r="I349" i="3"/>
  <c r="J349" i="3" s="1"/>
  <c r="F349" i="3"/>
  <c r="B349" i="3"/>
  <c r="L349" i="3" s="1"/>
  <c r="I348" i="3"/>
  <c r="J348" i="3" s="1"/>
  <c r="F348" i="3"/>
  <c r="B348" i="3"/>
  <c r="I347" i="3"/>
  <c r="J347" i="3" s="1"/>
  <c r="F347" i="3"/>
  <c r="B347" i="3"/>
  <c r="L347" i="3" s="1"/>
  <c r="I346" i="3"/>
  <c r="J346" i="3" s="1"/>
  <c r="F346" i="3"/>
  <c r="B346" i="3"/>
  <c r="I345" i="3"/>
  <c r="J345" i="3" s="1"/>
  <c r="F345" i="3"/>
  <c r="B345" i="3"/>
  <c r="L345" i="3" s="1"/>
  <c r="I344" i="3"/>
  <c r="J344" i="3" s="1"/>
  <c r="F344" i="3"/>
  <c r="B344" i="3"/>
  <c r="L344" i="3" s="1"/>
  <c r="I343" i="3"/>
  <c r="J343" i="3" s="1"/>
  <c r="F343" i="3"/>
  <c r="B343" i="3"/>
  <c r="I342" i="3"/>
  <c r="J342" i="3" s="1"/>
  <c r="F342" i="3"/>
  <c r="B342" i="3"/>
  <c r="I341" i="3"/>
  <c r="J341" i="3" s="1"/>
  <c r="F341" i="3"/>
  <c r="B341" i="3"/>
  <c r="I340" i="3"/>
  <c r="J340" i="3" s="1"/>
  <c r="F340" i="3"/>
  <c r="B340" i="3"/>
  <c r="L340" i="3" s="1"/>
  <c r="I339" i="3"/>
  <c r="J339" i="3" s="1"/>
  <c r="F339" i="3"/>
  <c r="B339" i="3"/>
  <c r="L339" i="3" s="1"/>
  <c r="I338" i="3"/>
  <c r="J338" i="3" s="1"/>
  <c r="F338" i="3"/>
  <c r="B338" i="3"/>
  <c r="L338" i="3" s="1"/>
  <c r="I337" i="3"/>
  <c r="J337" i="3" s="1"/>
  <c r="F337" i="3"/>
  <c r="B337" i="3"/>
  <c r="L337" i="3" s="1"/>
  <c r="I336" i="3"/>
  <c r="J336" i="3" s="1"/>
  <c r="F336" i="3"/>
  <c r="B336" i="3"/>
  <c r="I335" i="3"/>
  <c r="J335" i="3" s="1"/>
  <c r="F335" i="3"/>
  <c r="B335" i="3"/>
  <c r="I334" i="3"/>
  <c r="J334" i="3" s="1"/>
  <c r="F334" i="3"/>
  <c r="B334" i="3"/>
  <c r="L334" i="3" s="1"/>
  <c r="I333" i="3"/>
  <c r="J333" i="3" s="1"/>
  <c r="F333" i="3"/>
  <c r="B333" i="3"/>
  <c r="I332" i="3"/>
  <c r="J332" i="3" s="1"/>
  <c r="F332" i="3"/>
  <c r="B332" i="3"/>
  <c r="L332" i="3" s="1"/>
  <c r="I331" i="3"/>
  <c r="J331" i="3" s="1"/>
  <c r="F331" i="3"/>
  <c r="B331" i="3"/>
  <c r="I330" i="3"/>
  <c r="J330" i="3" s="1"/>
  <c r="F330" i="3"/>
  <c r="B330" i="3"/>
  <c r="L330" i="3" s="1"/>
  <c r="I329" i="3"/>
  <c r="J329" i="3" s="1"/>
  <c r="F329" i="3"/>
  <c r="B329" i="3"/>
  <c r="L329" i="3" s="1"/>
  <c r="I328" i="3"/>
  <c r="J328" i="3" s="1"/>
  <c r="F328" i="3"/>
  <c r="B328" i="3"/>
  <c r="I327" i="3"/>
  <c r="J327" i="3" s="1"/>
  <c r="F327" i="3"/>
  <c r="B327" i="3"/>
  <c r="I326" i="3"/>
  <c r="J326" i="3" s="1"/>
  <c r="F326" i="3"/>
  <c r="B326" i="3"/>
  <c r="I325" i="3"/>
  <c r="J325" i="3" s="1"/>
  <c r="F325" i="3"/>
  <c r="B325" i="3"/>
  <c r="I324" i="3"/>
  <c r="J324" i="3" s="1"/>
  <c r="F324" i="3"/>
  <c r="B324" i="3"/>
  <c r="L324" i="3" s="1"/>
  <c r="I323" i="3"/>
  <c r="J323" i="3" s="1"/>
  <c r="F323" i="3"/>
  <c r="B323" i="3"/>
  <c r="I322" i="3"/>
  <c r="J322" i="3" s="1"/>
  <c r="F322" i="3"/>
  <c r="B322" i="3"/>
  <c r="L322" i="3" s="1"/>
  <c r="I321" i="3"/>
  <c r="J321" i="3" s="1"/>
  <c r="F321" i="3"/>
  <c r="B321" i="3"/>
  <c r="I320" i="3"/>
  <c r="J320" i="3" s="1"/>
  <c r="F320" i="3"/>
  <c r="B320" i="3"/>
  <c r="L320" i="3" s="1"/>
  <c r="I319" i="3"/>
  <c r="J319" i="3" s="1"/>
  <c r="F319" i="3"/>
  <c r="B319" i="3"/>
  <c r="L319" i="3" s="1"/>
  <c r="I318" i="3"/>
  <c r="J318" i="3" s="1"/>
  <c r="F318" i="3"/>
  <c r="B318" i="3"/>
  <c r="L318" i="3" s="1"/>
  <c r="I317" i="3"/>
  <c r="J317" i="3" s="1"/>
  <c r="F317" i="3"/>
  <c r="B317" i="3"/>
  <c r="I316" i="3"/>
  <c r="J316" i="3" s="1"/>
  <c r="F316" i="3"/>
  <c r="B316" i="3"/>
  <c r="I315" i="3"/>
  <c r="J315" i="3" s="1"/>
  <c r="F315" i="3"/>
  <c r="B315" i="3"/>
  <c r="I314" i="3"/>
  <c r="J314" i="3" s="1"/>
  <c r="F314" i="3"/>
  <c r="B314" i="3"/>
  <c r="L314" i="3" s="1"/>
  <c r="I313" i="3"/>
  <c r="J313" i="3" s="1"/>
  <c r="F313" i="3"/>
  <c r="B313" i="3"/>
  <c r="L313" i="3" s="1"/>
  <c r="I312" i="3"/>
  <c r="J312" i="3" s="1"/>
  <c r="F312" i="3"/>
  <c r="B312" i="3"/>
  <c r="L312" i="3" s="1"/>
  <c r="I311" i="3"/>
  <c r="J311" i="3" s="1"/>
  <c r="F311" i="3"/>
  <c r="B311" i="3"/>
  <c r="I310" i="3"/>
  <c r="J310" i="3" s="1"/>
  <c r="F310" i="3"/>
  <c r="B310" i="3"/>
  <c r="I309" i="3"/>
  <c r="J309" i="3" s="1"/>
  <c r="F309" i="3"/>
  <c r="B309" i="3"/>
  <c r="L309" i="3" s="1"/>
  <c r="I308" i="3"/>
  <c r="J308" i="3" s="1"/>
  <c r="F308" i="3"/>
  <c r="B308" i="3"/>
  <c r="I307" i="3"/>
  <c r="J307" i="3" s="1"/>
  <c r="F307" i="3"/>
  <c r="B307" i="3"/>
  <c r="L307" i="3" s="1"/>
  <c r="I306" i="3"/>
  <c r="J306" i="3" s="1"/>
  <c r="F306" i="3"/>
  <c r="B306" i="3"/>
  <c r="I305" i="3"/>
  <c r="J305" i="3" s="1"/>
  <c r="F305" i="3"/>
  <c r="B305" i="3"/>
  <c r="I304" i="3"/>
  <c r="J304" i="3" s="1"/>
  <c r="F304" i="3"/>
  <c r="B304" i="3"/>
  <c r="L304" i="3" s="1"/>
  <c r="I303" i="3"/>
  <c r="J303" i="3" s="1"/>
  <c r="F303" i="3"/>
  <c r="B303" i="3"/>
  <c r="L303" i="3" s="1"/>
  <c r="I302" i="3"/>
  <c r="J302" i="3" s="1"/>
  <c r="F302" i="3"/>
  <c r="B302" i="3"/>
  <c r="L302" i="3" s="1"/>
  <c r="I301" i="3"/>
  <c r="J301" i="3" s="1"/>
  <c r="F301" i="3"/>
  <c r="B301" i="3"/>
  <c r="I300" i="3"/>
  <c r="J300" i="3" s="1"/>
  <c r="F300" i="3"/>
  <c r="B300" i="3"/>
  <c r="I299" i="3"/>
  <c r="J299" i="3" s="1"/>
  <c r="F299" i="3"/>
  <c r="B299" i="3"/>
  <c r="L299" i="3" s="1"/>
  <c r="I298" i="3"/>
  <c r="J298" i="3" s="1"/>
  <c r="F298" i="3"/>
  <c r="B298" i="3"/>
  <c r="I297" i="3"/>
  <c r="J297" i="3" s="1"/>
  <c r="F297" i="3"/>
  <c r="B297" i="3"/>
  <c r="I296" i="3"/>
  <c r="J296" i="3" s="1"/>
  <c r="F296" i="3"/>
  <c r="B296" i="3"/>
  <c r="I295" i="3"/>
  <c r="J295" i="3" s="1"/>
  <c r="F295" i="3"/>
  <c r="B295" i="3"/>
  <c r="I294" i="3"/>
  <c r="J294" i="3" s="1"/>
  <c r="F294" i="3"/>
  <c r="B294" i="3"/>
  <c r="L294" i="3" s="1"/>
  <c r="I293" i="3"/>
  <c r="J293" i="3" s="1"/>
  <c r="F293" i="3"/>
  <c r="B293" i="3"/>
  <c r="L293" i="3" s="1"/>
  <c r="I292" i="3"/>
  <c r="J292" i="3" s="1"/>
  <c r="F292" i="3"/>
  <c r="B292" i="3"/>
  <c r="L292" i="3" s="1"/>
  <c r="I291" i="3"/>
  <c r="J291" i="3" s="1"/>
  <c r="F291" i="3"/>
  <c r="B291" i="3"/>
  <c r="I290" i="3"/>
  <c r="J290" i="3" s="1"/>
  <c r="F290" i="3"/>
  <c r="B290" i="3"/>
  <c r="I289" i="3"/>
  <c r="J289" i="3" s="1"/>
  <c r="F289" i="3"/>
  <c r="B289" i="3"/>
  <c r="L289" i="3" s="1"/>
  <c r="I288" i="3"/>
  <c r="J288" i="3" s="1"/>
  <c r="F288" i="3"/>
  <c r="B288" i="3"/>
  <c r="L288" i="3" s="1"/>
  <c r="I287" i="3"/>
  <c r="J287" i="3" s="1"/>
  <c r="F287" i="3"/>
  <c r="B287" i="3"/>
  <c r="I286" i="3"/>
  <c r="J286" i="3" s="1"/>
  <c r="F286" i="3"/>
  <c r="B286" i="3"/>
  <c r="I285" i="3"/>
  <c r="J285" i="3" s="1"/>
  <c r="F285" i="3"/>
  <c r="B285" i="3"/>
  <c r="I284" i="3"/>
  <c r="J284" i="3" s="1"/>
  <c r="F284" i="3"/>
  <c r="B284" i="3"/>
  <c r="L284" i="3" s="1"/>
  <c r="I283" i="3"/>
  <c r="J283" i="3" s="1"/>
  <c r="F283" i="3"/>
  <c r="B283" i="3"/>
  <c r="L283" i="3" s="1"/>
  <c r="I282" i="3"/>
  <c r="J282" i="3" s="1"/>
  <c r="F282" i="3"/>
  <c r="B282" i="3"/>
  <c r="L282" i="3" s="1"/>
  <c r="I281" i="3"/>
  <c r="J281" i="3" s="1"/>
  <c r="F281" i="3"/>
  <c r="B281" i="3"/>
  <c r="I280" i="3"/>
  <c r="J280" i="3" s="1"/>
  <c r="F280" i="3"/>
  <c r="B280" i="3"/>
  <c r="L280" i="3" s="1"/>
  <c r="I279" i="3"/>
  <c r="J279" i="3" s="1"/>
  <c r="F279" i="3"/>
  <c r="B279" i="3"/>
  <c r="L279" i="3" s="1"/>
  <c r="I278" i="3"/>
  <c r="J278" i="3" s="1"/>
  <c r="F278" i="3"/>
  <c r="B278" i="3"/>
  <c r="I277" i="3"/>
  <c r="J277" i="3" s="1"/>
  <c r="F277" i="3"/>
  <c r="B277" i="3"/>
  <c r="L277" i="3" s="1"/>
  <c r="I276" i="3"/>
  <c r="J276" i="3" s="1"/>
  <c r="F276" i="3"/>
  <c r="B276" i="3"/>
  <c r="I275" i="3"/>
  <c r="J275" i="3" s="1"/>
  <c r="F275" i="3"/>
  <c r="B275" i="3"/>
  <c r="L275" i="3" s="1"/>
  <c r="I274" i="3"/>
  <c r="J274" i="3" s="1"/>
  <c r="F274" i="3"/>
  <c r="B274" i="3"/>
  <c r="L274" i="3" s="1"/>
  <c r="I273" i="3"/>
  <c r="J273" i="3" s="1"/>
  <c r="F273" i="3"/>
  <c r="B273" i="3"/>
  <c r="L273" i="3" s="1"/>
  <c r="I272" i="3"/>
  <c r="J272" i="3" s="1"/>
  <c r="F272" i="3"/>
  <c r="B272" i="3"/>
  <c r="I271" i="3"/>
  <c r="J271" i="3" s="1"/>
  <c r="F271" i="3"/>
  <c r="B271" i="3"/>
  <c r="I270" i="3"/>
  <c r="J270" i="3" s="1"/>
  <c r="F270" i="3"/>
  <c r="B270" i="3"/>
  <c r="I269" i="3"/>
  <c r="J269" i="3" s="1"/>
  <c r="F269" i="3"/>
  <c r="B269" i="3"/>
  <c r="L269" i="3" s="1"/>
  <c r="I268" i="3"/>
  <c r="J268" i="3" s="1"/>
  <c r="F268" i="3"/>
  <c r="B268" i="3"/>
  <c r="I267" i="3"/>
  <c r="J267" i="3" s="1"/>
  <c r="F267" i="3"/>
  <c r="B267" i="3"/>
  <c r="I266" i="3"/>
  <c r="J266" i="3" s="1"/>
  <c r="F266" i="3"/>
  <c r="B266" i="3"/>
  <c r="I265" i="3"/>
  <c r="J265" i="3" s="1"/>
  <c r="F265" i="3"/>
  <c r="B265" i="3"/>
  <c r="L265" i="3" s="1"/>
  <c r="I264" i="3"/>
  <c r="J264" i="3" s="1"/>
  <c r="F264" i="3"/>
  <c r="B264" i="3"/>
  <c r="L264" i="3" s="1"/>
  <c r="I263" i="3"/>
  <c r="J263" i="3" s="1"/>
  <c r="F263" i="3"/>
  <c r="B263" i="3"/>
  <c r="L263" i="3" s="1"/>
  <c r="I262" i="3"/>
  <c r="J262" i="3" s="1"/>
  <c r="F262" i="3"/>
  <c r="B262" i="3"/>
  <c r="I261" i="3"/>
  <c r="J261" i="3" s="1"/>
  <c r="F261" i="3"/>
  <c r="B261" i="3"/>
  <c r="I260" i="3"/>
  <c r="J260" i="3" s="1"/>
  <c r="F260" i="3"/>
  <c r="B260" i="3"/>
  <c r="I259" i="3"/>
  <c r="J259" i="3" s="1"/>
  <c r="F259" i="3"/>
  <c r="B259" i="3"/>
  <c r="L259" i="3" s="1"/>
  <c r="I258" i="3"/>
  <c r="J258" i="3" s="1"/>
  <c r="F258" i="3"/>
  <c r="B258" i="3"/>
  <c r="L258" i="3" s="1"/>
  <c r="I257" i="3"/>
  <c r="J257" i="3" s="1"/>
  <c r="F257" i="3"/>
  <c r="B257" i="3"/>
  <c r="I256" i="3"/>
  <c r="J256" i="3" s="1"/>
  <c r="F256" i="3"/>
  <c r="B256" i="3"/>
  <c r="I255" i="3"/>
  <c r="J255" i="3" s="1"/>
  <c r="F255" i="3"/>
  <c r="B255" i="3"/>
  <c r="L255" i="3" s="1"/>
  <c r="I254" i="3"/>
  <c r="J254" i="3" s="1"/>
  <c r="F254" i="3"/>
  <c r="B254" i="3"/>
  <c r="L254" i="3" s="1"/>
  <c r="I253" i="3"/>
  <c r="J253" i="3" s="1"/>
  <c r="F253" i="3"/>
  <c r="B253" i="3"/>
  <c r="I252" i="3"/>
  <c r="J252" i="3" s="1"/>
  <c r="F252" i="3"/>
  <c r="B252" i="3"/>
  <c r="I251" i="3"/>
  <c r="J251" i="3" s="1"/>
  <c r="F251" i="3"/>
  <c r="B251" i="3"/>
  <c r="I250" i="3"/>
  <c r="J250" i="3" s="1"/>
  <c r="F250" i="3"/>
  <c r="B250" i="3"/>
  <c r="L250" i="3" s="1"/>
  <c r="I249" i="3"/>
  <c r="J249" i="3" s="1"/>
  <c r="F249" i="3"/>
  <c r="B249" i="3"/>
  <c r="L249" i="3" s="1"/>
  <c r="I248" i="3"/>
  <c r="J248" i="3" s="1"/>
  <c r="F248" i="3"/>
  <c r="B248" i="3"/>
  <c r="I247" i="3"/>
  <c r="J247" i="3" s="1"/>
  <c r="F247" i="3"/>
  <c r="B247" i="3"/>
  <c r="L247" i="3" s="1"/>
  <c r="I246" i="3"/>
  <c r="J246" i="3" s="1"/>
  <c r="F246" i="3"/>
  <c r="B246" i="3"/>
  <c r="I245" i="3"/>
  <c r="J245" i="3" s="1"/>
  <c r="F245" i="3"/>
  <c r="B245" i="3"/>
  <c r="I244" i="3"/>
  <c r="J244" i="3" s="1"/>
  <c r="F244" i="3"/>
  <c r="B244" i="3"/>
  <c r="L244" i="3" s="1"/>
  <c r="I243" i="3"/>
  <c r="J243" i="3" s="1"/>
  <c r="F243" i="3"/>
  <c r="B243" i="3"/>
  <c r="I242" i="3"/>
  <c r="J242" i="3" s="1"/>
  <c r="F242" i="3"/>
  <c r="B242" i="3"/>
  <c r="I241" i="3"/>
  <c r="J241" i="3" s="1"/>
  <c r="F241" i="3"/>
  <c r="B241" i="3"/>
  <c r="I240" i="3"/>
  <c r="J240" i="3" s="1"/>
  <c r="F240" i="3"/>
  <c r="B240" i="3"/>
  <c r="L240" i="3" s="1"/>
  <c r="I239" i="3"/>
  <c r="J239" i="3" s="1"/>
  <c r="F239" i="3"/>
  <c r="B239" i="3"/>
  <c r="L239" i="3" s="1"/>
  <c r="I238" i="3"/>
  <c r="J238" i="3" s="1"/>
  <c r="F238" i="3"/>
  <c r="B238" i="3"/>
  <c r="L238" i="3" s="1"/>
  <c r="I237" i="3"/>
  <c r="J237" i="3" s="1"/>
  <c r="F237" i="3"/>
  <c r="B237" i="3"/>
  <c r="L237" i="3" s="1"/>
  <c r="I236" i="3"/>
  <c r="J236" i="3" s="1"/>
  <c r="F236" i="3"/>
  <c r="B236" i="3"/>
  <c r="I235" i="3"/>
  <c r="J235" i="3" s="1"/>
  <c r="F235" i="3"/>
  <c r="B235" i="3"/>
  <c r="I234" i="3"/>
  <c r="J234" i="3" s="1"/>
  <c r="F234" i="3"/>
  <c r="B234" i="3"/>
  <c r="L234" i="3" s="1"/>
  <c r="I233" i="3"/>
  <c r="J233" i="3" s="1"/>
  <c r="F233" i="3"/>
  <c r="B233" i="3"/>
  <c r="I232" i="3"/>
  <c r="J232" i="3" s="1"/>
  <c r="F232" i="3"/>
  <c r="B232" i="3"/>
  <c r="I231" i="3"/>
  <c r="J231" i="3" s="1"/>
  <c r="F231" i="3"/>
  <c r="B231" i="3"/>
  <c r="I230" i="3"/>
  <c r="J230" i="3" s="1"/>
  <c r="F230" i="3"/>
  <c r="B230" i="3"/>
  <c r="L230" i="3" s="1"/>
  <c r="I229" i="3"/>
  <c r="J229" i="3" s="1"/>
  <c r="F229" i="3"/>
  <c r="B229" i="3"/>
  <c r="L229" i="3" s="1"/>
  <c r="I228" i="3"/>
  <c r="J228" i="3" s="1"/>
  <c r="F228" i="3"/>
  <c r="B228" i="3"/>
  <c r="L228" i="3" s="1"/>
  <c r="I227" i="3"/>
  <c r="J227" i="3" s="1"/>
  <c r="F227" i="3"/>
  <c r="B227" i="3"/>
  <c r="L227" i="3" s="1"/>
  <c r="I226" i="3"/>
  <c r="J226" i="3" s="1"/>
  <c r="F226" i="3"/>
  <c r="B226" i="3"/>
  <c r="I225" i="3"/>
  <c r="J225" i="3" s="1"/>
  <c r="F225" i="3"/>
  <c r="B225" i="3"/>
  <c r="I224" i="3"/>
  <c r="J224" i="3" s="1"/>
  <c r="F224" i="3"/>
  <c r="B224" i="3"/>
  <c r="L224" i="3" s="1"/>
  <c r="I223" i="3"/>
  <c r="J223" i="3" s="1"/>
  <c r="F223" i="3"/>
  <c r="B223" i="3"/>
  <c r="I222" i="3"/>
  <c r="J222" i="3" s="1"/>
  <c r="F222" i="3"/>
  <c r="B222" i="3"/>
  <c r="L222" i="3" s="1"/>
  <c r="I221" i="3"/>
  <c r="J221" i="3" s="1"/>
  <c r="F221" i="3"/>
  <c r="B221" i="3"/>
  <c r="I220" i="3"/>
  <c r="J220" i="3" s="1"/>
  <c r="F220" i="3"/>
  <c r="B220" i="3"/>
  <c r="L220" i="3" s="1"/>
  <c r="I219" i="3"/>
  <c r="J219" i="3" s="1"/>
  <c r="F219" i="3"/>
  <c r="B219" i="3"/>
  <c r="L219" i="3" s="1"/>
  <c r="I218" i="3"/>
  <c r="J218" i="3" s="1"/>
  <c r="F218" i="3"/>
  <c r="B218" i="3"/>
  <c r="L218" i="3" s="1"/>
  <c r="I217" i="3"/>
  <c r="J217" i="3" s="1"/>
  <c r="F217" i="3"/>
  <c r="B217" i="3"/>
  <c r="I216" i="3"/>
  <c r="J216" i="3" s="1"/>
  <c r="F216" i="3"/>
  <c r="B216" i="3"/>
  <c r="I215" i="3"/>
  <c r="J215" i="3" s="1"/>
  <c r="F215" i="3"/>
  <c r="B215" i="3"/>
  <c r="L215" i="3" s="1"/>
  <c r="I214" i="3"/>
  <c r="J214" i="3" s="1"/>
  <c r="F214" i="3"/>
  <c r="B214" i="3"/>
  <c r="L214" i="3" s="1"/>
  <c r="I213" i="3"/>
  <c r="J213" i="3" s="1"/>
  <c r="F213" i="3"/>
  <c r="B213" i="3"/>
  <c r="I212" i="3"/>
  <c r="J212" i="3" s="1"/>
  <c r="F212" i="3"/>
  <c r="B212" i="3"/>
  <c r="L212" i="3" s="1"/>
  <c r="I211" i="3"/>
  <c r="J211" i="3" s="1"/>
  <c r="F211" i="3"/>
  <c r="B211" i="3"/>
  <c r="I210" i="3"/>
  <c r="J210" i="3" s="1"/>
  <c r="F210" i="3"/>
  <c r="B210" i="3"/>
  <c r="I209" i="3"/>
  <c r="J209" i="3" s="1"/>
  <c r="F209" i="3"/>
  <c r="B209" i="3"/>
  <c r="L209" i="3" s="1"/>
  <c r="I208" i="3"/>
  <c r="J208" i="3" s="1"/>
  <c r="F208" i="3"/>
  <c r="B208" i="3"/>
  <c r="I207" i="3"/>
  <c r="J207" i="3" s="1"/>
  <c r="F207" i="3"/>
  <c r="B207" i="3"/>
  <c r="L207" i="3" s="1"/>
  <c r="I206" i="3"/>
  <c r="J206" i="3" s="1"/>
  <c r="F206" i="3"/>
  <c r="B206" i="3"/>
  <c r="I205" i="3"/>
  <c r="J205" i="3" s="1"/>
  <c r="F205" i="3"/>
  <c r="B205" i="3"/>
  <c r="I204" i="3"/>
  <c r="J204" i="3" s="1"/>
  <c r="F204" i="3"/>
  <c r="B204" i="3"/>
  <c r="L204" i="3" s="1"/>
  <c r="I203" i="3"/>
  <c r="J203" i="3" s="1"/>
  <c r="F203" i="3"/>
  <c r="B203" i="3"/>
  <c r="L203" i="3" s="1"/>
  <c r="I202" i="3"/>
  <c r="J202" i="3" s="1"/>
  <c r="F202" i="3"/>
  <c r="B202" i="3"/>
  <c r="I201" i="3"/>
  <c r="J201" i="3" s="1"/>
  <c r="F201" i="3"/>
  <c r="B201" i="3"/>
  <c r="I200" i="3"/>
  <c r="J200" i="3" s="1"/>
  <c r="F200" i="3"/>
  <c r="B200" i="3"/>
  <c r="L200" i="3" s="1"/>
  <c r="I199" i="3"/>
  <c r="J199" i="3" s="1"/>
  <c r="F199" i="3"/>
  <c r="B199" i="3"/>
  <c r="L199" i="3" s="1"/>
  <c r="I198" i="3"/>
  <c r="J198" i="3" s="1"/>
  <c r="F198" i="3"/>
  <c r="B198" i="3"/>
  <c r="I197" i="3"/>
  <c r="J197" i="3" s="1"/>
  <c r="F197" i="3"/>
  <c r="B197" i="3"/>
  <c r="L197" i="3" s="1"/>
  <c r="I196" i="3"/>
  <c r="J196" i="3" s="1"/>
  <c r="F196" i="3"/>
  <c r="B196" i="3"/>
  <c r="I195" i="3"/>
  <c r="J195" i="3" s="1"/>
  <c r="F195" i="3"/>
  <c r="B195" i="3"/>
  <c r="I194" i="3"/>
  <c r="J194" i="3" s="1"/>
  <c r="F194" i="3"/>
  <c r="B194" i="3"/>
  <c r="L194" i="3" s="1"/>
  <c r="I193" i="3"/>
  <c r="J193" i="3" s="1"/>
  <c r="F193" i="3"/>
  <c r="B193" i="3"/>
  <c r="L193" i="3" s="1"/>
  <c r="I192" i="3"/>
  <c r="J192" i="3" s="1"/>
  <c r="F192" i="3"/>
  <c r="B192" i="3"/>
  <c r="I191" i="3"/>
  <c r="J191" i="3" s="1"/>
  <c r="F191" i="3"/>
  <c r="B191" i="3"/>
  <c r="I190" i="3"/>
  <c r="J190" i="3" s="1"/>
  <c r="F190" i="3"/>
  <c r="B190" i="3"/>
  <c r="I189" i="3"/>
  <c r="J189" i="3" s="1"/>
  <c r="F189" i="3"/>
  <c r="B189" i="3"/>
  <c r="L189" i="3" s="1"/>
  <c r="I188" i="3"/>
  <c r="J188" i="3" s="1"/>
  <c r="F188" i="3"/>
  <c r="B188" i="3"/>
  <c r="L188" i="3" s="1"/>
  <c r="I187" i="3"/>
  <c r="J187" i="3" s="1"/>
  <c r="F187" i="3"/>
  <c r="B187" i="3"/>
  <c r="I186" i="3"/>
  <c r="J186" i="3" s="1"/>
  <c r="F186" i="3"/>
  <c r="B186" i="3"/>
  <c r="I185" i="3"/>
  <c r="J185" i="3" s="1"/>
  <c r="F185" i="3"/>
  <c r="B185" i="3"/>
  <c r="L185" i="3" s="1"/>
  <c r="I184" i="3"/>
  <c r="J184" i="3" s="1"/>
  <c r="F184" i="3"/>
  <c r="B184" i="3"/>
  <c r="I183" i="3"/>
  <c r="J183" i="3" s="1"/>
  <c r="F183" i="3"/>
  <c r="B183" i="3"/>
  <c r="L183" i="3" s="1"/>
  <c r="I182" i="3"/>
  <c r="J182" i="3" s="1"/>
  <c r="F182" i="3"/>
  <c r="B182" i="3"/>
  <c r="I181" i="3"/>
  <c r="J181" i="3" s="1"/>
  <c r="F181" i="3"/>
  <c r="B181" i="3"/>
  <c r="I180" i="3"/>
  <c r="J180" i="3" s="1"/>
  <c r="F180" i="3"/>
  <c r="B180" i="3"/>
  <c r="L180" i="3" s="1"/>
  <c r="I179" i="3"/>
  <c r="J179" i="3" s="1"/>
  <c r="F179" i="3"/>
  <c r="B179" i="3"/>
  <c r="L179" i="3" s="1"/>
  <c r="I178" i="3"/>
  <c r="J178" i="3" s="1"/>
  <c r="F178" i="3"/>
  <c r="B178" i="3"/>
  <c r="I177" i="3"/>
  <c r="J177" i="3" s="1"/>
  <c r="F177" i="3"/>
  <c r="B177" i="3"/>
  <c r="I176" i="3"/>
  <c r="J176" i="3" s="1"/>
  <c r="F176" i="3"/>
  <c r="B176" i="3"/>
  <c r="I175" i="3"/>
  <c r="J175" i="3" s="1"/>
  <c r="F175" i="3"/>
  <c r="B175" i="3"/>
  <c r="I174" i="3"/>
  <c r="J174" i="3" s="1"/>
  <c r="F174" i="3"/>
  <c r="B174" i="3"/>
  <c r="I173" i="3"/>
  <c r="J173" i="3" s="1"/>
  <c r="F173" i="3"/>
  <c r="B173" i="3"/>
  <c r="I172" i="3"/>
  <c r="J172" i="3" s="1"/>
  <c r="F172" i="3"/>
  <c r="B172" i="3"/>
  <c r="L172" i="3" s="1"/>
  <c r="I171" i="3"/>
  <c r="J171" i="3" s="1"/>
  <c r="F171" i="3"/>
  <c r="B171" i="3"/>
  <c r="L171" i="3" s="1"/>
  <c r="I170" i="3"/>
  <c r="J170" i="3" s="1"/>
  <c r="F170" i="3"/>
  <c r="B170" i="3"/>
  <c r="I169" i="3"/>
  <c r="J169" i="3" s="1"/>
  <c r="F169" i="3"/>
  <c r="B169" i="3"/>
  <c r="L169" i="3" s="1"/>
  <c r="I168" i="3"/>
  <c r="J168" i="3" s="1"/>
  <c r="F168" i="3"/>
  <c r="B168" i="3"/>
  <c r="L168" i="3" s="1"/>
  <c r="I167" i="3"/>
  <c r="J167" i="3" s="1"/>
  <c r="F167" i="3"/>
  <c r="B167" i="3"/>
  <c r="L167" i="3" s="1"/>
  <c r="I166" i="3"/>
  <c r="J166" i="3" s="1"/>
  <c r="F166" i="3"/>
  <c r="B166" i="3"/>
  <c r="I165" i="3"/>
  <c r="J165" i="3" s="1"/>
  <c r="F165" i="3"/>
  <c r="B165" i="3"/>
  <c r="L165" i="3" s="1"/>
  <c r="I164" i="3"/>
  <c r="J164" i="3" s="1"/>
  <c r="F164" i="3"/>
  <c r="B164" i="3"/>
  <c r="L164" i="3" s="1"/>
  <c r="I163" i="3"/>
  <c r="J163" i="3" s="1"/>
  <c r="F163" i="3"/>
  <c r="B163" i="3"/>
  <c r="L163" i="3" s="1"/>
  <c r="I162" i="3"/>
  <c r="J162" i="3" s="1"/>
  <c r="F162" i="3"/>
  <c r="B162" i="3"/>
  <c r="L162" i="3" s="1"/>
  <c r="I161" i="3"/>
  <c r="J161" i="3" s="1"/>
  <c r="F161" i="3"/>
  <c r="B161" i="3"/>
  <c r="I160" i="3"/>
  <c r="J160" i="3" s="1"/>
  <c r="F160" i="3"/>
  <c r="B160" i="3"/>
  <c r="I159" i="3"/>
  <c r="J159" i="3" s="1"/>
  <c r="F159" i="3"/>
  <c r="B159" i="3"/>
  <c r="L159" i="3" s="1"/>
  <c r="I158" i="3"/>
  <c r="J158" i="3" s="1"/>
  <c r="F158" i="3"/>
  <c r="B158" i="3"/>
  <c r="I157" i="3"/>
  <c r="J157" i="3" s="1"/>
  <c r="F157" i="3"/>
  <c r="B157" i="3"/>
  <c r="I156" i="3"/>
  <c r="J156" i="3" s="1"/>
  <c r="F156" i="3"/>
  <c r="B156" i="3"/>
  <c r="L156" i="3" s="1"/>
  <c r="I155" i="3"/>
  <c r="J155" i="3" s="1"/>
  <c r="F155" i="3"/>
  <c r="B155" i="3"/>
  <c r="I154" i="3"/>
  <c r="J154" i="3" s="1"/>
  <c r="F154" i="3"/>
  <c r="B154" i="3"/>
  <c r="I153" i="3"/>
  <c r="J153" i="3" s="1"/>
  <c r="F153" i="3"/>
  <c r="B153" i="3"/>
  <c r="I152" i="3"/>
  <c r="J152" i="3" s="1"/>
  <c r="F152" i="3"/>
  <c r="B152" i="3"/>
  <c r="L152" i="3" s="1"/>
  <c r="I151" i="3"/>
  <c r="J151" i="3" s="1"/>
  <c r="F151" i="3"/>
  <c r="B151" i="3"/>
  <c r="L151" i="3" s="1"/>
  <c r="I150" i="3"/>
  <c r="J150" i="3" s="1"/>
  <c r="F150" i="3"/>
  <c r="B150" i="3"/>
  <c r="L150" i="3" s="1"/>
  <c r="I149" i="3"/>
  <c r="J149" i="3" s="1"/>
  <c r="F149" i="3"/>
  <c r="B149" i="3"/>
  <c r="I148" i="3"/>
  <c r="J148" i="3" s="1"/>
  <c r="F148" i="3"/>
  <c r="B148" i="3"/>
  <c r="L148" i="3" s="1"/>
  <c r="I147" i="3"/>
  <c r="J147" i="3" s="1"/>
  <c r="F147" i="3"/>
  <c r="B147" i="3"/>
  <c r="L147" i="3" s="1"/>
  <c r="I146" i="3"/>
  <c r="J146" i="3" s="1"/>
  <c r="F146" i="3"/>
  <c r="B146" i="3"/>
  <c r="L146" i="3" s="1"/>
  <c r="I145" i="3"/>
  <c r="J145" i="3" s="1"/>
  <c r="F145" i="3"/>
  <c r="B145" i="3"/>
  <c r="I144" i="3"/>
  <c r="J144" i="3" s="1"/>
  <c r="F144" i="3"/>
  <c r="B144" i="3"/>
  <c r="L144" i="3" s="1"/>
  <c r="I143" i="3"/>
  <c r="J143" i="3" s="1"/>
  <c r="F143" i="3"/>
  <c r="B143" i="3"/>
  <c r="L143" i="3" s="1"/>
  <c r="I142" i="3"/>
  <c r="J142" i="3" s="1"/>
  <c r="F142" i="3"/>
  <c r="B142" i="3"/>
  <c r="I141" i="3"/>
  <c r="J141" i="3" s="1"/>
  <c r="F141" i="3"/>
  <c r="B141" i="3"/>
  <c r="L141" i="3" s="1"/>
  <c r="I140" i="3"/>
  <c r="J140" i="3" s="1"/>
  <c r="F140" i="3"/>
  <c r="B140" i="3"/>
  <c r="I139" i="3"/>
  <c r="J139" i="3" s="1"/>
  <c r="F139" i="3"/>
  <c r="B139" i="3"/>
  <c r="I138" i="3"/>
  <c r="J138" i="3" s="1"/>
  <c r="F138" i="3"/>
  <c r="B138" i="3"/>
  <c r="L138" i="3" s="1"/>
  <c r="I137" i="3"/>
  <c r="J137" i="3" s="1"/>
  <c r="F137" i="3"/>
  <c r="B137" i="3"/>
  <c r="I136" i="3"/>
  <c r="J136" i="3" s="1"/>
  <c r="F136" i="3"/>
  <c r="B136" i="3"/>
  <c r="L136" i="3" s="1"/>
  <c r="I135" i="3"/>
  <c r="J135" i="3" s="1"/>
  <c r="F135" i="3"/>
  <c r="B135" i="3"/>
  <c r="L135" i="3" s="1"/>
  <c r="I134" i="3"/>
  <c r="J134" i="3" s="1"/>
  <c r="F134" i="3"/>
  <c r="B134" i="3"/>
  <c r="I133" i="3"/>
  <c r="J133" i="3" s="1"/>
  <c r="F133" i="3"/>
  <c r="B133" i="3"/>
  <c r="I132" i="3"/>
  <c r="J132" i="3" s="1"/>
  <c r="F132" i="3"/>
  <c r="B132" i="3"/>
  <c r="I131" i="3"/>
  <c r="J131" i="3" s="1"/>
  <c r="F131" i="3"/>
  <c r="B131" i="3"/>
  <c r="I130" i="3"/>
  <c r="J130" i="3" s="1"/>
  <c r="F130" i="3"/>
  <c r="B130" i="3"/>
  <c r="L130" i="3" s="1"/>
  <c r="I129" i="3"/>
  <c r="J129" i="3" s="1"/>
  <c r="F129" i="3"/>
  <c r="B129" i="3"/>
  <c r="L129" i="3" s="1"/>
  <c r="I128" i="3"/>
  <c r="J128" i="3" s="1"/>
  <c r="F128" i="3"/>
  <c r="B128" i="3"/>
  <c r="L128" i="3" s="1"/>
  <c r="I127" i="3"/>
  <c r="J127" i="3" s="1"/>
  <c r="F127" i="3"/>
  <c r="B127" i="3"/>
  <c r="I126" i="3"/>
  <c r="J126" i="3" s="1"/>
  <c r="F126" i="3"/>
  <c r="B126" i="3"/>
  <c r="L126" i="3" s="1"/>
  <c r="I125" i="3"/>
  <c r="J125" i="3" s="1"/>
  <c r="F125" i="3"/>
  <c r="B125" i="3"/>
  <c r="I124" i="3"/>
  <c r="J124" i="3" s="1"/>
  <c r="F124" i="3"/>
  <c r="B124" i="3"/>
  <c r="I123" i="3"/>
  <c r="J123" i="3" s="1"/>
  <c r="F123" i="3"/>
  <c r="B123" i="3"/>
  <c r="I122" i="3"/>
  <c r="J122" i="3" s="1"/>
  <c r="F122" i="3"/>
  <c r="B122" i="3"/>
  <c r="L122" i="3" s="1"/>
  <c r="I121" i="3"/>
  <c r="J121" i="3" s="1"/>
  <c r="F121" i="3"/>
  <c r="B121" i="3"/>
  <c r="L121" i="3" s="1"/>
  <c r="I120" i="3"/>
  <c r="J120" i="3" s="1"/>
  <c r="F120" i="3"/>
  <c r="B120" i="3"/>
  <c r="I119" i="3"/>
  <c r="J119" i="3" s="1"/>
  <c r="F119" i="3"/>
  <c r="B119" i="3"/>
  <c r="L119" i="3" s="1"/>
  <c r="I118" i="3"/>
  <c r="J118" i="3" s="1"/>
  <c r="F118" i="3"/>
  <c r="B118" i="3"/>
  <c r="L118" i="3" s="1"/>
  <c r="I117" i="3"/>
  <c r="J117" i="3" s="1"/>
  <c r="F117" i="3"/>
  <c r="B117" i="3"/>
  <c r="L117" i="3" s="1"/>
  <c r="I116" i="3"/>
  <c r="J116" i="3" s="1"/>
  <c r="F116" i="3"/>
  <c r="B116" i="3"/>
  <c r="I115" i="3"/>
  <c r="J115" i="3" s="1"/>
  <c r="F115" i="3"/>
  <c r="B115" i="3"/>
  <c r="I114" i="3"/>
  <c r="J114" i="3" s="1"/>
  <c r="F114" i="3"/>
  <c r="B114" i="3"/>
  <c r="L114" i="3" s="1"/>
  <c r="I113" i="3"/>
  <c r="J113" i="3" s="1"/>
  <c r="F113" i="3"/>
  <c r="B113" i="3"/>
  <c r="I112" i="3"/>
  <c r="J112" i="3" s="1"/>
  <c r="F112" i="3"/>
  <c r="B112" i="3"/>
  <c r="L112" i="3" s="1"/>
  <c r="I111" i="3"/>
  <c r="J111" i="3" s="1"/>
  <c r="F111" i="3"/>
  <c r="B111" i="3"/>
  <c r="I110" i="3"/>
  <c r="J110" i="3" s="1"/>
  <c r="F110" i="3"/>
  <c r="B110" i="3"/>
  <c r="I109" i="3"/>
  <c r="J109" i="3" s="1"/>
  <c r="F109" i="3"/>
  <c r="B109" i="3"/>
  <c r="L109" i="3" s="1"/>
  <c r="I108" i="3"/>
  <c r="J108" i="3" s="1"/>
  <c r="F108" i="3"/>
  <c r="B108" i="3"/>
  <c r="I107" i="3"/>
  <c r="J107" i="3" s="1"/>
  <c r="F107" i="3"/>
  <c r="B107" i="3"/>
  <c r="I106" i="3"/>
  <c r="J106" i="3" s="1"/>
  <c r="F106" i="3"/>
  <c r="B106" i="3"/>
  <c r="L106" i="3" s="1"/>
  <c r="I105" i="3"/>
  <c r="J105" i="3" s="1"/>
  <c r="F105" i="3"/>
  <c r="B105" i="3"/>
  <c r="I104" i="3"/>
  <c r="J104" i="3" s="1"/>
  <c r="F104" i="3"/>
  <c r="B104" i="3"/>
  <c r="I103" i="3"/>
  <c r="J103" i="3" s="1"/>
  <c r="F103" i="3"/>
  <c r="B103" i="3"/>
  <c r="I102" i="3"/>
  <c r="J102" i="3" s="1"/>
  <c r="F102" i="3"/>
  <c r="B102" i="3"/>
  <c r="I101" i="3"/>
  <c r="J101" i="3" s="1"/>
  <c r="F101" i="3"/>
  <c r="B101" i="3"/>
  <c r="L101" i="3" s="1"/>
  <c r="I100" i="3"/>
  <c r="J100" i="3" s="1"/>
  <c r="F100" i="3"/>
  <c r="B100" i="3"/>
  <c r="L100" i="3" s="1"/>
  <c r="I99" i="3"/>
  <c r="J99" i="3" s="1"/>
  <c r="F99" i="3"/>
  <c r="B99" i="3"/>
  <c r="I98" i="3"/>
  <c r="J98" i="3" s="1"/>
  <c r="F98" i="3"/>
  <c r="B98" i="3"/>
  <c r="L98" i="3" s="1"/>
  <c r="I97" i="3"/>
  <c r="J97" i="3" s="1"/>
  <c r="F97" i="3"/>
  <c r="B97" i="3"/>
  <c r="L97" i="3" s="1"/>
  <c r="I96" i="3"/>
  <c r="J96" i="3" s="1"/>
  <c r="F96" i="3"/>
  <c r="B96" i="3"/>
  <c r="I95" i="3"/>
  <c r="J95" i="3" s="1"/>
  <c r="F95" i="3"/>
  <c r="B95" i="3"/>
  <c r="I94" i="3"/>
  <c r="J94" i="3" s="1"/>
  <c r="F94" i="3"/>
  <c r="B94" i="3"/>
  <c r="L94" i="3" s="1"/>
  <c r="I93" i="3"/>
  <c r="J93" i="3" s="1"/>
  <c r="F93" i="3"/>
  <c r="B93" i="3"/>
  <c r="L93" i="3" s="1"/>
  <c r="I92" i="3"/>
  <c r="J92" i="3" s="1"/>
  <c r="F92" i="3"/>
  <c r="B92" i="3"/>
  <c r="L92" i="3" s="1"/>
  <c r="I91" i="3"/>
  <c r="J91" i="3" s="1"/>
  <c r="F91" i="3"/>
  <c r="B91" i="3"/>
  <c r="L91" i="3" s="1"/>
  <c r="I90" i="3"/>
  <c r="J90" i="3" s="1"/>
  <c r="F90" i="3"/>
  <c r="B90" i="3"/>
  <c r="I89" i="3"/>
  <c r="J89" i="3" s="1"/>
  <c r="F89" i="3"/>
  <c r="B89" i="3"/>
  <c r="I88" i="3"/>
  <c r="J88" i="3" s="1"/>
  <c r="F88" i="3"/>
  <c r="B88" i="3"/>
  <c r="L88" i="3" s="1"/>
  <c r="I87" i="3"/>
  <c r="J87" i="3" s="1"/>
  <c r="F87" i="3"/>
  <c r="B87" i="3"/>
  <c r="L87" i="3" s="1"/>
  <c r="I86" i="3"/>
  <c r="J86" i="3" s="1"/>
  <c r="F86" i="3"/>
  <c r="B86" i="3"/>
  <c r="L86" i="3" s="1"/>
  <c r="I85" i="3"/>
  <c r="J85" i="3" s="1"/>
  <c r="F85" i="3"/>
  <c r="B85" i="3"/>
  <c r="L85" i="3" s="1"/>
  <c r="I84" i="3"/>
  <c r="J84" i="3" s="1"/>
  <c r="F84" i="3"/>
  <c r="B84" i="3"/>
  <c r="L84" i="3" s="1"/>
  <c r="I83" i="3"/>
  <c r="J83" i="3" s="1"/>
  <c r="F83" i="3"/>
  <c r="B83" i="3"/>
  <c r="I82" i="3"/>
  <c r="J82" i="3" s="1"/>
  <c r="F82" i="3"/>
  <c r="B82" i="3"/>
  <c r="I81" i="3"/>
  <c r="J81" i="3" s="1"/>
  <c r="F81" i="3"/>
  <c r="B81" i="3"/>
  <c r="I80" i="3"/>
  <c r="J80" i="3" s="1"/>
  <c r="F80" i="3"/>
  <c r="B80" i="3"/>
  <c r="L80" i="3" s="1"/>
  <c r="I79" i="3"/>
  <c r="J79" i="3" s="1"/>
  <c r="F79" i="3"/>
  <c r="B79" i="3"/>
  <c r="L79" i="3" s="1"/>
  <c r="I78" i="3"/>
  <c r="J78" i="3" s="1"/>
  <c r="F78" i="3"/>
  <c r="B78" i="3"/>
  <c r="I77" i="3"/>
  <c r="J77" i="3" s="1"/>
  <c r="F77" i="3"/>
  <c r="B77" i="3"/>
  <c r="L77" i="3" s="1"/>
  <c r="I76" i="3"/>
  <c r="J76" i="3" s="1"/>
  <c r="F76" i="3"/>
  <c r="B76" i="3"/>
  <c r="L76" i="3" s="1"/>
  <c r="I75" i="3"/>
  <c r="J75" i="3" s="1"/>
  <c r="F75" i="3"/>
  <c r="B75" i="3"/>
  <c r="L75" i="3" s="1"/>
  <c r="I74" i="3"/>
  <c r="J74" i="3" s="1"/>
  <c r="F74" i="3"/>
  <c r="B74" i="3"/>
  <c r="I73" i="3"/>
  <c r="J73" i="3" s="1"/>
  <c r="F73" i="3"/>
  <c r="B73" i="3"/>
  <c r="L73" i="3" s="1"/>
  <c r="I72" i="3"/>
  <c r="J72" i="3" s="1"/>
  <c r="F72" i="3"/>
  <c r="B72" i="3"/>
  <c r="L72" i="3" s="1"/>
  <c r="I71" i="3"/>
  <c r="J71" i="3" s="1"/>
  <c r="F71" i="3"/>
  <c r="B71" i="3"/>
  <c r="L71" i="3" s="1"/>
  <c r="I70" i="3"/>
  <c r="J70" i="3" s="1"/>
  <c r="F70" i="3"/>
  <c r="B70" i="3"/>
  <c r="L70" i="3" s="1"/>
  <c r="I69" i="3"/>
  <c r="J69" i="3" s="1"/>
  <c r="F69" i="3"/>
  <c r="B69" i="3"/>
  <c r="L69" i="3" s="1"/>
  <c r="I68" i="3"/>
  <c r="J68" i="3" s="1"/>
  <c r="F68" i="3"/>
  <c r="B68" i="3"/>
  <c r="I67" i="3"/>
  <c r="J67" i="3" s="1"/>
  <c r="F67" i="3"/>
  <c r="B67" i="3"/>
  <c r="L67" i="3" s="1"/>
  <c r="I66" i="3"/>
  <c r="J66" i="3" s="1"/>
  <c r="F66" i="3"/>
  <c r="B66" i="3"/>
  <c r="I65" i="3"/>
  <c r="J65" i="3" s="1"/>
  <c r="F65" i="3"/>
  <c r="B65" i="3"/>
  <c r="I64" i="3"/>
  <c r="J64" i="3" s="1"/>
  <c r="F64" i="3"/>
  <c r="B64" i="3"/>
  <c r="L64" i="3" s="1"/>
  <c r="I63" i="3"/>
  <c r="J63" i="3" s="1"/>
  <c r="F63" i="3"/>
  <c r="B63" i="3"/>
  <c r="I62" i="3"/>
  <c r="J62" i="3" s="1"/>
  <c r="F62" i="3"/>
  <c r="B62" i="3"/>
  <c r="L62" i="3" s="1"/>
  <c r="I61" i="3"/>
  <c r="J61" i="3" s="1"/>
  <c r="F61" i="3"/>
  <c r="B61" i="3"/>
  <c r="I60" i="3"/>
  <c r="J60" i="3" s="1"/>
  <c r="F60" i="3"/>
  <c r="B60" i="3"/>
  <c r="I59" i="3"/>
  <c r="J59" i="3" s="1"/>
  <c r="F59" i="3"/>
  <c r="B59" i="3"/>
  <c r="L59" i="3" s="1"/>
  <c r="I58" i="3"/>
  <c r="J58" i="3" s="1"/>
  <c r="F58" i="3"/>
  <c r="B58" i="3"/>
  <c r="I57" i="3"/>
  <c r="J57" i="3" s="1"/>
  <c r="F57" i="3"/>
  <c r="B57" i="3"/>
  <c r="I56" i="3"/>
  <c r="J56" i="3" s="1"/>
  <c r="F56" i="3"/>
  <c r="B56" i="3"/>
  <c r="L56" i="3" s="1"/>
  <c r="I55" i="3"/>
  <c r="J55" i="3" s="1"/>
  <c r="F55" i="3"/>
  <c r="B55" i="3"/>
  <c r="L55" i="3" s="1"/>
  <c r="I54" i="3"/>
  <c r="J54" i="3" s="1"/>
  <c r="F54" i="3"/>
  <c r="B54" i="3"/>
  <c r="I53" i="3"/>
  <c r="J53" i="3" s="1"/>
  <c r="F53" i="3"/>
  <c r="B53" i="3"/>
  <c r="L53" i="3" s="1"/>
  <c r="F52" i="3"/>
  <c r="B52" i="3"/>
  <c r="F51" i="3"/>
  <c r="B51" i="3"/>
  <c r="F50" i="3"/>
  <c r="B50" i="3"/>
  <c r="L50" i="3" s="1"/>
  <c r="F49" i="3"/>
  <c r="B49" i="3"/>
  <c r="L49" i="3" s="1"/>
  <c r="F48" i="3"/>
  <c r="B48" i="3"/>
  <c r="F47" i="3"/>
  <c r="B47" i="3"/>
  <c r="L47" i="3" s="1"/>
  <c r="F46" i="3"/>
  <c r="B46" i="3"/>
  <c r="L46" i="3" s="1"/>
  <c r="F45" i="3"/>
  <c r="B45" i="3"/>
  <c r="F44" i="3"/>
  <c r="B44" i="3"/>
  <c r="F43" i="3"/>
  <c r="B43" i="3"/>
  <c r="F42" i="3"/>
  <c r="B42" i="3"/>
  <c r="F41" i="3"/>
  <c r="B41" i="3"/>
  <c r="L41" i="3" s="1"/>
  <c r="F40" i="3"/>
  <c r="B40" i="3"/>
  <c r="F39" i="3"/>
  <c r="B39" i="3"/>
  <c r="L39" i="3" s="1"/>
  <c r="F38" i="3"/>
  <c r="B38" i="3"/>
  <c r="F37" i="3"/>
  <c r="B37" i="3"/>
  <c r="L37" i="3" s="1"/>
  <c r="F36" i="3"/>
  <c r="B36" i="3"/>
  <c r="L36" i="3" s="1"/>
  <c r="F35" i="3"/>
  <c r="B35" i="3"/>
  <c r="L35" i="3" s="1"/>
  <c r="F34" i="3"/>
  <c r="B34" i="3"/>
  <c r="F33" i="3"/>
  <c r="B33" i="3"/>
  <c r="L33" i="3" s="1"/>
  <c r="F32" i="3"/>
  <c r="F31" i="3"/>
  <c r="F30" i="3"/>
  <c r="F29" i="3"/>
  <c r="F28" i="3"/>
  <c r="I27" i="3"/>
  <c r="J27" i="3" s="1"/>
  <c r="F27" i="3"/>
  <c r="I26" i="3"/>
  <c r="J26" i="3" s="1"/>
  <c r="F26" i="3"/>
  <c r="I25" i="3"/>
  <c r="J25" i="3" s="1"/>
  <c r="F25" i="3"/>
  <c r="I24" i="3"/>
  <c r="J24" i="3" s="1"/>
  <c r="F24" i="3"/>
  <c r="I23" i="3"/>
  <c r="J23" i="3" s="1"/>
  <c r="F23" i="3"/>
  <c r="I22" i="3"/>
  <c r="J22" i="3" s="1"/>
  <c r="F22" i="3"/>
  <c r="I21" i="3"/>
  <c r="J21" i="3" s="1"/>
  <c r="F21" i="3"/>
  <c r="I20" i="3"/>
  <c r="J20" i="3" s="1"/>
  <c r="F20" i="3"/>
  <c r="I19" i="3"/>
  <c r="J19" i="3" s="1"/>
  <c r="F19" i="3"/>
  <c r="I18" i="3"/>
  <c r="J18" i="3" s="1"/>
  <c r="F18" i="3"/>
  <c r="I17" i="3"/>
  <c r="J17" i="3" s="1"/>
  <c r="F17" i="3"/>
  <c r="I16" i="3"/>
  <c r="J16" i="3" s="1"/>
  <c r="F16" i="3"/>
  <c r="I15" i="3"/>
  <c r="J15" i="3" s="1"/>
  <c r="F15" i="3"/>
  <c r="F14" i="3"/>
  <c r="I13" i="3"/>
  <c r="J13" i="3" s="1"/>
  <c r="F13" i="3"/>
  <c r="I12" i="3"/>
  <c r="J12" i="3" s="1"/>
  <c r="F12" i="3"/>
  <c r="F11" i="3"/>
  <c r="F10" i="3"/>
  <c r="F9" i="3"/>
  <c r="I8" i="3"/>
  <c r="J8" i="3" s="1"/>
  <c r="F8" i="3"/>
  <c r="I7" i="3"/>
  <c r="J7" i="3" s="1"/>
  <c r="F7" i="3"/>
  <c r="B7" i="3"/>
  <c r="I6" i="3"/>
  <c r="J6" i="3" s="1"/>
  <c r="F6" i="3"/>
  <c r="E6" i="4" s="1"/>
  <c r="H4" i="3"/>
  <c r="F8" i="1" l="1"/>
  <c r="H8" i="1" s="1"/>
  <c r="H4" i="1" s="1"/>
  <c r="L54" i="3"/>
  <c r="L466" i="3"/>
  <c r="L68" i="3"/>
  <c r="L133" i="3"/>
  <c r="L246" i="3"/>
  <c r="L446" i="3"/>
  <c r="L186" i="3"/>
  <c r="L177" i="3"/>
  <c r="L115" i="3"/>
  <c r="L192" i="3"/>
  <c r="L331" i="3"/>
  <c r="L378" i="3"/>
  <c r="L315" i="3"/>
  <c r="L45" i="3"/>
  <c r="L65" i="3"/>
  <c r="L83" i="3"/>
  <c r="L174" i="3"/>
  <c r="L262" i="3"/>
  <c r="I14" i="3"/>
  <c r="J14" i="3" s="1"/>
  <c r="I9" i="3"/>
  <c r="J9" i="3" s="1"/>
  <c r="I10" i="3"/>
  <c r="J10" i="3" s="1"/>
  <c r="I11" i="3"/>
  <c r="J11" i="3" s="1"/>
  <c r="L42" i="3"/>
  <c r="L243" i="3"/>
  <c r="L290" i="3"/>
  <c r="L328" i="3"/>
  <c r="L127" i="3"/>
  <c r="L287" i="3"/>
  <c r="L268" i="3"/>
  <c r="L434" i="3"/>
  <c r="L48" i="3"/>
  <c r="L123" i="3"/>
  <c r="L271" i="3"/>
  <c r="L361" i="3"/>
  <c r="L381" i="3"/>
  <c r="L489" i="3"/>
  <c r="L413" i="3"/>
  <c r="L458" i="3"/>
  <c r="L474" i="3"/>
  <c r="L195" i="3"/>
  <c r="L216" i="3"/>
  <c r="L256" i="3"/>
  <c r="L281" i="3"/>
  <c r="L351" i="3"/>
  <c r="L362" i="3"/>
  <c r="L392" i="3"/>
  <c r="L498" i="3"/>
  <c r="L43" i="3"/>
  <c r="L57" i="3"/>
  <c r="L89" i="3"/>
  <c r="L104" i="3"/>
  <c r="L142" i="3"/>
  <c r="L157" i="3"/>
  <c r="L160" i="3"/>
  <c r="L291" i="3"/>
  <c r="L316" i="3"/>
  <c r="L382" i="3"/>
  <c r="L385" i="3"/>
  <c r="L431" i="3"/>
  <c r="L443" i="3"/>
  <c r="L459" i="3"/>
  <c r="L482" i="3"/>
  <c r="L124" i="3"/>
  <c r="L198" i="3"/>
  <c r="L405" i="3"/>
  <c r="L145" i="3"/>
  <c r="L139" i="3"/>
  <c r="L154" i="3"/>
  <c r="L253" i="3"/>
  <c r="L107" i="3"/>
  <c r="L181" i="3"/>
  <c r="L210" i="3"/>
  <c r="L213" i="3"/>
  <c r="L225" i="3"/>
  <c r="L235" i="3"/>
  <c r="L272" i="3"/>
  <c r="L300" i="3"/>
  <c r="L325" i="3"/>
  <c r="L414" i="3"/>
  <c r="L428" i="3"/>
  <c r="L451" i="3"/>
  <c r="L455" i="3"/>
  <c r="L479" i="3"/>
  <c r="B8" i="3"/>
  <c r="L34" i="3"/>
  <c r="L63" i="3"/>
  <c r="L113" i="3"/>
  <c r="L131" i="3"/>
  <c r="L190" i="3"/>
  <c r="L217" i="3"/>
  <c r="L278" i="3"/>
  <c r="L297" i="3"/>
  <c r="L348" i="3"/>
  <c r="L376" i="3"/>
  <c r="L386" i="3"/>
  <c r="L439" i="3"/>
  <c r="L483" i="3"/>
  <c r="L40" i="3"/>
  <c r="L60" i="3"/>
  <c r="L81" i="3"/>
  <c r="L140" i="3"/>
  <c r="L205" i="3"/>
  <c r="L226" i="3"/>
  <c r="L260" i="3"/>
  <c r="L326" i="3"/>
  <c r="L373" i="3"/>
  <c r="L432" i="3"/>
  <c r="L495" i="3"/>
  <c r="L231" i="3"/>
  <c r="L74" i="3"/>
  <c r="L478" i="3"/>
  <c r="L116" i="3"/>
  <c r="L335" i="3"/>
  <c r="L418" i="3"/>
  <c r="L66" i="3"/>
  <c r="L110" i="3"/>
  <c r="L90" i="3"/>
  <c r="L175" i="3"/>
  <c r="L184" i="3"/>
  <c r="L187" i="3"/>
  <c r="L298" i="3"/>
  <c r="L317" i="3"/>
  <c r="L444" i="3"/>
  <c r="L487" i="3"/>
  <c r="L52" i="3"/>
  <c r="L125" i="3"/>
  <c r="L134" i="3"/>
  <c r="L137" i="3"/>
  <c r="L178" i="3"/>
  <c r="L202" i="3"/>
  <c r="L208" i="3"/>
  <c r="L223" i="3"/>
  <c r="L232" i="3"/>
  <c r="L251" i="3"/>
  <c r="L310" i="3"/>
  <c r="L336" i="3"/>
  <c r="L342" i="3"/>
  <c r="L356" i="3"/>
  <c r="L491" i="3"/>
  <c r="L61" i="3"/>
  <c r="L257" i="3"/>
  <c r="L276" i="3"/>
  <c r="L400" i="3"/>
  <c r="L411" i="3"/>
  <c r="L468" i="3"/>
  <c r="L480" i="3"/>
  <c r="L500" i="3"/>
  <c r="L78" i="3"/>
  <c r="L96" i="3"/>
  <c r="L102" i="3"/>
  <c r="L149" i="3"/>
  <c r="L155" i="3"/>
  <c r="L158" i="3"/>
  <c r="L161" i="3"/>
  <c r="L182" i="3"/>
  <c r="L236" i="3"/>
  <c r="L261" i="3"/>
  <c r="L285" i="3"/>
  <c r="L323" i="3"/>
  <c r="L346" i="3"/>
  <c r="L383" i="3"/>
  <c r="L387" i="3"/>
  <c r="L407" i="3"/>
  <c r="L132" i="3"/>
  <c r="L191" i="3"/>
  <c r="L343" i="3"/>
  <c r="L460" i="3"/>
  <c r="L492" i="3"/>
  <c r="L44" i="3"/>
  <c r="L82" i="3"/>
  <c r="L153" i="3"/>
  <c r="L206" i="3"/>
  <c r="L221" i="3"/>
  <c r="L242" i="3"/>
  <c r="L248" i="3"/>
  <c r="L286" i="3"/>
  <c r="L380" i="3"/>
  <c r="L484" i="3"/>
  <c r="L51" i="3"/>
  <c r="L306" i="3"/>
  <c r="L368" i="3"/>
  <c r="L417" i="3"/>
  <c r="L442" i="3"/>
  <c r="L462" i="3"/>
  <c r="L166" i="3"/>
  <c r="L95" i="3"/>
  <c r="L38" i="3"/>
  <c r="L58" i="3"/>
  <c r="L99" i="3"/>
  <c r="L105" i="3"/>
  <c r="L108" i="3"/>
  <c r="L111" i="3"/>
  <c r="L103" i="3"/>
  <c r="L170" i="3"/>
  <c r="L245" i="3"/>
  <c r="L267" i="3"/>
  <c r="L270" i="3"/>
  <c r="L305" i="3"/>
  <c r="L308" i="3"/>
  <c r="L370" i="3"/>
  <c r="L397" i="3"/>
  <c r="L408" i="3"/>
  <c r="L433" i="3"/>
  <c r="L465" i="3"/>
  <c r="L476" i="3"/>
  <c r="L120" i="3"/>
  <c r="L173" i="3"/>
  <c r="L176" i="3"/>
  <c r="L327" i="3"/>
  <c r="L357" i="3"/>
  <c r="L371" i="3"/>
  <c r="L391" i="3"/>
  <c r="L423" i="3"/>
  <c r="L321" i="3"/>
  <c r="L488" i="3"/>
  <c r="L211" i="3"/>
  <c r="L311" i="3"/>
  <c r="L241" i="3"/>
  <c r="L341" i="3"/>
  <c r="L435" i="3"/>
  <c r="L450" i="3"/>
  <c r="L201" i="3"/>
  <c r="L233" i="3"/>
  <c r="L252" i="3"/>
  <c r="L295" i="3"/>
  <c r="L301" i="3"/>
  <c r="L333" i="3"/>
  <c r="L352" i="3"/>
  <c r="L395" i="3"/>
  <c r="L401" i="3"/>
  <c r="L406" i="3"/>
  <c r="L441" i="3"/>
  <c r="L447" i="3"/>
  <c r="L456" i="3"/>
  <c r="L471" i="3"/>
  <c r="L477" i="3"/>
  <c r="L266" i="3"/>
  <c r="L360" i="3"/>
  <c r="L366" i="3"/>
  <c r="L398" i="3"/>
  <c r="L412" i="3"/>
  <c r="L415" i="3"/>
  <c r="L493" i="3"/>
  <c r="L196" i="3"/>
  <c r="L296" i="3"/>
  <c r="L390" i="3"/>
  <c r="L396" i="3"/>
  <c r="L421" i="3"/>
  <c r="L464" i="3"/>
  <c r="L485" i="3"/>
  <c r="F4" i="1" l="1"/>
  <c r="J4" i="3"/>
  <c r="B9" i="3"/>
  <c r="B10" i="3" l="1"/>
  <c r="L9" i="3"/>
  <c r="B11" i="3"/>
  <c r="L11" i="3" l="1"/>
  <c r="B12" i="3"/>
  <c r="L12" i="3" l="1"/>
  <c r="B13" i="3"/>
  <c r="L13" i="3" l="1"/>
  <c r="B14" i="3"/>
  <c r="B15" i="3" l="1"/>
  <c r="L14" i="3"/>
  <c r="L15" i="3" l="1"/>
  <c r="B16" i="3"/>
  <c r="B17" i="3" l="1"/>
  <c r="L16" i="3"/>
  <c r="B18" i="3" l="1"/>
  <c r="L18" i="3" l="1"/>
  <c r="B19" i="3"/>
  <c r="B20" i="3" l="1"/>
  <c r="L19" i="3"/>
  <c r="B21" i="3" l="1"/>
  <c r="L20" i="3"/>
  <c r="L21" i="3" l="1"/>
  <c r="B22" i="3"/>
  <c r="L22" i="3" l="1"/>
  <c r="B25" i="3"/>
  <c r="B23" i="3"/>
  <c r="B24" i="3"/>
  <c r="L23" i="3" l="1"/>
  <c r="B26" i="3"/>
  <c r="B27" i="3" l="1"/>
  <c r="L26" i="3"/>
  <c r="B28" i="3" l="1"/>
  <c r="L28" i="3" l="1"/>
  <c r="B29" i="3"/>
  <c r="L29" i="3" l="1"/>
  <c r="B30" i="3"/>
  <c r="L30" i="3" l="1"/>
  <c r="B31" i="3"/>
  <c r="L31" i="3" l="1"/>
  <c r="B32" i="3"/>
  <c r="L32" i="3" l="1"/>
  <c r="O32" i="3"/>
  <c r="M32" i="3" s="1"/>
  <c r="P32" i="3" s="1"/>
  <c r="O44" i="3"/>
  <c r="M44" i="3" s="1"/>
  <c r="P44" i="3" s="1"/>
  <c r="O70" i="3"/>
  <c r="M70" i="3" s="1"/>
  <c r="P70" i="3" s="1"/>
  <c r="O416" i="3"/>
  <c r="M416" i="3" s="1"/>
  <c r="P416" i="3" s="1"/>
  <c r="O252" i="3"/>
  <c r="M252" i="3" s="1"/>
  <c r="P252" i="3" s="1"/>
  <c r="O6" i="3"/>
  <c r="L6" i="3" s="1"/>
  <c r="M6" i="3" s="1"/>
  <c r="P6" i="3" s="1"/>
  <c r="J6" i="4" s="1"/>
  <c r="O428" i="3"/>
  <c r="M428" i="3" s="1"/>
  <c r="P428" i="3" s="1"/>
  <c r="O291" i="3"/>
  <c r="M291" i="3" s="1"/>
  <c r="P291" i="3" s="1"/>
  <c r="O89" i="3"/>
  <c r="M89" i="3" s="1"/>
  <c r="P89" i="3" s="1"/>
  <c r="O274" i="3"/>
  <c r="M274" i="3" s="1"/>
  <c r="P274" i="3" s="1"/>
  <c r="O90" i="3"/>
  <c r="M90" i="3" s="1"/>
  <c r="P90" i="3" s="1"/>
  <c r="O97" i="3"/>
  <c r="M97" i="3" s="1"/>
  <c r="P97" i="3" s="1"/>
  <c r="O369" i="3"/>
  <c r="M369" i="3" s="1"/>
  <c r="P369" i="3" s="1"/>
  <c r="O259" i="3"/>
  <c r="M259" i="3" s="1"/>
  <c r="P259" i="3" s="1"/>
  <c r="O292" i="3"/>
  <c r="M292" i="3" s="1"/>
  <c r="P292" i="3" s="1"/>
  <c r="O427" i="3"/>
  <c r="M427" i="3" s="1"/>
  <c r="P427" i="3" s="1"/>
  <c r="O122" i="3"/>
  <c r="M122" i="3" s="1"/>
  <c r="P122" i="3" s="1"/>
  <c r="O169" i="3"/>
  <c r="M169" i="3" s="1"/>
  <c r="P169" i="3" s="1"/>
  <c r="O495" i="3"/>
  <c r="M495" i="3" s="1"/>
  <c r="P495" i="3" s="1"/>
  <c r="O467" i="3"/>
  <c r="M467" i="3" s="1"/>
  <c r="P467" i="3" s="1"/>
  <c r="O298" i="3"/>
  <c r="M298" i="3" s="1"/>
  <c r="P298" i="3" s="1"/>
  <c r="O415" i="3"/>
  <c r="M415" i="3" s="1"/>
  <c r="P415" i="3" s="1"/>
  <c r="O339" i="3"/>
  <c r="M339" i="3" s="1"/>
  <c r="P339" i="3" s="1"/>
  <c r="O331" i="3"/>
  <c r="M331" i="3" s="1"/>
  <c r="P331" i="3" s="1"/>
  <c r="O459" i="3"/>
  <c r="M459" i="3" s="1"/>
  <c r="P459" i="3" s="1"/>
  <c r="O61" i="3"/>
  <c r="M61" i="3" s="1"/>
  <c r="P61" i="3" s="1"/>
  <c r="O92" i="3"/>
  <c r="M92" i="3" s="1"/>
  <c r="P92" i="3" s="1"/>
  <c r="O334" i="3"/>
  <c r="M334" i="3" s="1"/>
  <c r="P334" i="3" s="1"/>
  <c r="O213" i="3"/>
  <c r="M213" i="3" s="1"/>
  <c r="P213" i="3" s="1"/>
  <c r="O365" i="3"/>
  <c r="M365" i="3" s="1"/>
  <c r="P365" i="3" s="1"/>
  <c r="O87" i="3"/>
  <c r="M87" i="3" s="1"/>
  <c r="P87" i="3" s="1"/>
  <c r="O372" i="3"/>
  <c r="M372" i="3" s="1"/>
  <c r="P372" i="3" s="1"/>
  <c r="O286" i="3"/>
  <c r="M286" i="3" s="1"/>
  <c r="P286" i="3" s="1"/>
  <c r="O337" i="3"/>
  <c r="M337" i="3" s="1"/>
  <c r="P337" i="3" s="1"/>
  <c r="O323" i="3"/>
  <c r="M323" i="3" s="1"/>
  <c r="P323" i="3" s="1"/>
  <c r="O283" i="3"/>
  <c r="M283" i="3" s="1"/>
  <c r="P283" i="3" s="1"/>
  <c r="O201" i="3"/>
  <c r="M201" i="3" s="1"/>
  <c r="P201" i="3" s="1"/>
  <c r="O258" i="3"/>
  <c r="M258" i="3" s="1"/>
  <c r="P258" i="3" s="1"/>
  <c r="O15" i="3"/>
  <c r="M15" i="3" s="1"/>
  <c r="P15" i="3" s="1"/>
  <c r="O370" i="3"/>
  <c r="M370" i="3" s="1"/>
  <c r="P370" i="3" s="1"/>
  <c r="O462" i="3"/>
  <c r="M462" i="3" s="1"/>
  <c r="P462" i="3" s="1"/>
  <c r="O498" i="3"/>
  <c r="M498" i="3" s="1"/>
  <c r="P498" i="3" s="1"/>
  <c r="O279" i="3"/>
  <c r="M279" i="3" s="1"/>
  <c r="P279" i="3" s="1"/>
  <c r="O421" i="3"/>
  <c r="M421" i="3" s="1"/>
  <c r="P421" i="3" s="1"/>
  <c r="O434" i="3"/>
  <c r="M434" i="3" s="1"/>
  <c r="P434" i="3" s="1"/>
  <c r="O156" i="3"/>
  <c r="M156" i="3" s="1"/>
  <c r="P156" i="3" s="1"/>
  <c r="O242" i="3"/>
  <c r="M242" i="3" s="1"/>
  <c r="P242" i="3" s="1"/>
  <c r="O207" i="3"/>
  <c r="M207" i="3" s="1"/>
  <c r="P207" i="3" s="1"/>
  <c r="O306" i="3"/>
  <c r="M306" i="3" s="1"/>
  <c r="P306" i="3" s="1"/>
  <c r="O445" i="3"/>
  <c r="M445" i="3" s="1"/>
  <c r="P445" i="3" s="1"/>
  <c r="O63" i="3"/>
  <c r="M63" i="3" s="1"/>
  <c r="P63" i="3" s="1"/>
  <c r="O98" i="3"/>
  <c r="M98" i="3" s="1"/>
  <c r="P98" i="3" s="1"/>
  <c r="O175" i="3"/>
  <c r="M175" i="3" s="1"/>
  <c r="P175" i="3" s="1"/>
  <c r="O203" i="3"/>
  <c r="M203" i="3" s="1"/>
  <c r="P203" i="3" s="1"/>
  <c r="O464" i="3"/>
  <c r="M464" i="3" s="1"/>
  <c r="P464" i="3" s="1"/>
  <c r="O408" i="3"/>
  <c r="M408" i="3" s="1"/>
  <c r="P408" i="3" s="1"/>
  <c r="O450" i="3"/>
  <c r="M450" i="3" s="1"/>
  <c r="P450" i="3" s="1"/>
  <c r="O154" i="3"/>
  <c r="M154" i="3" s="1"/>
  <c r="P154" i="3" s="1"/>
  <c r="O361" i="3"/>
  <c r="M361" i="3" s="1"/>
  <c r="P361" i="3" s="1"/>
  <c r="O55" i="3"/>
  <c r="M55" i="3" s="1"/>
  <c r="P55" i="3" s="1"/>
  <c r="O191" i="3"/>
  <c r="M191" i="3" s="1"/>
  <c r="P191" i="3" s="1"/>
  <c r="O227" i="3"/>
  <c r="M227" i="3" s="1"/>
  <c r="P227" i="3" s="1"/>
  <c r="O228" i="3"/>
  <c r="M228" i="3" s="1"/>
  <c r="P228" i="3" s="1"/>
  <c r="O330" i="3"/>
  <c r="M330" i="3" s="1"/>
  <c r="P330" i="3" s="1"/>
  <c r="O373" i="3"/>
  <c r="M373" i="3" s="1"/>
  <c r="P373" i="3" s="1"/>
  <c r="O189" i="3"/>
  <c r="M189" i="3" s="1"/>
  <c r="P189" i="3" s="1"/>
  <c r="O121" i="3"/>
  <c r="M121" i="3" s="1"/>
  <c r="P121" i="3" s="1"/>
  <c r="O171" i="3"/>
  <c r="M171" i="3" s="1"/>
  <c r="P171" i="3" s="1"/>
  <c r="O46" i="3"/>
  <c r="M46" i="3" s="1"/>
  <c r="P46" i="3" s="1"/>
  <c r="O338" i="3"/>
  <c r="M338" i="3" s="1"/>
  <c r="P338" i="3" s="1"/>
  <c r="O325" i="3"/>
  <c r="M325" i="3" s="1"/>
  <c r="P325" i="3" s="1"/>
  <c r="O170" i="3"/>
  <c r="M170" i="3" s="1"/>
  <c r="P170" i="3" s="1"/>
  <c r="O340" i="3"/>
  <c r="M340" i="3" s="1"/>
  <c r="P340" i="3" s="1"/>
  <c r="O145" i="3"/>
  <c r="M145" i="3" s="1"/>
  <c r="P145" i="3" s="1"/>
  <c r="O208" i="3"/>
  <c r="M208" i="3" s="1"/>
  <c r="P208" i="3" s="1"/>
  <c r="O60" i="3"/>
  <c r="M60" i="3" s="1"/>
  <c r="P60" i="3" s="1"/>
  <c r="O446" i="3"/>
  <c r="M446" i="3" s="1"/>
  <c r="P446" i="3" s="1"/>
  <c r="O492" i="3"/>
  <c r="M492" i="3" s="1"/>
  <c r="P492" i="3" s="1"/>
  <c r="O496" i="3"/>
  <c r="M496" i="3" s="1"/>
  <c r="P496" i="3" s="1"/>
  <c r="O58" i="3"/>
  <c r="M58" i="3" s="1"/>
  <c r="P58" i="3" s="1"/>
  <c r="O221" i="3"/>
  <c r="M221" i="3" s="1"/>
  <c r="P221" i="3" s="1"/>
  <c r="O356" i="3"/>
  <c r="M356" i="3" s="1"/>
  <c r="P356" i="3" s="1"/>
  <c r="O354" i="3"/>
  <c r="M354" i="3" s="1"/>
  <c r="P354" i="3" s="1"/>
  <c r="O184" i="3"/>
  <c r="M184" i="3" s="1"/>
  <c r="P184" i="3" s="1"/>
  <c r="O275" i="3"/>
  <c r="M275" i="3" s="1"/>
  <c r="P275" i="3" s="1"/>
  <c r="O262" i="3"/>
  <c r="M262" i="3" s="1"/>
  <c r="P262" i="3" s="1"/>
  <c r="O196" i="3"/>
  <c r="M196" i="3" s="1"/>
  <c r="P196" i="3" s="1"/>
  <c r="O290" i="3"/>
  <c r="M290" i="3" s="1"/>
  <c r="P290" i="3" s="1"/>
  <c r="O321" i="3"/>
  <c r="M321" i="3" s="1"/>
  <c r="P321" i="3" s="1"/>
  <c r="O500" i="3"/>
  <c r="M500" i="3" s="1"/>
  <c r="P500" i="3" s="1"/>
  <c r="O368" i="3"/>
  <c r="M368" i="3" s="1"/>
  <c r="P368" i="3" s="1"/>
  <c r="O479" i="3"/>
  <c r="M479" i="3" s="1"/>
  <c r="P479" i="3" s="1"/>
  <c r="O294" i="3"/>
  <c r="M294" i="3" s="1"/>
  <c r="P294" i="3" s="1"/>
  <c r="O396" i="3"/>
  <c r="M396" i="3" s="1"/>
  <c r="P396" i="3" s="1"/>
  <c r="O237" i="3"/>
  <c r="M237" i="3" s="1"/>
  <c r="P237" i="3" s="1"/>
  <c r="O305" i="3"/>
  <c r="M305" i="3" s="1"/>
  <c r="P305" i="3" s="1"/>
  <c r="O352" i="3"/>
  <c r="M352" i="3" s="1"/>
  <c r="P352" i="3" s="1"/>
  <c r="O114" i="3"/>
  <c r="M114" i="3" s="1"/>
  <c r="P114" i="3" s="1"/>
  <c r="O199" i="3"/>
  <c r="M199" i="3" s="1"/>
  <c r="P199" i="3" s="1"/>
  <c r="O374" i="3"/>
  <c r="M374" i="3" s="1"/>
  <c r="P374" i="3" s="1"/>
  <c r="O371" i="3"/>
  <c r="M371" i="3" s="1"/>
  <c r="P371" i="3" s="1"/>
  <c r="O343" i="3"/>
  <c r="M343" i="3" s="1"/>
  <c r="P343" i="3" s="1"/>
  <c r="O391" i="3"/>
  <c r="M391" i="3" s="1"/>
  <c r="P391" i="3" s="1"/>
  <c r="O111" i="3"/>
  <c r="M111" i="3" s="1"/>
  <c r="P111" i="3" s="1"/>
  <c r="O362" i="3"/>
  <c r="M362" i="3" s="1"/>
  <c r="P362" i="3" s="1"/>
  <c r="O239" i="3"/>
  <c r="M239" i="3" s="1"/>
  <c r="P239" i="3" s="1"/>
  <c r="O426" i="3"/>
  <c r="M426" i="3" s="1"/>
  <c r="P426" i="3" s="1"/>
  <c r="O389" i="3"/>
  <c r="M389" i="3" s="1"/>
  <c r="P389" i="3" s="1"/>
  <c r="O141" i="3"/>
  <c r="M141" i="3" s="1"/>
  <c r="P141" i="3" s="1"/>
  <c r="O159" i="3"/>
  <c r="M159" i="3" s="1"/>
  <c r="P159" i="3" s="1"/>
  <c r="O123" i="3"/>
  <c r="M123" i="3" s="1"/>
  <c r="P123" i="3" s="1"/>
  <c r="O431" i="3"/>
  <c r="M431" i="3" s="1"/>
  <c r="P431" i="3" s="1"/>
  <c r="O327" i="3"/>
  <c r="M327" i="3" s="1"/>
  <c r="P327" i="3" s="1"/>
  <c r="O119" i="3"/>
  <c r="M119" i="3" s="1"/>
  <c r="P119" i="3" s="1"/>
  <c r="O276" i="3"/>
  <c r="M276" i="3" s="1"/>
  <c r="P276" i="3" s="1"/>
  <c r="O167" i="3"/>
  <c r="M167" i="3" s="1"/>
  <c r="P167" i="3" s="1"/>
  <c r="O265" i="3"/>
  <c r="M265" i="3" s="1"/>
  <c r="P265" i="3" s="1"/>
  <c r="O132" i="3"/>
  <c r="M132" i="3" s="1"/>
  <c r="P132" i="3" s="1"/>
  <c r="O254" i="3"/>
  <c r="M254" i="3" s="1"/>
  <c r="P254" i="3" s="1"/>
  <c r="O405" i="3"/>
  <c r="M405" i="3" s="1"/>
  <c r="P405" i="3" s="1"/>
  <c r="O10" i="3"/>
  <c r="L10" i="3" s="1"/>
  <c r="M10" i="3" s="1"/>
  <c r="P10" i="3" s="1"/>
  <c r="O458" i="3"/>
  <c r="M458" i="3" s="1"/>
  <c r="P458" i="3" s="1"/>
  <c r="O104" i="3"/>
  <c r="M104" i="3" s="1"/>
  <c r="P104" i="3" s="1"/>
  <c r="O295" i="3"/>
  <c r="M295" i="3" s="1"/>
  <c r="P295" i="3" s="1"/>
  <c r="O193" i="3"/>
  <c r="M193" i="3" s="1"/>
  <c r="P193" i="3" s="1"/>
  <c r="O452" i="3"/>
  <c r="M452" i="3" s="1"/>
  <c r="P452" i="3" s="1"/>
  <c r="O303" i="3"/>
  <c r="M303" i="3" s="1"/>
  <c r="P303" i="3" s="1"/>
  <c r="O95" i="3"/>
  <c r="M95" i="3" s="1"/>
  <c r="P95" i="3" s="1"/>
  <c r="O211" i="3"/>
  <c r="M211" i="3" s="1"/>
  <c r="P211" i="3" s="1"/>
  <c r="O176" i="3"/>
  <c r="M176" i="3" s="1"/>
  <c r="P176" i="3" s="1"/>
  <c r="O397" i="3"/>
  <c r="M397" i="3" s="1"/>
  <c r="P397" i="3" s="1"/>
  <c r="O263" i="3"/>
  <c r="M263" i="3" s="1"/>
  <c r="P263" i="3" s="1"/>
  <c r="O17" i="3"/>
  <c r="M17" i="3" s="1"/>
  <c r="P17" i="3" s="1"/>
  <c r="O105" i="3"/>
  <c r="M105" i="3" s="1"/>
  <c r="P105" i="3" s="1"/>
  <c r="O347" i="3"/>
  <c r="M347" i="3" s="1"/>
  <c r="P347" i="3" s="1"/>
  <c r="O71" i="3"/>
  <c r="M71" i="3" s="1"/>
  <c r="P71" i="3" s="1"/>
  <c r="O166" i="3"/>
  <c r="M166" i="3" s="1"/>
  <c r="P166" i="3" s="1"/>
  <c r="O457" i="3"/>
  <c r="M457" i="3" s="1"/>
  <c r="P457" i="3" s="1"/>
  <c r="O77" i="3"/>
  <c r="M77" i="3" s="1"/>
  <c r="P77" i="3" s="1"/>
  <c r="O387" i="3"/>
  <c r="M387" i="3" s="1"/>
  <c r="P387" i="3" s="1"/>
  <c r="O471" i="3"/>
  <c r="M471" i="3" s="1"/>
  <c r="P471" i="3" s="1"/>
  <c r="O177" i="3"/>
  <c r="M177" i="3" s="1"/>
  <c r="P177" i="3" s="1"/>
  <c r="O332" i="3"/>
  <c r="M332" i="3" s="1"/>
  <c r="P332" i="3" s="1"/>
  <c r="O311" i="3"/>
  <c r="M311" i="3" s="1"/>
  <c r="P311" i="3" s="1"/>
  <c r="O285" i="3"/>
  <c r="M285" i="3" s="1"/>
  <c r="P285" i="3" s="1"/>
  <c r="O99" i="3"/>
  <c r="M99" i="3" s="1"/>
  <c r="P99" i="3" s="1"/>
  <c r="O109" i="3"/>
  <c r="M109" i="3" s="1"/>
  <c r="P109" i="3" s="1"/>
  <c r="O289" i="3"/>
  <c r="M289" i="3" s="1"/>
  <c r="P289" i="3" s="1"/>
  <c r="O8" i="3"/>
  <c r="L8" i="3" s="1"/>
  <c r="M8" i="3" s="1"/>
  <c r="P8" i="3" s="1"/>
  <c r="O336" i="3"/>
  <c r="M336" i="3" s="1"/>
  <c r="P336" i="3" s="1"/>
  <c r="O461" i="3"/>
  <c r="M461" i="3" s="1"/>
  <c r="P461" i="3" s="1"/>
  <c r="O329" i="3"/>
  <c r="M329" i="3" s="1"/>
  <c r="P329" i="3" s="1"/>
  <c r="O412" i="3"/>
  <c r="M412" i="3" s="1"/>
  <c r="P412" i="3" s="1"/>
  <c r="O444" i="3"/>
  <c r="M444" i="3" s="1"/>
  <c r="P444" i="3" s="1"/>
  <c r="O454" i="3"/>
  <c r="M454" i="3" s="1"/>
  <c r="P454" i="3" s="1"/>
  <c r="O407" i="3"/>
  <c r="M407" i="3" s="1"/>
  <c r="P407" i="3" s="1"/>
  <c r="O48" i="3"/>
  <c r="M48" i="3" s="1"/>
  <c r="P48" i="3" s="1"/>
  <c r="O37" i="3"/>
  <c r="M37" i="3" s="1"/>
  <c r="P37" i="3" s="1"/>
  <c r="O490" i="3"/>
  <c r="M490" i="3" s="1"/>
  <c r="P490" i="3" s="1"/>
  <c r="O417" i="3"/>
  <c r="M417" i="3" s="1"/>
  <c r="P417" i="3" s="1"/>
  <c r="O429" i="3"/>
  <c r="M429" i="3" s="1"/>
  <c r="P429" i="3" s="1"/>
  <c r="O355" i="3"/>
  <c r="M355" i="3" s="1"/>
  <c r="P355" i="3" s="1"/>
  <c r="O433" i="3"/>
  <c r="M433" i="3" s="1"/>
  <c r="P433" i="3" s="1"/>
  <c r="O297" i="3"/>
  <c r="M297" i="3" s="1"/>
  <c r="P297" i="3" s="1"/>
  <c r="O402" i="3"/>
  <c r="M402" i="3" s="1"/>
  <c r="P402" i="3" s="1"/>
  <c r="O136" i="3"/>
  <c r="M136" i="3" s="1"/>
  <c r="P136" i="3" s="1"/>
  <c r="O333" i="3"/>
  <c r="M333" i="3" s="1"/>
  <c r="P333" i="3" s="1"/>
  <c r="O36" i="3"/>
  <c r="M36" i="3" s="1"/>
  <c r="P36" i="3" s="1"/>
  <c r="O404" i="3"/>
  <c r="M404" i="3" s="1"/>
  <c r="P404" i="3" s="1"/>
  <c r="O284" i="3"/>
  <c r="M284" i="3" s="1"/>
  <c r="P284" i="3" s="1"/>
  <c r="O359" i="3"/>
  <c r="M359" i="3" s="1"/>
  <c r="P359" i="3" s="1"/>
  <c r="O84" i="3"/>
  <c r="M84" i="3" s="1"/>
  <c r="P84" i="3" s="1"/>
  <c r="O86" i="3"/>
  <c r="M86" i="3" s="1"/>
  <c r="P86" i="3" s="1"/>
  <c r="O401" i="3"/>
  <c r="M401" i="3" s="1"/>
  <c r="P401" i="3" s="1"/>
  <c r="O378" i="3"/>
  <c r="M378" i="3" s="1"/>
  <c r="P378" i="3" s="1"/>
  <c r="O360" i="3"/>
  <c r="M360" i="3" s="1"/>
  <c r="P360" i="3" s="1"/>
  <c r="O103" i="3"/>
  <c r="M103" i="3" s="1"/>
  <c r="P103" i="3" s="1"/>
  <c r="O219" i="3"/>
  <c r="M219" i="3" s="1"/>
  <c r="P219" i="3" s="1"/>
  <c r="O319" i="3"/>
  <c r="M319" i="3" s="1"/>
  <c r="P319" i="3" s="1"/>
  <c r="O398" i="3"/>
  <c r="M398" i="3" s="1"/>
  <c r="P398" i="3" s="1"/>
  <c r="O155" i="3"/>
  <c r="M155" i="3" s="1"/>
  <c r="P155" i="3" s="1"/>
  <c r="O253" i="3"/>
  <c r="M253" i="3" s="1"/>
  <c r="P253" i="3" s="1"/>
  <c r="O146" i="3"/>
  <c r="M146" i="3" s="1"/>
  <c r="P146" i="3" s="1"/>
  <c r="O463" i="3"/>
  <c r="M463" i="3" s="1"/>
  <c r="P463" i="3" s="1"/>
  <c r="O250" i="3"/>
  <c r="M250" i="3" s="1"/>
  <c r="P250" i="3" s="1"/>
  <c r="O390" i="3"/>
  <c r="M390" i="3" s="1"/>
  <c r="P390" i="3" s="1"/>
  <c r="O449" i="3"/>
  <c r="M449" i="3" s="1"/>
  <c r="P449" i="3" s="1"/>
  <c r="O168" i="3"/>
  <c r="M168" i="3" s="1"/>
  <c r="P168" i="3" s="1"/>
  <c r="O270" i="3"/>
  <c r="M270" i="3" s="1"/>
  <c r="P270" i="3" s="1"/>
  <c r="O34" i="3"/>
  <c r="M34" i="3" s="1"/>
  <c r="P34" i="3" s="1"/>
  <c r="O83" i="3"/>
  <c r="M83" i="3" s="1"/>
  <c r="P83" i="3" s="1"/>
  <c r="O491" i="3"/>
  <c r="M491" i="3" s="1"/>
  <c r="P491" i="3" s="1"/>
  <c r="O443" i="3"/>
  <c r="M443" i="3" s="1"/>
  <c r="P443" i="3" s="1"/>
  <c r="O101" i="3"/>
  <c r="M101" i="3" s="1"/>
  <c r="P101" i="3" s="1"/>
  <c r="O88" i="3"/>
  <c r="M88" i="3" s="1"/>
  <c r="P88" i="3" s="1"/>
  <c r="O197" i="3"/>
  <c r="M197" i="3" s="1"/>
  <c r="P197" i="3" s="1"/>
  <c r="O349" i="3"/>
  <c r="M349" i="3" s="1"/>
  <c r="P349" i="3" s="1"/>
  <c r="O399" i="3"/>
  <c r="M399" i="3" s="1"/>
  <c r="P399" i="3" s="1"/>
  <c r="O18" i="3"/>
  <c r="M18" i="3" s="1"/>
  <c r="P18" i="3" s="1"/>
  <c r="O49" i="3"/>
  <c r="M49" i="3" s="1"/>
  <c r="P49" i="3" s="1"/>
  <c r="O233" i="3"/>
  <c r="M233" i="3" s="1"/>
  <c r="P233" i="3" s="1"/>
  <c r="O204" i="3"/>
  <c r="M204" i="3" s="1"/>
  <c r="P204" i="3" s="1"/>
  <c r="O367" i="3"/>
  <c r="M367" i="3" s="1"/>
  <c r="P367" i="3" s="1"/>
  <c r="B7" i="4"/>
  <c r="O248" i="3"/>
  <c r="M248" i="3" s="1"/>
  <c r="P248" i="3" s="1"/>
  <c r="O424" i="3"/>
  <c r="M424" i="3" s="1"/>
  <c r="P424" i="3" s="1"/>
  <c r="O422" i="3"/>
  <c r="M422" i="3" s="1"/>
  <c r="P422" i="3" s="1"/>
  <c r="O232" i="3"/>
  <c r="M232" i="3" s="1"/>
  <c r="P232" i="3" s="1"/>
  <c r="O102" i="3"/>
  <c r="M102" i="3" s="1"/>
  <c r="P102" i="3" s="1"/>
  <c r="O436" i="3"/>
  <c r="M436" i="3" s="1"/>
  <c r="P436" i="3" s="1"/>
  <c r="O64" i="3"/>
  <c r="M64" i="3" s="1"/>
  <c r="P64" i="3" s="1"/>
  <c r="O277" i="3"/>
  <c r="M277" i="3" s="1"/>
  <c r="P277" i="3" s="1"/>
  <c r="O438" i="3"/>
  <c r="M438" i="3" s="1"/>
  <c r="P438" i="3" s="1"/>
  <c r="O107" i="3"/>
  <c r="M107" i="3" s="1"/>
  <c r="P107" i="3" s="1"/>
  <c r="O151" i="3"/>
  <c r="M151" i="3" s="1"/>
  <c r="P151" i="3" s="1"/>
  <c r="O425" i="3"/>
  <c r="M425" i="3" s="1"/>
  <c r="P425" i="3" s="1"/>
  <c r="O320" i="3"/>
  <c r="M320" i="3" s="1"/>
  <c r="P320" i="3" s="1"/>
  <c r="O394" i="3"/>
  <c r="M394" i="3" s="1"/>
  <c r="P394" i="3" s="1"/>
  <c r="O430" i="3"/>
  <c r="M430" i="3" s="1"/>
  <c r="P430" i="3" s="1"/>
  <c r="O134" i="3"/>
  <c r="M134" i="3" s="1"/>
  <c r="P134" i="3" s="1"/>
  <c r="O324" i="3"/>
  <c r="M324" i="3" s="1"/>
  <c r="P324" i="3" s="1"/>
  <c r="O42" i="3"/>
  <c r="M42" i="3" s="1"/>
  <c r="P42" i="3" s="1"/>
  <c r="O363" i="3"/>
  <c r="M363" i="3" s="1"/>
  <c r="P363" i="3" s="1"/>
  <c r="O255" i="3"/>
  <c r="M255" i="3" s="1"/>
  <c r="P255" i="3" s="1"/>
  <c r="O489" i="3"/>
  <c r="M489" i="3" s="1"/>
  <c r="P489" i="3" s="1"/>
  <c r="O59" i="3"/>
  <c r="M59" i="3" s="1"/>
  <c r="P59" i="3" s="1"/>
  <c r="O149" i="3"/>
  <c r="M149" i="3" s="1"/>
  <c r="P149" i="3" s="1"/>
  <c r="O309" i="3"/>
  <c r="M309" i="3" s="1"/>
  <c r="P309" i="3" s="1"/>
  <c r="O162" i="3"/>
  <c r="M162" i="3" s="1"/>
  <c r="P162" i="3" s="1"/>
  <c r="O251" i="3"/>
  <c r="M251" i="3" s="1"/>
  <c r="P251" i="3" s="1"/>
  <c r="O419" i="3"/>
  <c r="M419" i="3" s="1"/>
  <c r="P419" i="3" s="1"/>
  <c r="O474" i="3"/>
  <c r="M474" i="3" s="1"/>
  <c r="P474" i="3" s="1"/>
  <c r="O376" i="3"/>
  <c r="M376" i="3" s="1"/>
  <c r="P376" i="3" s="1"/>
  <c r="O249" i="3"/>
  <c r="M249" i="3" s="1"/>
  <c r="P249" i="3" s="1"/>
  <c r="O307" i="3"/>
  <c r="M307" i="3" s="1"/>
  <c r="P307" i="3" s="1"/>
  <c r="O240" i="3"/>
  <c r="M240" i="3" s="1"/>
  <c r="P240" i="3" s="1"/>
  <c r="O478" i="3"/>
  <c r="M478" i="3" s="1"/>
  <c r="P478" i="3" s="1"/>
  <c r="O187" i="3"/>
  <c r="M187" i="3" s="1"/>
  <c r="P187" i="3" s="1"/>
  <c r="O310" i="3"/>
  <c r="M310" i="3" s="1"/>
  <c r="P310" i="3" s="1"/>
  <c r="O243" i="3"/>
  <c r="M243" i="3" s="1"/>
  <c r="P243" i="3" s="1"/>
  <c r="O195" i="3"/>
  <c r="M195" i="3" s="1"/>
  <c r="P195" i="3" s="1"/>
  <c r="O185" i="3"/>
  <c r="M185" i="3" s="1"/>
  <c r="P185" i="3" s="1"/>
  <c r="O441" i="3"/>
  <c r="M441" i="3" s="1"/>
  <c r="P441" i="3" s="1"/>
  <c r="O135" i="3"/>
  <c r="M135" i="3" s="1"/>
  <c r="P135" i="3" s="1"/>
  <c r="O423" i="3"/>
  <c r="M423" i="3" s="1"/>
  <c r="P423" i="3" s="1"/>
  <c r="O344" i="3"/>
  <c r="M344" i="3" s="1"/>
  <c r="P344" i="3" s="1"/>
  <c r="O238" i="3"/>
  <c r="M238" i="3" s="1"/>
  <c r="P238" i="3" s="1"/>
  <c r="O140" i="3"/>
  <c r="M140" i="3" s="1"/>
  <c r="P140" i="3" s="1"/>
  <c r="O318" i="3"/>
  <c r="M318" i="3" s="1"/>
  <c r="P318" i="3" s="1"/>
  <c r="O35" i="3"/>
  <c r="M35" i="3" s="1"/>
  <c r="P35" i="3" s="1"/>
  <c r="O473" i="3"/>
  <c r="M473" i="3" s="1"/>
  <c r="P473" i="3" s="1"/>
  <c r="O235" i="3"/>
  <c r="M235" i="3" s="1"/>
  <c r="P235" i="3" s="1"/>
  <c r="O316" i="3"/>
  <c r="M316" i="3" s="1"/>
  <c r="P316" i="3" s="1"/>
  <c r="O358" i="3"/>
  <c r="M358" i="3" s="1"/>
  <c r="P358" i="3" s="1"/>
  <c r="O183" i="3"/>
  <c r="M183" i="3" s="1"/>
  <c r="P183" i="3" s="1"/>
  <c r="O96" i="3"/>
  <c r="M96" i="3" s="1"/>
  <c r="P96" i="3" s="1"/>
  <c r="O486" i="3"/>
  <c r="M486" i="3" s="1"/>
  <c r="P486" i="3" s="1"/>
  <c r="O469" i="3"/>
  <c r="M469" i="3" s="1"/>
  <c r="P469" i="3" s="1"/>
  <c r="O357" i="3"/>
  <c r="M357" i="3" s="1"/>
  <c r="P357" i="3" s="1"/>
  <c r="O414" i="3"/>
  <c r="M414" i="3" s="1"/>
  <c r="P414" i="3" s="1"/>
  <c r="O296" i="3"/>
  <c r="M296" i="3" s="1"/>
  <c r="P296" i="3" s="1"/>
  <c r="O192" i="3"/>
  <c r="M192" i="3" s="1"/>
  <c r="P192" i="3" s="1"/>
  <c r="O267" i="3"/>
  <c r="M267" i="3" s="1"/>
  <c r="P267" i="3" s="1"/>
  <c r="O178" i="3"/>
  <c r="M178" i="3" s="1"/>
  <c r="P178" i="3" s="1"/>
  <c r="O315" i="3"/>
  <c r="M315" i="3" s="1"/>
  <c r="P315" i="3" s="1"/>
  <c r="O78" i="3"/>
  <c r="M78" i="3" s="1"/>
  <c r="P78" i="3" s="1"/>
  <c r="O364" i="3"/>
  <c r="M364" i="3" s="1"/>
  <c r="P364" i="3" s="1"/>
  <c r="O148" i="3"/>
  <c r="M148" i="3" s="1"/>
  <c r="P148" i="3" s="1"/>
  <c r="O158" i="3"/>
  <c r="M158" i="3" s="1"/>
  <c r="P158" i="3" s="1"/>
  <c r="O472" i="3"/>
  <c r="M472" i="3" s="1"/>
  <c r="P472" i="3" s="1"/>
  <c r="O164" i="3"/>
  <c r="M164" i="3" s="1"/>
  <c r="P164" i="3" s="1"/>
  <c r="O460" i="3"/>
  <c r="M460" i="3" s="1"/>
  <c r="P460" i="3" s="1"/>
  <c r="O144" i="3"/>
  <c r="M144" i="3" s="1"/>
  <c r="P144" i="3" s="1"/>
  <c r="O74" i="3"/>
  <c r="M74" i="3" s="1"/>
  <c r="P74" i="3" s="1"/>
  <c r="O465" i="3"/>
  <c r="M465" i="3" s="1"/>
  <c r="P465" i="3" s="1"/>
  <c r="O382" i="3"/>
  <c r="M382" i="3" s="1"/>
  <c r="P382" i="3" s="1"/>
  <c r="O345" i="3"/>
  <c r="M345" i="3" s="1"/>
  <c r="P345" i="3" s="1"/>
  <c r="O153" i="3"/>
  <c r="M153" i="3" s="1"/>
  <c r="P153" i="3" s="1"/>
  <c r="O218" i="3"/>
  <c r="M218" i="3" s="1"/>
  <c r="P218" i="3" s="1"/>
  <c r="O217" i="3"/>
  <c r="M217" i="3" s="1"/>
  <c r="P217" i="3" s="1"/>
  <c r="O386" i="3"/>
  <c r="M386" i="3" s="1"/>
  <c r="P386" i="3" s="1"/>
  <c r="O150" i="3"/>
  <c r="M150" i="3" s="1"/>
  <c r="P150" i="3" s="1"/>
  <c r="O260" i="3"/>
  <c r="M260" i="3" s="1"/>
  <c r="P260" i="3" s="1"/>
  <c r="O45" i="3"/>
  <c r="M45" i="3" s="1"/>
  <c r="P45" i="3" s="1"/>
  <c r="O51" i="3"/>
  <c r="M51" i="3" s="1"/>
  <c r="P51" i="3" s="1"/>
  <c r="O485" i="3"/>
  <c r="M485" i="3" s="1"/>
  <c r="P485" i="3" s="1"/>
  <c r="O43" i="3"/>
  <c r="M43" i="3" s="1"/>
  <c r="P43" i="3" s="1"/>
  <c r="O116" i="3"/>
  <c r="M116" i="3" s="1"/>
  <c r="P116" i="3" s="1"/>
  <c r="O66" i="3"/>
  <c r="M66" i="3" s="1"/>
  <c r="P66" i="3" s="1"/>
  <c r="O264" i="3"/>
  <c r="M264" i="3" s="1"/>
  <c r="P264" i="3" s="1"/>
  <c r="O439" i="3"/>
  <c r="M439" i="3" s="1"/>
  <c r="P439" i="3" s="1"/>
  <c r="O301" i="3"/>
  <c r="M301" i="3" s="1"/>
  <c r="P301" i="3" s="1"/>
  <c r="O13" i="3"/>
  <c r="M13" i="3" s="1"/>
  <c r="P13" i="3" s="1"/>
  <c r="O220" i="3"/>
  <c r="M220" i="3" s="1"/>
  <c r="P220" i="3" s="1"/>
  <c r="O106" i="3"/>
  <c r="M106" i="3" s="1"/>
  <c r="P106" i="3" s="1"/>
  <c r="O245" i="3"/>
  <c r="M245" i="3" s="1"/>
  <c r="P245" i="3" s="1"/>
  <c r="O308" i="3"/>
  <c r="M308" i="3" s="1"/>
  <c r="P308" i="3" s="1"/>
  <c r="O447" i="3"/>
  <c r="M447" i="3" s="1"/>
  <c r="P447" i="3" s="1"/>
  <c r="O244" i="3"/>
  <c r="M244" i="3" s="1"/>
  <c r="P244" i="3" s="1"/>
  <c r="O198" i="3"/>
  <c r="M198" i="3" s="1"/>
  <c r="P198" i="3" s="1"/>
  <c r="O269" i="3"/>
  <c r="M269" i="3" s="1"/>
  <c r="P269" i="3" s="1"/>
  <c r="O112" i="3"/>
  <c r="M112" i="3" s="1"/>
  <c r="P112" i="3" s="1"/>
  <c r="O409" i="3"/>
  <c r="M409" i="3" s="1"/>
  <c r="P409" i="3" s="1"/>
  <c r="O432" i="3"/>
  <c r="M432" i="3" s="1"/>
  <c r="P432" i="3" s="1"/>
  <c r="O442" i="3"/>
  <c r="M442" i="3" s="1"/>
  <c r="P442" i="3" s="1"/>
  <c r="O480" i="3"/>
  <c r="M480" i="3" s="1"/>
  <c r="P480" i="3" s="1"/>
  <c r="O484" i="3"/>
  <c r="M484" i="3" s="1"/>
  <c r="P484" i="3" s="1"/>
  <c r="O16" i="3"/>
  <c r="M16" i="3" s="1"/>
  <c r="P16" i="3" s="1"/>
  <c r="O41" i="3"/>
  <c r="M41" i="3" s="1"/>
  <c r="P41" i="3" s="1"/>
  <c r="O40" i="3"/>
  <c r="M40" i="3" s="1"/>
  <c r="P40" i="3" s="1"/>
  <c r="O317" i="3"/>
  <c r="M317" i="3" s="1"/>
  <c r="P317" i="3" s="1"/>
  <c r="O75" i="3"/>
  <c r="M75" i="3" s="1"/>
  <c r="P75" i="3" s="1"/>
  <c r="O229" i="3"/>
  <c r="M229" i="3" s="1"/>
  <c r="P229" i="3" s="1"/>
  <c r="O420" i="3"/>
  <c r="M420" i="3" s="1"/>
  <c r="P420" i="3" s="1"/>
  <c r="O182" i="3"/>
  <c r="M182" i="3" s="1"/>
  <c r="P182" i="3" s="1"/>
  <c r="O72" i="3"/>
  <c r="M72" i="3" s="1"/>
  <c r="P72" i="3" s="1"/>
  <c r="O366" i="3"/>
  <c r="M366" i="3" s="1"/>
  <c r="P366" i="3" s="1"/>
  <c r="O179" i="3"/>
  <c r="M179" i="3" s="1"/>
  <c r="P179" i="3" s="1"/>
  <c r="O93" i="3"/>
  <c r="M93" i="3" s="1"/>
  <c r="P93" i="3" s="1"/>
  <c r="O94" i="3"/>
  <c r="M94" i="3" s="1"/>
  <c r="P94" i="3" s="1"/>
  <c r="O351" i="3"/>
  <c r="M351" i="3" s="1"/>
  <c r="P351" i="3" s="1"/>
  <c r="O385" i="3"/>
  <c r="M385" i="3" s="1"/>
  <c r="P385" i="3" s="1"/>
  <c r="O181" i="3"/>
  <c r="M181" i="3" s="1"/>
  <c r="P181" i="3" s="1"/>
  <c r="O174" i="3"/>
  <c r="M174" i="3" s="1"/>
  <c r="P174" i="3" s="1"/>
  <c r="O413" i="3"/>
  <c r="M413" i="3" s="1"/>
  <c r="P413" i="3" s="1"/>
  <c r="O481" i="3"/>
  <c r="M481" i="3" s="1"/>
  <c r="P481" i="3" s="1"/>
  <c r="O494" i="3"/>
  <c r="M494" i="3" s="1"/>
  <c r="P494" i="3" s="1"/>
  <c r="O435" i="3"/>
  <c r="M435" i="3" s="1"/>
  <c r="P435" i="3" s="1"/>
  <c r="O395" i="3"/>
  <c r="M395" i="3" s="1"/>
  <c r="P395" i="3" s="1"/>
  <c r="O80" i="3"/>
  <c r="M80" i="3" s="1"/>
  <c r="P80" i="3" s="1"/>
  <c r="O52" i="3"/>
  <c r="M52" i="3" s="1"/>
  <c r="P52" i="3" s="1"/>
  <c r="O209" i="3"/>
  <c r="M209" i="3" s="1"/>
  <c r="P209" i="3" s="1"/>
  <c r="O82" i="3"/>
  <c r="M82" i="3" s="1"/>
  <c r="P82" i="3" s="1"/>
  <c r="O231" i="3"/>
  <c r="M231" i="3" s="1"/>
  <c r="P231" i="3" s="1"/>
  <c r="O67" i="3"/>
  <c r="M67" i="3" s="1"/>
  <c r="P67" i="3" s="1"/>
  <c r="O466" i="3"/>
  <c r="M466" i="3" s="1"/>
  <c r="P466" i="3" s="1"/>
  <c r="O91" i="3"/>
  <c r="M91" i="3" s="1"/>
  <c r="P91" i="3" s="1"/>
  <c r="O281" i="3"/>
  <c r="M281" i="3" s="1"/>
  <c r="P281" i="3" s="1"/>
  <c r="O456" i="3"/>
  <c r="M456" i="3" s="1"/>
  <c r="P456" i="3" s="1"/>
  <c r="O65" i="3"/>
  <c r="M65" i="3" s="1"/>
  <c r="P65" i="3" s="1"/>
  <c r="O482" i="3"/>
  <c r="M482" i="3" s="1"/>
  <c r="P482" i="3" s="1"/>
  <c r="O165" i="3"/>
  <c r="M165" i="3" s="1"/>
  <c r="P165" i="3" s="1"/>
  <c r="O79" i="3"/>
  <c r="M79" i="3" s="1"/>
  <c r="P79" i="3" s="1"/>
  <c r="O212" i="3"/>
  <c r="M212" i="3" s="1"/>
  <c r="P212" i="3" s="1"/>
  <c r="O241" i="3"/>
  <c r="M241" i="3" s="1"/>
  <c r="P241" i="3" s="1"/>
  <c r="O131" i="3"/>
  <c r="M131" i="3" s="1"/>
  <c r="P131" i="3" s="1"/>
  <c r="O272" i="3"/>
  <c r="M272" i="3" s="1"/>
  <c r="P272" i="3" s="1"/>
  <c r="O7" i="3"/>
  <c r="L7" i="3" s="1"/>
  <c r="M7" i="3" s="1"/>
  <c r="P7" i="3" s="1"/>
  <c r="J7" i="4" s="1"/>
  <c r="O130" i="3"/>
  <c r="M130" i="3" s="1"/>
  <c r="P130" i="3" s="1"/>
  <c r="O493" i="3"/>
  <c r="M493" i="3" s="1"/>
  <c r="P493" i="3" s="1"/>
  <c r="O348" i="3"/>
  <c r="M348" i="3" s="1"/>
  <c r="P348" i="3" s="1"/>
  <c r="O57" i="3"/>
  <c r="M57" i="3" s="1"/>
  <c r="P57" i="3" s="1"/>
  <c r="O393" i="3"/>
  <c r="M393" i="3" s="1"/>
  <c r="P393" i="3" s="1"/>
  <c r="O118" i="3"/>
  <c r="M118" i="3" s="1"/>
  <c r="P118" i="3" s="1"/>
  <c r="O138" i="3"/>
  <c r="M138" i="3" s="1"/>
  <c r="P138" i="3" s="1"/>
  <c r="O173" i="3"/>
  <c r="M173" i="3" s="1"/>
  <c r="P173" i="3" s="1"/>
  <c r="O280" i="3"/>
  <c r="M280" i="3" s="1"/>
  <c r="P280" i="3" s="1"/>
  <c r="O161" i="3"/>
  <c r="M161" i="3" s="1"/>
  <c r="P161" i="3" s="1"/>
  <c r="O453" i="3"/>
  <c r="M453" i="3" s="1"/>
  <c r="P453" i="3" s="1"/>
  <c r="O488" i="3"/>
  <c r="M488" i="3" s="1"/>
  <c r="P488" i="3" s="1"/>
  <c r="O188" i="3"/>
  <c r="M188" i="3" s="1"/>
  <c r="P188" i="3" s="1"/>
  <c r="O194" i="3"/>
  <c r="M194" i="3" s="1"/>
  <c r="P194" i="3" s="1"/>
  <c r="O133" i="3"/>
  <c r="M133" i="3" s="1"/>
  <c r="P133" i="3" s="1"/>
  <c r="O476" i="3"/>
  <c r="M476" i="3" s="1"/>
  <c r="P476" i="3" s="1"/>
  <c r="O190" i="3"/>
  <c r="M190" i="3" s="1"/>
  <c r="P190" i="3" s="1"/>
  <c r="O455" i="3"/>
  <c r="M455" i="3" s="1"/>
  <c r="P455" i="3" s="1"/>
  <c r="O273" i="3"/>
  <c r="M273" i="3" s="1"/>
  <c r="P273" i="3" s="1"/>
  <c r="O293" i="3"/>
  <c r="M293" i="3" s="1"/>
  <c r="P293" i="3" s="1"/>
  <c r="O287" i="3"/>
  <c r="M287" i="3" s="1"/>
  <c r="P287" i="3" s="1"/>
  <c r="O312" i="3"/>
  <c r="M312" i="3" s="1"/>
  <c r="P312" i="3" s="1"/>
  <c r="O137" i="3"/>
  <c r="M137" i="3" s="1"/>
  <c r="P137" i="3" s="1"/>
  <c r="O341" i="3"/>
  <c r="M341" i="3" s="1"/>
  <c r="P341" i="3" s="1"/>
  <c r="O172" i="3"/>
  <c r="M172" i="3" s="1"/>
  <c r="P172" i="3" s="1"/>
  <c r="O271" i="3"/>
  <c r="M271" i="3" s="1"/>
  <c r="P271" i="3" s="1"/>
  <c r="O247" i="3"/>
  <c r="M247" i="3" s="1"/>
  <c r="P247" i="3" s="1"/>
  <c r="O47" i="3"/>
  <c r="M47" i="3" s="1"/>
  <c r="P47" i="3" s="1"/>
  <c r="O302" i="3"/>
  <c r="M302" i="3" s="1"/>
  <c r="P302" i="3" s="1"/>
  <c r="O157" i="3"/>
  <c r="M157" i="3" s="1"/>
  <c r="P157" i="3" s="1"/>
  <c r="O110" i="3"/>
  <c r="M110" i="3" s="1"/>
  <c r="P110" i="3" s="1"/>
  <c r="O117" i="3"/>
  <c r="M117" i="3" s="1"/>
  <c r="P117" i="3" s="1"/>
  <c r="O470" i="3"/>
  <c r="M470" i="3" s="1"/>
  <c r="P470" i="3" s="1"/>
  <c r="O216" i="3"/>
  <c r="M216" i="3" s="1"/>
  <c r="P216" i="3" s="1"/>
  <c r="O282" i="3"/>
  <c r="M282" i="3" s="1"/>
  <c r="P282" i="3" s="1"/>
  <c r="O12" i="3"/>
  <c r="M12" i="3" s="1"/>
  <c r="P12" i="3" s="1"/>
  <c r="O328" i="3"/>
  <c r="M328" i="3" s="1"/>
  <c r="P328" i="3" s="1"/>
  <c r="O388" i="3"/>
  <c r="M388" i="3" s="1"/>
  <c r="P388" i="3" s="1"/>
  <c r="O224" i="3"/>
  <c r="M224" i="3" s="1"/>
  <c r="P224" i="3" s="1"/>
  <c r="O56" i="3"/>
  <c r="M56" i="3" s="1"/>
  <c r="P56" i="3" s="1"/>
  <c r="O487" i="3"/>
  <c r="M487" i="3" s="1"/>
  <c r="P487" i="3" s="1"/>
  <c r="O120" i="3"/>
  <c r="M120" i="3" s="1"/>
  <c r="P120" i="3" s="1"/>
  <c r="O205" i="3"/>
  <c r="M205" i="3" s="1"/>
  <c r="P205" i="3" s="1"/>
  <c r="O54" i="3"/>
  <c r="M54" i="3" s="1"/>
  <c r="P54" i="3" s="1"/>
  <c r="O377" i="3"/>
  <c r="M377" i="3" s="1"/>
  <c r="P377" i="3" s="1"/>
  <c r="O477" i="3"/>
  <c r="M477" i="3" s="1"/>
  <c r="P477" i="3" s="1"/>
  <c r="O160" i="3"/>
  <c r="M160" i="3" s="1"/>
  <c r="P160" i="3" s="1"/>
  <c r="O9" i="3"/>
  <c r="M9" i="3" s="1"/>
  <c r="P9" i="3" s="1"/>
  <c r="O342" i="3"/>
  <c r="M342" i="3" s="1"/>
  <c r="P342" i="3" s="1"/>
  <c r="O375" i="3"/>
  <c r="M375" i="3" s="1"/>
  <c r="P375" i="3" s="1"/>
  <c r="O53" i="3"/>
  <c r="M53" i="3" s="1"/>
  <c r="P53" i="3" s="1"/>
  <c r="O223" i="3"/>
  <c r="M223" i="3" s="1"/>
  <c r="P223" i="3" s="1"/>
  <c r="O379" i="3"/>
  <c r="M379" i="3" s="1"/>
  <c r="P379" i="3" s="1"/>
  <c r="O475" i="3"/>
  <c r="M475" i="3" s="1"/>
  <c r="P475" i="3" s="1"/>
  <c r="O304" i="3"/>
  <c r="M304" i="3" s="1"/>
  <c r="P304" i="3" s="1"/>
  <c r="O257" i="3"/>
  <c r="M257" i="3" s="1"/>
  <c r="P257" i="3" s="1"/>
  <c r="O186" i="3"/>
  <c r="M186" i="3" s="1"/>
  <c r="P186" i="3" s="1"/>
  <c r="O468" i="3"/>
  <c r="M468" i="3" s="1"/>
  <c r="P468" i="3" s="1"/>
  <c r="O246" i="3"/>
  <c r="M246" i="3" s="1"/>
  <c r="P246" i="3" s="1"/>
  <c r="O483" i="3"/>
  <c r="M483" i="3" s="1"/>
  <c r="P483" i="3" s="1"/>
  <c r="O392" i="3"/>
  <c r="M392" i="3" s="1"/>
  <c r="P392" i="3" s="1"/>
  <c r="O437" i="3"/>
  <c r="M437" i="3" s="1"/>
  <c r="P437" i="3" s="1"/>
  <c r="O350" i="3"/>
  <c r="M350" i="3" s="1"/>
  <c r="P350" i="3" s="1"/>
  <c r="O200" i="3"/>
  <c r="M200" i="3" s="1"/>
  <c r="P200" i="3" s="1"/>
  <c r="O73" i="3"/>
  <c r="M73" i="3" s="1"/>
  <c r="P73" i="3" s="1"/>
  <c r="O19" i="3"/>
  <c r="M19" i="3" s="1"/>
  <c r="P19" i="3" s="1"/>
  <c r="O126" i="3"/>
  <c r="M126" i="3" s="1"/>
  <c r="P126" i="3" s="1"/>
  <c r="O411" i="3"/>
  <c r="M411" i="3" s="1"/>
  <c r="P411" i="3" s="1"/>
  <c r="O128" i="3"/>
  <c r="M128" i="3" s="1"/>
  <c r="P128" i="3" s="1"/>
  <c r="O129" i="3"/>
  <c r="M129" i="3" s="1"/>
  <c r="P129" i="3" s="1"/>
  <c r="O163" i="3"/>
  <c r="M163" i="3" s="1"/>
  <c r="P163" i="3" s="1"/>
  <c r="O314" i="3"/>
  <c r="M314" i="3" s="1"/>
  <c r="P314" i="3" s="1"/>
  <c r="O202" i="3"/>
  <c r="M202" i="3" s="1"/>
  <c r="P202" i="3" s="1"/>
  <c r="O210" i="3"/>
  <c r="M210" i="3" s="1"/>
  <c r="P210" i="3" s="1"/>
  <c r="O234" i="3"/>
  <c r="M234" i="3" s="1"/>
  <c r="P234" i="3" s="1"/>
  <c r="O403" i="3"/>
  <c r="M403" i="3" s="1"/>
  <c r="P403" i="3" s="1"/>
  <c r="O497" i="3"/>
  <c r="M497" i="3" s="1"/>
  <c r="P497" i="3" s="1"/>
  <c r="O299" i="3"/>
  <c r="M299" i="3" s="1"/>
  <c r="P299" i="3" s="1"/>
  <c r="O335" i="3"/>
  <c r="M335" i="3" s="1"/>
  <c r="P335" i="3" s="1"/>
  <c r="O11" i="3"/>
  <c r="M11" i="3" s="1"/>
  <c r="P11" i="3" s="1"/>
  <c r="O226" i="3"/>
  <c r="M226" i="3" s="1"/>
  <c r="P226" i="3" s="1"/>
  <c r="O142" i="3"/>
  <c r="M142" i="3" s="1"/>
  <c r="P142" i="3" s="1"/>
  <c r="O222" i="3"/>
  <c r="M222" i="3" s="1"/>
  <c r="P222" i="3" s="1"/>
  <c r="O113" i="3"/>
  <c r="M113" i="3" s="1"/>
  <c r="P113" i="3" s="1"/>
  <c r="O230" i="3"/>
  <c r="M230" i="3" s="1"/>
  <c r="P230" i="3" s="1"/>
  <c r="O125" i="3"/>
  <c r="M125" i="3" s="1"/>
  <c r="P125" i="3" s="1"/>
  <c r="O353" i="3"/>
  <c r="M353" i="3" s="1"/>
  <c r="P353" i="3" s="1"/>
  <c r="O76" i="3"/>
  <c r="M76" i="3" s="1"/>
  <c r="P76" i="3" s="1"/>
  <c r="O127" i="3"/>
  <c r="M127" i="3" s="1"/>
  <c r="P127" i="3" s="1"/>
  <c r="O33" i="3"/>
  <c r="M33" i="3" s="1"/>
  <c r="P33" i="3" s="1"/>
  <c r="O39" i="3"/>
  <c r="M39" i="3" s="1"/>
  <c r="P39" i="3" s="1"/>
  <c r="O451" i="3"/>
  <c r="M451" i="3" s="1"/>
  <c r="P451" i="3" s="1"/>
  <c r="O225" i="3"/>
  <c r="M225" i="3" s="1"/>
  <c r="P225" i="3" s="1"/>
  <c r="F6" i="4"/>
  <c r="O256" i="3"/>
  <c r="M256" i="3" s="1"/>
  <c r="P256" i="3" s="1"/>
  <c r="O206" i="3"/>
  <c r="M206" i="3" s="1"/>
  <c r="P206" i="3" s="1"/>
  <c r="O14" i="3"/>
  <c r="M14" i="3" s="1"/>
  <c r="P14" i="3" s="1"/>
  <c r="O115" i="3"/>
  <c r="M115" i="3" s="1"/>
  <c r="P115" i="3" s="1"/>
  <c r="O300" i="3"/>
  <c r="M300" i="3" s="1"/>
  <c r="P300" i="3" s="1"/>
  <c r="O440" i="3"/>
  <c r="M440" i="3" s="1"/>
  <c r="P440" i="3" s="1"/>
  <c r="O288" i="3"/>
  <c r="M288" i="3" s="1"/>
  <c r="P288" i="3" s="1"/>
  <c r="O406" i="3"/>
  <c r="M406" i="3" s="1"/>
  <c r="P406" i="3" s="1"/>
  <c r="O143" i="3"/>
  <c r="M143" i="3" s="1"/>
  <c r="P143" i="3" s="1"/>
  <c r="O278" i="3"/>
  <c r="M278" i="3" s="1"/>
  <c r="P278" i="3" s="1"/>
  <c r="O380" i="3"/>
  <c r="M380" i="3" s="1"/>
  <c r="P380" i="3" s="1"/>
  <c r="O499" i="3"/>
  <c r="M499" i="3" s="1"/>
  <c r="P499" i="3" s="1"/>
  <c r="O152" i="3"/>
  <c r="M152" i="3" s="1"/>
  <c r="P152" i="3" s="1"/>
  <c r="O214" i="3"/>
  <c r="M214" i="3" s="1"/>
  <c r="P214" i="3" s="1"/>
  <c r="O410" i="3"/>
  <c r="M410" i="3" s="1"/>
  <c r="P410" i="3" s="1"/>
  <c r="O261" i="3"/>
  <c r="M261" i="3" s="1"/>
  <c r="P261" i="3" s="1"/>
  <c r="O381" i="3"/>
  <c r="M381" i="3" s="1"/>
  <c r="P381" i="3" s="1"/>
  <c r="O236" i="3"/>
  <c r="M236" i="3" s="1"/>
  <c r="P236" i="3" s="1"/>
  <c r="O400" i="3"/>
  <c r="M400" i="3" s="1"/>
  <c r="P400" i="3" s="1"/>
  <c r="O50" i="3"/>
  <c r="M50" i="3" s="1"/>
  <c r="P50" i="3" s="1"/>
  <c r="O266" i="3"/>
  <c r="M266" i="3" s="1"/>
  <c r="P266" i="3" s="1"/>
  <c r="O62" i="3"/>
  <c r="M62" i="3" s="1"/>
  <c r="P62" i="3" s="1"/>
  <c r="O147" i="3"/>
  <c r="M147" i="3" s="1"/>
  <c r="P147" i="3" s="1"/>
  <c r="O268" i="3"/>
  <c r="M268" i="3" s="1"/>
  <c r="P268" i="3" s="1"/>
  <c r="O448" i="3"/>
  <c r="M448" i="3" s="1"/>
  <c r="P448" i="3" s="1"/>
  <c r="O383" i="3"/>
  <c r="M383" i="3" s="1"/>
  <c r="P383" i="3" s="1"/>
  <c r="O139" i="3"/>
  <c r="M139" i="3" s="1"/>
  <c r="P139" i="3" s="1"/>
  <c r="O326" i="3"/>
  <c r="M326" i="3" s="1"/>
  <c r="P326" i="3" s="1"/>
  <c r="O384" i="3"/>
  <c r="M384" i="3" s="1"/>
  <c r="P384" i="3" s="1"/>
  <c r="O322" i="3"/>
  <c r="M322" i="3" s="1"/>
  <c r="P322" i="3" s="1"/>
  <c r="O124" i="3"/>
  <c r="M124" i="3" s="1"/>
  <c r="P124" i="3" s="1"/>
  <c r="O215" i="3"/>
  <c r="M215" i="3" s="1"/>
  <c r="P215" i="3" s="1"/>
  <c r="O108" i="3"/>
  <c r="M108" i="3" s="1"/>
  <c r="P108" i="3" s="1"/>
  <c r="O68" i="3"/>
  <c r="M68" i="3" s="1"/>
  <c r="P68" i="3" s="1"/>
  <c r="O21" i="3"/>
  <c r="M21" i="3" s="1"/>
  <c r="P21" i="3" s="1"/>
  <c r="O418" i="3"/>
  <c r="M418" i="3" s="1"/>
  <c r="P418" i="3" s="1"/>
  <c r="O100" i="3"/>
  <c r="M100" i="3" s="1"/>
  <c r="P100" i="3" s="1"/>
  <c r="O346" i="3"/>
  <c r="M346" i="3" s="1"/>
  <c r="P346" i="3" s="1"/>
  <c r="O85" i="3"/>
  <c r="M85" i="3" s="1"/>
  <c r="P85" i="3" s="1"/>
  <c r="O180" i="3"/>
  <c r="M180" i="3" s="1"/>
  <c r="P180" i="3" s="1"/>
  <c r="O38" i="3"/>
  <c r="M38" i="3" s="1"/>
  <c r="P38" i="3" s="1"/>
  <c r="O81" i="3"/>
  <c r="M81" i="3" s="1"/>
  <c r="P81" i="3" s="1"/>
  <c r="O313" i="3"/>
  <c r="M313" i="3" s="1"/>
  <c r="P313" i="3" s="1"/>
  <c r="O22" i="3"/>
  <c r="M22" i="3" s="1"/>
  <c r="P22" i="3" s="1"/>
  <c r="O25" i="3"/>
  <c r="L25" i="3" s="1"/>
  <c r="M25" i="3" s="1"/>
  <c r="P25" i="3" s="1"/>
  <c r="O69" i="3"/>
  <c r="M69" i="3" s="1"/>
  <c r="P69" i="3" s="1"/>
  <c r="O20" i="3"/>
  <c r="M20" i="3" s="1"/>
  <c r="P20" i="3" s="1"/>
  <c r="O24" i="3"/>
  <c r="L24" i="3" s="1"/>
  <c r="M24" i="3" s="1"/>
  <c r="P24" i="3" s="1"/>
  <c r="O31" i="3"/>
  <c r="M31" i="3" s="1"/>
  <c r="P31" i="3" s="1"/>
  <c r="O26" i="3"/>
  <c r="M26" i="3" s="1"/>
  <c r="P26" i="3" s="1"/>
  <c r="O27" i="3"/>
  <c r="L27" i="3" s="1"/>
  <c r="M27" i="3" s="1"/>
  <c r="P27" i="3" s="1"/>
  <c r="O28" i="3"/>
  <c r="M28" i="3" s="1"/>
  <c r="P28" i="3" s="1"/>
  <c r="O29" i="3"/>
  <c r="M29" i="3" s="1"/>
  <c r="P29" i="3" s="1"/>
  <c r="O23" i="3"/>
  <c r="M23" i="3" s="1"/>
  <c r="P23" i="3" s="1"/>
  <c r="O30" i="3"/>
  <c r="M30" i="3" s="1"/>
  <c r="P30" i="3" s="1"/>
  <c r="D7" i="4" l="1"/>
  <c r="H7" i="4"/>
  <c r="B8" i="4" s="1"/>
  <c r="F7" i="4"/>
  <c r="G7" i="4"/>
  <c r="K7" i="4" s="1"/>
  <c r="E7" i="4"/>
  <c r="C7" i="4"/>
  <c r="I7" i="4" s="1"/>
  <c r="H8" i="4" l="1"/>
  <c r="B9" i="4" s="1"/>
  <c r="F8" i="4"/>
  <c r="C8" i="4"/>
  <c r="D8" i="4"/>
  <c r="J8" i="4"/>
  <c r="E8" i="4"/>
  <c r="G8" i="4"/>
  <c r="K8" i="4" s="1"/>
  <c r="I8" i="4" l="1"/>
  <c r="H9" i="4"/>
  <c r="I9" i="4" s="1"/>
  <c r="K9" i="4" s="1"/>
  <c r="G9" i="4"/>
  <c r="F9" i="4"/>
  <c r="E9" i="4"/>
  <c r="D9" i="4"/>
  <c r="C9" i="4"/>
  <c r="J9" i="4"/>
  <c r="B10" i="4" l="1"/>
  <c r="C10" i="4" l="1"/>
  <c r="F10" i="4"/>
  <c r="J10" i="4"/>
  <c r="E10" i="4"/>
  <c r="H10" i="4"/>
  <c r="B11" i="4" s="1"/>
  <c r="G10" i="4"/>
  <c r="K10" i="4" s="1"/>
  <c r="D10" i="4"/>
  <c r="E11" i="4" l="1"/>
  <c r="C11" i="4"/>
  <c r="J11" i="4"/>
  <c r="H11" i="4"/>
  <c r="B12" i="4" s="1"/>
  <c r="G11" i="4"/>
  <c r="F11" i="4"/>
  <c r="D11" i="4"/>
  <c r="I11" i="4"/>
  <c r="K11" i="4" s="1"/>
  <c r="I10" i="4"/>
  <c r="F12" i="4" l="1"/>
  <c r="J12" i="4"/>
  <c r="H12" i="4"/>
  <c r="B13" i="4" s="1"/>
  <c r="E12" i="4"/>
  <c r="C12" i="4"/>
  <c r="G12" i="4"/>
  <c r="D12" i="4"/>
  <c r="I12" i="4"/>
  <c r="K12" i="4" s="1"/>
  <c r="G13" i="4" l="1"/>
  <c r="J13" i="4"/>
  <c r="H13" i="4"/>
  <c r="D13" i="4"/>
  <c r="E13" i="4"/>
  <c r="C13" i="4"/>
  <c r="F13" i="4"/>
  <c r="B14" i="4"/>
  <c r="I13" i="4"/>
  <c r="K13" i="4" s="1"/>
  <c r="E14" i="4" l="1"/>
  <c r="C14" i="4"/>
  <c r="D14" i="4"/>
  <c r="F14" i="4"/>
  <c r="H14" i="4"/>
  <c r="B15" i="4" s="1"/>
  <c r="J14" i="4"/>
  <c r="G14" i="4"/>
  <c r="I14" i="4" l="1"/>
  <c r="K14" i="4" s="1"/>
  <c r="D15" i="4"/>
  <c r="J15" i="4"/>
  <c r="H15" i="4"/>
  <c r="C15" i="4"/>
  <c r="E15" i="4"/>
  <c r="F15" i="4"/>
  <c r="G15" i="4"/>
  <c r="I15" i="4"/>
  <c r="K15" i="4" s="1"/>
  <c r="B16" i="4"/>
  <c r="E16" i="4" l="1"/>
  <c r="H16" i="4"/>
  <c r="B17" i="4" s="1"/>
  <c r="C16" i="4"/>
  <c r="D16" i="4"/>
  <c r="F16" i="4"/>
  <c r="G16" i="4"/>
  <c r="J16" i="4"/>
  <c r="I16" i="4"/>
  <c r="K16" i="4" s="1"/>
  <c r="C17" i="4" l="1"/>
  <c r="E17" i="4"/>
  <c r="F17" i="4"/>
  <c r="D17" i="4"/>
  <c r="G17" i="4"/>
  <c r="H17" i="4"/>
  <c r="B18" i="4" s="1"/>
  <c r="J17" i="4"/>
  <c r="E18" i="4" l="1"/>
  <c r="J18" i="4"/>
  <c r="F18" i="4"/>
  <c r="C18" i="4"/>
  <c r="D18" i="4"/>
  <c r="G18" i="4"/>
  <c r="H18" i="4"/>
  <c r="B19" i="4" s="1"/>
  <c r="I17" i="4"/>
  <c r="K17" i="4" s="1"/>
  <c r="C19" i="4" l="1"/>
  <c r="F19" i="4"/>
  <c r="E19" i="4"/>
  <c r="J19" i="4"/>
  <c r="D19" i="4"/>
  <c r="H19" i="4"/>
  <c r="I19" i="4" s="1"/>
  <c r="G19" i="4"/>
  <c r="K19" i="4"/>
  <c r="B20" i="4"/>
  <c r="I18" i="4"/>
  <c r="K18" i="4" s="1"/>
  <c r="H20" i="4" l="1"/>
  <c r="E20" i="4"/>
  <c r="J20" i="4"/>
  <c r="B21" i="4"/>
  <c r="G20" i="4"/>
  <c r="F20" i="4"/>
  <c r="C20" i="4"/>
  <c r="I20" i="4" s="1"/>
  <c r="D20" i="4"/>
  <c r="K20" i="4"/>
  <c r="C21" i="4" l="1"/>
  <c r="G21" i="4"/>
  <c r="F21" i="4"/>
  <c r="J21" i="4"/>
  <c r="H21" i="4"/>
  <c r="I21" i="4" s="1"/>
  <c r="D21" i="4"/>
  <c r="E21" i="4"/>
  <c r="K21" i="4"/>
  <c r="B22" i="4"/>
  <c r="D22" i="4" l="1"/>
  <c r="H22" i="4"/>
  <c r="B23" i="4" s="1"/>
  <c r="E22" i="4"/>
  <c r="C22" i="4"/>
  <c r="J22" i="4"/>
  <c r="F22" i="4"/>
  <c r="G22" i="4"/>
  <c r="K22" i="4" s="1"/>
  <c r="I22" i="4"/>
  <c r="G23" i="4" l="1"/>
  <c r="K23" i="4" s="1"/>
  <c r="D23" i="4"/>
  <c r="J23" i="4"/>
  <c r="F23" i="4"/>
  <c r="C23" i="4"/>
  <c r="E23" i="4"/>
  <c r="H23" i="4"/>
  <c r="B24" i="4" s="1"/>
  <c r="I23" i="4" l="1"/>
  <c r="E24" i="4"/>
  <c r="H24" i="4"/>
  <c r="B25" i="4" s="1"/>
  <c r="J24" i="4"/>
  <c r="D24" i="4"/>
  <c r="F24" i="4"/>
  <c r="C24" i="4"/>
  <c r="G24" i="4"/>
  <c r="I24" i="4"/>
  <c r="K24" i="4" s="1"/>
  <c r="C25" i="4" l="1"/>
  <c r="D25" i="4"/>
  <c r="F25" i="4"/>
  <c r="J25" i="4"/>
  <c r="H25" i="4"/>
  <c r="B26" i="4" s="1"/>
  <c r="G25" i="4"/>
  <c r="E25" i="4"/>
  <c r="I25" i="4"/>
  <c r="K25" i="4" s="1"/>
  <c r="E26" i="4" l="1"/>
  <c r="H26" i="4"/>
  <c r="B27" i="4" s="1"/>
  <c r="G26" i="4"/>
  <c r="F26" i="4"/>
  <c r="J26" i="4"/>
  <c r="C26" i="4"/>
  <c r="D26" i="4"/>
  <c r="I26" i="4"/>
  <c r="K26" i="4" s="1"/>
  <c r="E27" i="4" l="1"/>
  <c r="D27" i="4"/>
  <c r="J27" i="4"/>
  <c r="C27" i="4"/>
  <c r="F27" i="4"/>
  <c r="H27" i="4"/>
  <c r="B28" i="4" s="1"/>
  <c r="G27" i="4"/>
  <c r="I27" i="4"/>
  <c r="K27" i="4" s="1"/>
  <c r="C28" i="4" l="1"/>
  <c r="H28" i="4"/>
  <c r="B29" i="4" s="1"/>
  <c r="J28" i="4"/>
  <c r="G28" i="4"/>
  <c r="E28" i="4"/>
  <c r="D28" i="4"/>
  <c r="F28" i="4"/>
  <c r="I28" i="4"/>
  <c r="K28" i="4" s="1"/>
  <c r="F29" i="4" l="1"/>
  <c r="E29" i="4"/>
  <c r="H29" i="4"/>
  <c r="B30" i="4" s="1"/>
  <c r="D29" i="4"/>
  <c r="G29" i="4"/>
  <c r="C29" i="4"/>
  <c r="J29" i="4"/>
  <c r="I29" i="4"/>
  <c r="K29" i="4" s="1"/>
  <c r="G30" i="4" l="1"/>
  <c r="J30" i="4"/>
  <c r="C30" i="4"/>
  <c r="D30" i="4"/>
  <c r="F30" i="4"/>
  <c r="H30" i="4"/>
  <c r="B31" i="4" s="1"/>
  <c r="E30" i="4"/>
  <c r="I30" i="4"/>
  <c r="K30" i="4" s="1"/>
  <c r="C31" i="4" l="1"/>
  <c r="I31" i="4" s="1"/>
  <c r="J31" i="4"/>
  <c r="B32" i="4"/>
  <c r="E31" i="4"/>
  <c r="K31" i="4"/>
  <c r="F31" i="4"/>
  <c r="H31" i="4"/>
  <c r="D31" i="4"/>
  <c r="G31" i="4"/>
  <c r="F32" i="4" l="1"/>
  <c r="C32" i="4"/>
  <c r="I32" i="4" s="1"/>
  <c r="D32" i="4"/>
  <c r="G32" i="4"/>
  <c r="J32" i="4"/>
  <c r="K32" i="4"/>
  <c r="H32" i="4"/>
  <c r="B33" i="4"/>
  <c r="E32" i="4"/>
  <c r="D33" i="4" l="1"/>
  <c r="J33" i="4"/>
  <c r="B34" i="4"/>
  <c r="E33" i="4"/>
  <c r="C33" i="4"/>
  <c r="I33" i="4" s="1"/>
  <c r="K33" i="4"/>
  <c r="F33" i="4"/>
  <c r="H33" i="4"/>
  <c r="G33" i="4"/>
  <c r="H34" i="4" l="1"/>
  <c r="K34" i="4"/>
  <c r="E34" i="4"/>
  <c r="J34" i="4"/>
  <c r="B35" i="4"/>
  <c r="D34" i="4"/>
  <c r="C34" i="4"/>
  <c r="I34" i="4" s="1"/>
  <c r="F34" i="4"/>
  <c r="G34" i="4"/>
  <c r="B36" i="4" l="1"/>
  <c r="J35" i="4"/>
  <c r="E35" i="4"/>
  <c r="H35" i="4"/>
  <c r="C35" i="4"/>
  <c r="I35" i="4" s="1"/>
  <c r="G35" i="4"/>
  <c r="K35" i="4"/>
  <c r="D35" i="4"/>
  <c r="F35" i="4"/>
  <c r="D36" i="4" l="1"/>
  <c r="E36" i="4"/>
  <c r="G36" i="4"/>
  <c r="B37" i="4"/>
  <c r="H36" i="4"/>
  <c r="C36" i="4"/>
  <c r="I36" i="4" s="1"/>
  <c r="K36" i="4"/>
  <c r="F36" i="4"/>
  <c r="J36" i="4"/>
  <c r="B38" i="4" l="1"/>
  <c r="C37" i="4"/>
  <c r="I37" i="4" s="1"/>
  <c r="E37" i="4"/>
  <c r="J37" i="4"/>
  <c r="D37" i="4"/>
  <c r="G37" i="4"/>
  <c r="K37" i="4"/>
  <c r="H37" i="4"/>
  <c r="F37" i="4"/>
  <c r="B39" i="4" l="1"/>
  <c r="J38" i="4"/>
  <c r="D38" i="4"/>
  <c r="H38" i="4"/>
  <c r="K38" i="4"/>
  <c r="G38" i="4"/>
  <c r="F38" i="4"/>
  <c r="E38" i="4"/>
  <c r="C38" i="4"/>
  <c r="I38" i="4" s="1"/>
  <c r="C39" i="4" l="1"/>
  <c r="I39" i="4" s="1"/>
  <c r="H39" i="4"/>
  <c r="E39" i="4"/>
  <c r="K39" i="4"/>
  <c r="G39" i="4"/>
  <c r="D39" i="4"/>
  <c r="J39" i="4"/>
  <c r="F39" i="4"/>
  <c r="B40" i="4"/>
  <c r="H40" i="4" l="1"/>
  <c r="K40" i="4"/>
  <c r="D40" i="4"/>
  <c r="J40" i="4"/>
  <c r="B41" i="4"/>
  <c r="E40" i="4"/>
  <c r="C40" i="4"/>
  <c r="I40" i="4" s="1"/>
  <c r="G40" i="4"/>
  <c r="F40" i="4"/>
  <c r="E41" i="4" l="1"/>
  <c r="C41" i="4"/>
  <c r="I41" i="4" s="1"/>
  <c r="G41" i="4"/>
  <c r="J41" i="4"/>
  <c r="F41" i="4"/>
  <c r="B42" i="4"/>
  <c r="D41" i="4"/>
  <c r="K41" i="4"/>
  <c r="H41" i="4"/>
  <c r="C42" i="4" l="1"/>
  <c r="I42" i="4" s="1"/>
  <c r="H42" i="4"/>
  <c r="E42" i="4"/>
  <c r="G42" i="4"/>
  <c r="K42" i="4"/>
  <c r="D42" i="4"/>
  <c r="J42" i="4"/>
  <c r="B43" i="4"/>
  <c r="F42" i="4"/>
  <c r="E43" i="4" l="1"/>
  <c r="C43" i="4"/>
  <c r="I43" i="4" s="1"/>
  <c r="D43" i="4"/>
  <c r="B44" i="4"/>
  <c r="F43" i="4"/>
  <c r="K43" i="4"/>
  <c r="H43" i="4"/>
  <c r="J43" i="4"/>
  <c r="G43" i="4"/>
  <c r="K44" i="4" l="1"/>
  <c r="D44" i="4"/>
  <c r="B45" i="4"/>
  <c r="J44" i="4"/>
  <c r="C44" i="4"/>
  <c r="I44" i="4" s="1"/>
  <c r="E44" i="4"/>
  <c r="H44" i="4"/>
  <c r="G44" i="4"/>
  <c r="F44" i="4"/>
  <c r="G45" i="4" l="1"/>
  <c r="J45" i="4"/>
  <c r="H45" i="4"/>
  <c r="E45" i="4"/>
  <c r="D45" i="4"/>
  <c r="B46" i="4"/>
  <c r="F45" i="4"/>
  <c r="C45" i="4"/>
  <c r="K45" i="4"/>
  <c r="I45" i="4"/>
  <c r="K46" i="4" l="1"/>
  <c r="F46" i="4"/>
  <c r="J46" i="4"/>
  <c r="C46" i="4"/>
  <c r="I46" i="4" s="1"/>
  <c r="E46" i="4"/>
  <c r="H46" i="4"/>
  <c r="B47" i="4"/>
  <c r="G46" i="4"/>
  <c r="D46" i="4"/>
  <c r="E47" i="4" l="1"/>
  <c r="F47" i="4"/>
  <c r="J47" i="4"/>
  <c r="D47" i="4"/>
  <c r="G47" i="4"/>
  <c r="K47" i="4"/>
  <c r="H47" i="4"/>
  <c r="B48" i="4"/>
  <c r="C47" i="4"/>
  <c r="I47" i="4" s="1"/>
  <c r="K48" i="4" l="1"/>
  <c r="C48" i="4"/>
  <c r="I48" i="4" s="1"/>
  <c r="D48" i="4"/>
  <c r="F48" i="4"/>
  <c r="E48" i="4"/>
  <c r="H48" i="4"/>
  <c r="B49" i="4"/>
  <c r="G48" i="4"/>
  <c r="J48" i="4"/>
  <c r="E49" i="4" l="1"/>
  <c r="C49" i="4"/>
  <c r="I49" i="4" s="1"/>
  <c r="J49" i="4"/>
  <c r="K49" i="4"/>
  <c r="F49" i="4"/>
  <c r="G49" i="4"/>
  <c r="B50" i="4"/>
  <c r="D49" i="4"/>
  <c r="H49" i="4"/>
  <c r="D50" i="4" l="1"/>
  <c r="F50" i="4"/>
  <c r="K50" i="4"/>
  <c r="H50" i="4"/>
  <c r="G50" i="4"/>
  <c r="E50" i="4"/>
  <c r="B51" i="4"/>
  <c r="C50" i="4"/>
  <c r="I50" i="4" s="1"/>
  <c r="J50" i="4"/>
  <c r="J51" i="4" l="1"/>
  <c r="B52" i="4"/>
  <c r="H51" i="4"/>
  <c r="C51" i="4"/>
  <c r="F51" i="4"/>
  <c r="G51" i="4"/>
  <c r="K51" i="4"/>
  <c r="E51" i="4"/>
  <c r="D51" i="4"/>
  <c r="I51" i="4"/>
  <c r="J52" i="4" l="1"/>
  <c r="D52" i="4"/>
  <c r="E52" i="4"/>
  <c r="G52" i="4"/>
  <c r="B53" i="4"/>
  <c r="K52" i="4"/>
  <c r="F52" i="4"/>
  <c r="C52" i="4"/>
  <c r="I52" i="4" s="1"/>
  <c r="H52" i="4"/>
  <c r="F53" i="4" l="1"/>
  <c r="G53" i="4"/>
  <c r="B54" i="4"/>
  <c r="D53" i="4"/>
  <c r="K53" i="4"/>
  <c r="E53" i="4"/>
  <c r="C53" i="4"/>
  <c r="I53" i="4" s="1"/>
  <c r="H53" i="4"/>
  <c r="J53" i="4"/>
  <c r="B55" i="4" l="1"/>
  <c r="K54" i="4"/>
  <c r="F54" i="4"/>
  <c r="C54" i="4"/>
  <c r="I54" i="4" s="1"/>
  <c r="G54" i="4"/>
  <c r="E54" i="4"/>
  <c r="H54" i="4"/>
  <c r="D54" i="4"/>
  <c r="J54" i="4"/>
  <c r="H55" i="4" l="1"/>
  <c r="D55" i="4"/>
  <c r="G55" i="4"/>
  <c r="K55" i="4"/>
  <c r="J55" i="4"/>
  <c r="F55" i="4"/>
  <c r="B56" i="4"/>
  <c r="E55" i="4"/>
  <c r="C55" i="4"/>
  <c r="I55" i="4" s="1"/>
  <c r="K56" i="4" l="1"/>
  <c r="B57" i="4"/>
  <c r="C56" i="4"/>
  <c r="I56" i="4" s="1"/>
  <c r="F56" i="4"/>
  <c r="E56" i="4"/>
  <c r="H56" i="4"/>
  <c r="G56" i="4"/>
  <c r="J56" i="4"/>
  <c r="D56" i="4"/>
  <c r="D57" i="4" l="1"/>
  <c r="J57" i="4"/>
  <c r="K57" i="4"/>
  <c r="E57" i="4"/>
  <c r="B58" i="4"/>
  <c r="F57" i="4"/>
  <c r="C57" i="4"/>
  <c r="I57" i="4" s="1"/>
  <c r="H57" i="4"/>
  <c r="G57" i="4"/>
  <c r="K58" i="4" l="1"/>
  <c r="D58" i="4"/>
  <c r="C58" i="4"/>
  <c r="I58" i="4" s="1"/>
  <c r="E58" i="4"/>
  <c r="J58" i="4"/>
  <c r="H58" i="4"/>
  <c r="B59" i="4"/>
  <c r="F58" i="4"/>
  <c r="G58" i="4"/>
  <c r="H59" i="4" l="1"/>
  <c r="G59" i="4"/>
  <c r="D59" i="4"/>
  <c r="B60" i="4"/>
  <c r="E59" i="4"/>
  <c r="J59" i="4"/>
  <c r="F59" i="4"/>
  <c r="C59" i="4"/>
  <c r="I59" i="4" s="1"/>
  <c r="K59" i="4"/>
  <c r="F60" i="4" l="1"/>
  <c r="H60" i="4"/>
  <c r="J60" i="4"/>
  <c r="C60" i="4"/>
  <c r="I60" i="4" s="1"/>
  <c r="D60" i="4"/>
  <c r="G60" i="4"/>
  <c r="K60" i="4"/>
  <c r="E60" i="4"/>
  <c r="B61" i="4"/>
  <c r="C61" i="4" l="1"/>
  <c r="I61" i="4" s="1"/>
  <c r="H61" i="4"/>
  <c r="E61" i="4"/>
  <c r="G61" i="4"/>
  <c r="J61" i="4"/>
  <c r="F61" i="4"/>
  <c r="D61" i="4"/>
  <c r="B62" i="4"/>
  <c r="K61" i="4"/>
  <c r="F62" i="4" l="1"/>
  <c r="H62" i="4"/>
  <c r="D62" i="4"/>
  <c r="G62" i="4"/>
  <c r="J62" i="4"/>
  <c r="C62" i="4"/>
  <c r="I62" i="4" s="1"/>
  <c r="E62" i="4"/>
  <c r="K62" i="4"/>
  <c r="B63" i="4"/>
  <c r="D63" i="4" l="1"/>
  <c r="K63" i="4"/>
  <c r="C63" i="4"/>
  <c r="I63" i="4" s="1"/>
  <c r="B64" i="4"/>
  <c r="F63" i="4"/>
  <c r="J63" i="4"/>
  <c r="H63" i="4"/>
  <c r="E63" i="4"/>
  <c r="G63" i="4"/>
  <c r="F64" i="4" l="1"/>
  <c r="J64" i="4"/>
  <c r="K64" i="4"/>
  <c r="B65" i="4"/>
  <c r="D64" i="4"/>
  <c r="H64" i="4"/>
  <c r="C64" i="4"/>
  <c r="I64" i="4" s="1"/>
  <c r="E64" i="4"/>
  <c r="G64" i="4"/>
  <c r="D65" i="4" l="1"/>
  <c r="G65" i="4"/>
  <c r="K65" i="4"/>
  <c r="E65" i="4"/>
  <c r="B66" i="4"/>
  <c r="C65" i="4"/>
  <c r="I65" i="4" s="1"/>
  <c r="J65" i="4"/>
  <c r="H65" i="4"/>
  <c r="F65" i="4"/>
  <c r="K66" i="4" l="1"/>
  <c r="F66" i="4"/>
  <c r="J66" i="4"/>
  <c r="H66" i="4"/>
  <c r="D66" i="4"/>
  <c r="C66" i="4"/>
  <c r="I66" i="4" s="1"/>
  <c r="E66" i="4"/>
  <c r="B67" i="4"/>
  <c r="G66" i="4"/>
  <c r="F67" i="4" l="1"/>
  <c r="C67" i="4"/>
  <c r="I67" i="4" s="1"/>
  <c r="D67" i="4"/>
  <c r="H67" i="4"/>
  <c r="K67" i="4"/>
  <c r="J67" i="4"/>
  <c r="G67" i="4"/>
  <c r="B68" i="4"/>
  <c r="E67" i="4"/>
  <c r="K68" i="4" l="1"/>
  <c r="C68" i="4"/>
  <c r="I68" i="4" s="1"/>
  <c r="G68" i="4"/>
  <c r="B69" i="4"/>
  <c r="E68" i="4"/>
  <c r="H68" i="4"/>
  <c r="D68" i="4"/>
  <c r="J68" i="4"/>
  <c r="F68" i="4"/>
  <c r="F69" i="4" l="1"/>
  <c r="J69" i="4"/>
  <c r="C69" i="4"/>
  <c r="I69" i="4" s="1"/>
  <c r="H69" i="4"/>
  <c r="D69" i="4"/>
  <c r="B70" i="4"/>
  <c r="E69" i="4"/>
  <c r="K69" i="4"/>
  <c r="G69" i="4"/>
  <c r="C70" i="4" l="1"/>
  <c r="I70" i="4" s="1"/>
  <c r="K70" i="4"/>
  <c r="B71" i="4"/>
  <c r="F70" i="4"/>
  <c r="H70" i="4"/>
  <c r="D70" i="4"/>
  <c r="J70" i="4"/>
  <c r="E70" i="4"/>
  <c r="G70" i="4"/>
  <c r="D71" i="4" l="1"/>
  <c r="K71" i="4"/>
  <c r="C71" i="4"/>
  <c r="I71" i="4" s="1"/>
  <c r="B72" i="4"/>
  <c r="G71" i="4"/>
  <c r="F71" i="4"/>
  <c r="H71" i="4"/>
  <c r="E71" i="4"/>
  <c r="J71" i="4"/>
  <c r="B73" i="4" l="1"/>
  <c r="H72" i="4"/>
  <c r="D72" i="4"/>
  <c r="F72" i="4"/>
  <c r="C72" i="4"/>
  <c r="I72" i="4" s="1"/>
  <c r="J72" i="4"/>
  <c r="G72" i="4"/>
  <c r="E72" i="4"/>
  <c r="K72" i="4"/>
  <c r="J73" i="4" l="1"/>
  <c r="E73" i="4"/>
  <c r="C73" i="4"/>
  <c r="B74" i="4"/>
  <c r="F73" i="4"/>
  <c r="G73" i="4"/>
  <c r="D73" i="4"/>
  <c r="H73" i="4"/>
  <c r="K73" i="4"/>
  <c r="I73" i="4"/>
  <c r="K74" i="4" l="1"/>
  <c r="G74" i="4"/>
  <c r="C74" i="4"/>
  <c r="I74" i="4" s="1"/>
  <c r="J74" i="4"/>
  <c r="H74" i="4"/>
  <c r="B75" i="4"/>
  <c r="F74" i="4"/>
  <c r="E74" i="4"/>
  <c r="D74" i="4"/>
  <c r="C75" i="4" l="1"/>
  <c r="I75" i="4" s="1"/>
  <c r="D75" i="4"/>
  <c r="E75" i="4"/>
  <c r="B76" i="4"/>
  <c r="K75" i="4"/>
  <c r="F75" i="4"/>
  <c r="H75" i="4"/>
  <c r="J75" i="4"/>
  <c r="G75" i="4"/>
  <c r="J76" i="4" l="1"/>
  <c r="G76" i="4"/>
  <c r="C76" i="4"/>
  <c r="I76" i="4" s="1"/>
  <c r="E76" i="4"/>
  <c r="H76" i="4"/>
  <c r="D76" i="4"/>
  <c r="B77" i="4"/>
  <c r="K76" i="4"/>
  <c r="F76" i="4"/>
  <c r="C77" i="4" l="1"/>
  <c r="I77" i="4" s="1"/>
  <c r="K77" i="4"/>
  <c r="E77" i="4"/>
  <c r="D77" i="4"/>
  <c r="B78" i="4"/>
  <c r="H77" i="4"/>
  <c r="F77" i="4"/>
  <c r="J77" i="4"/>
  <c r="G77" i="4"/>
  <c r="C78" i="4" l="1"/>
  <c r="I78" i="4" s="1"/>
  <c r="D78" i="4"/>
  <c r="G78" i="4"/>
  <c r="H78" i="4"/>
  <c r="E78" i="4"/>
  <c r="B79" i="4"/>
  <c r="F78" i="4"/>
  <c r="J78" i="4"/>
  <c r="K78" i="4"/>
  <c r="K79" i="4" l="1"/>
  <c r="H79" i="4"/>
  <c r="G79" i="4"/>
  <c r="J79" i="4"/>
  <c r="E79" i="4"/>
  <c r="D79" i="4"/>
  <c r="C79" i="4"/>
  <c r="I79" i="4" s="1"/>
  <c r="F79" i="4"/>
  <c r="B80" i="4"/>
  <c r="K80" i="4" l="1"/>
  <c r="H80" i="4"/>
  <c r="D80" i="4"/>
  <c r="J80" i="4"/>
  <c r="C80" i="4"/>
  <c r="I80" i="4" s="1"/>
  <c r="B81" i="4"/>
  <c r="G80" i="4"/>
  <c r="F80" i="4"/>
  <c r="E80" i="4"/>
  <c r="H81" i="4" l="1"/>
  <c r="D81" i="4"/>
  <c r="G81" i="4"/>
  <c r="E81" i="4"/>
  <c r="K81" i="4"/>
  <c r="F81" i="4"/>
  <c r="C81" i="4"/>
  <c r="I81" i="4" s="1"/>
  <c r="B82" i="4"/>
  <c r="J81" i="4"/>
  <c r="K82" i="4" l="1"/>
  <c r="E82" i="4"/>
  <c r="D82" i="4"/>
  <c r="F82" i="4"/>
  <c r="B83" i="4"/>
  <c r="J82" i="4"/>
  <c r="G82" i="4"/>
  <c r="H82" i="4"/>
  <c r="C82" i="4"/>
  <c r="I82" i="4" s="1"/>
  <c r="F83" i="4" l="1"/>
  <c r="G83" i="4"/>
  <c r="D83" i="4"/>
  <c r="C83" i="4"/>
  <c r="I83" i="4" s="1"/>
  <c r="E83" i="4"/>
  <c r="H83" i="4"/>
  <c r="J83" i="4"/>
  <c r="K83" i="4"/>
  <c r="B84" i="4"/>
  <c r="H84" i="4" l="1"/>
  <c r="K84" i="4"/>
  <c r="G84" i="4"/>
  <c r="D84" i="4"/>
  <c r="B85" i="4"/>
  <c r="J84" i="4"/>
  <c r="F84" i="4"/>
  <c r="E84" i="4"/>
  <c r="C84" i="4"/>
  <c r="I84" i="4" s="1"/>
  <c r="H85" i="4" l="1"/>
  <c r="D85" i="4"/>
  <c r="B86" i="4"/>
  <c r="G85" i="4"/>
  <c r="F85" i="4"/>
  <c r="K85" i="4"/>
  <c r="E85" i="4"/>
  <c r="C85" i="4"/>
  <c r="I85" i="4" s="1"/>
  <c r="J85" i="4"/>
  <c r="C86" i="4" l="1"/>
  <c r="I86" i="4" s="1"/>
  <c r="G86" i="4"/>
  <c r="D86" i="4"/>
  <c r="F86" i="4"/>
  <c r="B87" i="4"/>
  <c r="E86" i="4"/>
  <c r="K86" i="4"/>
  <c r="J86" i="4"/>
  <c r="H86" i="4"/>
  <c r="F87" i="4" l="1"/>
  <c r="E87" i="4"/>
  <c r="C87" i="4"/>
  <c r="I87" i="4" s="1"/>
  <c r="K87" i="4"/>
  <c r="H87" i="4"/>
  <c r="G87" i="4"/>
  <c r="D87" i="4"/>
  <c r="B88" i="4"/>
  <c r="J87" i="4"/>
  <c r="D88" i="4" l="1"/>
  <c r="E88" i="4"/>
  <c r="K88" i="4"/>
  <c r="G88" i="4"/>
  <c r="J88" i="4"/>
  <c r="C88" i="4"/>
  <c r="I88" i="4" s="1"/>
  <c r="B89" i="4"/>
  <c r="F88" i="4"/>
  <c r="H88" i="4"/>
  <c r="B90" i="4" l="1"/>
  <c r="G89" i="4"/>
  <c r="K89" i="4"/>
  <c r="H89" i="4"/>
  <c r="J89" i="4"/>
  <c r="D89" i="4"/>
  <c r="C89" i="4"/>
  <c r="I89" i="4" s="1"/>
  <c r="F89" i="4"/>
  <c r="E89" i="4"/>
  <c r="D90" i="4" l="1"/>
  <c r="G90" i="4"/>
  <c r="C90" i="4"/>
  <c r="I90" i="4" s="1"/>
  <c r="K90" i="4"/>
  <c r="E90" i="4"/>
  <c r="B91" i="4"/>
  <c r="H90" i="4"/>
  <c r="J90" i="4"/>
  <c r="F90" i="4"/>
  <c r="G91" i="4" l="1"/>
  <c r="E91" i="4"/>
  <c r="C91" i="4"/>
  <c r="I91" i="4" s="1"/>
  <c r="J91" i="4"/>
  <c r="K91" i="4"/>
  <c r="H91" i="4"/>
  <c r="F91" i="4"/>
  <c r="B92" i="4"/>
  <c r="D91" i="4"/>
  <c r="E92" i="4" l="1"/>
  <c r="K92" i="4"/>
  <c r="G92" i="4"/>
  <c r="F92" i="4"/>
  <c r="C92" i="4"/>
  <c r="I92" i="4" s="1"/>
  <c r="J92" i="4"/>
  <c r="H92" i="4"/>
  <c r="B93" i="4"/>
  <c r="D92" i="4"/>
  <c r="J93" i="4" l="1"/>
  <c r="K93" i="4"/>
  <c r="E93" i="4"/>
  <c r="F93" i="4"/>
  <c r="H93" i="4"/>
  <c r="B94" i="4"/>
  <c r="G93" i="4"/>
  <c r="C93" i="4"/>
  <c r="I93" i="4" s="1"/>
  <c r="D93" i="4"/>
  <c r="K94" i="4" l="1"/>
  <c r="F94" i="4"/>
  <c r="B95" i="4"/>
  <c r="G94" i="4"/>
  <c r="C94" i="4"/>
  <c r="I94" i="4" s="1"/>
  <c r="J94" i="4"/>
  <c r="E94" i="4"/>
  <c r="H94" i="4"/>
  <c r="D94" i="4"/>
  <c r="K95" i="4" l="1"/>
  <c r="J95" i="4"/>
  <c r="E95" i="4"/>
  <c r="C95" i="4"/>
  <c r="I95" i="4" s="1"/>
  <c r="F95" i="4"/>
  <c r="B96" i="4"/>
  <c r="H95" i="4"/>
  <c r="D95" i="4"/>
  <c r="G95" i="4"/>
  <c r="G96" i="4" l="1"/>
  <c r="E96" i="4"/>
  <c r="F96" i="4"/>
  <c r="J96" i="4"/>
  <c r="D96" i="4"/>
  <c r="C96" i="4"/>
  <c r="I96" i="4" s="1"/>
  <c r="K96" i="4"/>
  <c r="B97" i="4"/>
  <c r="H96" i="4"/>
  <c r="K97" i="4" l="1"/>
  <c r="G97" i="4"/>
  <c r="H97" i="4"/>
  <c r="E97" i="4"/>
  <c r="B98" i="4"/>
  <c r="J97" i="4"/>
  <c r="C97" i="4"/>
  <c r="I97" i="4" s="1"/>
  <c r="D97" i="4"/>
  <c r="F97" i="4"/>
  <c r="D98" i="4" l="1"/>
  <c r="C98" i="4"/>
  <c r="I98" i="4" s="1"/>
  <c r="J98" i="4"/>
  <c r="B99" i="4"/>
  <c r="H98" i="4"/>
  <c r="E98" i="4"/>
  <c r="F98" i="4"/>
  <c r="K98" i="4"/>
  <c r="G98" i="4"/>
  <c r="B100" i="4" l="1"/>
  <c r="E99" i="4"/>
  <c r="D99" i="4"/>
  <c r="H99" i="4"/>
  <c r="F99" i="4"/>
  <c r="C99" i="4"/>
  <c r="I99" i="4" s="1"/>
  <c r="J99" i="4"/>
  <c r="G99" i="4"/>
  <c r="K99" i="4"/>
  <c r="D100" i="4" l="1"/>
  <c r="G100" i="4"/>
  <c r="E100" i="4"/>
  <c r="K100" i="4"/>
  <c r="H100" i="4"/>
  <c r="J100" i="4"/>
  <c r="B101" i="4"/>
  <c r="F100" i="4"/>
  <c r="C100" i="4"/>
  <c r="I100" i="4" s="1"/>
  <c r="G101" i="4" l="1"/>
  <c r="J101" i="4"/>
  <c r="H101" i="4"/>
  <c r="F101" i="4"/>
  <c r="B102" i="4"/>
  <c r="E101" i="4"/>
  <c r="K101" i="4"/>
  <c r="D101" i="4"/>
  <c r="C101" i="4"/>
  <c r="I101" i="4" s="1"/>
  <c r="E102" i="4" l="1"/>
  <c r="J102" i="4"/>
  <c r="B103" i="4"/>
  <c r="G102" i="4"/>
  <c r="F102" i="4"/>
  <c r="K102" i="4"/>
  <c r="H102" i="4"/>
  <c r="C102" i="4"/>
  <c r="I102" i="4" s="1"/>
  <c r="D102" i="4"/>
  <c r="H103" i="4" l="1"/>
  <c r="J103" i="4"/>
  <c r="F103" i="4"/>
  <c r="C103" i="4"/>
  <c r="I103" i="4" s="1"/>
  <c r="G103" i="4"/>
  <c r="E103" i="4"/>
  <c r="B104" i="4"/>
  <c r="K103" i="4"/>
  <c r="D103" i="4"/>
  <c r="G104" i="4" l="1"/>
  <c r="C104" i="4"/>
  <c r="I104" i="4" s="1"/>
  <c r="H104" i="4"/>
  <c r="E104" i="4"/>
  <c r="D104" i="4"/>
  <c r="K104" i="4"/>
  <c r="F104" i="4"/>
  <c r="B105" i="4"/>
  <c r="J104" i="4"/>
  <c r="B106" i="4" l="1"/>
  <c r="J105" i="4"/>
  <c r="D105" i="4"/>
  <c r="G105" i="4"/>
  <c r="C105" i="4"/>
  <c r="I105" i="4" s="1"/>
  <c r="H105" i="4"/>
  <c r="F105" i="4"/>
  <c r="E105" i="4"/>
  <c r="K105" i="4"/>
  <c r="C106" i="4" l="1"/>
  <c r="I106" i="4" s="1"/>
  <c r="D106" i="4"/>
  <c r="F106" i="4"/>
  <c r="G106" i="4"/>
  <c r="K106" i="4"/>
  <c r="H106" i="4"/>
  <c r="B107" i="4"/>
  <c r="J106" i="4"/>
  <c r="E106" i="4"/>
  <c r="H107" i="4" l="1"/>
  <c r="C107" i="4"/>
  <c r="I107" i="4" s="1"/>
  <c r="B108" i="4"/>
  <c r="K107" i="4"/>
  <c r="F107" i="4"/>
  <c r="J107" i="4"/>
  <c r="G107" i="4"/>
  <c r="E107" i="4"/>
  <c r="D107" i="4"/>
  <c r="C108" i="4" l="1"/>
  <c r="I108" i="4" s="1"/>
  <c r="H108" i="4"/>
  <c r="J108" i="4"/>
  <c r="B109" i="4"/>
  <c r="E108" i="4"/>
  <c r="G108" i="4"/>
  <c r="F108" i="4"/>
  <c r="D108" i="4"/>
  <c r="K108" i="4"/>
  <c r="E109" i="4" l="1"/>
  <c r="B110" i="4"/>
  <c r="G109" i="4"/>
  <c r="H109" i="4"/>
  <c r="J109" i="4"/>
  <c r="F109" i="4"/>
  <c r="D109" i="4"/>
  <c r="C109" i="4"/>
  <c r="I109" i="4" s="1"/>
  <c r="K109" i="4"/>
  <c r="G110" i="4" l="1"/>
  <c r="H110" i="4"/>
  <c r="D110" i="4"/>
  <c r="C110" i="4"/>
  <c r="I110" i="4" s="1"/>
  <c r="K110" i="4"/>
  <c r="E110" i="4"/>
  <c r="B111" i="4"/>
  <c r="J110" i="4"/>
  <c r="F110" i="4"/>
  <c r="G111" i="4" l="1"/>
  <c r="J111" i="4"/>
  <c r="K111" i="4"/>
  <c r="B112" i="4"/>
  <c r="H111" i="4"/>
  <c r="C111" i="4"/>
  <c r="I111" i="4" s="1"/>
  <c r="D111" i="4"/>
  <c r="E111" i="4"/>
  <c r="F111" i="4"/>
  <c r="H112" i="4" l="1"/>
  <c r="K112" i="4"/>
  <c r="D112" i="4"/>
  <c r="B113" i="4"/>
  <c r="E112" i="4"/>
  <c r="F112" i="4"/>
  <c r="G112" i="4"/>
  <c r="C112" i="4"/>
  <c r="I112" i="4" s="1"/>
  <c r="J112" i="4"/>
  <c r="F113" i="4" l="1"/>
  <c r="C113" i="4"/>
  <c r="I113" i="4" s="1"/>
  <c r="K113" i="4"/>
  <c r="B114" i="4"/>
  <c r="E113" i="4"/>
  <c r="D113" i="4"/>
  <c r="J113" i="4"/>
  <c r="G113" i="4"/>
  <c r="H113" i="4"/>
  <c r="J114" i="4" l="1"/>
  <c r="F114" i="4"/>
  <c r="B115" i="4"/>
  <c r="E114" i="4"/>
  <c r="K114" i="4"/>
  <c r="C114" i="4"/>
  <c r="I114" i="4" s="1"/>
  <c r="H114" i="4"/>
  <c r="G114" i="4"/>
  <c r="D114" i="4"/>
  <c r="B116" i="4" l="1"/>
  <c r="D115" i="4"/>
  <c r="J115" i="4"/>
  <c r="E115" i="4"/>
  <c r="H115" i="4"/>
  <c r="F115" i="4"/>
  <c r="G115" i="4"/>
  <c r="K115" i="4"/>
  <c r="C115" i="4"/>
  <c r="I115" i="4" s="1"/>
  <c r="G116" i="4" l="1"/>
  <c r="H116" i="4"/>
  <c r="F116" i="4"/>
  <c r="J116" i="4"/>
  <c r="K116" i="4"/>
  <c r="D116" i="4"/>
  <c r="E116" i="4"/>
  <c r="B117" i="4"/>
  <c r="C116" i="4"/>
  <c r="I116" i="4" s="1"/>
  <c r="G117" i="4" l="1"/>
  <c r="C117" i="4"/>
  <c r="I117" i="4" s="1"/>
  <c r="K117" i="4"/>
  <c r="E117" i="4"/>
  <c r="F117" i="4"/>
  <c r="J117" i="4"/>
  <c r="D117" i="4"/>
  <c r="H117" i="4"/>
  <c r="B118" i="4"/>
  <c r="E118" i="4" l="1"/>
  <c r="F118" i="4"/>
  <c r="D118" i="4"/>
  <c r="B119" i="4"/>
  <c r="J118" i="4"/>
  <c r="G118" i="4"/>
  <c r="H118" i="4"/>
  <c r="K118" i="4"/>
  <c r="C118" i="4"/>
  <c r="I118" i="4" s="1"/>
  <c r="H119" i="4" l="1"/>
  <c r="F119" i="4"/>
  <c r="G119" i="4"/>
  <c r="B120" i="4"/>
  <c r="C119" i="4"/>
  <c r="I119" i="4" s="1"/>
  <c r="J119" i="4"/>
  <c r="E119" i="4"/>
  <c r="K119" i="4"/>
  <c r="D119" i="4"/>
  <c r="C120" i="4" l="1"/>
  <c r="I120" i="4" s="1"/>
  <c r="F120" i="4"/>
  <c r="H120" i="4"/>
  <c r="D120" i="4"/>
  <c r="G120" i="4"/>
  <c r="K120" i="4"/>
  <c r="B121" i="4"/>
  <c r="E120" i="4"/>
  <c r="J120" i="4"/>
  <c r="F121" i="4" l="1"/>
  <c r="J121" i="4"/>
  <c r="D121" i="4"/>
  <c r="K121" i="4"/>
  <c r="G121" i="4"/>
  <c r="E121" i="4"/>
  <c r="B122" i="4"/>
  <c r="H121" i="4"/>
  <c r="C121" i="4"/>
  <c r="I121" i="4" s="1"/>
  <c r="K122" i="4" l="1"/>
  <c r="E122" i="4"/>
  <c r="C122" i="4"/>
  <c r="I122" i="4" s="1"/>
  <c r="B123" i="4"/>
  <c r="G122" i="4"/>
  <c r="J122" i="4"/>
  <c r="H122" i="4"/>
  <c r="D122" i="4"/>
  <c r="F122" i="4"/>
  <c r="G123" i="4" l="1"/>
  <c r="K123" i="4"/>
  <c r="F123" i="4"/>
  <c r="H123" i="4"/>
  <c r="B124" i="4"/>
  <c r="J123" i="4"/>
  <c r="D123" i="4"/>
  <c r="E123" i="4"/>
  <c r="C123" i="4"/>
  <c r="I123" i="4" s="1"/>
  <c r="K124" i="4" l="1"/>
  <c r="F124" i="4"/>
  <c r="C124" i="4"/>
  <c r="I124" i="4" s="1"/>
  <c r="G124" i="4"/>
  <c r="D124" i="4"/>
  <c r="J124" i="4"/>
  <c r="E124" i="4"/>
  <c r="B125" i="4"/>
  <c r="H124" i="4"/>
  <c r="D125" i="4" l="1"/>
  <c r="G125" i="4"/>
  <c r="H125" i="4"/>
  <c r="E125" i="4"/>
  <c r="B126" i="4"/>
  <c r="C125" i="4"/>
  <c r="I125" i="4" s="1"/>
  <c r="K125" i="4"/>
  <c r="J125" i="4"/>
  <c r="F125" i="4"/>
  <c r="H126" i="4" l="1"/>
  <c r="J126" i="4"/>
  <c r="D126" i="4"/>
  <c r="F126" i="4"/>
  <c r="G126" i="4"/>
  <c r="K126" i="4"/>
  <c r="B127" i="4"/>
  <c r="C126" i="4"/>
  <c r="I126" i="4" s="1"/>
  <c r="E126" i="4"/>
  <c r="C127" i="4" l="1"/>
  <c r="I127" i="4" s="1"/>
  <c r="K127" i="4"/>
  <c r="G127" i="4"/>
  <c r="J127" i="4"/>
  <c r="D127" i="4"/>
  <c r="F127" i="4"/>
  <c r="E127" i="4"/>
  <c r="B128" i="4"/>
  <c r="H127" i="4"/>
  <c r="K128" i="4" l="1"/>
  <c r="H128" i="4"/>
  <c r="C128" i="4"/>
  <c r="I128" i="4" s="1"/>
  <c r="J128" i="4"/>
  <c r="B129" i="4"/>
  <c r="D128" i="4"/>
  <c r="E128" i="4"/>
  <c r="F128" i="4"/>
  <c r="G128" i="4"/>
  <c r="D129" i="4" l="1"/>
  <c r="K129" i="4"/>
  <c r="B130" i="4"/>
  <c r="J129" i="4"/>
  <c r="C129" i="4"/>
  <c r="I129" i="4" s="1"/>
  <c r="E129" i="4"/>
  <c r="G129" i="4"/>
  <c r="H129" i="4"/>
  <c r="F129" i="4"/>
  <c r="E130" i="4" l="1"/>
  <c r="G130" i="4"/>
  <c r="F130" i="4"/>
  <c r="J130" i="4"/>
  <c r="C130" i="4"/>
  <c r="I130" i="4" s="1"/>
  <c r="K130" i="4"/>
  <c r="D130" i="4"/>
  <c r="H130" i="4"/>
  <c r="B131" i="4"/>
  <c r="K131" i="4" l="1"/>
  <c r="G131" i="4"/>
  <c r="J131" i="4"/>
  <c r="H131" i="4"/>
  <c r="C131" i="4"/>
  <c r="I131" i="4" s="1"/>
  <c r="E131" i="4"/>
  <c r="F131" i="4"/>
  <c r="D131" i="4"/>
  <c r="B132" i="4"/>
  <c r="B133" i="4" l="1"/>
  <c r="J132" i="4"/>
  <c r="D132" i="4"/>
  <c r="H132" i="4"/>
  <c r="K132" i="4"/>
  <c r="C132" i="4"/>
  <c r="I132" i="4" s="1"/>
  <c r="F132" i="4"/>
  <c r="E132" i="4"/>
  <c r="G132" i="4"/>
  <c r="G133" i="4" l="1"/>
  <c r="H133" i="4"/>
  <c r="E133" i="4"/>
  <c r="J133" i="4"/>
  <c r="K133" i="4"/>
  <c r="D133" i="4"/>
  <c r="B134" i="4"/>
  <c r="F133" i="4"/>
  <c r="C133" i="4"/>
  <c r="I133" i="4" s="1"/>
  <c r="H134" i="4" l="1"/>
  <c r="F134" i="4"/>
  <c r="E134" i="4"/>
  <c r="D134" i="4"/>
  <c r="B135" i="4"/>
  <c r="J134" i="4"/>
  <c r="G134" i="4"/>
  <c r="C134" i="4"/>
  <c r="I134" i="4" s="1"/>
  <c r="K134" i="4"/>
  <c r="J135" i="4" l="1"/>
  <c r="F135" i="4"/>
  <c r="B136" i="4"/>
  <c r="K135" i="4"/>
  <c r="H135" i="4"/>
  <c r="G135" i="4"/>
  <c r="D135" i="4"/>
  <c r="C135" i="4"/>
  <c r="I135" i="4" s="1"/>
  <c r="E135" i="4"/>
  <c r="K136" i="4" l="1"/>
  <c r="B137" i="4"/>
  <c r="E136" i="4"/>
  <c r="F136" i="4"/>
  <c r="D136" i="4"/>
  <c r="H136" i="4"/>
  <c r="C136" i="4"/>
  <c r="I136" i="4" s="1"/>
  <c r="G136" i="4"/>
  <c r="J136" i="4"/>
  <c r="G137" i="4" l="1"/>
  <c r="H137" i="4"/>
  <c r="E137" i="4"/>
  <c r="K137" i="4"/>
  <c r="D137" i="4"/>
  <c r="F137" i="4"/>
  <c r="C137" i="4"/>
  <c r="I137" i="4" s="1"/>
  <c r="B138" i="4"/>
  <c r="J137" i="4"/>
  <c r="B139" i="4" l="1"/>
  <c r="K138" i="4"/>
  <c r="D138" i="4"/>
  <c r="E138" i="4"/>
  <c r="C138" i="4"/>
  <c r="I138" i="4" s="1"/>
  <c r="F138" i="4"/>
  <c r="G138" i="4"/>
  <c r="J138" i="4"/>
  <c r="H138" i="4"/>
  <c r="D139" i="4" l="1"/>
  <c r="K139" i="4"/>
  <c r="E139" i="4"/>
  <c r="H139" i="4"/>
  <c r="F139" i="4"/>
  <c r="B140" i="4"/>
  <c r="C139" i="4"/>
  <c r="I139" i="4" s="1"/>
  <c r="J139" i="4"/>
  <c r="G139" i="4"/>
  <c r="G140" i="4" l="1"/>
  <c r="E140" i="4"/>
  <c r="F140" i="4"/>
  <c r="H140" i="4"/>
  <c r="K140" i="4"/>
  <c r="D140" i="4"/>
  <c r="B141" i="4"/>
  <c r="C140" i="4"/>
  <c r="I140" i="4" s="1"/>
  <c r="J140" i="4"/>
  <c r="K141" i="4" l="1"/>
  <c r="G141" i="4"/>
  <c r="C141" i="4"/>
  <c r="I141" i="4" s="1"/>
  <c r="J141" i="4"/>
  <c r="F141" i="4"/>
  <c r="D141" i="4"/>
  <c r="H141" i="4"/>
  <c r="E141" i="4"/>
  <c r="B142" i="4"/>
  <c r="G142" i="4" l="1"/>
  <c r="H142" i="4"/>
  <c r="K142" i="4"/>
  <c r="D142" i="4"/>
  <c r="C142" i="4"/>
  <c r="I142" i="4" s="1"/>
  <c r="J142" i="4"/>
  <c r="E142" i="4"/>
  <c r="B143" i="4"/>
  <c r="F142" i="4"/>
  <c r="H143" i="4" l="1"/>
  <c r="E143" i="4"/>
  <c r="F143" i="4"/>
  <c r="D143" i="4"/>
  <c r="J143" i="4"/>
  <c r="K143" i="4"/>
  <c r="B144" i="4"/>
  <c r="G143" i="4"/>
  <c r="C143" i="4"/>
  <c r="I143" i="4" s="1"/>
  <c r="H144" i="4" l="1"/>
  <c r="F144" i="4"/>
  <c r="K144" i="4"/>
  <c r="D144" i="4"/>
  <c r="C144" i="4"/>
  <c r="I144" i="4" s="1"/>
  <c r="B145" i="4"/>
  <c r="J144" i="4"/>
  <c r="E144" i="4"/>
  <c r="G144" i="4"/>
  <c r="G145" i="4" l="1"/>
  <c r="H145" i="4"/>
  <c r="J145" i="4"/>
  <c r="K145" i="4"/>
  <c r="D145" i="4"/>
  <c r="B146" i="4"/>
  <c r="F145" i="4"/>
  <c r="E145" i="4"/>
  <c r="C145" i="4"/>
  <c r="I145" i="4" s="1"/>
  <c r="C146" i="4" l="1"/>
  <c r="F146" i="4"/>
  <c r="E146" i="4"/>
  <c r="B147" i="4"/>
  <c r="K146" i="4"/>
  <c r="J146" i="4"/>
  <c r="D146" i="4"/>
  <c r="H146" i="4"/>
  <c r="G146" i="4"/>
  <c r="I146" i="4"/>
  <c r="E147" i="4" l="1"/>
  <c r="G147" i="4"/>
  <c r="K147" i="4"/>
  <c r="J147" i="4"/>
  <c r="H147" i="4"/>
  <c r="C147" i="4"/>
  <c r="I147" i="4" s="1"/>
  <c r="D147" i="4"/>
  <c r="F147" i="4"/>
  <c r="B148" i="4"/>
  <c r="F148" i="4" l="1"/>
  <c r="J148" i="4"/>
  <c r="E148" i="4"/>
  <c r="H148" i="4"/>
  <c r="K148" i="4"/>
  <c r="C148" i="4"/>
  <c r="I148" i="4" s="1"/>
  <c r="D148" i="4"/>
  <c r="B149" i="4"/>
  <c r="G148" i="4"/>
  <c r="G149" i="4" l="1"/>
  <c r="B150" i="4"/>
  <c r="H149" i="4"/>
  <c r="K149" i="4"/>
  <c r="C149" i="4"/>
  <c r="I149" i="4" s="1"/>
  <c r="D149" i="4"/>
  <c r="E149" i="4"/>
  <c r="J149" i="4"/>
  <c r="F149" i="4"/>
  <c r="D150" i="4" l="1"/>
  <c r="H150" i="4"/>
  <c r="E150" i="4"/>
  <c r="J150" i="4"/>
  <c r="C150" i="4"/>
  <c r="I150" i="4" s="1"/>
  <c r="K150" i="4"/>
  <c r="G150" i="4"/>
  <c r="B151" i="4"/>
  <c r="F150" i="4"/>
  <c r="C151" i="4" l="1"/>
  <c r="I151" i="4" s="1"/>
  <c r="G151" i="4"/>
  <c r="D151" i="4"/>
  <c r="E151" i="4"/>
  <c r="B152" i="4"/>
  <c r="H151" i="4"/>
  <c r="F151" i="4"/>
  <c r="K151" i="4"/>
  <c r="J151" i="4"/>
  <c r="J152" i="4" l="1"/>
  <c r="H152" i="4"/>
  <c r="B153" i="4"/>
  <c r="E152" i="4"/>
  <c r="C152" i="4"/>
  <c r="I152" i="4" s="1"/>
  <c r="K152" i="4"/>
  <c r="D152" i="4"/>
  <c r="F152" i="4"/>
  <c r="G152" i="4"/>
  <c r="C153" i="4" l="1"/>
  <c r="I153" i="4" s="1"/>
  <c r="E153" i="4"/>
  <c r="B154" i="4"/>
  <c r="J153" i="4"/>
  <c r="F153" i="4"/>
  <c r="H153" i="4"/>
  <c r="G153" i="4"/>
  <c r="K153" i="4"/>
  <c r="D153" i="4"/>
  <c r="G154" i="4" l="1"/>
  <c r="D154" i="4"/>
  <c r="C154" i="4"/>
  <c r="I154" i="4" s="1"/>
  <c r="E154" i="4"/>
  <c r="H154" i="4"/>
  <c r="B155" i="4"/>
  <c r="K154" i="4"/>
  <c r="F154" i="4"/>
  <c r="J154" i="4"/>
  <c r="H155" i="4" l="1"/>
  <c r="F155" i="4"/>
  <c r="E155" i="4"/>
  <c r="J155" i="4"/>
  <c r="C155" i="4"/>
  <c r="I155" i="4" s="1"/>
  <c r="D155" i="4"/>
  <c r="B156" i="4"/>
  <c r="K155" i="4"/>
  <c r="G155" i="4"/>
  <c r="K156" i="4" l="1"/>
  <c r="H156" i="4"/>
  <c r="E156" i="4"/>
  <c r="G156" i="4"/>
  <c r="B157" i="4"/>
  <c r="D156" i="4"/>
  <c r="C156" i="4"/>
  <c r="J156" i="4"/>
  <c r="I156" i="4"/>
  <c r="F156" i="4"/>
  <c r="E157" i="4" l="1"/>
  <c r="H157" i="4"/>
  <c r="K157" i="4"/>
  <c r="J157" i="4"/>
  <c r="B158" i="4"/>
  <c r="F157" i="4"/>
  <c r="C157" i="4"/>
  <c r="I157" i="4" s="1"/>
  <c r="D157" i="4"/>
  <c r="G157" i="4"/>
  <c r="H158" i="4" l="1"/>
  <c r="D158" i="4"/>
  <c r="K158" i="4"/>
  <c r="G158" i="4"/>
  <c r="J158" i="4"/>
  <c r="F158" i="4"/>
  <c r="C158" i="4"/>
  <c r="I158" i="4" s="1"/>
  <c r="E158" i="4"/>
  <c r="B159" i="4"/>
  <c r="H159" i="4" l="1"/>
  <c r="J159" i="4"/>
  <c r="K159" i="4"/>
  <c r="F159" i="4"/>
  <c r="E159" i="4"/>
  <c r="G159" i="4"/>
  <c r="C159" i="4"/>
  <c r="I159" i="4" s="1"/>
  <c r="B160" i="4"/>
  <c r="D159" i="4"/>
  <c r="K160" i="4" l="1"/>
  <c r="H160" i="4"/>
  <c r="E160" i="4"/>
  <c r="D160" i="4"/>
  <c r="F160" i="4"/>
  <c r="G160" i="4"/>
  <c r="J160" i="4"/>
  <c r="B161" i="4"/>
  <c r="C160" i="4"/>
  <c r="I160" i="4" s="1"/>
  <c r="F161" i="4" l="1"/>
  <c r="G161" i="4"/>
  <c r="B162" i="4"/>
  <c r="K161" i="4"/>
  <c r="J161" i="4"/>
  <c r="C161" i="4"/>
  <c r="I161" i="4" s="1"/>
  <c r="E161" i="4"/>
  <c r="D161" i="4"/>
  <c r="H161" i="4"/>
  <c r="C162" i="4" l="1"/>
  <c r="I162" i="4" s="1"/>
  <c r="J162" i="4"/>
  <c r="E162" i="4"/>
  <c r="K162" i="4"/>
  <c r="H162" i="4"/>
  <c r="D162" i="4"/>
  <c r="B163" i="4"/>
  <c r="G162" i="4"/>
  <c r="F162" i="4"/>
  <c r="E163" i="4" l="1"/>
  <c r="H163" i="4"/>
  <c r="G163" i="4"/>
  <c r="C163" i="4"/>
  <c r="I163" i="4" s="1"/>
  <c r="J163" i="4"/>
  <c r="D163" i="4"/>
  <c r="F163" i="4"/>
  <c r="B164" i="4"/>
  <c r="K163" i="4"/>
  <c r="G164" i="4" l="1"/>
  <c r="H164" i="4"/>
  <c r="E164" i="4"/>
  <c r="C164" i="4"/>
  <c r="I164" i="4" s="1"/>
  <c r="F164" i="4"/>
  <c r="D164" i="4"/>
  <c r="B165" i="4"/>
  <c r="K164" i="4"/>
  <c r="J164" i="4"/>
  <c r="H165" i="4" l="1"/>
  <c r="K165" i="4"/>
  <c r="B166" i="4"/>
  <c r="E165" i="4"/>
  <c r="D165" i="4"/>
  <c r="G165" i="4"/>
  <c r="F165" i="4"/>
  <c r="J165" i="4"/>
  <c r="C165" i="4"/>
  <c r="I165" i="4" s="1"/>
  <c r="C166" i="4" l="1"/>
  <c r="I166" i="4" s="1"/>
  <c r="H166" i="4"/>
  <c r="B167" i="4"/>
  <c r="D166" i="4"/>
  <c r="J166" i="4"/>
  <c r="F166" i="4"/>
  <c r="G166" i="4"/>
  <c r="E166" i="4"/>
  <c r="K166" i="4"/>
  <c r="H167" i="4" l="1"/>
  <c r="F167" i="4"/>
  <c r="C167" i="4"/>
  <c r="I167" i="4" s="1"/>
  <c r="B168" i="4"/>
  <c r="J167" i="4"/>
  <c r="G167" i="4"/>
  <c r="D167" i="4"/>
  <c r="E167" i="4"/>
  <c r="K167" i="4"/>
  <c r="D168" i="4" l="1"/>
  <c r="C168" i="4"/>
  <c r="I168" i="4" s="1"/>
  <c r="B169" i="4"/>
  <c r="K168" i="4"/>
  <c r="F168" i="4"/>
  <c r="E168" i="4"/>
  <c r="G168" i="4"/>
  <c r="H168" i="4"/>
  <c r="J168" i="4"/>
  <c r="F169" i="4" l="1"/>
  <c r="E169" i="4"/>
  <c r="K169" i="4"/>
  <c r="H169" i="4"/>
  <c r="D169" i="4"/>
  <c r="G169" i="4"/>
  <c r="J169" i="4"/>
  <c r="B170" i="4"/>
  <c r="C169" i="4"/>
  <c r="I169" i="4" s="1"/>
  <c r="E170" i="4" l="1"/>
  <c r="J170" i="4"/>
  <c r="D170" i="4"/>
  <c r="F170" i="4"/>
  <c r="H170" i="4"/>
  <c r="G170" i="4"/>
  <c r="B171" i="4"/>
  <c r="K170" i="4"/>
  <c r="C170" i="4"/>
  <c r="I170" i="4" s="1"/>
  <c r="G171" i="4" l="1"/>
  <c r="C171" i="4"/>
  <c r="I171" i="4" s="1"/>
  <c r="H171" i="4"/>
  <c r="D171" i="4"/>
  <c r="F171" i="4"/>
  <c r="E171" i="4"/>
  <c r="J171" i="4"/>
  <c r="K171" i="4"/>
  <c r="B172" i="4"/>
  <c r="B173" i="4" l="1"/>
  <c r="K172" i="4"/>
  <c r="J172" i="4"/>
  <c r="H172" i="4"/>
  <c r="E172" i="4"/>
  <c r="F172" i="4"/>
  <c r="C172" i="4"/>
  <c r="I172" i="4" s="1"/>
  <c r="D172" i="4"/>
  <c r="G172" i="4"/>
  <c r="C173" i="4" l="1"/>
  <c r="I173" i="4" s="1"/>
  <c r="G173" i="4"/>
  <c r="H173" i="4"/>
  <c r="K173" i="4"/>
  <c r="D173" i="4"/>
  <c r="E173" i="4"/>
  <c r="F173" i="4"/>
  <c r="B174" i="4"/>
  <c r="J173" i="4"/>
  <c r="J174" i="4" l="1"/>
  <c r="K174" i="4"/>
  <c r="G174" i="4"/>
  <c r="B175" i="4"/>
  <c r="C174" i="4"/>
  <c r="I174" i="4" s="1"/>
  <c r="D174" i="4"/>
  <c r="E174" i="4"/>
  <c r="H174" i="4"/>
  <c r="F174" i="4"/>
  <c r="B176" i="4" l="1"/>
  <c r="H175" i="4"/>
  <c r="C175" i="4"/>
  <c r="I175" i="4" s="1"/>
  <c r="G175" i="4"/>
  <c r="D175" i="4"/>
  <c r="E175" i="4"/>
  <c r="J175" i="4"/>
  <c r="K175" i="4"/>
  <c r="F175" i="4"/>
  <c r="C176" i="4" l="1"/>
  <c r="I176" i="4" s="1"/>
  <c r="F176" i="4"/>
  <c r="B177" i="4"/>
  <c r="J176" i="4"/>
  <c r="K176" i="4"/>
  <c r="H176" i="4"/>
  <c r="G176" i="4"/>
  <c r="D176" i="4"/>
  <c r="E176" i="4"/>
  <c r="K177" i="4" l="1"/>
  <c r="F177" i="4"/>
  <c r="C177" i="4"/>
  <c r="I177" i="4" s="1"/>
  <c r="D177" i="4"/>
  <c r="H177" i="4"/>
  <c r="E177" i="4"/>
  <c r="G177" i="4"/>
  <c r="J177" i="4"/>
  <c r="B178" i="4"/>
  <c r="F178" i="4" l="1"/>
  <c r="J178" i="4"/>
  <c r="G178" i="4"/>
  <c r="C178" i="4"/>
  <c r="I178" i="4" s="1"/>
  <c r="B179" i="4"/>
  <c r="K178" i="4"/>
  <c r="D178" i="4"/>
  <c r="H178" i="4"/>
  <c r="E178" i="4"/>
  <c r="C179" i="4" l="1"/>
  <c r="I179" i="4" s="1"/>
  <c r="F179" i="4"/>
  <c r="E179" i="4"/>
  <c r="H179" i="4"/>
  <c r="K179" i="4"/>
  <c r="J179" i="4"/>
  <c r="G179" i="4"/>
  <c r="B180" i="4"/>
  <c r="D179" i="4"/>
  <c r="G180" i="4" l="1"/>
  <c r="C180" i="4"/>
  <c r="I180" i="4" s="1"/>
  <c r="F180" i="4"/>
  <c r="K180" i="4"/>
  <c r="E180" i="4"/>
  <c r="J180" i="4"/>
  <c r="D180" i="4"/>
  <c r="B181" i="4"/>
  <c r="H180" i="4"/>
  <c r="C181" i="4" l="1"/>
  <c r="I181" i="4" s="1"/>
  <c r="G181" i="4"/>
  <c r="B182" i="4"/>
  <c r="H181" i="4"/>
  <c r="D181" i="4"/>
  <c r="E181" i="4"/>
  <c r="K181" i="4"/>
  <c r="J181" i="4"/>
  <c r="F181" i="4"/>
  <c r="C182" i="4" l="1"/>
  <c r="I182" i="4" s="1"/>
  <c r="F182" i="4"/>
  <c r="H182" i="4"/>
  <c r="J182" i="4"/>
  <c r="D182" i="4"/>
  <c r="G182" i="4"/>
  <c r="B183" i="4"/>
  <c r="E182" i="4"/>
  <c r="K182" i="4"/>
  <c r="H183" i="4" l="1"/>
  <c r="B184" i="4"/>
  <c r="K183" i="4"/>
  <c r="G183" i="4"/>
  <c r="E183" i="4"/>
  <c r="C183" i="4"/>
  <c r="I183" i="4" s="1"/>
  <c r="F183" i="4"/>
  <c r="J183" i="4"/>
  <c r="D183" i="4"/>
  <c r="J184" i="4" l="1"/>
  <c r="C184" i="4"/>
  <c r="I184" i="4" s="1"/>
  <c r="G184" i="4"/>
  <c r="F184" i="4"/>
  <c r="H184" i="4"/>
  <c r="E184" i="4"/>
  <c r="D184" i="4"/>
  <c r="B185" i="4"/>
  <c r="K184" i="4"/>
  <c r="D185" i="4" l="1"/>
  <c r="J185" i="4"/>
  <c r="C185" i="4"/>
  <c r="I185" i="4" s="1"/>
  <c r="H185" i="4"/>
  <c r="B186" i="4"/>
  <c r="E185" i="4"/>
  <c r="F185" i="4"/>
  <c r="G185" i="4"/>
  <c r="K185" i="4"/>
  <c r="D186" i="4" l="1"/>
  <c r="K186" i="4"/>
  <c r="G186" i="4"/>
  <c r="F186" i="4"/>
  <c r="B187" i="4"/>
  <c r="C186" i="4"/>
  <c r="I186" i="4" s="1"/>
  <c r="H186" i="4"/>
  <c r="J186" i="4"/>
  <c r="E186" i="4"/>
  <c r="F187" i="4" l="1"/>
  <c r="D187" i="4"/>
  <c r="J187" i="4"/>
  <c r="B188" i="4"/>
  <c r="G187" i="4"/>
  <c r="C187" i="4"/>
  <c r="I187" i="4" s="1"/>
  <c r="H187" i="4"/>
  <c r="E187" i="4"/>
  <c r="K187" i="4"/>
  <c r="G188" i="4" l="1"/>
  <c r="E188" i="4"/>
  <c r="C188" i="4"/>
  <c r="I188" i="4" s="1"/>
  <c r="J188" i="4"/>
  <c r="F188" i="4"/>
  <c r="K188" i="4"/>
  <c r="D188" i="4"/>
  <c r="B189" i="4"/>
  <c r="H188" i="4"/>
  <c r="F189" i="4" l="1"/>
  <c r="B190" i="4"/>
  <c r="H189" i="4"/>
  <c r="D189" i="4"/>
  <c r="J189" i="4"/>
  <c r="E189" i="4"/>
  <c r="K189" i="4"/>
  <c r="C189" i="4"/>
  <c r="I189" i="4" s="1"/>
  <c r="G189" i="4"/>
  <c r="K190" i="4" l="1"/>
  <c r="D190" i="4"/>
  <c r="J190" i="4"/>
  <c r="E190" i="4"/>
  <c r="G190" i="4"/>
  <c r="F190" i="4"/>
  <c r="B191" i="4"/>
  <c r="H190" i="4"/>
  <c r="C190" i="4"/>
  <c r="I190" i="4" s="1"/>
  <c r="E191" i="4" l="1"/>
  <c r="C191" i="4"/>
  <c r="I191" i="4" s="1"/>
  <c r="K191" i="4"/>
  <c r="J191" i="4"/>
  <c r="G191" i="4"/>
  <c r="D191" i="4"/>
  <c r="F191" i="4"/>
  <c r="H191" i="4"/>
  <c r="B192" i="4"/>
  <c r="J192" i="4" l="1"/>
  <c r="K192" i="4"/>
  <c r="E192" i="4"/>
  <c r="D192" i="4"/>
  <c r="F192" i="4"/>
  <c r="C192" i="4"/>
  <c r="I192" i="4" s="1"/>
  <c r="H192" i="4"/>
  <c r="G192" i="4"/>
  <c r="B193" i="4"/>
  <c r="B194" i="4" l="1"/>
  <c r="E193" i="4"/>
  <c r="D193" i="4"/>
  <c r="G193" i="4"/>
  <c r="H193" i="4"/>
  <c r="C193" i="4"/>
  <c r="I193" i="4" s="1"/>
  <c r="J193" i="4"/>
  <c r="F193" i="4"/>
  <c r="K193" i="4"/>
  <c r="E194" i="4" l="1"/>
  <c r="G194" i="4"/>
  <c r="F194" i="4"/>
  <c r="H194" i="4"/>
  <c r="D194" i="4"/>
  <c r="B195" i="4"/>
  <c r="J194" i="4"/>
  <c r="K194" i="4"/>
  <c r="C194" i="4"/>
  <c r="I194" i="4" s="1"/>
  <c r="G195" i="4" l="1"/>
  <c r="D195" i="4"/>
  <c r="B196" i="4"/>
  <c r="F195" i="4"/>
  <c r="H195" i="4"/>
  <c r="E195" i="4"/>
  <c r="J195" i="4"/>
  <c r="K195" i="4"/>
  <c r="C195" i="4"/>
  <c r="I195" i="4" s="1"/>
  <c r="E196" i="4" l="1"/>
  <c r="B197" i="4"/>
  <c r="H196" i="4"/>
  <c r="G196" i="4"/>
  <c r="D196" i="4"/>
  <c r="C196" i="4"/>
  <c r="I196" i="4" s="1"/>
  <c r="K196" i="4"/>
  <c r="J196" i="4"/>
  <c r="F196" i="4"/>
  <c r="B198" i="4" l="1"/>
  <c r="C197" i="4"/>
  <c r="I197" i="4" s="1"/>
  <c r="D197" i="4"/>
  <c r="E197" i="4"/>
  <c r="H197" i="4"/>
  <c r="G197" i="4"/>
  <c r="J197" i="4"/>
  <c r="F197" i="4"/>
  <c r="K197" i="4"/>
  <c r="D198" i="4" l="1"/>
  <c r="G198" i="4"/>
  <c r="B199" i="4"/>
  <c r="H198" i="4"/>
  <c r="C198" i="4"/>
  <c r="I198" i="4" s="1"/>
  <c r="J198" i="4"/>
  <c r="F198" i="4"/>
  <c r="K198" i="4"/>
  <c r="E198" i="4"/>
  <c r="H199" i="4" l="1"/>
  <c r="F199" i="4"/>
  <c r="C199" i="4"/>
  <c r="I199" i="4" s="1"/>
  <c r="J199" i="4"/>
  <c r="B200" i="4"/>
  <c r="G199" i="4"/>
  <c r="E199" i="4"/>
  <c r="D199" i="4"/>
  <c r="K199" i="4"/>
  <c r="J200" i="4" l="1"/>
  <c r="K200" i="4"/>
  <c r="H200" i="4"/>
  <c r="C200" i="4"/>
  <c r="I200" i="4" s="1"/>
  <c r="F200" i="4"/>
  <c r="E200" i="4"/>
  <c r="D200" i="4"/>
  <c r="G200" i="4"/>
  <c r="B201" i="4"/>
  <c r="H201" i="4" l="1"/>
  <c r="G201" i="4"/>
  <c r="F201" i="4"/>
  <c r="B202" i="4"/>
  <c r="J201" i="4"/>
  <c r="K201" i="4"/>
  <c r="E201" i="4"/>
  <c r="D201" i="4"/>
  <c r="C201" i="4"/>
  <c r="I201" i="4" s="1"/>
  <c r="D202" i="4" l="1"/>
  <c r="E202" i="4"/>
  <c r="K202" i="4"/>
  <c r="J202" i="4"/>
  <c r="F202" i="4"/>
  <c r="B203" i="4"/>
  <c r="C202" i="4"/>
  <c r="I202" i="4" s="1"/>
  <c r="H202" i="4"/>
  <c r="G202" i="4"/>
  <c r="B204" i="4" l="1"/>
  <c r="K203" i="4"/>
  <c r="G203" i="4"/>
  <c r="F203" i="4"/>
  <c r="D203" i="4"/>
  <c r="E203" i="4"/>
  <c r="H203" i="4"/>
  <c r="C203" i="4"/>
  <c r="I203" i="4" s="1"/>
  <c r="J203" i="4"/>
  <c r="K204" i="4" l="1"/>
  <c r="C204" i="4"/>
  <c r="I204" i="4" s="1"/>
  <c r="J204" i="4"/>
  <c r="G204" i="4"/>
  <c r="F204" i="4"/>
  <c r="D204" i="4"/>
  <c r="B205" i="4"/>
  <c r="H204" i="4"/>
  <c r="E204" i="4"/>
  <c r="H205" i="4" l="1"/>
  <c r="F205" i="4"/>
  <c r="D205" i="4"/>
  <c r="J205" i="4"/>
  <c r="E205" i="4"/>
  <c r="C205" i="4"/>
  <c r="I205" i="4" s="1"/>
  <c r="B206" i="4"/>
  <c r="G205" i="4"/>
  <c r="K205" i="4"/>
  <c r="H206" i="4" l="1"/>
  <c r="K206" i="4"/>
  <c r="J206" i="4"/>
  <c r="B207" i="4"/>
  <c r="C206" i="4"/>
  <c r="I206" i="4" s="1"/>
  <c r="G206" i="4"/>
  <c r="E206" i="4"/>
  <c r="D206" i="4"/>
  <c r="F206" i="4"/>
  <c r="G207" i="4" l="1"/>
  <c r="J207" i="4"/>
  <c r="C207" i="4"/>
  <c r="I207" i="4" s="1"/>
  <c r="H207" i="4"/>
  <c r="K207" i="4"/>
  <c r="E207" i="4"/>
  <c r="D207" i="4"/>
  <c r="F207" i="4"/>
  <c r="B208" i="4"/>
  <c r="K208" i="4" l="1"/>
  <c r="G208" i="4"/>
  <c r="F208" i="4"/>
  <c r="D208" i="4"/>
  <c r="B209" i="4"/>
  <c r="H208" i="4"/>
  <c r="E208" i="4"/>
  <c r="C208" i="4"/>
  <c r="I208" i="4" s="1"/>
  <c r="J208" i="4"/>
  <c r="F209" i="4" l="1"/>
  <c r="D209" i="4"/>
  <c r="C209" i="4"/>
  <c r="I209" i="4" s="1"/>
  <c r="E209" i="4"/>
  <c r="K209" i="4"/>
  <c r="B210" i="4"/>
  <c r="G209" i="4"/>
  <c r="H209" i="4"/>
  <c r="J209" i="4"/>
  <c r="J210" i="4" l="1"/>
  <c r="E210" i="4"/>
  <c r="G210" i="4"/>
  <c r="C210" i="4"/>
  <c r="I210" i="4" s="1"/>
  <c r="H210" i="4"/>
  <c r="K210" i="4"/>
  <c r="F210" i="4"/>
  <c r="B211" i="4"/>
  <c r="D210" i="4"/>
  <c r="H211" i="4" l="1"/>
  <c r="E211" i="4"/>
  <c r="D211" i="4"/>
  <c r="G211" i="4"/>
  <c r="F211" i="4"/>
  <c r="K211" i="4"/>
  <c r="B212" i="4"/>
  <c r="C211" i="4"/>
  <c r="I211" i="4" s="1"/>
  <c r="J211" i="4"/>
  <c r="B213" i="4" l="1"/>
  <c r="D212" i="4"/>
  <c r="K212" i="4"/>
  <c r="G212" i="4"/>
  <c r="C212" i="4"/>
  <c r="I212" i="4" s="1"/>
  <c r="H212" i="4"/>
  <c r="F212" i="4"/>
  <c r="E212" i="4"/>
  <c r="J212" i="4"/>
  <c r="D213" i="4" l="1"/>
  <c r="H213" i="4"/>
  <c r="B214" i="4"/>
  <c r="K213" i="4"/>
  <c r="E213" i="4"/>
  <c r="F213" i="4"/>
  <c r="G213" i="4"/>
  <c r="J213" i="4"/>
  <c r="C213" i="4"/>
  <c r="I213" i="4" s="1"/>
  <c r="B215" i="4" l="1"/>
  <c r="H214" i="4"/>
  <c r="D214" i="4"/>
  <c r="C214" i="4"/>
  <c r="I214" i="4" s="1"/>
  <c r="K214" i="4"/>
  <c r="G214" i="4"/>
  <c r="F214" i="4"/>
  <c r="J214" i="4"/>
  <c r="E214" i="4"/>
  <c r="C215" i="4" l="1"/>
  <c r="I215" i="4" s="1"/>
  <c r="F215" i="4"/>
  <c r="B216" i="4"/>
  <c r="J215" i="4"/>
  <c r="H215" i="4"/>
  <c r="G215" i="4"/>
  <c r="E215" i="4"/>
  <c r="K215" i="4"/>
  <c r="D215" i="4"/>
  <c r="D216" i="4" l="1"/>
  <c r="E216" i="4"/>
  <c r="J216" i="4"/>
  <c r="B217" i="4"/>
  <c r="C216" i="4"/>
  <c r="I216" i="4" s="1"/>
  <c r="F216" i="4"/>
  <c r="G216" i="4"/>
  <c r="H216" i="4"/>
  <c r="K216" i="4"/>
  <c r="H217" i="4" l="1"/>
  <c r="K217" i="4"/>
  <c r="G217" i="4"/>
  <c r="E217" i="4"/>
  <c r="C217" i="4"/>
  <c r="I217" i="4" s="1"/>
  <c r="J217" i="4"/>
  <c r="F217" i="4"/>
  <c r="B218" i="4"/>
  <c r="D217" i="4"/>
  <c r="H218" i="4" l="1"/>
  <c r="K218" i="4"/>
  <c r="F218" i="4"/>
  <c r="C218" i="4"/>
  <c r="I218" i="4" s="1"/>
  <c r="D218" i="4"/>
  <c r="B219" i="4"/>
  <c r="J218" i="4"/>
  <c r="E218" i="4"/>
  <c r="G218" i="4"/>
  <c r="C219" i="4" l="1"/>
  <c r="I219" i="4" s="1"/>
  <c r="K219" i="4"/>
  <c r="E219" i="4"/>
  <c r="D219" i="4"/>
  <c r="F219" i="4"/>
  <c r="G219" i="4"/>
  <c r="H219" i="4"/>
  <c r="J219" i="4"/>
  <c r="B220" i="4"/>
  <c r="G220" i="4" l="1"/>
  <c r="E220" i="4"/>
  <c r="C220" i="4"/>
  <c r="I220" i="4" s="1"/>
  <c r="K220" i="4"/>
  <c r="F220" i="4"/>
  <c r="H220" i="4"/>
  <c r="B221" i="4"/>
  <c r="D220" i="4"/>
  <c r="J220" i="4"/>
  <c r="H221" i="4" l="1"/>
  <c r="C221" i="4"/>
  <c r="I221" i="4" s="1"/>
  <c r="J221" i="4"/>
  <c r="B222" i="4"/>
  <c r="K221" i="4"/>
  <c r="F221" i="4"/>
  <c r="E221" i="4"/>
  <c r="D221" i="4"/>
  <c r="G221" i="4"/>
  <c r="H222" i="4" l="1"/>
  <c r="B223" i="4"/>
  <c r="J222" i="4"/>
  <c r="C222" i="4"/>
  <c r="I222" i="4" s="1"/>
  <c r="E222" i="4"/>
  <c r="K222" i="4"/>
  <c r="G222" i="4"/>
  <c r="F222" i="4"/>
  <c r="D222" i="4"/>
  <c r="K223" i="4" l="1"/>
  <c r="F223" i="4"/>
  <c r="D223" i="4"/>
  <c r="G223" i="4"/>
  <c r="E223" i="4"/>
  <c r="B224" i="4"/>
  <c r="C223" i="4"/>
  <c r="I223" i="4" s="1"/>
  <c r="H223" i="4"/>
  <c r="J223" i="4"/>
  <c r="K224" i="4" l="1"/>
  <c r="H224" i="4"/>
  <c r="F224" i="4"/>
  <c r="D224" i="4"/>
  <c r="C224" i="4"/>
  <c r="I224" i="4" s="1"/>
  <c r="G224" i="4"/>
  <c r="E224" i="4"/>
  <c r="B225" i="4"/>
  <c r="J224" i="4"/>
  <c r="K225" i="4" l="1"/>
  <c r="B226" i="4"/>
  <c r="G225" i="4"/>
  <c r="H225" i="4"/>
  <c r="C225" i="4"/>
  <c r="I225" i="4" s="1"/>
  <c r="F225" i="4"/>
  <c r="E225" i="4"/>
  <c r="D225" i="4"/>
  <c r="J225" i="4"/>
  <c r="K226" i="4" l="1"/>
  <c r="D226" i="4"/>
  <c r="G226" i="4"/>
  <c r="J226" i="4"/>
  <c r="C226" i="4"/>
  <c r="I226" i="4" s="1"/>
  <c r="E226" i="4"/>
  <c r="H226" i="4"/>
  <c r="B227" i="4"/>
  <c r="F226" i="4"/>
  <c r="J227" i="4" l="1"/>
  <c r="B228" i="4"/>
  <c r="D227" i="4"/>
  <c r="F227" i="4"/>
  <c r="G227" i="4"/>
  <c r="K227" i="4"/>
  <c r="C227" i="4"/>
  <c r="I227" i="4" s="1"/>
  <c r="E227" i="4"/>
  <c r="H227" i="4"/>
  <c r="C228" i="4" l="1"/>
  <c r="I228" i="4" s="1"/>
  <c r="B229" i="4"/>
  <c r="G228" i="4"/>
  <c r="F228" i="4"/>
  <c r="H228" i="4"/>
  <c r="D228" i="4"/>
  <c r="J228" i="4"/>
  <c r="K228" i="4"/>
  <c r="E228" i="4"/>
  <c r="D229" i="4" l="1"/>
  <c r="J229" i="4"/>
  <c r="C229" i="4"/>
  <c r="I229" i="4" s="1"/>
  <c r="H229" i="4"/>
  <c r="B230" i="4"/>
  <c r="E229" i="4"/>
  <c r="K229" i="4"/>
  <c r="F229" i="4"/>
  <c r="G229" i="4"/>
  <c r="H230" i="4" l="1"/>
  <c r="F230" i="4"/>
  <c r="E230" i="4"/>
  <c r="B231" i="4"/>
  <c r="J230" i="4"/>
  <c r="K230" i="4"/>
  <c r="D230" i="4"/>
  <c r="G230" i="4"/>
  <c r="C230" i="4"/>
  <c r="I230" i="4" s="1"/>
  <c r="K231" i="4" l="1"/>
  <c r="J231" i="4"/>
  <c r="H231" i="4"/>
  <c r="E231" i="4"/>
  <c r="F231" i="4"/>
  <c r="C231" i="4"/>
  <c r="I231" i="4" s="1"/>
  <c r="B232" i="4"/>
  <c r="D231" i="4"/>
  <c r="G231" i="4"/>
  <c r="D232" i="4" l="1"/>
  <c r="F232" i="4"/>
  <c r="K232" i="4"/>
  <c r="G232" i="4"/>
  <c r="H232" i="4"/>
  <c r="B233" i="4"/>
  <c r="C232" i="4"/>
  <c r="I232" i="4" s="1"/>
  <c r="E232" i="4"/>
  <c r="J232" i="4"/>
  <c r="J233" i="4" l="1"/>
  <c r="H233" i="4"/>
  <c r="C233" i="4"/>
  <c r="I233" i="4" s="1"/>
  <c r="G233" i="4"/>
  <c r="K233" i="4"/>
  <c r="E233" i="4"/>
  <c r="D233" i="4"/>
  <c r="B234" i="4"/>
  <c r="F233" i="4"/>
  <c r="B235" i="4" l="1"/>
  <c r="G234" i="4"/>
  <c r="E234" i="4"/>
  <c r="C234" i="4"/>
  <c r="I234" i="4" s="1"/>
  <c r="D234" i="4"/>
  <c r="K234" i="4"/>
  <c r="H234" i="4"/>
  <c r="F234" i="4"/>
  <c r="J234" i="4"/>
  <c r="J235" i="4" l="1"/>
  <c r="H235" i="4"/>
  <c r="G235" i="4"/>
  <c r="K235" i="4"/>
  <c r="E235" i="4"/>
  <c r="C235" i="4"/>
  <c r="I235" i="4" s="1"/>
  <c r="B236" i="4"/>
  <c r="D235" i="4"/>
  <c r="F235" i="4"/>
  <c r="B237" i="4" l="1"/>
  <c r="D236" i="4"/>
  <c r="H236" i="4"/>
  <c r="G236" i="4"/>
  <c r="K236" i="4"/>
  <c r="C236" i="4"/>
  <c r="I236" i="4" s="1"/>
  <c r="E236" i="4"/>
  <c r="J236" i="4"/>
  <c r="F236" i="4"/>
  <c r="F237" i="4" l="1"/>
  <c r="G237" i="4"/>
  <c r="K237" i="4"/>
  <c r="E237" i="4"/>
  <c r="D237" i="4"/>
  <c r="C237" i="4"/>
  <c r="I237" i="4" s="1"/>
  <c r="B238" i="4"/>
  <c r="J237" i="4"/>
  <c r="H237" i="4"/>
  <c r="D238" i="4" l="1"/>
  <c r="G238" i="4"/>
  <c r="B239" i="4"/>
  <c r="K238" i="4"/>
  <c r="H238" i="4"/>
  <c r="E238" i="4"/>
  <c r="F238" i="4"/>
  <c r="J238" i="4"/>
  <c r="C238" i="4"/>
  <c r="I238" i="4" s="1"/>
  <c r="G239" i="4" l="1"/>
  <c r="E239" i="4"/>
  <c r="C239" i="4"/>
  <c r="I239" i="4" s="1"/>
  <c r="J239" i="4"/>
  <c r="F239" i="4"/>
  <c r="K239" i="4"/>
  <c r="D239" i="4"/>
  <c r="B240" i="4"/>
  <c r="H239" i="4"/>
  <c r="F240" i="4" l="1"/>
  <c r="H240" i="4"/>
  <c r="J240" i="4"/>
  <c r="E240" i="4"/>
  <c r="D240" i="4"/>
  <c r="B241" i="4"/>
  <c r="G240" i="4"/>
  <c r="C240" i="4"/>
  <c r="I240" i="4" s="1"/>
  <c r="K240" i="4"/>
  <c r="E241" i="4" l="1"/>
  <c r="J241" i="4"/>
  <c r="D241" i="4"/>
  <c r="F241" i="4"/>
  <c r="H241" i="4"/>
  <c r="C241" i="4"/>
  <c r="I241" i="4" s="1"/>
  <c r="B242" i="4"/>
  <c r="K241" i="4"/>
  <c r="G241" i="4"/>
  <c r="E242" i="4" l="1"/>
  <c r="C242" i="4"/>
  <c r="I242" i="4" s="1"/>
  <c r="F242" i="4"/>
  <c r="H242" i="4"/>
  <c r="D242" i="4"/>
  <c r="G242" i="4"/>
  <c r="J242" i="4"/>
  <c r="B243" i="4"/>
  <c r="K242" i="4"/>
  <c r="E243" i="4" l="1"/>
  <c r="J243" i="4"/>
  <c r="D243" i="4"/>
  <c r="K243" i="4"/>
  <c r="B244" i="4"/>
  <c r="C243" i="4"/>
  <c r="I243" i="4" s="1"/>
  <c r="F243" i="4"/>
  <c r="G243" i="4"/>
  <c r="H243" i="4"/>
  <c r="B245" i="4" l="1"/>
  <c r="K244" i="4"/>
  <c r="G244" i="4"/>
  <c r="H244" i="4"/>
  <c r="C244" i="4"/>
  <c r="I244" i="4" s="1"/>
  <c r="J244" i="4"/>
  <c r="D244" i="4"/>
  <c r="F244" i="4"/>
  <c r="E244" i="4"/>
  <c r="B246" i="4" l="1"/>
  <c r="E245" i="4"/>
  <c r="H245" i="4"/>
  <c r="K245" i="4"/>
  <c r="C245" i="4"/>
  <c r="I245" i="4" s="1"/>
  <c r="F245" i="4"/>
  <c r="D245" i="4"/>
  <c r="J245" i="4"/>
  <c r="G245" i="4"/>
  <c r="C246" i="4" l="1"/>
  <c r="I246" i="4" s="1"/>
  <c r="J246" i="4"/>
  <c r="H246" i="4"/>
  <c r="F246" i="4"/>
  <c r="B247" i="4"/>
  <c r="K246" i="4"/>
  <c r="E246" i="4"/>
  <c r="D246" i="4"/>
  <c r="G246" i="4"/>
  <c r="F247" i="4" l="1"/>
  <c r="H247" i="4"/>
  <c r="K247" i="4"/>
  <c r="D247" i="4"/>
  <c r="B248" i="4"/>
  <c r="G247" i="4"/>
  <c r="C247" i="4"/>
  <c r="I247" i="4" s="1"/>
  <c r="E247" i="4"/>
  <c r="J247" i="4"/>
  <c r="H248" i="4" l="1"/>
  <c r="K248" i="4"/>
  <c r="E248" i="4"/>
  <c r="B249" i="4"/>
  <c r="C248" i="4"/>
  <c r="I248" i="4" s="1"/>
  <c r="F248" i="4"/>
  <c r="D248" i="4"/>
  <c r="J248" i="4"/>
  <c r="G248" i="4"/>
  <c r="C249" i="4" l="1"/>
  <c r="I249" i="4" s="1"/>
  <c r="E249" i="4"/>
  <c r="G249" i="4"/>
  <c r="K249" i="4"/>
  <c r="H249" i="4"/>
  <c r="B250" i="4"/>
  <c r="J249" i="4"/>
  <c r="D249" i="4"/>
  <c r="F249" i="4"/>
  <c r="B251" i="4" l="1"/>
  <c r="H250" i="4"/>
  <c r="E250" i="4"/>
  <c r="J250" i="4"/>
  <c r="D250" i="4"/>
  <c r="G250" i="4"/>
  <c r="F250" i="4"/>
  <c r="C250" i="4"/>
  <c r="I250" i="4" s="1"/>
  <c r="K250" i="4"/>
  <c r="G251" i="4" l="1"/>
  <c r="H251" i="4"/>
  <c r="J251" i="4"/>
  <c r="K251" i="4"/>
  <c r="E251" i="4"/>
  <c r="B252" i="4"/>
  <c r="D251" i="4"/>
  <c r="C251" i="4"/>
  <c r="I251" i="4" s="1"/>
  <c r="F251" i="4"/>
  <c r="D252" i="4" l="1"/>
  <c r="B253" i="4"/>
  <c r="G252" i="4"/>
  <c r="H252" i="4"/>
  <c r="F252" i="4"/>
  <c r="J252" i="4"/>
  <c r="K252" i="4"/>
  <c r="C252" i="4"/>
  <c r="I252" i="4" s="1"/>
  <c r="E252" i="4"/>
  <c r="G253" i="4" l="1"/>
  <c r="C253" i="4"/>
  <c r="I253" i="4" s="1"/>
  <c r="B254" i="4"/>
  <c r="K253" i="4"/>
  <c r="D253" i="4"/>
  <c r="H253" i="4"/>
  <c r="J253" i="4"/>
  <c r="F253" i="4"/>
  <c r="E253" i="4"/>
  <c r="B255" i="4" l="1"/>
  <c r="H254" i="4"/>
  <c r="D254" i="4"/>
  <c r="F254" i="4"/>
  <c r="C254" i="4"/>
  <c r="I254" i="4" s="1"/>
  <c r="E254" i="4"/>
  <c r="G254" i="4"/>
  <c r="J254" i="4"/>
  <c r="K254" i="4"/>
  <c r="K255" i="4" l="1"/>
  <c r="G255" i="4"/>
  <c r="H255" i="4"/>
  <c r="J255" i="4"/>
  <c r="C255" i="4"/>
  <c r="I255" i="4" s="1"/>
  <c r="E255" i="4"/>
  <c r="F255" i="4"/>
  <c r="B256" i="4"/>
  <c r="D255" i="4"/>
  <c r="J256" i="4" l="1"/>
  <c r="E256" i="4"/>
  <c r="F256" i="4"/>
  <c r="B257" i="4"/>
  <c r="K256" i="4"/>
  <c r="G256" i="4"/>
  <c r="H256" i="4"/>
  <c r="C256" i="4"/>
  <c r="I256" i="4" s="1"/>
  <c r="D256" i="4"/>
  <c r="E257" i="4" l="1"/>
  <c r="C257" i="4"/>
  <c r="I257" i="4" s="1"/>
  <c r="D257" i="4"/>
  <c r="H257" i="4"/>
  <c r="F257" i="4"/>
  <c r="B258" i="4"/>
  <c r="G257" i="4"/>
  <c r="J257" i="4"/>
  <c r="K257" i="4"/>
  <c r="F258" i="4" l="1"/>
  <c r="C258" i="4"/>
  <c r="I258" i="4" s="1"/>
  <c r="E258" i="4"/>
  <c r="J258" i="4"/>
  <c r="D258" i="4"/>
  <c r="H258" i="4"/>
  <c r="B259" i="4"/>
  <c r="K258" i="4"/>
  <c r="G258" i="4"/>
  <c r="H259" i="4" l="1"/>
  <c r="C259" i="4"/>
  <c r="I259" i="4" s="1"/>
  <c r="F259" i="4"/>
  <c r="J259" i="4"/>
  <c r="G259" i="4"/>
  <c r="D259" i="4"/>
  <c r="B260" i="4"/>
  <c r="E259" i="4"/>
  <c r="K259" i="4"/>
  <c r="J260" i="4" l="1"/>
  <c r="G260" i="4"/>
  <c r="F260" i="4"/>
  <c r="B261" i="4"/>
  <c r="E260" i="4"/>
  <c r="H260" i="4"/>
  <c r="K260" i="4"/>
  <c r="D260" i="4"/>
  <c r="C260" i="4"/>
  <c r="I260" i="4" s="1"/>
  <c r="D261" i="4" l="1"/>
  <c r="E261" i="4"/>
  <c r="B262" i="4"/>
  <c r="G261" i="4"/>
  <c r="F261" i="4"/>
  <c r="H261" i="4"/>
  <c r="J261" i="4"/>
  <c r="K261" i="4"/>
  <c r="C261" i="4"/>
  <c r="I261" i="4" s="1"/>
  <c r="C262" i="4" l="1"/>
  <c r="I262" i="4" s="1"/>
  <c r="F262" i="4"/>
  <c r="B263" i="4"/>
  <c r="E262" i="4"/>
  <c r="J262" i="4"/>
  <c r="H262" i="4"/>
  <c r="K262" i="4"/>
  <c r="D262" i="4"/>
  <c r="G262" i="4"/>
  <c r="E263" i="4" l="1"/>
  <c r="J263" i="4"/>
  <c r="K263" i="4"/>
  <c r="G263" i="4"/>
  <c r="F263" i="4"/>
  <c r="B264" i="4"/>
  <c r="H263" i="4"/>
  <c r="C263" i="4"/>
  <c r="I263" i="4" s="1"/>
  <c r="D263" i="4"/>
  <c r="D264" i="4" l="1"/>
  <c r="G264" i="4"/>
  <c r="H264" i="4"/>
  <c r="J264" i="4"/>
  <c r="E264" i="4"/>
  <c r="B265" i="4"/>
  <c r="K264" i="4"/>
  <c r="F264" i="4"/>
  <c r="C264" i="4"/>
  <c r="I264" i="4" s="1"/>
  <c r="G265" i="4" l="1"/>
  <c r="J265" i="4"/>
  <c r="E265" i="4"/>
  <c r="K265" i="4"/>
  <c r="C265" i="4"/>
  <c r="I265" i="4" s="1"/>
  <c r="D265" i="4"/>
  <c r="F265" i="4"/>
  <c r="H265" i="4"/>
  <c r="B266" i="4"/>
  <c r="K266" i="4" l="1"/>
  <c r="G266" i="4"/>
  <c r="J266" i="4"/>
  <c r="C266" i="4"/>
  <c r="I266" i="4" s="1"/>
  <c r="H266" i="4"/>
  <c r="D266" i="4"/>
  <c r="E266" i="4"/>
  <c r="F266" i="4"/>
  <c r="B267" i="4"/>
  <c r="G267" i="4" l="1"/>
  <c r="C267" i="4"/>
  <c r="I267" i="4" s="1"/>
  <c r="H267" i="4"/>
  <c r="J267" i="4"/>
  <c r="D267" i="4"/>
  <c r="K267" i="4"/>
  <c r="E267" i="4"/>
  <c r="B268" i="4"/>
  <c r="F267" i="4"/>
  <c r="K268" i="4" l="1"/>
  <c r="G268" i="4"/>
  <c r="B269" i="4"/>
  <c r="F268" i="4"/>
  <c r="C268" i="4"/>
  <c r="I268" i="4" s="1"/>
  <c r="J268" i="4"/>
  <c r="H268" i="4"/>
  <c r="D268" i="4"/>
  <c r="E268" i="4"/>
  <c r="K269" i="4" l="1"/>
  <c r="B270" i="4"/>
  <c r="F269" i="4"/>
  <c r="J269" i="4"/>
  <c r="C269" i="4"/>
  <c r="I269" i="4" s="1"/>
  <c r="H269" i="4"/>
  <c r="G269" i="4"/>
  <c r="D269" i="4"/>
  <c r="E269" i="4"/>
  <c r="E270" i="4" l="1"/>
  <c r="F270" i="4"/>
  <c r="D270" i="4"/>
  <c r="C270" i="4"/>
  <c r="I270" i="4" s="1"/>
  <c r="J270" i="4"/>
  <c r="B271" i="4"/>
  <c r="H270" i="4"/>
  <c r="G270" i="4"/>
  <c r="K270" i="4"/>
  <c r="G271" i="4" l="1"/>
  <c r="C271" i="4"/>
  <c r="I271" i="4" s="1"/>
  <c r="D271" i="4"/>
  <c r="E271" i="4"/>
  <c r="F271" i="4"/>
  <c r="K271" i="4"/>
  <c r="B272" i="4"/>
  <c r="H271" i="4"/>
  <c r="J271" i="4"/>
  <c r="F272" i="4" l="1"/>
  <c r="H272" i="4"/>
  <c r="K272" i="4"/>
  <c r="E272" i="4"/>
  <c r="G272" i="4"/>
  <c r="J272" i="4"/>
  <c r="B273" i="4"/>
  <c r="C272" i="4"/>
  <c r="I272" i="4" s="1"/>
  <c r="D272" i="4"/>
  <c r="F273" i="4" l="1"/>
  <c r="K273" i="4"/>
  <c r="G273" i="4"/>
  <c r="E273" i="4"/>
  <c r="B274" i="4"/>
  <c r="C273" i="4"/>
  <c r="I273" i="4" s="1"/>
  <c r="D273" i="4"/>
  <c r="J273" i="4"/>
  <c r="H273" i="4"/>
  <c r="E274" i="4" l="1"/>
  <c r="G274" i="4"/>
  <c r="J274" i="4"/>
  <c r="C274" i="4"/>
  <c r="I274" i="4" s="1"/>
  <c r="H274" i="4"/>
  <c r="B275" i="4"/>
  <c r="F274" i="4"/>
  <c r="K274" i="4"/>
  <c r="D274" i="4"/>
  <c r="H275" i="4" l="1"/>
  <c r="G275" i="4"/>
  <c r="E275" i="4"/>
  <c r="K275" i="4"/>
  <c r="D275" i="4"/>
  <c r="J275" i="4"/>
  <c r="B276" i="4"/>
  <c r="C275" i="4"/>
  <c r="I275" i="4" s="1"/>
  <c r="F275" i="4"/>
  <c r="H276" i="4" l="1"/>
  <c r="F276" i="4"/>
  <c r="C276" i="4"/>
  <c r="I276" i="4" s="1"/>
  <c r="E276" i="4"/>
  <c r="D276" i="4"/>
  <c r="G276" i="4"/>
  <c r="K276" i="4"/>
  <c r="B277" i="4"/>
  <c r="J276" i="4"/>
  <c r="K277" i="4" l="1"/>
  <c r="J277" i="4"/>
  <c r="B278" i="4"/>
  <c r="H277" i="4"/>
  <c r="E277" i="4"/>
  <c r="F277" i="4"/>
  <c r="C277" i="4"/>
  <c r="I277" i="4" s="1"/>
  <c r="G277" i="4"/>
  <c r="D277" i="4"/>
  <c r="B279" i="4" l="1"/>
  <c r="H278" i="4"/>
  <c r="D278" i="4"/>
  <c r="K278" i="4"/>
  <c r="G278" i="4"/>
  <c r="J278" i="4"/>
  <c r="E278" i="4"/>
  <c r="C278" i="4"/>
  <c r="I278" i="4" s="1"/>
  <c r="F278" i="4"/>
  <c r="E279" i="4" l="1"/>
  <c r="K279" i="4"/>
  <c r="H279" i="4"/>
  <c r="D279" i="4"/>
  <c r="B280" i="4"/>
  <c r="F279" i="4"/>
  <c r="C279" i="4"/>
  <c r="I279" i="4" s="1"/>
  <c r="G279" i="4"/>
  <c r="J279" i="4"/>
  <c r="G280" i="4" l="1"/>
  <c r="B281" i="4"/>
  <c r="D280" i="4"/>
  <c r="K280" i="4"/>
  <c r="C280" i="4"/>
  <c r="I280" i="4" s="1"/>
  <c r="J280" i="4"/>
  <c r="E280" i="4"/>
  <c r="F280" i="4"/>
  <c r="H280" i="4"/>
  <c r="C281" i="4" l="1"/>
  <c r="I281" i="4" s="1"/>
  <c r="D281" i="4"/>
  <c r="B282" i="4"/>
  <c r="H281" i="4"/>
  <c r="J281" i="4"/>
  <c r="K281" i="4"/>
  <c r="E281" i="4"/>
  <c r="F281" i="4"/>
  <c r="G281" i="4"/>
  <c r="D282" i="4" l="1"/>
  <c r="B283" i="4"/>
  <c r="H282" i="4"/>
  <c r="J282" i="4"/>
  <c r="C282" i="4"/>
  <c r="I282" i="4" s="1"/>
  <c r="F282" i="4"/>
  <c r="G282" i="4"/>
  <c r="E282" i="4"/>
  <c r="K282" i="4"/>
  <c r="F283" i="4" l="1"/>
  <c r="G283" i="4"/>
  <c r="D283" i="4"/>
  <c r="E283" i="4"/>
  <c r="J283" i="4"/>
  <c r="B284" i="4"/>
  <c r="K283" i="4"/>
  <c r="C283" i="4"/>
  <c r="I283" i="4" s="1"/>
  <c r="H283" i="4"/>
  <c r="F284" i="4" l="1"/>
  <c r="B285" i="4"/>
  <c r="H284" i="4"/>
  <c r="K284" i="4"/>
  <c r="J284" i="4"/>
  <c r="C284" i="4"/>
  <c r="I284" i="4" s="1"/>
  <c r="D284" i="4"/>
  <c r="E284" i="4"/>
  <c r="G284" i="4"/>
  <c r="B286" i="4" l="1"/>
  <c r="K285" i="4"/>
  <c r="F285" i="4"/>
  <c r="H285" i="4"/>
  <c r="G285" i="4"/>
  <c r="J285" i="4"/>
  <c r="E285" i="4"/>
  <c r="C285" i="4"/>
  <c r="I285" i="4" s="1"/>
  <c r="D285" i="4"/>
  <c r="G286" i="4" l="1"/>
  <c r="E286" i="4"/>
  <c r="K286" i="4"/>
  <c r="F286" i="4"/>
  <c r="J286" i="4"/>
  <c r="B287" i="4"/>
  <c r="H286" i="4"/>
  <c r="D286" i="4"/>
  <c r="C286" i="4"/>
  <c r="I286" i="4" s="1"/>
  <c r="E287" i="4" l="1"/>
  <c r="B288" i="4"/>
  <c r="F287" i="4"/>
  <c r="J287" i="4"/>
  <c r="K287" i="4"/>
  <c r="H287" i="4"/>
  <c r="C287" i="4"/>
  <c r="I287" i="4" s="1"/>
  <c r="D287" i="4"/>
  <c r="G287" i="4"/>
  <c r="B289" i="4" l="1"/>
  <c r="D288" i="4"/>
  <c r="F288" i="4"/>
  <c r="H288" i="4"/>
  <c r="G288" i="4"/>
  <c r="K288" i="4"/>
  <c r="J288" i="4"/>
  <c r="C288" i="4"/>
  <c r="I288" i="4" s="1"/>
  <c r="E288" i="4"/>
  <c r="B290" i="4" l="1"/>
  <c r="D289" i="4"/>
  <c r="F289" i="4"/>
  <c r="C289" i="4"/>
  <c r="I289" i="4" s="1"/>
  <c r="H289" i="4"/>
  <c r="K289" i="4"/>
  <c r="E289" i="4"/>
  <c r="G289" i="4"/>
  <c r="J289" i="4"/>
  <c r="B291" i="4" l="1"/>
  <c r="K290" i="4"/>
  <c r="G290" i="4"/>
  <c r="F290" i="4"/>
  <c r="J290" i="4"/>
  <c r="C290" i="4"/>
  <c r="I290" i="4" s="1"/>
  <c r="H290" i="4"/>
  <c r="D290" i="4"/>
  <c r="E290" i="4"/>
  <c r="E291" i="4" l="1"/>
  <c r="B292" i="4"/>
  <c r="C291" i="4"/>
  <c r="I291" i="4" s="1"/>
  <c r="H291" i="4"/>
  <c r="D291" i="4"/>
  <c r="K291" i="4"/>
  <c r="G291" i="4"/>
  <c r="J291" i="4"/>
  <c r="F291" i="4"/>
  <c r="D292" i="4" l="1"/>
  <c r="C292" i="4"/>
  <c r="I292" i="4" s="1"/>
  <c r="F292" i="4"/>
  <c r="H292" i="4"/>
  <c r="G292" i="4"/>
  <c r="J292" i="4"/>
  <c r="K292" i="4"/>
  <c r="B293" i="4"/>
  <c r="E292" i="4"/>
  <c r="H293" i="4" l="1"/>
  <c r="K293" i="4"/>
  <c r="F293" i="4"/>
  <c r="D293" i="4"/>
  <c r="B294" i="4"/>
  <c r="J293" i="4"/>
  <c r="C293" i="4"/>
  <c r="I293" i="4" s="1"/>
  <c r="E293" i="4"/>
  <c r="G293" i="4"/>
  <c r="D294" i="4" l="1"/>
  <c r="C294" i="4"/>
  <c r="I294" i="4" s="1"/>
  <c r="E294" i="4"/>
  <c r="G294" i="4"/>
  <c r="B295" i="4"/>
  <c r="K294" i="4"/>
  <c r="H294" i="4"/>
  <c r="J294" i="4"/>
  <c r="F294" i="4"/>
  <c r="C295" i="4" l="1"/>
  <c r="I295" i="4" s="1"/>
  <c r="F295" i="4"/>
  <c r="E295" i="4"/>
  <c r="J295" i="4"/>
  <c r="D295" i="4"/>
  <c r="B296" i="4"/>
  <c r="K295" i="4"/>
  <c r="H295" i="4"/>
  <c r="G295" i="4"/>
  <c r="K296" i="4" l="1"/>
  <c r="J296" i="4"/>
  <c r="E296" i="4"/>
  <c r="D296" i="4"/>
  <c r="B297" i="4"/>
  <c r="G296" i="4"/>
  <c r="H296" i="4"/>
  <c r="C296" i="4"/>
  <c r="I296" i="4" s="1"/>
  <c r="F296" i="4"/>
  <c r="E297" i="4" l="1"/>
  <c r="H297" i="4"/>
  <c r="F297" i="4"/>
  <c r="D297" i="4"/>
  <c r="G297" i="4"/>
  <c r="C297" i="4"/>
  <c r="I297" i="4" s="1"/>
  <c r="B298" i="4"/>
  <c r="K297" i="4"/>
  <c r="J297" i="4"/>
  <c r="G298" i="4" l="1"/>
  <c r="B299" i="4"/>
  <c r="E298" i="4"/>
  <c r="F298" i="4"/>
  <c r="J298" i="4"/>
  <c r="D298" i="4"/>
  <c r="H298" i="4"/>
  <c r="C298" i="4"/>
  <c r="I298" i="4" s="1"/>
  <c r="K298" i="4"/>
  <c r="C299" i="4" l="1"/>
  <c r="I299" i="4" s="1"/>
  <c r="B300" i="4"/>
  <c r="F299" i="4"/>
  <c r="D299" i="4"/>
  <c r="G299" i="4"/>
  <c r="K299" i="4"/>
  <c r="E299" i="4"/>
  <c r="J299" i="4"/>
  <c r="H299" i="4"/>
  <c r="K300" i="4" l="1"/>
  <c r="C300" i="4"/>
  <c r="I300" i="4" s="1"/>
  <c r="F300" i="4"/>
  <c r="B301" i="4"/>
  <c r="J300" i="4"/>
  <c r="E300" i="4"/>
  <c r="G300" i="4"/>
  <c r="D300" i="4"/>
  <c r="H300" i="4"/>
  <c r="E301" i="4" l="1"/>
  <c r="F301" i="4"/>
  <c r="J301" i="4"/>
  <c r="H301" i="4"/>
  <c r="C301" i="4"/>
  <c r="I301" i="4" s="1"/>
  <c r="B302" i="4"/>
  <c r="K301" i="4"/>
  <c r="G301" i="4"/>
  <c r="D301" i="4"/>
  <c r="D302" i="4" l="1"/>
  <c r="E302" i="4"/>
  <c r="F302" i="4"/>
  <c r="H302" i="4"/>
  <c r="G302" i="4"/>
  <c r="C302" i="4"/>
  <c r="I302" i="4" s="1"/>
  <c r="B303" i="4"/>
  <c r="J302" i="4"/>
  <c r="K302" i="4"/>
  <c r="K303" i="4" l="1"/>
  <c r="C303" i="4"/>
  <c r="I303" i="4" s="1"/>
  <c r="B304" i="4"/>
  <c r="J303" i="4"/>
  <c r="G303" i="4"/>
  <c r="F303" i="4"/>
  <c r="E303" i="4"/>
  <c r="D303" i="4"/>
  <c r="H303" i="4"/>
  <c r="B305" i="4" l="1"/>
  <c r="J304" i="4"/>
  <c r="K304" i="4"/>
  <c r="H304" i="4"/>
  <c r="C304" i="4"/>
  <c r="I304" i="4" s="1"/>
  <c r="G304" i="4"/>
  <c r="F304" i="4"/>
  <c r="D304" i="4"/>
  <c r="E304" i="4"/>
  <c r="B306" i="4" l="1"/>
  <c r="C305" i="4"/>
  <c r="I305" i="4" s="1"/>
  <c r="J305" i="4"/>
  <c r="H305" i="4"/>
  <c r="K305" i="4"/>
  <c r="E305" i="4"/>
  <c r="D305" i="4"/>
  <c r="G305" i="4"/>
  <c r="F305" i="4"/>
  <c r="B307" i="4" l="1"/>
  <c r="D306" i="4"/>
  <c r="H306" i="4"/>
  <c r="F306" i="4"/>
  <c r="G306" i="4"/>
  <c r="J306" i="4"/>
  <c r="K306" i="4"/>
  <c r="E306" i="4"/>
  <c r="C306" i="4"/>
  <c r="I306" i="4" s="1"/>
  <c r="C307" i="4" l="1"/>
  <c r="B308" i="4"/>
  <c r="H307" i="4"/>
  <c r="K307" i="4"/>
  <c r="I307" i="4"/>
  <c r="D307" i="4"/>
  <c r="E307" i="4"/>
  <c r="J307" i="4"/>
  <c r="G307" i="4"/>
  <c r="F307" i="4"/>
  <c r="B309" i="4" l="1"/>
  <c r="K308" i="4"/>
  <c r="C308" i="4"/>
  <c r="I308" i="4" s="1"/>
  <c r="J308" i="4"/>
  <c r="G308" i="4"/>
  <c r="D308" i="4"/>
  <c r="F308" i="4"/>
  <c r="H308" i="4"/>
  <c r="E308" i="4"/>
  <c r="E309" i="4" l="1"/>
  <c r="K309" i="4"/>
  <c r="G309" i="4"/>
  <c r="J309" i="4"/>
  <c r="F309" i="4"/>
  <c r="B310" i="4"/>
  <c r="C309" i="4"/>
  <c r="I309" i="4" s="1"/>
  <c r="H309" i="4"/>
  <c r="D309" i="4"/>
  <c r="H310" i="4" l="1"/>
  <c r="J310" i="4"/>
  <c r="F310" i="4"/>
  <c r="B311" i="4"/>
  <c r="K310" i="4"/>
  <c r="G310" i="4"/>
  <c r="E310" i="4"/>
  <c r="C310" i="4"/>
  <c r="I310" i="4" s="1"/>
  <c r="D310" i="4"/>
  <c r="D311" i="4" l="1"/>
  <c r="B312" i="4"/>
  <c r="C311" i="4"/>
  <c r="I311" i="4" s="1"/>
  <c r="K311" i="4"/>
  <c r="F311" i="4"/>
  <c r="H311" i="4"/>
  <c r="J311" i="4"/>
  <c r="E311" i="4"/>
  <c r="G311" i="4"/>
  <c r="C312" i="4" l="1"/>
  <c r="I312" i="4" s="1"/>
  <c r="G312" i="4"/>
  <c r="F312" i="4"/>
  <c r="H312" i="4"/>
  <c r="D312" i="4"/>
  <c r="J312" i="4"/>
  <c r="E312" i="4"/>
  <c r="K312" i="4"/>
  <c r="B313" i="4"/>
  <c r="F313" i="4" l="1"/>
  <c r="D313" i="4"/>
  <c r="G313" i="4"/>
  <c r="C313" i="4"/>
  <c r="I313" i="4" s="1"/>
  <c r="H313" i="4"/>
  <c r="E313" i="4"/>
  <c r="K313" i="4"/>
  <c r="J313" i="4"/>
  <c r="B314" i="4"/>
  <c r="G314" i="4" l="1"/>
  <c r="H314" i="4"/>
  <c r="D314" i="4"/>
  <c r="C314" i="4"/>
  <c r="I314" i="4" s="1"/>
  <c r="B315" i="4"/>
  <c r="J314" i="4"/>
  <c r="K314" i="4"/>
  <c r="E314" i="4"/>
  <c r="F314" i="4"/>
  <c r="G315" i="4" l="1"/>
  <c r="K315" i="4"/>
  <c r="D315" i="4"/>
  <c r="J315" i="4"/>
  <c r="C315" i="4"/>
  <c r="I315" i="4" s="1"/>
  <c r="H315" i="4"/>
  <c r="B316" i="4"/>
  <c r="F315" i="4"/>
  <c r="E315" i="4"/>
  <c r="J316" i="4" l="1"/>
  <c r="E316" i="4"/>
  <c r="D316" i="4"/>
  <c r="K316" i="4"/>
  <c r="H316" i="4"/>
  <c r="F316" i="4"/>
  <c r="B317" i="4"/>
  <c r="G316" i="4"/>
  <c r="C316" i="4"/>
  <c r="I316" i="4" s="1"/>
  <c r="B318" i="4" l="1"/>
  <c r="D317" i="4"/>
  <c r="E317" i="4"/>
  <c r="J317" i="4"/>
  <c r="G317" i="4"/>
  <c r="K317" i="4"/>
  <c r="F317" i="4"/>
  <c r="H317" i="4"/>
  <c r="C317" i="4"/>
  <c r="I317" i="4" s="1"/>
  <c r="F318" i="4" l="1"/>
  <c r="K318" i="4"/>
  <c r="H318" i="4"/>
  <c r="D318" i="4"/>
  <c r="C318" i="4"/>
  <c r="I318" i="4" s="1"/>
  <c r="B319" i="4"/>
  <c r="E318" i="4"/>
  <c r="G318" i="4"/>
  <c r="J318" i="4"/>
  <c r="E319" i="4" l="1"/>
  <c r="D319" i="4"/>
  <c r="H319" i="4"/>
  <c r="F319" i="4"/>
  <c r="J319" i="4"/>
  <c r="B320" i="4"/>
  <c r="K319" i="4"/>
  <c r="C319" i="4"/>
  <c r="I319" i="4" s="1"/>
  <c r="G319" i="4"/>
  <c r="G320" i="4" l="1"/>
  <c r="C320" i="4"/>
  <c r="I320" i="4" s="1"/>
  <c r="D320" i="4"/>
  <c r="F320" i="4"/>
  <c r="E320" i="4"/>
  <c r="J320" i="4"/>
  <c r="K320" i="4"/>
  <c r="B321" i="4"/>
  <c r="H320" i="4"/>
  <c r="C321" i="4" l="1"/>
  <c r="I321" i="4" s="1"/>
  <c r="G321" i="4"/>
  <c r="B322" i="4"/>
  <c r="E321" i="4"/>
  <c r="J321" i="4"/>
  <c r="H321" i="4"/>
  <c r="K321" i="4"/>
  <c r="F321" i="4"/>
  <c r="D321" i="4"/>
  <c r="C322" i="4" l="1"/>
  <c r="I322" i="4" s="1"/>
  <c r="F322" i="4"/>
  <c r="B323" i="4"/>
  <c r="D322" i="4"/>
  <c r="H322" i="4"/>
  <c r="G322" i="4"/>
  <c r="K322" i="4"/>
  <c r="J322" i="4"/>
  <c r="E322" i="4"/>
  <c r="D323" i="4" l="1"/>
  <c r="J323" i="4"/>
  <c r="G323" i="4"/>
  <c r="E323" i="4"/>
  <c r="K323" i="4"/>
  <c r="F323" i="4"/>
  <c r="B324" i="4"/>
  <c r="H323" i="4"/>
  <c r="C323" i="4"/>
  <c r="I323" i="4" s="1"/>
  <c r="J324" i="4" l="1"/>
  <c r="B325" i="4"/>
  <c r="C324" i="4"/>
  <c r="I324" i="4" s="1"/>
  <c r="E324" i="4"/>
  <c r="F324" i="4"/>
  <c r="G324" i="4"/>
  <c r="H324" i="4"/>
  <c r="K324" i="4"/>
  <c r="D324" i="4"/>
  <c r="J325" i="4" l="1"/>
  <c r="C325" i="4"/>
  <c r="I325" i="4" s="1"/>
  <c r="H325" i="4"/>
  <c r="G325" i="4"/>
  <c r="D325" i="4"/>
  <c r="E325" i="4"/>
  <c r="F325" i="4"/>
  <c r="B326" i="4"/>
  <c r="K325" i="4"/>
  <c r="B327" i="4" l="1"/>
  <c r="K326" i="4"/>
  <c r="F326" i="4"/>
  <c r="G326" i="4"/>
  <c r="H326" i="4"/>
  <c r="D326" i="4"/>
  <c r="E326" i="4"/>
  <c r="C326" i="4"/>
  <c r="I326" i="4" s="1"/>
  <c r="J326" i="4"/>
  <c r="K327" i="4" l="1"/>
  <c r="D327" i="4"/>
  <c r="J327" i="4"/>
  <c r="F327" i="4"/>
  <c r="B328" i="4"/>
  <c r="C327" i="4"/>
  <c r="I327" i="4" s="1"/>
  <c r="E327" i="4"/>
  <c r="H327" i="4"/>
  <c r="G327" i="4"/>
  <c r="E328" i="4" l="1"/>
  <c r="H328" i="4"/>
  <c r="J328" i="4"/>
  <c r="K328" i="4"/>
  <c r="G328" i="4"/>
  <c r="C328" i="4"/>
  <c r="I328" i="4" s="1"/>
  <c r="B329" i="4"/>
  <c r="F328" i="4"/>
  <c r="D328" i="4"/>
  <c r="E329" i="4" l="1"/>
  <c r="H329" i="4"/>
  <c r="B330" i="4"/>
  <c r="J329" i="4"/>
  <c r="F329" i="4"/>
  <c r="G329" i="4"/>
  <c r="K329" i="4"/>
  <c r="D329" i="4"/>
  <c r="C329" i="4"/>
  <c r="I329" i="4" s="1"/>
  <c r="B331" i="4" l="1"/>
  <c r="D330" i="4"/>
  <c r="H330" i="4"/>
  <c r="F330" i="4"/>
  <c r="C330" i="4"/>
  <c r="I330" i="4" s="1"/>
  <c r="K330" i="4"/>
  <c r="E330" i="4"/>
  <c r="G330" i="4"/>
  <c r="J330" i="4"/>
  <c r="J331" i="4" l="1"/>
  <c r="B332" i="4"/>
  <c r="H331" i="4"/>
  <c r="C331" i="4"/>
  <c r="I331" i="4" s="1"/>
  <c r="D331" i="4"/>
  <c r="E331" i="4"/>
  <c r="G331" i="4"/>
  <c r="F331" i="4"/>
  <c r="K331" i="4"/>
  <c r="B333" i="4" l="1"/>
  <c r="F332" i="4"/>
  <c r="H332" i="4"/>
  <c r="C332" i="4"/>
  <c r="I332" i="4" s="1"/>
  <c r="J332" i="4"/>
  <c r="D332" i="4"/>
  <c r="K332" i="4"/>
  <c r="G332" i="4"/>
  <c r="E332" i="4"/>
  <c r="E333" i="4" l="1"/>
  <c r="G333" i="4"/>
  <c r="D333" i="4"/>
  <c r="H333" i="4"/>
  <c r="B334" i="4"/>
  <c r="K333" i="4"/>
  <c r="J333" i="4"/>
  <c r="F333" i="4"/>
  <c r="C333" i="4"/>
  <c r="I333" i="4" s="1"/>
  <c r="H334" i="4" l="1"/>
  <c r="F334" i="4"/>
  <c r="B335" i="4"/>
  <c r="K334" i="4"/>
  <c r="G334" i="4"/>
  <c r="D334" i="4"/>
  <c r="J334" i="4"/>
  <c r="C334" i="4"/>
  <c r="I334" i="4" s="1"/>
  <c r="E334" i="4"/>
  <c r="G335" i="4" l="1"/>
  <c r="K335" i="4"/>
  <c r="J335" i="4"/>
  <c r="F335" i="4"/>
  <c r="H335" i="4"/>
  <c r="E335" i="4"/>
  <c r="B336" i="4"/>
  <c r="C335" i="4"/>
  <c r="I335" i="4" s="1"/>
  <c r="D335" i="4"/>
  <c r="K336" i="4" l="1"/>
  <c r="H336" i="4"/>
  <c r="C336" i="4"/>
  <c r="I336" i="4" s="1"/>
  <c r="E336" i="4"/>
  <c r="G336" i="4"/>
  <c r="J336" i="4"/>
  <c r="B337" i="4"/>
  <c r="D336" i="4"/>
  <c r="F336" i="4"/>
  <c r="H337" i="4" l="1"/>
  <c r="E337" i="4"/>
  <c r="F337" i="4"/>
  <c r="J337" i="4"/>
  <c r="G337" i="4"/>
  <c r="D337" i="4"/>
  <c r="K337" i="4"/>
  <c r="C337" i="4"/>
  <c r="I337" i="4" s="1"/>
  <c r="B338" i="4"/>
  <c r="E338" i="4" l="1"/>
  <c r="B339" i="4"/>
  <c r="K338" i="4"/>
  <c r="H338" i="4"/>
  <c r="J338" i="4"/>
  <c r="G338" i="4"/>
  <c r="D338" i="4"/>
  <c r="C338" i="4"/>
  <c r="I338" i="4" s="1"/>
  <c r="F338" i="4"/>
  <c r="J339" i="4" l="1"/>
  <c r="C339" i="4"/>
  <c r="I339" i="4" s="1"/>
  <c r="H339" i="4"/>
  <c r="B340" i="4"/>
  <c r="E339" i="4"/>
  <c r="D339" i="4"/>
  <c r="G339" i="4"/>
  <c r="K339" i="4"/>
  <c r="F339" i="4"/>
  <c r="G340" i="4" l="1"/>
  <c r="D340" i="4"/>
  <c r="B341" i="4"/>
  <c r="H340" i="4"/>
  <c r="F340" i="4"/>
  <c r="J340" i="4"/>
  <c r="E340" i="4"/>
  <c r="K340" i="4"/>
  <c r="C340" i="4"/>
  <c r="I340" i="4" s="1"/>
  <c r="B342" i="4" l="1"/>
  <c r="C341" i="4"/>
  <c r="J341" i="4"/>
  <c r="D341" i="4"/>
  <c r="G341" i="4"/>
  <c r="E341" i="4"/>
  <c r="I341" i="4"/>
  <c r="F341" i="4"/>
  <c r="K341" i="4"/>
  <c r="H341" i="4"/>
  <c r="F342" i="4" l="1"/>
  <c r="C342" i="4"/>
  <c r="I342" i="4" s="1"/>
  <c r="G342" i="4"/>
  <c r="H342" i="4"/>
  <c r="D342" i="4"/>
  <c r="B343" i="4"/>
  <c r="E342" i="4"/>
  <c r="J342" i="4"/>
  <c r="K342" i="4"/>
  <c r="E343" i="4" l="1"/>
  <c r="H343" i="4"/>
  <c r="C343" i="4"/>
  <c r="I343" i="4" s="1"/>
  <c r="J343" i="4"/>
  <c r="F343" i="4"/>
  <c r="K343" i="4"/>
  <c r="D343" i="4"/>
  <c r="G343" i="4"/>
  <c r="B344" i="4"/>
  <c r="E344" i="4" l="1"/>
  <c r="K344" i="4"/>
  <c r="B345" i="4"/>
  <c r="J344" i="4"/>
  <c r="F344" i="4"/>
  <c r="C344" i="4"/>
  <c r="I344" i="4" s="1"/>
  <c r="G344" i="4"/>
  <c r="H344" i="4"/>
  <c r="D344" i="4"/>
  <c r="C345" i="4" l="1"/>
  <c r="I345" i="4" s="1"/>
  <c r="B346" i="4"/>
  <c r="E345" i="4"/>
  <c r="K345" i="4"/>
  <c r="F345" i="4"/>
  <c r="D345" i="4"/>
  <c r="J345" i="4"/>
  <c r="G345" i="4"/>
  <c r="H345" i="4"/>
  <c r="H346" i="4" l="1"/>
  <c r="B347" i="4"/>
  <c r="E346" i="4"/>
  <c r="F346" i="4"/>
  <c r="K346" i="4"/>
  <c r="C346" i="4"/>
  <c r="I346" i="4" s="1"/>
  <c r="J346" i="4"/>
  <c r="G346" i="4"/>
  <c r="D346" i="4"/>
  <c r="F347" i="4" l="1"/>
  <c r="B348" i="4"/>
  <c r="G347" i="4"/>
  <c r="E347" i="4"/>
  <c r="H347" i="4"/>
  <c r="K347" i="4"/>
  <c r="D347" i="4"/>
  <c r="J347" i="4"/>
  <c r="C347" i="4"/>
  <c r="I347" i="4" s="1"/>
  <c r="K348" i="4" l="1"/>
  <c r="J348" i="4"/>
  <c r="B349" i="4"/>
  <c r="F348" i="4"/>
  <c r="H348" i="4"/>
  <c r="C348" i="4"/>
  <c r="I348" i="4" s="1"/>
  <c r="G348" i="4"/>
  <c r="D348" i="4"/>
  <c r="E348" i="4"/>
  <c r="J349" i="4" l="1"/>
  <c r="E349" i="4"/>
  <c r="K349" i="4"/>
  <c r="H349" i="4"/>
  <c r="D349" i="4"/>
  <c r="G349" i="4"/>
  <c r="B350" i="4"/>
  <c r="C349" i="4"/>
  <c r="I349" i="4" s="1"/>
  <c r="F349" i="4"/>
  <c r="K350" i="4" l="1"/>
  <c r="B351" i="4"/>
  <c r="F350" i="4"/>
  <c r="H350" i="4"/>
  <c r="G350" i="4"/>
  <c r="E350" i="4"/>
  <c r="J350" i="4"/>
  <c r="C350" i="4"/>
  <c r="I350" i="4" s="1"/>
  <c r="D350" i="4"/>
  <c r="F351" i="4" l="1"/>
  <c r="C351" i="4"/>
  <c r="I351" i="4" s="1"/>
  <c r="B352" i="4"/>
  <c r="D351" i="4"/>
  <c r="H351" i="4"/>
  <c r="J351" i="4"/>
  <c r="E351" i="4"/>
  <c r="K351" i="4"/>
  <c r="G351" i="4"/>
  <c r="J352" i="4" l="1"/>
  <c r="C352" i="4"/>
  <c r="I352" i="4" s="1"/>
  <c r="D352" i="4"/>
  <c r="F352" i="4"/>
  <c r="G352" i="4"/>
  <c r="H352" i="4"/>
  <c r="K352" i="4"/>
  <c r="B353" i="4"/>
  <c r="E352" i="4"/>
  <c r="E353" i="4" l="1"/>
  <c r="J353" i="4"/>
  <c r="D353" i="4"/>
  <c r="F353" i="4"/>
  <c r="H353" i="4"/>
  <c r="K353" i="4"/>
  <c r="G353" i="4"/>
  <c r="C353" i="4"/>
  <c r="I353" i="4" s="1"/>
  <c r="B354" i="4"/>
  <c r="D354" i="4" l="1"/>
  <c r="H354" i="4"/>
  <c r="J354" i="4"/>
  <c r="C354" i="4"/>
  <c r="I354" i="4" s="1"/>
  <c r="K354" i="4"/>
  <c r="F354" i="4"/>
  <c r="G354" i="4"/>
  <c r="E354" i="4"/>
  <c r="B355" i="4"/>
  <c r="G355" i="4" l="1"/>
  <c r="J355" i="4"/>
  <c r="H355" i="4"/>
  <c r="B356" i="4"/>
  <c r="D355" i="4"/>
  <c r="C355" i="4"/>
  <c r="I355" i="4" s="1"/>
  <c r="K355" i="4"/>
  <c r="F355" i="4"/>
  <c r="E355" i="4"/>
  <c r="F356" i="4" l="1"/>
  <c r="C356" i="4"/>
  <c r="I356" i="4" s="1"/>
  <c r="J356" i="4"/>
  <c r="B357" i="4"/>
  <c r="H356" i="4"/>
  <c r="G356" i="4"/>
  <c r="E356" i="4"/>
  <c r="D356" i="4"/>
  <c r="K356" i="4"/>
  <c r="F357" i="4" l="1"/>
  <c r="K357" i="4"/>
  <c r="J357" i="4"/>
  <c r="D357" i="4"/>
  <c r="B358" i="4"/>
  <c r="C357" i="4"/>
  <c r="I357" i="4" s="1"/>
  <c r="G357" i="4"/>
  <c r="E357" i="4"/>
  <c r="H357" i="4"/>
  <c r="E358" i="4" l="1"/>
  <c r="J358" i="4"/>
  <c r="K358" i="4"/>
  <c r="B359" i="4"/>
  <c r="C358" i="4"/>
  <c r="I358" i="4" s="1"/>
  <c r="D358" i="4"/>
  <c r="H358" i="4"/>
  <c r="F358" i="4"/>
  <c r="G358" i="4"/>
  <c r="K359" i="4" l="1"/>
  <c r="J359" i="4"/>
  <c r="D359" i="4"/>
  <c r="C359" i="4"/>
  <c r="I359" i="4" s="1"/>
  <c r="H359" i="4"/>
  <c r="G359" i="4"/>
  <c r="B360" i="4"/>
  <c r="F359" i="4"/>
  <c r="E359" i="4"/>
  <c r="B361" i="4" l="1"/>
  <c r="G360" i="4"/>
  <c r="F360" i="4"/>
  <c r="H360" i="4"/>
  <c r="J360" i="4"/>
  <c r="C360" i="4"/>
  <c r="I360" i="4" s="1"/>
  <c r="E360" i="4"/>
  <c r="D360" i="4"/>
  <c r="K360" i="4"/>
  <c r="K361" i="4" l="1"/>
  <c r="J361" i="4"/>
  <c r="G361" i="4"/>
  <c r="F361" i="4"/>
  <c r="E361" i="4"/>
  <c r="B362" i="4"/>
  <c r="D361" i="4"/>
  <c r="C361" i="4"/>
  <c r="I361" i="4" s="1"/>
  <c r="H361" i="4"/>
  <c r="B363" i="4" l="1"/>
  <c r="K362" i="4"/>
  <c r="F362" i="4"/>
  <c r="G362" i="4"/>
  <c r="D362" i="4"/>
  <c r="E362" i="4"/>
  <c r="J362" i="4"/>
  <c r="C362" i="4"/>
  <c r="I362" i="4" s="1"/>
  <c r="H362" i="4"/>
  <c r="G363" i="4" l="1"/>
  <c r="E363" i="4"/>
  <c r="F363" i="4"/>
  <c r="B364" i="4"/>
  <c r="D363" i="4"/>
  <c r="K363" i="4"/>
  <c r="H363" i="4"/>
  <c r="C363" i="4"/>
  <c r="I363" i="4" s="1"/>
  <c r="J363" i="4"/>
  <c r="D364" i="4" l="1"/>
  <c r="G364" i="4"/>
  <c r="B365" i="4"/>
  <c r="K364" i="4"/>
  <c r="E364" i="4"/>
  <c r="J364" i="4"/>
  <c r="C364" i="4"/>
  <c r="I364" i="4" s="1"/>
  <c r="H364" i="4"/>
  <c r="F364" i="4"/>
  <c r="B366" i="4" l="1"/>
  <c r="C365" i="4"/>
  <c r="I365" i="4" s="1"/>
  <c r="E365" i="4"/>
  <c r="D365" i="4"/>
  <c r="J365" i="4"/>
  <c r="K365" i="4"/>
  <c r="H365" i="4"/>
  <c r="G365" i="4"/>
  <c r="F365" i="4"/>
  <c r="B367" i="4" l="1"/>
  <c r="C366" i="4"/>
  <c r="I366" i="4" s="1"/>
  <c r="K366" i="4"/>
  <c r="G366" i="4"/>
  <c r="E366" i="4"/>
  <c r="D366" i="4"/>
  <c r="H366" i="4"/>
  <c r="J366" i="4"/>
  <c r="F366" i="4"/>
  <c r="C367" i="4" l="1"/>
  <c r="I367" i="4" s="1"/>
  <c r="F367" i="4"/>
  <c r="H367" i="4"/>
  <c r="G367" i="4"/>
  <c r="E367" i="4"/>
  <c r="B368" i="4"/>
  <c r="K367" i="4"/>
  <c r="J367" i="4"/>
  <c r="D367" i="4"/>
  <c r="H368" i="4" l="1"/>
  <c r="J368" i="4"/>
  <c r="F368" i="4"/>
  <c r="E368" i="4"/>
  <c r="D368" i="4"/>
  <c r="B369" i="4"/>
  <c r="G368" i="4"/>
  <c r="C368" i="4"/>
  <c r="I368" i="4" s="1"/>
  <c r="K368" i="4"/>
  <c r="J369" i="4" l="1"/>
  <c r="K369" i="4"/>
  <c r="G369" i="4"/>
  <c r="F369" i="4"/>
  <c r="E369" i="4"/>
  <c r="D369" i="4"/>
  <c r="H369" i="4"/>
  <c r="C369" i="4"/>
  <c r="I369" i="4" s="1"/>
  <c r="B370" i="4"/>
  <c r="K370" i="4" l="1"/>
  <c r="C370" i="4"/>
  <c r="I370" i="4" s="1"/>
  <c r="G370" i="4"/>
  <c r="F370" i="4"/>
  <c r="E370" i="4"/>
  <c r="D370" i="4"/>
  <c r="J370" i="4"/>
  <c r="B371" i="4"/>
  <c r="H370" i="4"/>
  <c r="K371" i="4" l="1"/>
  <c r="C371" i="4"/>
  <c r="I371" i="4" s="1"/>
  <c r="H371" i="4"/>
  <c r="J371" i="4"/>
  <c r="B372" i="4"/>
  <c r="D371" i="4"/>
  <c r="G371" i="4"/>
  <c r="F371" i="4"/>
  <c r="E371" i="4"/>
  <c r="G372" i="4" l="1"/>
  <c r="D372" i="4"/>
  <c r="B373" i="4"/>
  <c r="K372" i="4"/>
  <c r="H372" i="4"/>
  <c r="C372" i="4"/>
  <c r="I372" i="4" s="1"/>
  <c r="E372" i="4"/>
  <c r="J372" i="4"/>
  <c r="F372" i="4"/>
  <c r="K373" i="4" l="1"/>
  <c r="H373" i="4"/>
  <c r="G373" i="4"/>
  <c r="F373" i="4"/>
  <c r="E373" i="4"/>
  <c r="J373" i="4"/>
  <c r="C373" i="4"/>
  <c r="I373" i="4" s="1"/>
  <c r="D373" i="4"/>
  <c r="B374" i="4"/>
  <c r="J374" i="4" l="1"/>
  <c r="G374" i="4"/>
  <c r="C374" i="4"/>
  <c r="I374" i="4" s="1"/>
  <c r="B375" i="4"/>
  <c r="F374" i="4"/>
  <c r="H374" i="4"/>
  <c r="E374" i="4"/>
  <c r="K374" i="4"/>
  <c r="D374" i="4"/>
  <c r="B376" i="4" l="1"/>
  <c r="H375" i="4"/>
  <c r="K375" i="4"/>
  <c r="G375" i="4"/>
  <c r="D375" i="4"/>
  <c r="C375" i="4"/>
  <c r="I375" i="4" s="1"/>
  <c r="J375" i="4"/>
  <c r="F375" i="4"/>
  <c r="E375" i="4"/>
  <c r="C376" i="4" l="1"/>
  <c r="I376" i="4" s="1"/>
  <c r="J376" i="4"/>
  <c r="B377" i="4"/>
  <c r="H376" i="4"/>
  <c r="K376" i="4"/>
  <c r="E376" i="4"/>
  <c r="F376" i="4"/>
  <c r="G376" i="4"/>
  <c r="D376" i="4"/>
  <c r="G377" i="4" l="1"/>
  <c r="H377" i="4"/>
  <c r="E377" i="4"/>
  <c r="B378" i="4"/>
  <c r="F377" i="4"/>
  <c r="J377" i="4"/>
  <c r="C377" i="4"/>
  <c r="I377" i="4" s="1"/>
  <c r="K377" i="4"/>
  <c r="D377" i="4"/>
  <c r="B379" i="4" l="1"/>
  <c r="H378" i="4"/>
  <c r="G378" i="4"/>
  <c r="C378" i="4"/>
  <c r="I378" i="4" s="1"/>
  <c r="J378" i="4"/>
  <c r="D378" i="4"/>
  <c r="E378" i="4"/>
  <c r="F378" i="4"/>
  <c r="K378" i="4"/>
  <c r="K379" i="4" l="1"/>
  <c r="F379" i="4"/>
  <c r="D379" i="4"/>
  <c r="B380" i="4"/>
  <c r="H379" i="4"/>
  <c r="C379" i="4"/>
  <c r="I379" i="4" s="1"/>
  <c r="E379" i="4"/>
  <c r="G379" i="4"/>
  <c r="J379" i="4"/>
  <c r="K380" i="4" l="1"/>
  <c r="J380" i="4"/>
  <c r="H380" i="4"/>
  <c r="F380" i="4"/>
  <c r="C380" i="4"/>
  <c r="I380" i="4" s="1"/>
  <c r="B381" i="4"/>
  <c r="D380" i="4"/>
  <c r="G380" i="4"/>
  <c r="E380" i="4"/>
  <c r="G381" i="4" l="1"/>
  <c r="J381" i="4"/>
  <c r="K381" i="4"/>
  <c r="H381" i="4"/>
  <c r="F381" i="4"/>
  <c r="D381" i="4"/>
  <c r="B382" i="4"/>
  <c r="C381" i="4"/>
  <c r="I381" i="4" s="1"/>
  <c r="E381" i="4"/>
  <c r="B383" i="4" l="1"/>
  <c r="J382" i="4"/>
  <c r="F382" i="4"/>
  <c r="E382" i="4"/>
  <c r="G382" i="4"/>
  <c r="H382" i="4"/>
  <c r="K382" i="4"/>
  <c r="D382" i="4"/>
  <c r="C382" i="4"/>
  <c r="I382" i="4" s="1"/>
  <c r="F383" i="4" l="1"/>
  <c r="E383" i="4"/>
  <c r="B384" i="4"/>
  <c r="J383" i="4"/>
  <c r="C383" i="4"/>
  <c r="I383" i="4" s="1"/>
  <c r="K383" i="4"/>
  <c r="D383" i="4"/>
  <c r="H383" i="4"/>
  <c r="G383" i="4"/>
  <c r="K384" i="4" l="1"/>
  <c r="B385" i="4"/>
  <c r="H384" i="4"/>
  <c r="J384" i="4"/>
  <c r="F384" i="4"/>
  <c r="E384" i="4"/>
  <c r="C384" i="4"/>
  <c r="I384" i="4" s="1"/>
  <c r="D384" i="4"/>
  <c r="G384" i="4"/>
  <c r="H385" i="4" l="1"/>
  <c r="G385" i="4"/>
  <c r="B386" i="4"/>
  <c r="C385" i="4"/>
  <c r="I385" i="4" s="1"/>
  <c r="K385" i="4"/>
  <c r="J385" i="4"/>
  <c r="E385" i="4"/>
  <c r="F385" i="4"/>
  <c r="D385" i="4"/>
  <c r="C386" i="4" l="1"/>
  <c r="I386" i="4" s="1"/>
  <c r="F386" i="4"/>
  <c r="D386" i="4"/>
  <c r="E386" i="4"/>
  <c r="K386" i="4"/>
  <c r="B387" i="4"/>
  <c r="H386" i="4"/>
  <c r="G386" i="4"/>
  <c r="J386" i="4"/>
  <c r="H387" i="4" l="1"/>
  <c r="J387" i="4"/>
  <c r="B388" i="4"/>
  <c r="C387" i="4"/>
  <c r="I387" i="4" s="1"/>
  <c r="F387" i="4"/>
  <c r="K387" i="4"/>
  <c r="D387" i="4"/>
  <c r="E387" i="4"/>
  <c r="G387" i="4"/>
  <c r="G388" i="4" l="1"/>
  <c r="B389" i="4"/>
  <c r="E388" i="4"/>
  <c r="F388" i="4"/>
  <c r="D388" i="4"/>
  <c r="K388" i="4"/>
  <c r="C388" i="4"/>
  <c r="I388" i="4" s="1"/>
  <c r="J388" i="4"/>
  <c r="H388" i="4"/>
  <c r="F389" i="4" l="1"/>
  <c r="K389" i="4"/>
  <c r="C389" i="4"/>
  <c r="I389" i="4" s="1"/>
  <c r="J389" i="4"/>
  <c r="D389" i="4"/>
  <c r="H389" i="4"/>
  <c r="B390" i="4"/>
  <c r="E389" i="4"/>
  <c r="G389" i="4"/>
  <c r="H390" i="4" l="1"/>
  <c r="J390" i="4"/>
  <c r="G390" i="4"/>
  <c r="K390" i="4"/>
  <c r="D390" i="4"/>
  <c r="B391" i="4"/>
  <c r="F390" i="4"/>
  <c r="E390" i="4"/>
  <c r="C390" i="4"/>
  <c r="I390" i="4" s="1"/>
  <c r="F391" i="4" l="1"/>
  <c r="H391" i="4"/>
  <c r="K391" i="4"/>
  <c r="B392" i="4"/>
  <c r="C391" i="4"/>
  <c r="I391" i="4" s="1"/>
  <c r="G391" i="4"/>
  <c r="D391" i="4"/>
  <c r="E391" i="4"/>
  <c r="J391" i="4"/>
  <c r="G392" i="4" l="1"/>
  <c r="B393" i="4"/>
  <c r="H392" i="4"/>
  <c r="D392" i="4"/>
  <c r="J392" i="4"/>
  <c r="K392" i="4"/>
  <c r="C392" i="4"/>
  <c r="I392" i="4" s="1"/>
  <c r="F392" i="4"/>
  <c r="E392" i="4"/>
  <c r="G393" i="4" l="1"/>
  <c r="C393" i="4"/>
  <c r="I393" i="4" s="1"/>
  <c r="H393" i="4"/>
  <c r="D393" i="4"/>
  <c r="J393" i="4"/>
  <c r="E393" i="4"/>
  <c r="F393" i="4"/>
  <c r="K393" i="4"/>
  <c r="B394" i="4"/>
  <c r="J394" i="4" l="1"/>
  <c r="D394" i="4"/>
  <c r="G394" i="4"/>
  <c r="B395" i="4"/>
  <c r="C394" i="4"/>
  <c r="I394" i="4" s="1"/>
  <c r="K394" i="4"/>
  <c r="F394" i="4"/>
  <c r="H394" i="4"/>
  <c r="E394" i="4"/>
  <c r="F395" i="4" l="1"/>
  <c r="J395" i="4"/>
  <c r="D395" i="4"/>
  <c r="H395" i="4"/>
  <c r="K395" i="4"/>
  <c r="E395" i="4"/>
  <c r="C395" i="4"/>
  <c r="I395" i="4" s="1"/>
  <c r="B396" i="4"/>
  <c r="G395" i="4"/>
  <c r="H396" i="4" l="1"/>
  <c r="J396" i="4"/>
  <c r="K396" i="4"/>
  <c r="G396" i="4"/>
  <c r="B397" i="4"/>
  <c r="D396" i="4"/>
  <c r="C396" i="4"/>
  <c r="I396" i="4" s="1"/>
  <c r="E396" i="4"/>
  <c r="F396" i="4"/>
  <c r="F397" i="4" l="1"/>
  <c r="J397" i="4"/>
  <c r="B398" i="4"/>
  <c r="D397" i="4"/>
  <c r="G397" i="4"/>
  <c r="C397" i="4"/>
  <c r="I397" i="4" s="1"/>
  <c r="H397" i="4"/>
  <c r="K397" i="4"/>
  <c r="E397" i="4"/>
  <c r="C398" i="4" l="1"/>
  <c r="I398" i="4" s="1"/>
  <c r="G398" i="4"/>
  <c r="F398" i="4"/>
  <c r="B399" i="4"/>
  <c r="J398" i="4"/>
  <c r="D398" i="4"/>
  <c r="K398" i="4"/>
  <c r="H398" i="4"/>
  <c r="E398" i="4"/>
  <c r="J399" i="4" l="1"/>
  <c r="G399" i="4"/>
  <c r="K399" i="4"/>
  <c r="F399" i="4"/>
  <c r="C399" i="4"/>
  <c r="I399" i="4" s="1"/>
  <c r="H399" i="4"/>
  <c r="E399" i="4"/>
  <c r="B400" i="4"/>
  <c r="D399" i="4"/>
  <c r="B401" i="4" l="1"/>
  <c r="F400" i="4"/>
  <c r="C400" i="4"/>
  <c r="I400" i="4" s="1"/>
  <c r="E400" i="4"/>
  <c r="H400" i="4"/>
  <c r="K400" i="4"/>
  <c r="G400" i="4"/>
  <c r="J400" i="4"/>
  <c r="D400" i="4"/>
  <c r="J401" i="4" l="1"/>
  <c r="D401" i="4"/>
  <c r="K401" i="4"/>
  <c r="C401" i="4"/>
  <c r="I401" i="4" s="1"/>
  <c r="E401" i="4"/>
  <c r="H401" i="4"/>
  <c r="F401" i="4"/>
  <c r="G401" i="4"/>
  <c r="B402" i="4"/>
  <c r="C402" i="4" l="1"/>
  <c r="I402" i="4" s="1"/>
  <c r="B403" i="4"/>
  <c r="G402" i="4"/>
  <c r="F402" i="4"/>
  <c r="K402" i="4"/>
  <c r="J402" i="4"/>
  <c r="E402" i="4"/>
  <c r="D402" i="4"/>
  <c r="H402" i="4"/>
  <c r="J403" i="4" l="1"/>
  <c r="C403" i="4"/>
  <c r="I403" i="4" s="1"/>
  <c r="K403" i="4"/>
  <c r="G403" i="4"/>
  <c r="F403" i="4"/>
  <c r="E403" i="4"/>
  <c r="H403" i="4"/>
  <c r="D403" i="4"/>
  <c r="B404" i="4"/>
  <c r="J404" i="4" l="1"/>
  <c r="E404" i="4"/>
  <c r="K404" i="4"/>
  <c r="D404" i="4"/>
  <c r="B405" i="4"/>
  <c r="G404" i="4"/>
  <c r="C404" i="4"/>
  <c r="I404" i="4" s="1"/>
  <c r="F404" i="4"/>
  <c r="H404" i="4"/>
  <c r="J405" i="4" l="1"/>
  <c r="F405" i="4"/>
  <c r="H405" i="4"/>
  <c r="G405" i="4"/>
  <c r="D405" i="4"/>
  <c r="C405" i="4"/>
  <c r="I405" i="4" s="1"/>
  <c r="K405" i="4"/>
  <c r="E405" i="4"/>
  <c r="B406" i="4"/>
  <c r="J406" i="4" l="1"/>
  <c r="D406" i="4"/>
  <c r="C406" i="4"/>
  <c r="I406" i="4" s="1"/>
  <c r="K406" i="4"/>
  <c r="F406" i="4"/>
  <c r="H406" i="4"/>
  <c r="E406" i="4"/>
  <c r="G406" i="4"/>
  <c r="B407" i="4"/>
  <c r="C407" i="4" l="1"/>
  <c r="I407" i="4" s="1"/>
  <c r="H407" i="4"/>
  <c r="G407" i="4"/>
  <c r="J407" i="4"/>
  <c r="F407" i="4"/>
  <c r="D407" i="4"/>
  <c r="K407" i="4"/>
  <c r="E407" i="4"/>
  <c r="B408" i="4"/>
  <c r="D408" i="4" l="1"/>
  <c r="K408" i="4"/>
  <c r="G408" i="4"/>
  <c r="J408" i="4"/>
  <c r="E408" i="4"/>
  <c r="F408" i="4"/>
  <c r="B409" i="4"/>
  <c r="H408" i="4"/>
  <c r="C408" i="4"/>
  <c r="I408" i="4" s="1"/>
  <c r="B410" i="4" l="1"/>
  <c r="F409" i="4"/>
  <c r="H409" i="4"/>
  <c r="K409" i="4"/>
  <c r="C409" i="4"/>
  <c r="I409" i="4" s="1"/>
  <c r="E409" i="4"/>
  <c r="J409" i="4"/>
  <c r="D409" i="4"/>
  <c r="G409" i="4"/>
  <c r="G410" i="4" l="1"/>
  <c r="E410" i="4"/>
  <c r="F410" i="4"/>
  <c r="D410" i="4"/>
  <c r="C410" i="4"/>
  <c r="I410" i="4" s="1"/>
  <c r="H410" i="4"/>
  <c r="B411" i="4"/>
  <c r="K410" i="4"/>
  <c r="J410" i="4"/>
  <c r="F411" i="4" l="1"/>
  <c r="C411" i="4"/>
  <c r="I411" i="4" s="1"/>
  <c r="G411" i="4"/>
  <c r="D411" i="4"/>
  <c r="H411" i="4"/>
  <c r="K411" i="4"/>
  <c r="J411" i="4"/>
  <c r="E411" i="4"/>
  <c r="B412" i="4"/>
  <c r="K412" i="4" l="1"/>
  <c r="H412" i="4"/>
  <c r="E412" i="4"/>
  <c r="B413" i="4"/>
  <c r="C412" i="4"/>
  <c r="F412" i="4"/>
  <c r="G412" i="4"/>
  <c r="J412" i="4"/>
  <c r="D412" i="4"/>
  <c r="I412" i="4"/>
  <c r="K413" i="4" l="1"/>
  <c r="E413" i="4"/>
  <c r="H413" i="4"/>
  <c r="G413" i="4"/>
  <c r="D413" i="4"/>
  <c r="B414" i="4"/>
  <c r="J413" i="4"/>
  <c r="F413" i="4"/>
  <c r="C413" i="4"/>
  <c r="I413" i="4" s="1"/>
  <c r="H414" i="4" l="1"/>
  <c r="B415" i="4"/>
  <c r="K414" i="4"/>
  <c r="G414" i="4"/>
  <c r="C414" i="4"/>
  <c r="I414" i="4" s="1"/>
  <c r="J414" i="4"/>
  <c r="D414" i="4"/>
  <c r="F414" i="4"/>
  <c r="E414" i="4"/>
  <c r="K415" i="4" l="1"/>
  <c r="F415" i="4"/>
  <c r="E415" i="4"/>
  <c r="B416" i="4"/>
  <c r="C415" i="4"/>
  <c r="I415" i="4" s="1"/>
  <c r="H415" i="4"/>
  <c r="G415" i="4"/>
  <c r="D415" i="4"/>
  <c r="J415" i="4"/>
  <c r="H416" i="4" l="1"/>
  <c r="C416" i="4"/>
  <c r="I416" i="4" s="1"/>
  <c r="G416" i="4"/>
  <c r="E416" i="4"/>
  <c r="B417" i="4"/>
  <c r="F416" i="4"/>
  <c r="K416" i="4"/>
  <c r="J416" i="4"/>
  <c r="D416" i="4"/>
  <c r="H417" i="4" l="1"/>
  <c r="J417" i="4"/>
  <c r="B418" i="4"/>
  <c r="K417" i="4"/>
  <c r="D417" i="4"/>
  <c r="F417" i="4"/>
  <c r="C417" i="4"/>
  <c r="I417" i="4" s="1"/>
  <c r="G417" i="4"/>
  <c r="E417" i="4"/>
  <c r="J418" i="4" l="1"/>
  <c r="K418" i="4"/>
  <c r="H418" i="4"/>
  <c r="G418" i="4"/>
  <c r="E418" i="4"/>
  <c r="B419" i="4"/>
  <c r="F418" i="4"/>
  <c r="C418" i="4"/>
  <c r="I418" i="4" s="1"/>
  <c r="D418" i="4"/>
  <c r="H419" i="4" l="1"/>
  <c r="K419" i="4"/>
  <c r="B420" i="4"/>
  <c r="G419" i="4"/>
  <c r="F419" i="4"/>
  <c r="E419" i="4"/>
  <c r="C419" i="4"/>
  <c r="I419" i="4" s="1"/>
  <c r="D419" i="4"/>
  <c r="J419" i="4"/>
  <c r="J420" i="4" l="1"/>
  <c r="H420" i="4"/>
  <c r="F420" i="4"/>
  <c r="D420" i="4"/>
  <c r="K420" i="4"/>
  <c r="E420" i="4"/>
  <c r="C420" i="4"/>
  <c r="I420" i="4" s="1"/>
  <c r="B421" i="4"/>
  <c r="G420" i="4"/>
  <c r="E421" i="4" l="1"/>
  <c r="J421" i="4"/>
  <c r="D421" i="4"/>
  <c r="B422" i="4"/>
  <c r="K421" i="4"/>
  <c r="G421" i="4"/>
  <c r="F421" i="4"/>
  <c r="H421" i="4"/>
  <c r="C421" i="4"/>
  <c r="I421" i="4" s="1"/>
  <c r="E422" i="4" l="1"/>
  <c r="B423" i="4"/>
  <c r="F422" i="4"/>
  <c r="D422" i="4"/>
  <c r="K422" i="4"/>
  <c r="H422" i="4"/>
  <c r="G422" i="4"/>
  <c r="C422" i="4"/>
  <c r="I422" i="4" s="1"/>
  <c r="J422" i="4"/>
  <c r="H423" i="4" l="1"/>
  <c r="E423" i="4"/>
  <c r="F423" i="4"/>
  <c r="B424" i="4"/>
  <c r="G423" i="4"/>
  <c r="J423" i="4"/>
  <c r="D423" i="4"/>
  <c r="C423" i="4"/>
  <c r="I423" i="4" s="1"/>
  <c r="K423" i="4"/>
  <c r="E424" i="4" l="1"/>
  <c r="B425" i="4"/>
  <c r="F424" i="4"/>
  <c r="K424" i="4"/>
  <c r="J424" i="4"/>
  <c r="C424" i="4"/>
  <c r="I424" i="4" s="1"/>
  <c r="H424" i="4"/>
  <c r="G424" i="4"/>
  <c r="D424" i="4"/>
  <c r="K425" i="4" l="1"/>
  <c r="D425" i="4"/>
  <c r="B426" i="4"/>
  <c r="C425" i="4"/>
  <c r="I425" i="4" s="1"/>
  <c r="F425" i="4"/>
  <c r="H425" i="4"/>
  <c r="G425" i="4"/>
  <c r="J425" i="4"/>
  <c r="E425" i="4"/>
  <c r="B427" i="4" l="1"/>
  <c r="C426" i="4"/>
  <c r="I426" i="4" s="1"/>
  <c r="J426" i="4"/>
  <c r="E426" i="4"/>
  <c r="F426" i="4"/>
  <c r="H426" i="4"/>
  <c r="K426" i="4"/>
  <c r="D426" i="4"/>
  <c r="G426" i="4"/>
  <c r="D427" i="4" l="1"/>
  <c r="C427" i="4"/>
  <c r="I427" i="4" s="1"/>
  <c r="G427" i="4"/>
  <c r="K427" i="4"/>
  <c r="F427" i="4"/>
  <c r="E427" i="4"/>
  <c r="H427" i="4"/>
  <c r="B428" i="4"/>
  <c r="J427" i="4"/>
  <c r="E428" i="4" l="1"/>
  <c r="C428" i="4"/>
  <c r="I428" i="4" s="1"/>
  <c r="G428" i="4"/>
  <c r="J428" i="4"/>
  <c r="H428" i="4"/>
  <c r="K428" i="4"/>
  <c r="B429" i="4"/>
  <c r="D428" i="4"/>
  <c r="F428" i="4"/>
  <c r="D429" i="4" l="1"/>
  <c r="C429" i="4"/>
  <c r="I429" i="4" s="1"/>
  <c r="G429" i="4"/>
  <c r="K429" i="4"/>
  <c r="B430" i="4"/>
  <c r="H429" i="4"/>
  <c r="J429" i="4"/>
  <c r="F429" i="4"/>
  <c r="E429" i="4"/>
  <c r="F430" i="4" l="1"/>
  <c r="J430" i="4"/>
  <c r="K430" i="4"/>
  <c r="H430" i="4"/>
  <c r="B431" i="4"/>
  <c r="G430" i="4"/>
  <c r="C430" i="4"/>
  <c r="I430" i="4" s="1"/>
  <c r="E430" i="4"/>
  <c r="D430" i="4"/>
  <c r="K431" i="4" l="1"/>
  <c r="G431" i="4"/>
  <c r="J431" i="4"/>
  <c r="B432" i="4"/>
  <c r="F431" i="4"/>
  <c r="D431" i="4"/>
  <c r="H431" i="4"/>
  <c r="C431" i="4"/>
  <c r="I431" i="4" s="1"/>
  <c r="E431" i="4"/>
  <c r="F432" i="4" l="1"/>
  <c r="J432" i="4"/>
  <c r="D432" i="4"/>
  <c r="H432" i="4"/>
  <c r="B433" i="4"/>
  <c r="K432" i="4"/>
  <c r="C432" i="4"/>
  <c r="I432" i="4" s="1"/>
  <c r="G432" i="4"/>
  <c r="E432" i="4"/>
  <c r="H433" i="4" l="1"/>
  <c r="D433" i="4"/>
  <c r="E433" i="4"/>
  <c r="B434" i="4"/>
  <c r="C433" i="4"/>
  <c r="I433" i="4" s="1"/>
  <c r="K433" i="4"/>
  <c r="F433" i="4"/>
  <c r="G433" i="4"/>
  <c r="J433" i="4"/>
  <c r="B435" i="4" l="1"/>
  <c r="J434" i="4"/>
  <c r="K434" i="4"/>
  <c r="C434" i="4"/>
  <c r="I434" i="4" s="1"/>
  <c r="G434" i="4"/>
  <c r="F434" i="4"/>
  <c r="H434" i="4"/>
  <c r="E434" i="4"/>
  <c r="D434" i="4"/>
  <c r="E435" i="4" l="1"/>
  <c r="B436" i="4"/>
  <c r="K435" i="4"/>
  <c r="F435" i="4"/>
  <c r="J435" i="4"/>
  <c r="C435" i="4"/>
  <c r="I435" i="4" s="1"/>
  <c r="G435" i="4"/>
  <c r="H435" i="4"/>
  <c r="D435" i="4"/>
  <c r="E436" i="4" l="1"/>
  <c r="G436" i="4"/>
  <c r="B437" i="4"/>
  <c r="C436" i="4"/>
  <c r="I436" i="4" s="1"/>
  <c r="J436" i="4"/>
  <c r="H436" i="4"/>
  <c r="D436" i="4"/>
  <c r="K436" i="4"/>
  <c r="F436" i="4"/>
  <c r="K437" i="4" l="1"/>
  <c r="G437" i="4"/>
  <c r="E437" i="4"/>
  <c r="C437" i="4"/>
  <c r="I437" i="4" s="1"/>
  <c r="B438" i="4"/>
  <c r="H437" i="4"/>
  <c r="D437" i="4"/>
  <c r="F437" i="4"/>
  <c r="J437" i="4"/>
  <c r="J438" i="4" l="1"/>
  <c r="D438" i="4"/>
  <c r="H438" i="4"/>
  <c r="F438" i="4"/>
  <c r="E438" i="4"/>
  <c r="K438" i="4"/>
  <c r="B439" i="4"/>
  <c r="C438" i="4"/>
  <c r="I438" i="4" s="1"/>
  <c r="G438" i="4"/>
  <c r="K439" i="4" l="1"/>
  <c r="H439" i="4"/>
  <c r="D439" i="4"/>
  <c r="F439" i="4"/>
  <c r="G439" i="4"/>
  <c r="J439" i="4"/>
  <c r="E439" i="4"/>
  <c r="B440" i="4"/>
  <c r="C439" i="4"/>
  <c r="I439" i="4" s="1"/>
  <c r="F440" i="4" l="1"/>
  <c r="G440" i="4"/>
  <c r="B441" i="4"/>
  <c r="E440" i="4"/>
  <c r="D440" i="4"/>
  <c r="K440" i="4"/>
  <c r="H440" i="4"/>
  <c r="C440" i="4"/>
  <c r="I440" i="4" s="1"/>
  <c r="J440" i="4"/>
  <c r="F441" i="4" l="1"/>
  <c r="J441" i="4"/>
  <c r="B442" i="4"/>
  <c r="G441" i="4"/>
  <c r="E441" i="4"/>
  <c r="D441" i="4"/>
  <c r="K441" i="4"/>
  <c r="H441" i="4"/>
  <c r="C441" i="4"/>
  <c r="I441" i="4" s="1"/>
  <c r="K442" i="4" l="1"/>
  <c r="B443" i="4"/>
  <c r="J442" i="4"/>
  <c r="E442" i="4"/>
  <c r="D442" i="4"/>
  <c r="F442" i="4"/>
  <c r="G442" i="4"/>
  <c r="C442" i="4"/>
  <c r="I442" i="4" s="1"/>
  <c r="H442" i="4"/>
  <c r="H443" i="4" l="1"/>
  <c r="D443" i="4"/>
  <c r="E443" i="4"/>
  <c r="K443" i="4"/>
  <c r="G443" i="4"/>
  <c r="F443" i="4"/>
  <c r="J443" i="4"/>
  <c r="C443" i="4"/>
  <c r="I443" i="4" s="1"/>
  <c r="B444" i="4"/>
  <c r="F444" i="4" l="1"/>
  <c r="E444" i="4"/>
  <c r="B445" i="4"/>
  <c r="K444" i="4"/>
  <c r="J444" i="4"/>
  <c r="G444" i="4"/>
  <c r="D444" i="4"/>
  <c r="C444" i="4"/>
  <c r="I444" i="4" s="1"/>
  <c r="H444" i="4"/>
  <c r="J445" i="4" l="1"/>
  <c r="B446" i="4"/>
  <c r="G445" i="4"/>
  <c r="K445" i="4"/>
  <c r="C445" i="4"/>
  <c r="I445" i="4" s="1"/>
  <c r="F445" i="4"/>
  <c r="H445" i="4"/>
  <c r="E445" i="4"/>
  <c r="D445" i="4"/>
  <c r="F446" i="4" l="1"/>
  <c r="G446" i="4"/>
  <c r="C446" i="4"/>
  <c r="I446" i="4" s="1"/>
  <c r="D446" i="4"/>
  <c r="E446" i="4"/>
  <c r="K446" i="4"/>
  <c r="B447" i="4"/>
  <c r="H446" i="4"/>
  <c r="J446" i="4"/>
  <c r="J447" i="4" l="1"/>
  <c r="K447" i="4"/>
  <c r="C447" i="4"/>
  <c r="I447" i="4" s="1"/>
  <c r="E447" i="4"/>
  <c r="H447" i="4"/>
  <c r="D447" i="4"/>
  <c r="B448" i="4"/>
  <c r="G447" i="4"/>
  <c r="F447" i="4"/>
  <c r="D448" i="4" l="1"/>
  <c r="J448" i="4"/>
  <c r="F448" i="4"/>
  <c r="E448" i="4"/>
  <c r="G448" i="4"/>
  <c r="C448" i="4"/>
  <c r="I448" i="4" s="1"/>
  <c r="H448" i="4"/>
  <c r="B449" i="4"/>
  <c r="K448" i="4"/>
  <c r="C449" i="4" l="1"/>
  <c r="I449" i="4" s="1"/>
  <c r="J449" i="4"/>
  <c r="H449" i="4"/>
  <c r="B450" i="4"/>
  <c r="K449" i="4"/>
  <c r="E449" i="4"/>
  <c r="D449" i="4"/>
  <c r="G449" i="4"/>
  <c r="F449" i="4"/>
  <c r="J450" i="4" l="1"/>
  <c r="H450" i="4"/>
  <c r="K450" i="4"/>
  <c r="B451" i="4"/>
  <c r="E450" i="4"/>
  <c r="G450" i="4"/>
  <c r="C450" i="4"/>
  <c r="I450" i="4" s="1"/>
  <c r="D450" i="4"/>
  <c r="F450" i="4"/>
  <c r="B452" i="4" l="1"/>
  <c r="E451" i="4"/>
  <c r="H451" i="4"/>
  <c r="F451" i="4"/>
  <c r="G451" i="4"/>
  <c r="K451" i="4"/>
  <c r="D451" i="4"/>
  <c r="J451" i="4"/>
  <c r="C451" i="4"/>
  <c r="I451" i="4" s="1"/>
  <c r="H452" i="4" l="1"/>
  <c r="E452" i="4"/>
  <c r="F452" i="4"/>
  <c r="G452" i="4"/>
  <c r="J452" i="4"/>
  <c r="B453" i="4"/>
  <c r="C452" i="4"/>
  <c r="I452" i="4" s="1"/>
  <c r="D452" i="4"/>
  <c r="K452" i="4"/>
  <c r="J453" i="4" l="1"/>
  <c r="F453" i="4"/>
  <c r="H453" i="4"/>
  <c r="G453" i="4"/>
  <c r="K453" i="4"/>
  <c r="E453" i="4"/>
  <c r="C453" i="4"/>
  <c r="I453" i="4" s="1"/>
  <c r="B454" i="4"/>
  <c r="D453" i="4"/>
  <c r="B455" i="4" l="1"/>
  <c r="C454" i="4"/>
  <c r="I454" i="4" s="1"/>
  <c r="H454" i="4"/>
  <c r="D454" i="4"/>
  <c r="K454" i="4"/>
  <c r="G454" i="4"/>
  <c r="E454" i="4"/>
  <c r="F454" i="4"/>
  <c r="J454" i="4"/>
  <c r="J455" i="4" l="1"/>
  <c r="F455" i="4"/>
  <c r="K455" i="4"/>
  <c r="E455" i="4"/>
  <c r="H455" i="4"/>
  <c r="D455" i="4"/>
  <c r="C455" i="4"/>
  <c r="I455" i="4" s="1"/>
  <c r="B456" i="4"/>
  <c r="G455" i="4"/>
  <c r="F456" i="4" l="1"/>
  <c r="B457" i="4"/>
  <c r="G456" i="4"/>
  <c r="D456" i="4"/>
  <c r="J456" i="4"/>
  <c r="E456" i="4"/>
  <c r="C456" i="4"/>
  <c r="I456" i="4" s="1"/>
  <c r="K456" i="4"/>
  <c r="H456" i="4"/>
  <c r="J457" i="4" l="1"/>
  <c r="C457" i="4"/>
  <c r="I457" i="4" s="1"/>
  <c r="H457" i="4"/>
  <c r="F457" i="4"/>
  <c r="E457" i="4"/>
  <c r="D457" i="4"/>
  <c r="B458" i="4"/>
  <c r="K457" i="4"/>
  <c r="G457" i="4"/>
  <c r="B459" i="4" l="1"/>
  <c r="H458" i="4"/>
  <c r="C458" i="4"/>
  <c r="I458" i="4" s="1"/>
  <c r="K458" i="4"/>
  <c r="J458" i="4"/>
  <c r="D458" i="4"/>
  <c r="E458" i="4"/>
  <c r="G458" i="4"/>
  <c r="F458" i="4"/>
  <c r="B460" i="4" l="1"/>
  <c r="E459" i="4"/>
  <c r="F459" i="4"/>
  <c r="K459" i="4"/>
  <c r="C459" i="4"/>
  <c r="I459" i="4" s="1"/>
  <c r="G459" i="4"/>
  <c r="H459" i="4"/>
  <c r="J459" i="4"/>
  <c r="D459" i="4"/>
  <c r="G460" i="4" l="1"/>
  <c r="C460" i="4"/>
  <c r="I460" i="4" s="1"/>
  <c r="F460" i="4"/>
  <c r="K460" i="4"/>
  <c r="H460" i="4"/>
  <c r="J460" i="4"/>
  <c r="D460" i="4"/>
  <c r="E460" i="4"/>
  <c r="B461" i="4"/>
  <c r="J461" i="4" l="1"/>
  <c r="G461" i="4"/>
  <c r="D461" i="4"/>
  <c r="B462" i="4"/>
  <c r="K461" i="4"/>
  <c r="E461" i="4"/>
  <c r="C461" i="4"/>
  <c r="I461" i="4" s="1"/>
  <c r="H461" i="4"/>
  <c r="F461" i="4"/>
  <c r="D462" i="4" l="1"/>
  <c r="K462" i="4"/>
  <c r="B463" i="4"/>
  <c r="H462" i="4"/>
  <c r="J462" i="4"/>
  <c r="C462" i="4"/>
  <c r="I462" i="4" s="1"/>
  <c r="F462" i="4"/>
  <c r="G462" i="4"/>
  <c r="E462" i="4"/>
  <c r="K463" i="4" l="1"/>
  <c r="F463" i="4"/>
  <c r="E463" i="4"/>
  <c r="H463" i="4"/>
  <c r="G463" i="4"/>
  <c r="D463" i="4"/>
  <c r="B464" i="4"/>
  <c r="J463" i="4"/>
  <c r="C463" i="4"/>
  <c r="I463" i="4" s="1"/>
  <c r="K464" i="4" l="1"/>
  <c r="E464" i="4"/>
  <c r="C464" i="4"/>
  <c r="I464" i="4" s="1"/>
  <c r="D464" i="4"/>
  <c r="F464" i="4"/>
  <c r="B465" i="4"/>
  <c r="G464" i="4"/>
  <c r="J464" i="4"/>
  <c r="H464" i="4"/>
  <c r="J465" i="4" l="1"/>
  <c r="H465" i="4"/>
  <c r="C465" i="4"/>
  <c r="I465" i="4" s="1"/>
  <c r="G465" i="4"/>
  <c r="D465" i="4"/>
  <c r="F465" i="4"/>
  <c r="E465" i="4"/>
  <c r="K465" i="4"/>
  <c r="B466" i="4"/>
  <c r="C466" i="4" l="1"/>
  <c r="I466" i="4" s="1"/>
  <c r="J466" i="4"/>
  <c r="G466" i="4"/>
  <c r="F466" i="4"/>
  <c r="K466" i="4"/>
  <c r="E466" i="4"/>
  <c r="H466" i="4"/>
  <c r="B467" i="4"/>
  <c r="D466" i="4"/>
  <c r="E467" i="4" l="1"/>
  <c r="K467" i="4"/>
  <c r="D467" i="4"/>
  <c r="J467" i="4"/>
  <c r="G467" i="4"/>
  <c r="F467" i="4"/>
  <c r="H467" i="4"/>
  <c r="B468" i="4"/>
  <c r="C467" i="4"/>
  <c r="I467" i="4" s="1"/>
  <c r="E468" i="4" l="1"/>
  <c r="F468" i="4"/>
  <c r="G468" i="4"/>
  <c r="B469" i="4"/>
  <c r="H468" i="4"/>
  <c r="J468" i="4"/>
  <c r="C468" i="4"/>
  <c r="I468" i="4" s="1"/>
  <c r="D468" i="4"/>
  <c r="K468" i="4"/>
  <c r="H469" i="4" l="1"/>
  <c r="D469" i="4"/>
  <c r="B470" i="4"/>
  <c r="F469" i="4"/>
  <c r="C469" i="4"/>
  <c r="I469" i="4" s="1"/>
  <c r="K469" i="4"/>
  <c r="G469" i="4"/>
  <c r="E469" i="4"/>
  <c r="J469" i="4"/>
  <c r="K470" i="4" l="1"/>
  <c r="F470" i="4"/>
  <c r="C470" i="4"/>
  <c r="I470" i="4" s="1"/>
  <c r="H470" i="4"/>
  <c r="J470" i="4"/>
  <c r="G470" i="4"/>
  <c r="B471" i="4"/>
  <c r="D470" i="4"/>
  <c r="E470" i="4"/>
  <c r="K471" i="4" l="1"/>
  <c r="B472" i="4"/>
  <c r="C471" i="4"/>
  <c r="I471" i="4" s="1"/>
  <c r="J471" i="4"/>
  <c r="E471" i="4"/>
  <c r="D471" i="4"/>
  <c r="G471" i="4"/>
  <c r="F471" i="4"/>
  <c r="H471" i="4"/>
  <c r="H472" i="4" l="1"/>
  <c r="K472" i="4"/>
  <c r="D472" i="4"/>
  <c r="E472" i="4"/>
  <c r="F472" i="4"/>
  <c r="B473" i="4"/>
  <c r="J472" i="4"/>
  <c r="G472" i="4"/>
  <c r="C472" i="4"/>
  <c r="I472" i="4" s="1"/>
  <c r="F473" i="4" l="1"/>
  <c r="G473" i="4"/>
  <c r="H473" i="4"/>
  <c r="J473" i="4"/>
  <c r="B474" i="4"/>
  <c r="K473" i="4"/>
  <c r="C473" i="4"/>
  <c r="I473" i="4" s="1"/>
  <c r="D473" i="4"/>
  <c r="E473" i="4"/>
  <c r="E474" i="4" l="1"/>
  <c r="J474" i="4"/>
  <c r="G474" i="4"/>
  <c r="C474" i="4"/>
  <c r="I474" i="4" s="1"/>
  <c r="H474" i="4"/>
  <c r="B475" i="4"/>
  <c r="D474" i="4"/>
  <c r="K474" i="4"/>
  <c r="F474" i="4"/>
  <c r="F475" i="4" l="1"/>
  <c r="B476" i="4"/>
  <c r="E475" i="4"/>
  <c r="G475" i="4"/>
  <c r="D475" i="4"/>
  <c r="J475" i="4"/>
  <c r="H475" i="4"/>
  <c r="C475" i="4"/>
  <c r="I475" i="4" s="1"/>
  <c r="K475" i="4"/>
  <c r="F476" i="4" l="1"/>
  <c r="K476" i="4"/>
  <c r="G476" i="4"/>
  <c r="H476" i="4"/>
  <c r="E476" i="4"/>
  <c r="B477" i="4"/>
  <c r="C476" i="4"/>
  <c r="I476" i="4" s="1"/>
  <c r="D476" i="4"/>
  <c r="J476" i="4"/>
  <c r="F477" i="4" l="1"/>
  <c r="E477" i="4"/>
  <c r="H477" i="4"/>
  <c r="G477" i="4"/>
  <c r="B478" i="4"/>
  <c r="J477" i="4"/>
  <c r="C477" i="4"/>
  <c r="I477" i="4" s="1"/>
  <c r="D477" i="4"/>
  <c r="K477" i="4"/>
  <c r="F478" i="4" l="1"/>
  <c r="C478" i="4"/>
  <c r="I478" i="4" s="1"/>
  <c r="D478" i="4"/>
  <c r="K478" i="4"/>
  <c r="G478" i="4"/>
  <c r="J478" i="4"/>
  <c r="B479" i="4"/>
  <c r="E478" i="4"/>
  <c r="H478" i="4"/>
  <c r="E479" i="4" l="1"/>
  <c r="J479" i="4"/>
  <c r="K479" i="4"/>
  <c r="C479" i="4"/>
  <c r="I479" i="4" s="1"/>
  <c r="D479" i="4"/>
  <c r="F479" i="4"/>
  <c r="H479" i="4"/>
  <c r="B480" i="4"/>
  <c r="G479" i="4"/>
  <c r="J480" i="4" l="1"/>
  <c r="K480" i="4"/>
  <c r="G480" i="4"/>
  <c r="F480" i="4"/>
  <c r="C480" i="4"/>
  <c r="I480" i="4" s="1"/>
  <c r="B481" i="4"/>
  <c r="E480" i="4"/>
  <c r="H480" i="4"/>
  <c r="D480" i="4"/>
  <c r="C481" i="4" l="1"/>
  <c r="I481" i="4" s="1"/>
  <c r="K481" i="4"/>
  <c r="J481" i="4"/>
  <c r="B482" i="4"/>
  <c r="H481" i="4"/>
  <c r="F481" i="4"/>
  <c r="E481" i="4"/>
  <c r="G481" i="4"/>
  <c r="D481" i="4"/>
  <c r="E482" i="4" l="1"/>
  <c r="F482" i="4"/>
  <c r="C482" i="4"/>
  <c r="J482" i="4"/>
  <c r="G482" i="4"/>
  <c r="B483" i="4"/>
  <c r="D482" i="4"/>
  <c r="K482" i="4"/>
  <c r="I482" i="4"/>
  <c r="H482" i="4"/>
  <c r="D483" i="4" l="1"/>
  <c r="G483" i="4"/>
  <c r="C483" i="4"/>
  <c r="I483" i="4" s="1"/>
  <c r="E483" i="4"/>
  <c r="J483" i="4"/>
  <c r="B484" i="4"/>
  <c r="K483" i="4"/>
  <c r="H483" i="4"/>
  <c r="F483" i="4"/>
  <c r="D484" i="4" l="1"/>
  <c r="F484" i="4"/>
  <c r="J484" i="4"/>
  <c r="B485" i="4"/>
  <c r="H484" i="4"/>
  <c r="G484" i="4"/>
  <c r="C484" i="4"/>
  <c r="I484" i="4" s="1"/>
  <c r="E484" i="4"/>
  <c r="K484" i="4"/>
  <c r="B486" i="4" l="1"/>
  <c r="F485" i="4"/>
  <c r="J485" i="4"/>
  <c r="D485" i="4"/>
  <c r="K485" i="4"/>
  <c r="G485" i="4"/>
  <c r="C485" i="4"/>
  <c r="I485" i="4" s="1"/>
  <c r="E485" i="4"/>
  <c r="H485" i="4"/>
  <c r="C486" i="4" l="1"/>
  <c r="I486" i="4" s="1"/>
  <c r="D486" i="4"/>
  <c r="G486" i="4"/>
  <c r="K486" i="4"/>
  <c r="J486" i="4"/>
  <c r="F486" i="4"/>
  <c r="H486" i="4"/>
  <c r="B487" i="4"/>
  <c r="E486" i="4"/>
  <c r="B488" i="4" l="1"/>
  <c r="F487" i="4"/>
  <c r="J487" i="4"/>
  <c r="G487" i="4"/>
  <c r="C487" i="4"/>
  <c r="I487" i="4" s="1"/>
  <c r="H487" i="4"/>
  <c r="D487" i="4"/>
  <c r="E487" i="4"/>
  <c r="K487" i="4"/>
  <c r="G488" i="4" l="1"/>
  <c r="F488" i="4"/>
  <c r="D488" i="4"/>
  <c r="C488" i="4"/>
  <c r="I488" i="4" s="1"/>
  <c r="H488" i="4"/>
  <c r="J488" i="4"/>
  <c r="K488" i="4"/>
  <c r="B489" i="4"/>
  <c r="E488" i="4"/>
  <c r="K489" i="4" l="1"/>
  <c r="E489" i="4"/>
  <c r="B490" i="4"/>
  <c r="G489" i="4"/>
  <c r="H489" i="4"/>
  <c r="J489" i="4"/>
  <c r="D489" i="4"/>
  <c r="F489" i="4"/>
  <c r="C489" i="4"/>
  <c r="I489" i="4" s="1"/>
  <c r="J490" i="4" l="1"/>
  <c r="K490" i="4"/>
  <c r="E490" i="4"/>
  <c r="H490" i="4"/>
  <c r="B491" i="4"/>
  <c r="G490" i="4"/>
  <c r="D490" i="4"/>
  <c r="C490" i="4"/>
  <c r="I490" i="4" s="1"/>
  <c r="F490" i="4"/>
  <c r="G491" i="4" l="1"/>
  <c r="J491" i="4"/>
  <c r="K491" i="4"/>
  <c r="C491" i="4"/>
  <c r="I491" i="4" s="1"/>
  <c r="B492" i="4"/>
  <c r="F491" i="4"/>
  <c r="D491" i="4"/>
  <c r="E491" i="4"/>
  <c r="H491" i="4"/>
  <c r="J492" i="4" l="1"/>
  <c r="G492" i="4"/>
  <c r="F492" i="4"/>
  <c r="C492" i="4"/>
  <c r="I492" i="4" s="1"/>
  <c r="K492" i="4"/>
  <c r="B493" i="4"/>
  <c r="H492" i="4"/>
  <c r="E492" i="4"/>
  <c r="D492" i="4"/>
  <c r="H493" i="4" l="1"/>
  <c r="E493" i="4"/>
  <c r="G493" i="4"/>
  <c r="D493" i="4"/>
  <c r="J493" i="4"/>
  <c r="K493" i="4"/>
  <c r="F493" i="4"/>
  <c r="B494" i="4"/>
  <c r="C493" i="4"/>
  <c r="I493" i="4" s="1"/>
  <c r="G494" i="4" l="1"/>
  <c r="B495" i="4"/>
  <c r="E494" i="4"/>
  <c r="F494" i="4"/>
  <c r="D494" i="4"/>
  <c r="C494" i="4"/>
  <c r="I494" i="4" s="1"/>
  <c r="K494" i="4"/>
  <c r="J494" i="4"/>
  <c r="H494" i="4"/>
  <c r="B496" i="4" l="1"/>
  <c r="J495" i="4"/>
  <c r="K495" i="4"/>
  <c r="G495" i="4"/>
  <c r="D495" i="4"/>
  <c r="C495" i="4"/>
  <c r="I495" i="4" s="1"/>
  <c r="E495" i="4"/>
  <c r="F495" i="4"/>
  <c r="H495" i="4"/>
  <c r="J496" i="4" l="1"/>
  <c r="C496" i="4"/>
  <c r="I496" i="4" s="1"/>
  <c r="K496" i="4"/>
  <c r="G496" i="4"/>
  <c r="D496" i="4"/>
  <c r="B497" i="4"/>
  <c r="H496" i="4"/>
  <c r="E496" i="4"/>
  <c r="F496" i="4"/>
  <c r="G497" i="4" l="1"/>
  <c r="B498" i="4"/>
  <c r="H497" i="4"/>
  <c r="C497" i="4"/>
  <c r="I497" i="4" s="1"/>
  <c r="E497" i="4"/>
  <c r="K497" i="4"/>
  <c r="J497" i="4"/>
  <c r="F497" i="4"/>
  <c r="D497" i="4"/>
  <c r="B499" i="4" l="1"/>
  <c r="D498" i="4"/>
  <c r="K498" i="4"/>
  <c r="C498" i="4"/>
  <c r="I498" i="4" s="1"/>
  <c r="F498" i="4"/>
  <c r="G498" i="4"/>
  <c r="E498" i="4"/>
  <c r="H498" i="4"/>
  <c r="J498" i="4"/>
  <c r="F499" i="4" l="1"/>
  <c r="D499" i="4"/>
  <c r="B500" i="4"/>
  <c r="H499" i="4"/>
  <c r="K499" i="4"/>
  <c r="G499" i="4"/>
  <c r="E499" i="4"/>
  <c r="C499" i="4"/>
  <c r="I499" i="4" s="1"/>
  <c r="J499" i="4"/>
  <c r="B501" i="4" l="1"/>
  <c r="C500" i="4"/>
  <c r="I500" i="4" s="1"/>
  <c r="H500" i="4"/>
  <c r="F500" i="4"/>
  <c r="D500" i="4"/>
  <c r="J500" i="4"/>
  <c r="E500" i="4"/>
  <c r="K500" i="4"/>
  <c r="G500" i="4"/>
  <c r="G501" i="4" l="1"/>
  <c r="H501" i="4"/>
  <c r="C501" i="4"/>
  <c r="I501" i="4" s="1"/>
  <c r="F501" i="4"/>
  <c r="E501" i="4"/>
  <c r="D501" i="4"/>
  <c r="K501" i="4"/>
  <c r="J501" i="4"/>
  <c r="B502" i="4"/>
  <c r="D502" i="4" l="1"/>
  <c r="C502" i="4"/>
  <c r="I502" i="4" s="1"/>
  <c r="K502" i="4"/>
  <c r="J502" i="4"/>
  <c r="F502" i="4"/>
  <c r="G502" i="4"/>
  <c r="E502" i="4"/>
  <c r="B503" i="4"/>
  <c r="H502" i="4"/>
  <c r="D503" i="4" l="1"/>
  <c r="G503" i="4"/>
  <c r="C503" i="4"/>
  <c r="I503" i="4" s="1"/>
  <c r="F503" i="4"/>
  <c r="J503" i="4"/>
  <c r="B504" i="4"/>
  <c r="K503" i="4"/>
  <c r="E503" i="4"/>
  <c r="H503" i="4"/>
  <c r="H504" i="4" l="1"/>
  <c r="C504" i="4"/>
  <c r="I504" i="4" s="1"/>
  <c r="D504" i="4"/>
  <c r="K504" i="4"/>
  <c r="B505" i="4"/>
  <c r="G504" i="4"/>
  <c r="F504" i="4"/>
  <c r="J504" i="4"/>
  <c r="E504" i="4"/>
  <c r="J505" i="4" l="1"/>
  <c r="C505" i="4"/>
  <c r="I505" i="4" s="1"/>
  <c r="G505" i="4"/>
  <c r="F505" i="4"/>
  <c r="D505" i="4"/>
  <c r="H505" i="4"/>
  <c r="K505" i="4"/>
  <c r="E505" i="4"/>
  <c r="B506" i="4"/>
  <c r="B507" i="4" l="1"/>
  <c r="J506" i="4"/>
  <c r="E506" i="4"/>
  <c r="K506" i="4"/>
  <c r="H506" i="4"/>
  <c r="G506" i="4"/>
  <c r="D506" i="4"/>
  <c r="F506" i="4"/>
  <c r="C506" i="4"/>
  <c r="I506" i="4" s="1"/>
  <c r="G507" i="4" l="1"/>
  <c r="D507" i="4"/>
  <c r="K507" i="4"/>
  <c r="E507" i="4"/>
  <c r="C507" i="4"/>
  <c r="I507" i="4" s="1"/>
  <c r="B508" i="4"/>
  <c r="J507" i="4"/>
  <c r="F507" i="4"/>
  <c r="H507" i="4"/>
  <c r="K508" i="4" l="1"/>
  <c r="H508" i="4"/>
  <c r="F508" i="4"/>
  <c r="G508" i="4"/>
  <c r="J508" i="4"/>
  <c r="D508" i="4"/>
  <c r="E508" i="4"/>
  <c r="C508" i="4"/>
  <c r="I508" i="4" s="1"/>
  <c r="B509" i="4"/>
  <c r="B510" i="4" l="1"/>
  <c r="E509" i="4"/>
  <c r="F509" i="4"/>
  <c r="J509" i="4"/>
  <c r="G509" i="4"/>
  <c r="C509" i="4"/>
  <c r="I509" i="4" s="1"/>
  <c r="K509" i="4"/>
  <c r="H509" i="4"/>
  <c r="D509" i="4"/>
  <c r="K510" i="4" l="1"/>
  <c r="G510" i="4"/>
  <c r="B511" i="4"/>
  <c r="J510" i="4"/>
  <c r="E510" i="4"/>
  <c r="D510" i="4"/>
  <c r="F510" i="4"/>
  <c r="C510" i="4"/>
  <c r="I510" i="4" s="1"/>
  <c r="H510" i="4"/>
  <c r="H511" i="4" l="1"/>
  <c r="J511" i="4"/>
  <c r="F511" i="4"/>
  <c r="G511" i="4"/>
  <c r="C511" i="4"/>
  <c r="I511" i="4" s="1"/>
  <c r="E511" i="4"/>
  <c r="K511" i="4"/>
  <c r="B512" i="4"/>
  <c r="D511" i="4"/>
  <c r="H512" i="4" l="1"/>
  <c r="G512" i="4"/>
  <c r="C512" i="4"/>
  <c r="I512" i="4" s="1"/>
  <c r="F512" i="4"/>
  <c r="K512" i="4"/>
  <c r="D512" i="4"/>
  <c r="B513" i="4"/>
  <c r="J512" i="4"/>
  <c r="E512" i="4"/>
  <c r="J513" i="4" l="1"/>
  <c r="K513" i="4"/>
  <c r="D513" i="4"/>
  <c r="H513" i="4"/>
  <c r="C513" i="4"/>
  <c r="I513" i="4" s="1"/>
  <c r="E513" i="4"/>
  <c r="B514" i="4"/>
  <c r="F513" i="4"/>
  <c r="G513" i="4"/>
  <c r="B515" i="4" l="1"/>
  <c r="C514" i="4"/>
  <c r="I514" i="4" s="1"/>
  <c r="E514" i="4"/>
  <c r="F514" i="4"/>
  <c r="H514" i="4"/>
  <c r="G514" i="4"/>
  <c r="D514" i="4"/>
  <c r="J514" i="4"/>
  <c r="K514" i="4"/>
  <c r="B516" i="4" l="1"/>
  <c r="E515" i="4"/>
  <c r="D515" i="4"/>
  <c r="J515" i="4"/>
  <c r="F515" i="4"/>
  <c r="H515" i="4"/>
  <c r="K515" i="4"/>
  <c r="C515" i="4"/>
  <c r="I515" i="4" s="1"/>
  <c r="G515" i="4"/>
  <c r="D516" i="4" l="1"/>
  <c r="K516" i="4"/>
  <c r="J516" i="4"/>
  <c r="E516" i="4"/>
  <c r="F516" i="4"/>
  <c r="G516" i="4"/>
  <c r="B517" i="4"/>
  <c r="C516" i="4"/>
  <c r="I516" i="4" s="1"/>
  <c r="H516" i="4"/>
  <c r="E517" i="4" l="1"/>
  <c r="K517" i="4"/>
  <c r="G517" i="4"/>
  <c r="D517" i="4"/>
  <c r="C517" i="4"/>
  <c r="I517" i="4" s="1"/>
  <c r="H517" i="4"/>
  <c r="B518" i="4"/>
  <c r="J517" i="4"/>
  <c r="F517" i="4"/>
  <c r="B519" i="4" l="1"/>
  <c r="F518" i="4"/>
  <c r="J518" i="4"/>
  <c r="D518" i="4"/>
  <c r="K518" i="4"/>
  <c r="C518" i="4"/>
  <c r="I518" i="4" s="1"/>
  <c r="G518" i="4"/>
  <c r="H518" i="4"/>
  <c r="E518" i="4"/>
  <c r="C519" i="4" l="1"/>
  <c r="I519" i="4" s="1"/>
  <c r="F519" i="4"/>
  <c r="J519" i="4"/>
  <c r="H519" i="4"/>
  <c r="D519" i="4"/>
  <c r="G519" i="4"/>
  <c r="K519" i="4"/>
  <c r="B520" i="4"/>
  <c r="E519" i="4"/>
  <c r="K520" i="4" l="1"/>
  <c r="B521" i="4"/>
  <c r="H520" i="4"/>
  <c r="D520" i="4"/>
  <c r="F520" i="4"/>
  <c r="E520" i="4"/>
  <c r="C520" i="4"/>
  <c r="I520" i="4" s="1"/>
  <c r="J520" i="4"/>
  <c r="G520" i="4"/>
  <c r="F521" i="4" l="1"/>
  <c r="J521" i="4"/>
  <c r="G521" i="4"/>
  <c r="D521" i="4"/>
  <c r="C521" i="4"/>
  <c r="I521" i="4" s="1"/>
  <c r="E521" i="4"/>
  <c r="B522" i="4"/>
  <c r="K521" i="4"/>
  <c r="H521" i="4"/>
  <c r="H522" i="4" l="1"/>
  <c r="F522" i="4"/>
  <c r="G522" i="4"/>
  <c r="B523" i="4"/>
  <c r="K522" i="4"/>
  <c r="J522" i="4"/>
  <c r="D522" i="4"/>
  <c r="E522" i="4"/>
  <c r="C522" i="4"/>
  <c r="I522" i="4" s="1"/>
  <c r="J523" i="4" l="1"/>
  <c r="C523" i="4"/>
  <c r="I523" i="4" s="1"/>
  <c r="E523" i="4"/>
  <c r="K523" i="4"/>
  <c r="F523" i="4"/>
  <c r="D523" i="4"/>
  <c r="H523" i="4"/>
  <c r="B524" i="4"/>
  <c r="G523" i="4"/>
  <c r="E524" i="4" l="1"/>
  <c r="D524" i="4"/>
  <c r="H524" i="4"/>
  <c r="J524" i="4"/>
  <c r="K524" i="4"/>
  <c r="C524" i="4"/>
  <c r="I524" i="4" s="1"/>
  <c r="G524" i="4"/>
  <c r="B525" i="4"/>
  <c r="F524" i="4"/>
  <c r="F525" i="4" l="1"/>
  <c r="H525" i="4"/>
  <c r="G525" i="4"/>
  <c r="J525" i="4"/>
  <c r="B526" i="4"/>
  <c r="D525" i="4"/>
  <c r="C525" i="4"/>
  <c r="E525" i="4"/>
  <c r="I525" i="4"/>
  <c r="K525" i="4"/>
  <c r="H526" i="4" l="1"/>
  <c r="G526" i="4"/>
  <c r="J526" i="4"/>
  <c r="F526" i="4"/>
  <c r="B527" i="4"/>
  <c r="D526" i="4"/>
  <c r="K526" i="4"/>
  <c r="C526" i="4"/>
  <c r="I526" i="4" s="1"/>
  <c r="E526" i="4"/>
  <c r="K527" i="4" l="1"/>
  <c r="H527" i="4"/>
  <c r="C527" i="4"/>
  <c r="I527" i="4" s="1"/>
  <c r="G527" i="4"/>
  <c r="E527" i="4"/>
  <c r="F527" i="4"/>
  <c r="D527" i="4"/>
  <c r="J527" i="4"/>
  <c r="B528" i="4"/>
  <c r="C528" i="4" l="1"/>
  <c r="I528" i="4" s="1"/>
  <c r="F528" i="4"/>
  <c r="E528" i="4"/>
  <c r="D528" i="4"/>
  <c r="G528" i="4"/>
  <c r="H528" i="4"/>
  <c r="K528" i="4"/>
  <c r="J528" i="4"/>
  <c r="B529" i="4"/>
  <c r="G529" i="4" l="1"/>
  <c r="E529" i="4"/>
  <c r="B530" i="4"/>
  <c r="H529" i="4"/>
  <c r="K529" i="4"/>
  <c r="J529" i="4"/>
  <c r="D529" i="4"/>
  <c r="C529" i="4"/>
  <c r="I529" i="4" s="1"/>
  <c r="F529" i="4"/>
  <c r="F530" i="4" l="1"/>
  <c r="J530" i="4"/>
  <c r="H530" i="4"/>
  <c r="E530" i="4"/>
  <c r="G530" i="4"/>
  <c r="D530" i="4"/>
  <c r="K530" i="4"/>
  <c r="B531" i="4"/>
  <c r="C530" i="4"/>
  <c r="I530" i="4" s="1"/>
  <c r="B532" i="4" l="1"/>
  <c r="J531" i="4"/>
  <c r="F531" i="4"/>
  <c r="D531" i="4"/>
  <c r="K531" i="4"/>
  <c r="H531" i="4"/>
  <c r="C531" i="4"/>
  <c r="I531" i="4" s="1"/>
  <c r="G531" i="4"/>
  <c r="E531" i="4"/>
  <c r="D532" i="4" l="1"/>
  <c r="E532" i="4"/>
  <c r="J532" i="4"/>
  <c r="H532" i="4"/>
  <c r="K532" i="4"/>
  <c r="G532" i="4"/>
  <c r="B533" i="4"/>
  <c r="F532" i="4"/>
  <c r="C532" i="4"/>
  <c r="I532" i="4" s="1"/>
  <c r="B534" i="4" l="1"/>
  <c r="C533" i="4"/>
  <c r="I533" i="4" s="1"/>
  <c r="D533" i="4"/>
  <c r="H533" i="4"/>
  <c r="G533" i="4"/>
  <c r="K533" i="4"/>
  <c r="F533" i="4"/>
  <c r="J533" i="4"/>
  <c r="E533" i="4"/>
  <c r="F534" i="4" l="1"/>
  <c r="B535" i="4"/>
  <c r="G534" i="4"/>
  <c r="D534" i="4"/>
  <c r="K534" i="4"/>
  <c r="C534" i="4"/>
  <c r="I534" i="4" s="1"/>
  <c r="J534" i="4"/>
  <c r="E534" i="4"/>
  <c r="H534" i="4"/>
  <c r="J535" i="4" l="1"/>
  <c r="F535" i="4"/>
  <c r="K535" i="4"/>
  <c r="G535" i="4"/>
  <c r="B536" i="4"/>
  <c r="E535" i="4"/>
  <c r="D535" i="4"/>
  <c r="C535" i="4"/>
  <c r="I535" i="4" s="1"/>
  <c r="H535" i="4"/>
  <c r="J536" i="4" l="1"/>
  <c r="B537" i="4"/>
  <c r="H536" i="4"/>
  <c r="E536" i="4"/>
  <c r="D536" i="4"/>
  <c r="F536" i="4"/>
  <c r="C536" i="4"/>
  <c r="I536" i="4" s="1"/>
  <c r="K536" i="4"/>
  <c r="G536" i="4"/>
  <c r="H537" i="4" l="1"/>
  <c r="D537" i="4"/>
  <c r="B538" i="4"/>
  <c r="E537" i="4"/>
  <c r="F537" i="4"/>
  <c r="K537" i="4"/>
  <c r="J537" i="4"/>
  <c r="G537" i="4"/>
  <c r="C537" i="4"/>
  <c r="I537" i="4" s="1"/>
  <c r="J538" i="4" l="1"/>
  <c r="G538" i="4"/>
  <c r="K538" i="4"/>
  <c r="B539" i="4"/>
  <c r="E538" i="4"/>
  <c r="H538" i="4"/>
  <c r="D538" i="4"/>
  <c r="C538" i="4"/>
  <c r="I538" i="4" s="1"/>
  <c r="F538" i="4"/>
  <c r="J539" i="4" l="1"/>
  <c r="E539" i="4"/>
  <c r="K539" i="4"/>
  <c r="C539" i="4"/>
  <c r="I539" i="4" s="1"/>
  <c r="F539" i="4"/>
  <c r="B540" i="4"/>
  <c r="H539" i="4"/>
  <c r="D539" i="4"/>
  <c r="G539" i="4"/>
  <c r="F540" i="4" l="1"/>
  <c r="E540" i="4"/>
  <c r="K540" i="4"/>
  <c r="C540" i="4"/>
  <c r="I540" i="4" s="1"/>
  <c r="B541" i="4"/>
  <c r="G540" i="4"/>
  <c r="H540" i="4"/>
  <c r="D540" i="4"/>
  <c r="J540" i="4"/>
  <c r="K541" i="4" l="1"/>
  <c r="H541" i="4"/>
  <c r="C541" i="4"/>
  <c r="I541" i="4" s="1"/>
  <c r="B542" i="4"/>
  <c r="J541" i="4"/>
  <c r="E541" i="4"/>
  <c r="D541" i="4"/>
  <c r="F541" i="4"/>
  <c r="G541" i="4"/>
  <c r="B543" i="4" l="1"/>
  <c r="E542" i="4"/>
  <c r="C542" i="4"/>
  <c r="I542" i="4" s="1"/>
  <c r="K542" i="4"/>
  <c r="H542" i="4"/>
  <c r="G542" i="4"/>
  <c r="J542" i="4"/>
  <c r="F542" i="4"/>
  <c r="D542" i="4"/>
  <c r="J543" i="4" l="1"/>
  <c r="E543" i="4"/>
  <c r="B544" i="4"/>
  <c r="H543" i="4"/>
  <c r="G543" i="4"/>
  <c r="D543" i="4"/>
  <c r="K543" i="4"/>
  <c r="F543" i="4"/>
  <c r="C543" i="4"/>
  <c r="I543" i="4" s="1"/>
  <c r="F544" i="4" l="1"/>
  <c r="E544" i="4"/>
  <c r="D544" i="4"/>
  <c r="K544" i="4"/>
  <c r="G544" i="4"/>
  <c r="J544" i="4"/>
  <c r="C544" i="4"/>
  <c r="I544" i="4" s="1"/>
  <c r="B545" i="4"/>
  <c r="H544" i="4"/>
  <c r="D545" i="4" l="1"/>
  <c r="J545" i="4"/>
  <c r="E545" i="4"/>
  <c r="H545" i="4"/>
  <c r="F545" i="4"/>
  <c r="B546" i="4"/>
  <c r="K545" i="4"/>
  <c r="G545" i="4"/>
  <c r="C545" i="4"/>
  <c r="I545" i="4" s="1"/>
  <c r="F546" i="4" l="1"/>
  <c r="D546" i="4"/>
  <c r="B547" i="4"/>
  <c r="J546" i="4"/>
  <c r="H546" i="4"/>
  <c r="E546" i="4"/>
  <c r="K546" i="4"/>
  <c r="C546" i="4"/>
  <c r="I546" i="4" s="1"/>
  <c r="G546" i="4"/>
  <c r="J547" i="4" l="1"/>
  <c r="D547" i="4"/>
  <c r="B548" i="4"/>
  <c r="K547" i="4"/>
  <c r="G547" i="4"/>
  <c r="C547" i="4"/>
  <c r="I547" i="4" s="1"/>
  <c r="H547" i="4"/>
  <c r="E547" i="4"/>
  <c r="F547" i="4"/>
  <c r="F548" i="4" l="1"/>
  <c r="H548" i="4"/>
  <c r="J548" i="4"/>
  <c r="D548" i="4"/>
  <c r="E548" i="4"/>
  <c r="B549" i="4"/>
  <c r="C548" i="4"/>
  <c r="I548" i="4" s="1"/>
  <c r="K548" i="4"/>
  <c r="G548" i="4"/>
  <c r="B550" i="4" l="1"/>
  <c r="F549" i="4"/>
  <c r="J549" i="4"/>
  <c r="G549" i="4"/>
  <c r="E549" i="4"/>
  <c r="C549" i="4"/>
  <c r="I549" i="4" s="1"/>
  <c r="K549" i="4"/>
  <c r="H549" i="4"/>
  <c r="D549" i="4"/>
  <c r="E550" i="4" l="1"/>
  <c r="C550" i="4"/>
  <c r="I550" i="4" s="1"/>
  <c r="J550" i="4"/>
  <c r="F550" i="4"/>
  <c r="D550" i="4"/>
  <c r="G550" i="4"/>
  <c r="B551" i="4"/>
  <c r="H550" i="4"/>
  <c r="K550" i="4"/>
  <c r="K551" i="4" l="1"/>
  <c r="B552" i="4"/>
  <c r="F551" i="4"/>
  <c r="J551" i="4"/>
  <c r="E551" i="4"/>
  <c r="D551" i="4"/>
  <c r="H551" i="4"/>
  <c r="G551" i="4"/>
  <c r="C551" i="4"/>
  <c r="I551" i="4" s="1"/>
  <c r="B553" i="4" l="1"/>
  <c r="K552" i="4"/>
  <c r="G552" i="4"/>
  <c r="E552" i="4"/>
  <c r="H552" i="4"/>
  <c r="F552" i="4"/>
  <c r="J552" i="4"/>
  <c r="C552" i="4"/>
  <c r="I552" i="4" s="1"/>
  <c r="D552" i="4"/>
  <c r="G553" i="4" l="1"/>
  <c r="F553" i="4"/>
  <c r="K553" i="4"/>
  <c r="D553" i="4"/>
  <c r="C553" i="4"/>
  <c r="I553" i="4" s="1"/>
  <c r="H553" i="4"/>
  <c r="E553" i="4"/>
  <c r="B554" i="4"/>
  <c r="J553" i="4"/>
  <c r="K554" i="4" l="1"/>
  <c r="B555" i="4"/>
  <c r="H554" i="4"/>
  <c r="J554" i="4"/>
  <c r="E554" i="4"/>
  <c r="C554" i="4"/>
  <c r="I554" i="4" s="1"/>
  <c r="D554" i="4"/>
  <c r="F554" i="4"/>
  <c r="G554" i="4"/>
  <c r="D555" i="4" l="1"/>
  <c r="B556" i="4"/>
  <c r="E555" i="4"/>
  <c r="J555" i="4"/>
  <c r="G555" i="4"/>
  <c r="C555" i="4"/>
  <c r="I555" i="4" s="1"/>
  <c r="K555" i="4"/>
  <c r="F555" i="4"/>
  <c r="H555" i="4"/>
  <c r="B557" i="4" l="1"/>
  <c r="J556" i="4"/>
  <c r="H556" i="4"/>
  <c r="D556" i="4"/>
  <c r="G556" i="4"/>
  <c r="E556" i="4"/>
  <c r="F556" i="4"/>
  <c r="C556" i="4"/>
  <c r="I556" i="4" s="1"/>
  <c r="K556" i="4"/>
  <c r="D557" i="4" l="1"/>
  <c r="H557" i="4"/>
  <c r="G557" i="4"/>
  <c r="C557" i="4"/>
  <c r="I557" i="4" s="1"/>
  <c r="F557" i="4"/>
  <c r="K557" i="4"/>
  <c r="J557" i="4"/>
  <c r="B558" i="4"/>
  <c r="E557" i="4"/>
  <c r="F558" i="4" l="1"/>
  <c r="C558" i="4"/>
  <c r="I558" i="4" s="1"/>
  <c r="E558" i="4"/>
  <c r="G558" i="4"/>
  <c r="K558" i="4"/>
  <c r="B559" i="4"/>
  <c r="H558" i="4"/>
  <c r="D558" i="4"/>
  <c r="J558" i="4"/>
  <c r="E559" i="4" l="1"/>
  <c r="J559" i="4"/>
  <c r="K559" i="4"/>
  <c r="H559" i="4"/>
  <c r="C559" i="4"/>
  <c r="I559" i="4" s="1"/>
  <c r="F559" i="4"/>
  <c r="G559" i="4"/>
  <c r="B560" i="4"/>
  <c r="D559" i="4"/>
  <c r="C560" i="4" l="1"/>
  <c r="I560" i="4" s="1"/>
  <c r="E560" i="4"/>
  <c r="D560" i="4"/>
  <c r="J560" i="4"/>
  <c r="H560" i="4"/>
  <c r="B561" i="4"/>
  <c r="F560" i="4"/>
  <c r="K560" i="4"/>
  <c r="G560" i="4"/>
  <c r="K561" i="4" l="1"/>
  <c r="D561" i="4"/>
  <c r="E561" i="4"/>
  <c r="H561" i="4"/>
  <c r="B562" i="4"/>
  <c r="F561" i="4"/>
  <c r="G561" i="4"/>
  <c r="J561" i="4"/>
  <c r="C561" i="4"/>
  <c r="I561" i="4" s="1"/>
  <c r="J562" i="4" l="1"/>
  <c r="D562" i="4"/>
  <c r="F562" i="4"/>
  <c r="H562" i="4"/>
  <c r="K562" i="4"/>
  <c r="C562" i="4"/>
  <c r="I562" i="4" s="1"/>
  <c r="E562" i="4"/>
  <c r="G562" i="4"/>
  <c r="B563" i="4"/>
  <c r="B564" i="4" l="1"/>
  <c r="G563" i="4"/>
  <c r="K563" i="4"/>
  <c r="H563" i="4"/>
  <c r="D563" i="4"/>
  <c r="J563" i="4"/>
  <c r="F563" i="4"/>
  <c r="C563" i="4"/>
  <c r="I563" i="4" s="1"/>
  <c r="E563" i="4"/>
  <c r="H564" i="4" l="1"/>
  <c r="D564" i="4"/>
  <c r="G564" i="4"/>
  <c r="B565" i="4"/>
  <c r="E564" i="4"/>
  <c r="C564" i="4"/>
  <c r="I564" i="4" s="1"/>
  <c r="F564" i="4"/>
  <c r="J564" i="4"/>
  <c r="K564" i="4"/>
  <c r="J565" i="4" l="1"/>
  <c r="F565" i="4"/>
  <c r="D565" i="4"/>
  <c r="E565" i="4"/>
  <c r="G565" i="4"/>
  <c r="K565" i="4"/>
  <c r="H565" i="4"/>
  <c r="C565" i="4"/>
  <c r="I565" i="4" s="1"/>
  <c r="B566" i="4"/>
  <c r="K566" i="4" l="1"/>
  <c r="B567" i="4"/>
  <c r="C566" i="4"/>
  <c r="I566" i="4" s="1"/>
  <c r="G566" i="4"/>
  <c r="D566" i="4"/>
  <c r="H566" i="4"/>
  <c r="F566" i="4"/>
  <c r="E566" i="4"/>
  <c r="J566" i="4"/>
  <c r="J567" i="4" l="1"/>
  <c r="F567" i="4"/>
  <c r="B568" i="4"/>
  <c r="K567" i="4"/>
  <c r="C567" i="4"/>
  <c r="I567" i="4" s="1"/>
  <c r="G567" i="4"/>
  <c r="H567" i="4"/>
  <c r="E567" i="4"/>
  <c r="D567" i="4"/>
  <c r="D568" i="4" l="1"/>
  <c r="G568" i="4"/>
  <c r="B569" i="4"/>
  <c r="K568" i="4"/>
  <c r="E568" i="4"/>
  <c r="H568" i="4"/>
  <c r="F568" i="4"/>
  <c r="C568" i="4"/>
  <c r="I568" i="4" s="1"/>
  <c r="J568" i="4"/>
  <c r="D569" i="4" l="1"/>
  <c r="B570" i="4"/>
  <c r="E569" i="4"/>
  <c r="G569" i="4"/>
  <c r="F569" i="4"/>
  <c r="H569" i="4"/>
  <c r="K569" i="4"/>
  <c r="J569" i="4"/>
  <c r="C569" i="4"/>
  <c r="I569" i="4" s="1"/>
  <c r="F570" i="4" l="1"/>
  <c r="C570" i="4"/>
  <c r="I570" i="4" s="1"/>
  <c r="E570" i="4"/>
  <c r="D570" i="4"/>
  <c r="J570" i="4"/>
  <c r="H570" i="4"/>
  <c r="G570" i="4"/>
  <c r="B571" i="4"/>
  <c r="K570" i="4"/>
  <c r="J571" i="4" l="1"/>
  <c r="G571" i="4"/>
  <c r="E571" i="4"/>
  <c r="C571" i="4"/>
  <c r="I571" i="4" s="1"/>
  <c r="K571" i="4"/>
  <c r="H571" i="4"/>
  <c r="D571" i="4"/>
  <c r="B572" i="4"/>
  <c r="F571" i="4"/>
  <c r="H572" i="4" l="1"/>
  <c r="F572" i="4"/>
  <c r="G572" i="4"/>
  <c r="K572" i="4"/>
  <c r="D572" i="4"/>
  <c r="E572" i="4"/>
  <c r="J572" i="4"/>
  <c r="B573" i="4"/>
  <c r="C572" i="4"/>
  <c r="I572" i="4" s="1"/>
  <c r="F573" i="4" l="1"/>
  <c r="B574" i="4"/>
  <c r="G573" i="4"/>
  <c r="H573" i="4"/>
  <c r="K573" i="4"/>
  <c r="E573" i="4"/>
  <c r="J573" i="4"/>
  <c r="D573" i="4"/>
  <c r="C573" i="4"/>
  <c r="I573" i="4" s="1"/>
  <c r="H574" i="4" l="1"/>
  <c r="E574" i="4"/>
  <c r="B575" i="4"/>
  <c r="K574" i="4"/>
  <c r="G574" i="4"/>
  <c r="D574" i="4"/>
  <c r="C574" i="4"/>
  <c r="I574" i="4" s="1"/>
  <c r="J574" i="4"/>
  <c r="F574" i="4"/>
  <c r="F575" i="4" l="1"/>
  <c r="G575" i="4"/>
  <c r="K575" i="4"/>
  <c r="E575" i="4"/>
  <c r="H575" i="4"/>
  <c r="C575" i="4"/>
  <c r="I575" i="4" s="1"/>
  <c r="B576" i="4"/>
  <c r="D575" i="4"/>
  <c r="J575" i="4"/>
  <c r="C576" i="4" l="1"/>
  <c r="I576" i="4" s="1"/>
  <c r="G576" i="4"/>
  <c r="K576" i="4"/>
  <c r="E576" i="4"/>
  <c r="D576" i="4"/>
  <c r="H576" i="4"/>
  <c r="B577" i="4"/>
  <c r="J576" i="4"/>
  <c r="F576" i="4"/>
  <c r="C577" i="4" l="1"/>
  <c r="I577" i="4" s="1"/>
  <c r="H577" i="4"/>
  <c r="D577" i="4"/>
  <c r="K577" i="4"/>
  <c r="F577" i="4"/>
  <c r="B578" i="4"/>
  <c r="J577" i="4"/>
  <c r="G577" i="4"/>
  <c r="E577" i="4"/>
  <c r="G578" i="4" l="1"/>
  <c r="H578" i="4"/>
  <c r="J578" i="4"/>
  <c r="F578" i="4"/>
  <c r="D578" i="4"/>
  <c r="C578" i="4"/>
  <c r="I578" i="4" s="1"/>
  <c r="K578" i="4"/>
  <c r="B579" i="4"/>
  <c r="E578" i="4"/>
  <c r="H579" i="4" l="1"/>
  <c r="D579" i="4"/>
  <c r="G579" i="4"/>
  <c r="C579" i="4"/>
  <c r="I579" i="4" s="1"/>
  <c r="E579" i="4"/>
  <c r="F579" i="4"/>
  <c r="K579" i="4"/>
  <c r="B580" i="4"/>
  <c r="J579" i="4"/>
  <c r="D580" i="4" l="1"/>
  <c r="F580" i="4"/>
  <c r="E580" i="4"/>
  <c r="G580" i="4"/>
  <c r="K580" i="4"/>
  <c r="J580" i="4"/>
  <c r="B581" i="4"/>
  <c r="C580" i="4"/>
  <c r="I580" i="4" s="1"/>
  <c r="H580" i="4"/>
  <c r="C581" i="4" l="1"/>
  <c r="I581" i="4" s="1"/>
  <c r="G581" i="4"/>
  <c r="K581" i="4"/>
  <c r="B582" i="4"/>
  <c r="D581" i="4"/>
  <c r="J581" i="4"/>
  <c r="E581" i="4"/>
  <c r="F581" i="4"/>
  <c r="H581" i="4"/>
  <c r="H582" i="4" l="1"/>
  <c r="G582" i="4"/>
  <c r="C582" i="4"/>
  <c r="I582" i="4" s="1"/>
  <c r="D582" i="4"/>
  <c r="B583" i="4"/>
  <c r="J582" i="4"/>
  <c r="E582" i="4"/>
  <c r="K582" i="4"/>
  <c r="F582" i="4"/>
  <c r="G583" i="4" l="1"/>
  <c r="C583" i="4"/>
  <c r="I583" i="4" s="1"/>
  <c r="F583" i="4"/>
  <c r="J583" i="4"/>
  <c r="B584" i="4"/>
  <c r="D583" i="4"/>
  <c r="E583" i="4"/>
  <c r="H583" i="4"/>
  <c r="K583" i="4"/>
  <c r="D584" i="4" l="1"/>
  <c r="J584" i="4"/>
  <c r="B585" i="4"/>
  <c r="C584" i="4"/>
  <c r="I584" i="4" s="1"/>
  <c r="H584" i="4"/>
  <c r="E584" i="4"/>
  <c r="K584" i="4"/>
  <c r="F584" i="4"/>
  <c r="G584" i="4"/>
  <c r="B586" i="4" l="1"/>
  <c r="K585" i="4"/>
  <c r="E585" i="4"/>
  <c r="H585" i="4"/>
  <c r="G585" i="4"/>
  <c r="F585" i="4"/>
  <c r="D585" i="4"/>
  <c r="J585" i="4"/>
  <c r="C585" i="4"/>
  <c r="I585" i="4" s="1"/>
  <c r="D586" i="4" l="1"/>
  <c r="B587" i="4"/>
  <c r="G586" i="4"/>
  <c r="J586" i="4"/>
  <c r="K586" i="4"/>
  <c r="F586" i="4"/>
  <c r="C586" i="4"/>
  <c r="I586" i="4" s="1"/>
  <c r="E586" i="4"/>
  <c r="H586" i="4"/>
  <c r="J587" i="4" l="1"/>
  <c r="G587" i="4"/>
  <c r="C587" i="4"/>
  <c r="I587" i="4" s="1"/>
  <c r="D587" i="4"/>
  <c r="B588" i="4"/>
  <c r="H587" i="4"/>
  <c r="F587" i="4"/>
  <c r="K587" i="4"/>
  <c r="E587" i="4"/>
  <c r="H588" i="4" l="1"/>
  <c r="F588" i="4"/>
  <c r="D588" i="4"/>
  <c r="K588" i="4"/>
  <c r="J588" i="4"/>
  <c r="G588" i="4"/>
  <c r="C588" i="4"/>
  <c r="I588" i="4" s="1"/>
  <c r="E588" i="4"/>
  <c r="B589" i="4"/>
  <c r="E589" i="4" l="1"/>
  <c r="D589" i="4"/>
  <c r="H589" i="4"/>
  <c r="G589" i="4"/>
  <c r="C589" i="4"/>
  <c r="I589" i="4" s="1"/>
  <c r="K589" i="4"/>
  <c r="B590" i="4"/>
  <c r="J589" i="4"/>
  <c r="F589" i="4"/>
  <c r="E590" i="4" l="1"/>
  <c r="D590" i="4"/>
  <c r="H590" i="4"/>
  <c r="C590" i="4"/>
  <c r="I590" i="4" s="1"/>
  <c r="B591" i="4"/>
  <c r="K590" i="4"/>
  <c r="F590" i="4"/>
  <c r="G590" i="4"/>
  <c r="J590" i="4"/>
  <c r="E591" i="4" l="1"/>
  <c r="G591" i="4"/>
  <c r="D591" i="4"/>
  <c r="K591" i="4"/>
  <c r="F591" i="4"/>
  <c r="J591" i="4"/>
  <c r="C591" i="4"/>
  <c r="I591" i="4" s="1"/>
  <c r="B592" i="4"/>
  <c r="H591" i="4"/>
  <c r="D592" i="4" l="1"/>
  <c r="B593" i="4"/>
  <c r="C592" i="4"/>
  <c r="I592" i="4" s="1"/>
  <c r="F592" i="4"/>
  <c r="K592" i="4"/>
  <c r="J592" i="4"/>
  <c r="H592" i="4"/>
  <c r="E592" i="4"/>
  <c r="G592" i="4"/>
  <c r="F593" i="4" l="1"/>
  <c r="J593" i="4"/>
  <c r="K593" i="4"/>
  <c r="D593" i="4"/>
  <c r="B594" i="4"/>
  <c r="H593" i="4"/>
  <c r="G593" i="4"/>
  <c r="C593" i="4"/>
  <c r="I593" i="4" s="1"/>
  <c r="E593" i="4"/>
  <c r="E594" i="4" l="1"/>
  <c r="K594" i="4"/>
  <c r="B595" i="4"/>
  <c r="J594" i="4"/>
  <c r="H594" i="4"/>
  <c r="G594" i="4"/>
  <c r="C594" i="4"/>
  <c r="I594" i="4" s="1"/>
  <c r="F594" i="4"/>
  <c r="D594" i="4"/>
  <c r="E595" i="4" l="1"/>
  <c r="F595" i="4"/>
  <c r="G595" i="4"/>
  <c r="H595" i="4"/>
  <c r="B596" i="4"/>
  <c r="K595" i="4"/>
  <c r="C595" i="4"/>
  <c r="I595" i="4" s="1"/>
  <c r="J595" i="4"/>
  <c r="D595" i="4"/>
  <c r="D596" i="4" l="1"/>
  <c r="K596" i="4"/>
  <c r="F596" i="4"/>
  <c r="H596" i="4"/>
  <c r="E596" i="4"/>
  <c r="C596" i="4"/>
  <c r="I596" i="4" s="1"/>
  <c r="G596" i="4"/>
  <c r="J596" i="4"/>
  <c r="B597" i="4"/>
  <c r="B598" i="4" l="1"/>
  <c r="J597" i="4"/>
  <c r="E597" i="4"/>
  <c r="C597" i="4"/>
  <c r="I597" i="4" s="1"/>
  <c r="F597" i="4"/>
  <c r="K597" i="4"/>
  <c r="H597" i="4"/>
  <c r="G597" i="4"/>
  <c r="D597" i="4"/>
  <c r="D598" i="4" l="1"/>
  <c r="C598" i="4"/>
  <c r="I598" i="4" s="1"/>
  <c r="E598" i="4"/>
  <c r="H598" i="4"/>
  <c r="G598" i="4"/>
  <c r="F598" i="4"/>
  <c r="B599" i="4"/>
  <c r="K598" i="4"/>
  <c r="J598" i="4"/>
  <c r="C599" i="4" l="1"/>
  <c r="I599" i="4" s="1"/>
  <c r="F599" i="4"/>
  <c r="H599" i="4"/>
  <c r="B600" i="4"/>
  <c r="E599" i="4"/>
  <c r="J599" i="4"/>
  <c r="D599" i="4"/>
  <c r="G599" i="4"/>
  <c r="K599" i="4"/>
  <c r="F600" i="4" l="1"/>
  <c r="C600" i="4"/>
  <c r="I600" i="4" s="1"/>
  <c r="E600" i="4"/>
  <c r="B601" i="4"/>
  <c r="H600" i="4"/>
  <c r="D600" i="4"/>
  <c r="K600" i="4"/>
  <c r="G600" i="4"/>
  <c r="J600" i="4"/>
  <c r="E601" i="4" l="1"/>
  <c r="C601" i="4"/>
  <c r="I601" i="4" s="1"/>
  <c r="K601" i="4"/>
  <c r="J601" i="4"/>
  <c r="D601" i="4"/>
  <c r="H601" i="4"/>
  <c r="G601" i="4"/>
  <c r="F601" i="4"/>
  <c r="B602" i="4"/>
  <c r="D602" i="4" l="1"/>
  <c r="H602" i="4"/>
  <c r="C602" i="4"/>
  <c r="I602" i="4" s="1"/>
  <c r="B603" i="4"/>
  <c r="E602" i="4"/>
  <c r="G602" i="4"/>
  <c r="K602" i="4"/>
  <c r="J602" i="4"/>
  <c r="F602" i="4"/>
  <c r="J603" i="4" l="1"/>
  <c r="H603" i="4"/>
  <c r="C603" i="4"/>
  <c r="I603" i="4" s="1"/>
  <c r="B604" i="4"/>
  <c r="F603" i="4"/>
  <c r="D603" i="4"/>
  <c r="G603" i="4"/>
  <c r="E603" i="4"/>
  <c r="K603" i="4"/>
  <c r="D604" i="4" l="1"/>
  <c r="G604" i="4"/>
  <c r="C604" i="4"/>
  <c r="I604" i="4" s="1"/>
  <c r="F604" i="4"/>
  <c r="J604" i="4"/>
  <c r="E604" i="4"/>
  <c r="K604" i="4"/>
  <c r="B605" i="4"/>
  <c r="H604" i="4"/>
  <c r="G605" i="4" l="1"/>
  <c r="K605" i="4"/>
  <c r="H605" i="4"/>
  <c r="B606" i="4"/>
  <c r="E605" i="4"/>
  <c r="F605" i="4"/>
  <c r="C605" i="4"/>
  <c r="I605" i="4" s="1"/>
  <c r="J605" i="4"/>
  <c r="D605" i="4"/>
  <c r="J606" i="4" l="1"/>
  <c r="C606" i="4"/>
  <c r="I606" i="4" s="1"/>
  <c r="E606" i="4"/>
  <c r="F606" i="4"/>
  <c r="K606" i="4"/>
  <c r="H606" i="4"/>
  <c r="D606" i="4"/>
  <c r="B607" i="4"/>
  <c r="G606" i="4"/>
  <c r="C607" i="4" l="1"/>
  <c r="I607" i="4" s="1"/>
  <c r="F607" i="4"/>
  <c r="D607" i="4"/>
  <c r="E607" i="4"/>
  <c r="H607" i="4"/>
  <c r="K607" i="4"/>
  <c r="B608" i="4"/>
  <c r="G607" i="4"/>
  <c r="J607" i="4"/>
  <c r="F608" i="4" l="1"/>
  <c r="H608" i="4"/>
  <c r="G608" i="4"/>
  <c r="D608" i="4"/>
  <c r="C608" i="4"/>
  <c r="I608" i="4" s="1"/>
  <c r="K608" i="4"/>
  <c r="E608" i="4"/>
  <c r="J608" i="4"/>
  <c r="B609" i="4"/>
  <c r="C609" i="4" l="1"/>
  <c r="I609" i="4" s="1"/>
  <c r="G609" i="4"/>
  <c r="B610" i="4"/>
  <c r="E609" i="4"/>
  <c r="K609" i="4"/>
  <c r="H609" i="4"/>
  <c r="F609" i="4"/>
  <c r="D609" i="4"/>
  <c r="J609" i="4"/>
  <c r="B611" i="4" l="1"/>
  <c r="H610" i="4"/>
  <c r="J610" i="4"/>
  <c r="C610" i="4"/>
  <c r="I610" i="4" s="1"/>
  <c r="E610" i="4"/>
  <c r="G610" i="4"/>
  <c r="K610" i="4"/>
  <c r="D610" i="4"/>
  <c r="F610" i="4"/>
  <c r="J611" i="4" l="1"/>
  <c r="B612" i="4"/>
  <c r="G611" i="4"/>
  <c r="D611" i="4"/>
  <c r="F611" i="4"/>
  <c r="C611" i="4"/>
  <c r="I611" i="4" s="1"/>
  <c r="E611" i="4"/>
  <c r="K611" i="4"/>
  <c r="H611" i="4"/>
  <c r="D612" i="4" l="1"/>
  <c r="K612" i="4"/>
  <c r="G612" i="4"/>
  <c r="F612" i="4"/>
  <c r="H612" i="4"/>
  <c r="E612" i="4"/>
  <c r="B613" i="4"/>
  <c r="J612" i="4"/>
  <c r="C612" i="4"/>
  <c r="I612" i="4" s="1"/>
  <c r="K613" i="4" l="1"/>
  <c r="C613" i="4"/>
  <c r="I613" i="4" s="1"/>
  <c r="H613" i="4"/>
  <c r="G613" i="4"/>
  <c r="B614" i="4"/>
  <c r="E613" i="4"/>
  <c r="J613" i="4"/>
  <c r="D613" i="4"/>
  <c r="F613" i="4"/>
  <c r="H614" i="4" l="1"/>
  <c r="F614" i="4"/>
  <c r="E614" i="4"/>
  <c r="J614" i="4"/>
  <c r="B615" i="4"/>
  <c r="G614" i="4"/>
  <c r="K614" i="4"/>
  <c r="C614" i="4"/>
  <c r="I614" i="4" s="1"/>
  <c r="D614" i="4"/>
  <c r="E615" i="4" l="1"/>
  <c r="F615" i="4"/>
  <c r="B616" i="4"/>
  <c r="D615" i="4"/>
  <c r="J615" i="4"/>
  <c r="K615" i="4"/>
  <c r="H615" i="4"/>
  <c r="G615" i="4"/>
  <c r="C615" i="4"/>
  <c r="I615" i="4" s="1"/>
  <c r="H616" i="4" l="1"/>
  <c r="E616" i="4"/>
  <c r="K616" i="4"/>
  <c r="J616" i="4"/>
  <c r="F616" i="4"/>
  <c r="C616" i="4"/>
  <c r="I616" i="4" s="1"/>
  <c r="G616" i="4"/>
  <c r="D616" i="4"/>
  <c r="B617" i="4"/>
  <c r="C617" i="4" l="1"/>
  <c r="I617" i="4" s="1"/>
  <c r="E617" i="4"/>
  <c r="J617" i="4"/>
  <c r="B618" i="4"/>
  <c r="F617" i="4"/>
  <c r="K617" i="4"/>
  <c r="G617" i="4"/>
  <c r="D617" i="4"/>
  <c r="H617" i="4"/>
  <c r="K618" i="4" l="1"/>
  <c r="C618" i="4"/>
  <c r="I618" i="4" s="1"/>
  <c r="G618" i="4"/>
  <c r="H618" i="4"/>
  <c r="F618" i="4"/>
  <c r="J618" i="4"/>
  <c r="E618" i="4"/>
  <c r="B619" i="4"/>
  <c r="D618" i="4"/>
  <c r="E619" i="4" l="1"/>
  <c r="D619" i="4"/>
  <c r="H619" i="4"/>
  <c r="B620" i="4"/>
  <c r="C619" i="4"/>
  <c r="I619" i="4" s="1"/>
  <c r="K619" i="4"/>
  <c r="G619" i="4"/>
  <c r="F619" i="4"/>
  <c r="J619" i="4"/>
  <c r="H620" i="4" l="1"/>
  <c r="C620" i="4"/>
  <c r="I620" i="4" s="1"/>
  <c r="D620" i="4"/>
  <c r="G620" i="4"/>
  <c r="F620" i="4"/>
  <c r="J620" i="4"/>
  <c r="E620" i="4"/>
  <c r="K620" i="4"/>
  <c r="B621" i="4"/>
  <c r="H621" i="4" l="1"/>
  <c r="B622" i="4"/>
  <c r="F621" i="4"/>
  <c r="K621" i="4"/>
  <c r="G621" i="4"/>
  <c r="E621" i="4"/>
  <c r="D621" i="4"/>
  <c r="J621" i="4"/>
  <c r="C621" i="4"/>
  <c r="I621" i="4" s="1"/>
  <c r="K622" i="4" l="1"/>
  <c r="B623" i="4"/>
  <c r="D622" i="4"/>
  <c r="C622" i="4"/>
  <c r="I622" i="4" s="1"/>
  <c r="H622" i="4"/>
  <c r="F622" i="4"/>
  <c r="J622" i="4"/>
  <c r="E622" i="4"/>
  <c r="G622" i="4"/>
  <c r="K623" i="4" l="1"/>
  <c r="H623" i="4"/>
  <c r="C623" i="4"/>
  <c r="I623" i="4" s="1"/>
  <c r="F623" i="4"/>
  <c r="J623" i="4"/>
  <c r="G623" i="4"/>
  <c r="E623" i="4"/>
  <c r="B624" i="4"/>
  <c r="D623" i="4"/>
  <c r="H624" i="4" l="1"/>
  <c r="G624" i="4"/>
  <c r="B625" i="4"/>
  <c r="E624" i="4"/>
  <c r="K624" i="4"/>
  <c r="D624" i="4"/>
  <c r="F624" i="4"/>
  <c r="C624" i="4"/>
  <c r="I624" i="4" s="1"/>
  <c r="J624" i="4"/>
  <c r="H625" i="4" l="1"/>
  <c r="E625" i="4"/>
  <c r="D625" i="4"/>
  <c r="B626" i="4"/>
  <c r="K625" i="4"/>
  <c r="C625" i="4"/>
  <c r="I625" i="4" s="1"/>
  <c r="J625" i="4"/>
  <c r="F625" i="4"/>
  <c r="G625" i="4"/>
  <c r="J626" i="4" l="1"/>
  <c r="E626" i="4"/>
  <c r="C626" i="4"/>
  <c r="I626" i="4" s="1"/>
  <c r="D626" i="4"/>
  <c r="K626" i="4"/>
  <c r="H626" i="4"/>
  <c r="B627" i="4"/>
  <c r="F626" i="4"/>
  <c r="G626" i="4"/>
  <c r="K627" i="4" l="1"/>
  <c r="F627" i="4"/>
  <c r="D627" i="4"/>
  <c r="E627" i="4"/>
  <c r="B628" i="4"/>
  <c r="H627" i="4"/>
  <c r="C627" i="4"/>
  <c r="I627" i="4" s="1"/>
  <c r="G627" i="4"/>
  <c r="J627" i="4"/>
  <c r="F628" i="4" l="1"/>
  <c r="J628" i="4"/>
  <c r="H628" i="4"/>
  <c r="G628" i="4"/>
  <c r="C628" i="4"/>
  <c r="I628" i="4" s="1"/>
  <c r="E628" i="4"/>
  <c r="D628" i="4"/>
  <c r="K628" i="4"/>
  <c r="B629" i="4"/>
  <c r="E629" i="4" l="1"/>
  <c r="C629" i="4"/>
  <c r="I629" i="4" s="1"/>
  <c r="F629" i="4"/>
  <c r="D629" i="4"/>
  <c r="K629" i="4"/>
  <c r="B630" i="4"/>
  <c r="J629" i="4"/>
  <c r="G629" i="4"/>
  <c r="H629" i="4"/>
  <c r="K630" i="4" l="1"/>
  <c r="D630" i="4"/>
  <c r="H630" i="4"/>
  <c r="E630" i="4"/>
  <c r="J630" i="4"/>
  <c r="C630" i="4"/>
  <c r="I630" i="4" s="1"/>
  <c r="B631" i="4"/>
  <c r="G630" i="4"/>
  <c r="F630" i="4"/>
  <c r="H631" i="4" l="1"/>
  <c r="G631" i="4"/>
  <c r="F631" i="4"/>
  <c r="E631" i="4"/>
  <c r="K631" i="4"/>
  <c r="B632" i="4"/>
  <c r="C631" i="4"/>
  <c r="I631" i="4" s="1"/>
  <c r="D631" i="4"/>
  <c r="J631" i="4"/>
  <c r="D632" i="4" l="1"/>
  <c r="B633" i="4"/>
  <c r="K632" i="4"/>
  <c r="E632" i="4"/>
  <c r="F632" i="4"/>
  <c r="J632" i="4"/>
  <c r="H632" i="4"/>
  <c r="G632" i="4"/>
  <c r="C632" i="4"/>
  <c r="I632" i="4" s="1"/>
  <c r="E633" i="4" l="1"/>
  <c r="G633" i="4"/>
  <c r="B634" i="4"/>
  <c r="F633" i="4"/>
  <c r="J633" i="4"/>
  <c r="H633" i="4"/>
  <c r="K633" i="4"/>
  <c r="C633" i="4"/>
  <c r="I633" i="4" s="1"/>
  <c r="D633" i="4"/>
  <c r="C634" i="4" l="1"/>
  <c r="I634" i="4" s="1"/>
  <c r="F634" i="4"/>
  <c r="K634" i="4"/>
  <c r="J634" i="4"/>
  <c r="B635" i="4"/>
  <c r="E634" i="4"/>
  <c r="D634" i="4"/>
  <c r="H634" i="4"/>
  <c r="G634" i="4"/>
  <c r="H635" i="4" l="1"/>
  <c r="C635" i="4"/>
  <c r="I635" i="4" s="1"/>
  <c r="J635" i="4"/>
  <c r="B636" i="4"/>
  <c r="G635" i="4"/>
  <c r="F635" i="4"/>
  <c r="D635" i="4"/>
  <c r="E635" i="4"/>
  <c r="K635" i="4"/>
  <c r="C636" i="4" l="1"/>
  <c r="I636" i="4" s="1"/>
  <c r="F636" i="4"/>
  <c r="H636" i="4"/>
  <c r="D636" i="4"/>
  <c r="J636" i="4"/>
  <c r="E636" i="4"/>
  <c r="K636" i="4"/>
  <c r="B637" i="4"/>
  <c r="G636" i="4"/>
  <c r="H637" i="4" l="1"/>
  <c r="B638" i="4"/>
  <c r="G637" i="4"/>
  <c r="E637" i="4"/>
  <c r="K637" i="4"/>
  <c r="J637" i="4"/>
  <c r="C637" i="4"/>
  <c r="I637" i="4" s="1"/>
  <c r="F637" i="4"/>
  <c r="D637" i="4"/>
  <c r="H638" i="4" l="1"/>
  <c r="B639" i="4"/>
  <c r="G638" i="4"/>
  <c r="D638" i="4"/>
  <c r="K638" i="4"/>
  <c r="F638" i="4"/>
  <c r="E638" i="4"/>
  <c r="J638" i="4"/>
  <c r="C638" i="4"/>
  <c r="I638" i="4" s="1"/>
  <c r="J639" i="4" l="1"/>
  <c r="H639" i="4"/>
  <c r="B640" i="4"/>
  <c r="K639" i="4"/>
  <c r="F639" i="4"/>
  <c r="E639" i="4"/>
  <c r="G639" i="4"/>
  <c r="D639" i="4"/>
  <c r="C639" i="4"/>
  <c r="I639" i="4" s="1"/>
  <c r="C640" i="4" l="1"/>
  <c r="B641" i="4"/>
  <c r="I640" i="4"/>
  <c r="E640" i="4"/>
  <c r="K640" i="4"/>
  <c r="J640" i="4"/>
  <c r="D640" i="4"/>
  <c r="F640" i="4"/>
  <c r="G640" i="4"/>
  <c r="H640" i="4"/>
  <c r="K641" i="4" l="1"/>
  <c r="E641" i="4"/>
  <c r="F641" i="4"/>
  <c r="H641" i="4"/>
  <c r="B642" i="4"/>
  <c r="G641" i="4"/>
  <c r="D641" i="4"/>
  <c r="C641" i="4"/>
  <c r="I641" i="4" s="1"/>
  <c r="J641" i="4"/>
  <c r="B643" i="4" l="1"/>
  <c r="H642" i="4"/>
  <c r="F642" i="4"/>
  <c r="G642" i="4"/>
  <c r="J642" i="4"/>
  <c r="E642" i="4"/>
  <c r="D642" i="4"/>
  <c r="K642" i="4"/>
  <c r="C642" i="4"/>
  <c r="I642" i="4" s="1"/>
  <c r="G643" i="4" l="1"/>
  <c r="C643" i="4"/>
  <c r="I643" i="4" s="1"/>
  <c r="D643" i="4"/>
  <c r="B644" i="4"/>
  <c r="J643" i="4"/>
  <c r="F643" i="4"/>
  <c r="K643" i="4"/>
  <c r="H643" i="4"/>
  <c r="E643" i="4"/>
  <c r="E644" i="4" l="1"/>
  <c r="K644" i="4"/>
  <c r="G644" i="4"/>
  <c r="B645" i="4"/>
  <c r="C644" i="4"/>
  <c r="I644" i="4" s="1"/>
  <c r="D644" i="4"/>
  <c r="F644" i="4"/>
  <c r="H644" i="4"/>
  <c r="J644" i="4"/>
  <c r="E645" i="4" l="1"/>
  <c r="H645" i="4"/>
  <c r="K645" i="4"/>
  <c r="C645" i="4"/>
  <c r="I645" i="4" s="1"/>
  <c r="J645" i="4"/>
  <c r="F645" i="4"/>
  <c r="B646" i="4"/>
  <c r="D645" i="4"/>
  <c r="G645" i="4"/>
  <c r="G646" i="4" l="1"/>
  <c r="B647" i="4"/>
  <c r="E646" i="4"/>
  <c r="H646" i="4"/>
  <c r="K646" i="4"/>
  <c r="J646" i="4"/>
  <c r="F646" i="4"/>
  <c r="D646" i="4"/>
  <c r="C646" i="4"/>
  <c r="I646" i="4" s="1"/>
  <c r="F647" i="4" l="1"/>
  <c r="J647" i="4"/>
  <c r="D647" i="4"/>
  <c r="G647" i="4"/>
  <c r="E647" i="4"/>
  <c r="H647" i="4"/>
  <c r="K647" i="4"/>
  <c r="B648" i="4"/>
  <c r="C647" i="4"/>
  <c r="I647" i="4" s="1"/>
  <c r="D648" i="4" l="1"/>
  <c r="E648" i="4"/>
  <c r="C648" i="4"/>
  <c r="I648" i="4" s="1"/>
  <c r="J648" i="4"/>
  <c r="H648" i="4"/>
  <c r="K648" i="4"/>
  <c r="B649" i="4"/>
  <c r="F648" i="4"/>
  <c r="G648" i="4"/>
  <c r="F649" i="4" l="1"/>
  <c r="K649" i="4"/>
  <c r="E649" i="4"/>
  <c r="J649" i="4"/>
  <c r="D649" i="4"/>
  <c r="B650" i="4"/>
  <c r="C649" i="4"/>
  <c r="I649" i="4" s="1"/>
  <c r="H649" i="4"/>
  <c r="G649" i="4"/>
  <c r="C650" i="4" l="1"/>
  <c r="I650" i="4" s="1"/>
  <c r="F650" i="4"/>
  <c r="J650" i="4"/>
  <c r="B651" i="4"/>
  <c r="K650" i="4"/>
  <c r="D650" i="4"/>
  <c r="H650" i="4"/>
  <c r="G650" i="4"/>
  <c r="E650" i="4"/>
  <c r="J651" i="4" l="1"/>
  <c r="D651" i="4"/>
  <c r="E651" i="4"/>
  <c r="H651" i="4"/>
  <c r="B652" i="4"/>
  <c r="K651" i="4"/>
  <c r="G651" i="4"/>
  <c r="C651" i="4"/>
  <c r="I651" i="4" s="1"/>
  <c r="F651" i="4"/>
  <c r="C652" i="4" l="1"/>
  <c r="I652" i="4" s="1"/>
  <c r="K652" i="4"/>
  <c r="H652" i="4"/>
  <c r="J652" i="4"/>
  <c r="E652" i="4"/>
  <c r="G652" i="4"/>
  <c r="F652" i="4"/>
  <c r="B653" i="4"/>
  <c r="D652" i="4"/>
  <c r="J653" i="4" l="1"/>
  <c r="B654" i="4"/>
  <c r="C653" i="4"/>
  <c r="I653" i="4" s="1"/>
  <c r="D653" i="4"/>
  <c r="F653" i="4"/>
  <c r="E653" i="4"/>
  <c r="K653" i="4"/>
  <c r="H653" i="4"/>
  <c r="G653" i="4"/>
  <c r="J654" i="4" l="1"/>
  <c r="H654" i="4"/>
  <c r="C654" i="4"/>
  <c r="I654" i="4" s="1"/>
  <c r="B655" i="4"/>
  <c r="E654" i="4"/>
  <c r="G654" i="4"/>
  <c r="K654" i="4"/>
  <c r="D654" i="4"/>
  <c r="F654" i="4"/>
  <c r="J655" i="4" l="1"/>
  <c r="C655" i="4"/>
  <c r="I655" i="4" s="1"/>
  <c r="E655" i="4"/>
  <c r="D655" i="4"/>
  <c r="G655" i="4"/>
  <c r="K655" i="4"/>
  <c r="H655" i="4"/>
  <c r="F655" i="4"/>
  <c r="B656" i="4"/>
  <c r="J656" i="4" l="1"/>
  <c r="C656" i="4"/>
  <c r="I656" i="4" s="1"/>
  <c r="E656" i="4"/>
  <c r="D656" i="4"/>
  <c r="H656" i="4"/>
  <c r="K656" i="4"/>
  <c r="B657" i="4"/>
  <c r="G656" i="4"/>
  <c r="F656" i="4"/>
  <c r="H657" i="4" l="1"/>
  <c r="J657" i="4"/>
  <c r="G657" i="4"/>
  <c r="K657" i="4"/>
  <c r="F657" i="4"/>
  <c r="B658" i="4"/>
  <c r="C657" i="4"/>
  <c r="I657" i="4" s="1"/>
  <c r="E657" i="4"/>
  <c r="D657" i="4"/>
  <c r="K658" i="4" l="1"/>
  <c r="F658" i="4"/>
  <c r="E658" i="4"/>
  <c r="J658" i="4"/>
  <c r="C658" i="4"/>
  <c r="I658" i="4" s="1"/>
  <c r="D658" i="4"/>
  <c r="H658" i="4"/>
  <c r="B659" i="4"/>
  <c r="G658" i="4"/>
  <c r="K659" i="4" l="1"/>
  <c r="G659" i="4"/>
  <c r="H659" i="4"/>
  <c r="D659" i="4"/>
  <c r="B660" i="4"/>
  <c r="F659" i="4"/>
  <c r="J659" i="4"/>
  <c r="C659" i="4"/>
  <c r="I659" i="4" s="1"/>
  <c r="E659" i="4"/>
  <c r="E660" i="4" l="1"/>
  <c r="B661" i="4"/>
  <c r="F660" i="4"/>
  <c r="K660" i="4"/>
  <c r="G660" i="4"/>
  <c r="H660" i="4"/>
  <c r="C660" i="4"/>
  <c r="I660" i="4" s="1"/>
  <c r="D660" i="4"/>
  <c r="J660" i="4"/>
  <c r="K661" i="4" l="1"/>
  <c r="C661" i="4"/>
  <c r="I661" i="4" s="1"/>
  <c r="G661" i="4"/>
  <c r="B662" i="4"/>
  <c r="H661" i="4"/>
  <c r="D661" i="4"/>
  <c r="F661" i="4"/>
  <c r="J661" i="4"/>
  <c r="E661" i="4"/>
  <c r="F662" i="4" l="1"/>
  <c r="G662" i="4"/>
  <c r="H662" i="4"/>
  <c r="D662" i="4"/>
  <c r="K662" i="4"/>
  <c r="J662" i="4"/>
  <c r="B663" i="4"/>
  <c r="C662" i="4"/>
  <c r="I662" i="4" s="1"/>
  <c r="E662" i="4"/>
  <c r="H663" i="4" l="1"/>
  <c r="C663" i="4"/>
  <c r="I663" i="4" s="1"/>
  <c r="D663" i="4"/>
  <c r="J663" i="4"/>
  <c r="G663" i="4"/>
  <c r="F663" i="4"/>
  <c r="B664" i="4"/>
  <c r="K663" i="4"/>
  <c r="E663" i="4"/>
  <c r="K664" i="4" l="1"/>
  <c r="F664" i="4"/>
  <c r="H664" i="4"/>
  <c r="B665" i="4"/>
  <c r="D664" i="4"/>
  <c r="C664" i="4"/>
  <c r="I664" i="4" s="1"/>
  <c r="J664" i="4"/>
  <c r="G664" i="4"/>
  <c r="E664" i="4"/>
  <c r="J665" i="4" l="1"/>
  <c r="C665" i="4"/>
  <c r="I665" i="4" s="1"/>
  <c r="E665" i="4"/>
  <c r="B666" i="4"/>
  <c r="H665" i="4"/>
  <c r="G665" i="4"/>
  <c r="D665" i="4"/>
  <c r="K665" i="4"/>
  <c r="F665" i="4"/>
  <c r="K666" i="4" l="1"/>
  <c r="F666" i="4"/>
  <c r="J666" i="4"/>
  <c r="D666" i="4"/>
  <c r="H666" i="4"/>
  <c r="G666" i="4"/>
  <c r="B667" i="4"/>
  <c r="E666" i="4"/>
  <c r="C666" i="4"/>
  <c r="I666" i="4" s="1"/>
  <c r="D667" i="4" l="1"/>
  <c r="F667" i="4"/>
  <c r="H667" i="4"/>
  <c r="C667" i="4"/>
  <c r="I667" i="4" s="1"/>
  <c r="E667" i="4"/>
  <c r="J667" i="4"/>
  <c r="G667" i="4"/>
  <c r="B668" i="4"/>
  <c r="K667" i="4"/>
  <c r="H668" i="4" l="1"/>
  <c r="G668" i="4"/>
  <c r="D668" i="4"/>
  <c r="K668" i="4"/>
  <c r="E668" i="4"/>
  <c r="B669" i="4"/>
  <c r="J668" i="4"/>
  <c r="F668" i="4"/>
  <c r="C668" i="4"/>
  <c r="I668" i="4" s="1"/>
  <c r="B670" i="4" l="1"/>
  <c r="F669" i="4"/>
  <c r="D669" i="4"/>
  <c r="E669" i="4"/>
  <c r="K669" i="4"/>
  <c r="G669" i="4"/>
  <c r="J669" i="4"/>
  <c r="C669" i="4"/>
  <c r="I669" i="4" s="1"/>
  <c r="H669" i="4"/>
  <c r="F670" i="4" l="1"/>
  <c r="E670" i="4"/>
  <c r="D670" i="4"/>
  <c r="H670" i="4"/>
  <c r="C670" i="4"/>
  <c r="I670" i="4" s="1"/>
  <c r="B671" i="4"/>
  <c r="J670" i="4"/>
  <c r="G670" i="4"/>
  <c r="K670" i="4"/>
  <c r="H671" i="4" l="1"/>
  <c r="J671" i="4"/>
  <c r="K671" i="4"/>
  <c r="E671" i="4"/>
  <c r="F671" i="4"/>
  <c r="B672" i="4"/>
  <c r="G671" i="4"/>
  <c r="C671" i="4"/>
  <c r="I671" i="4" s="1"/>
  <c r="D671" i="4"/>
  <c r="D672" i="4" l="1"/>
  <c r="F672" i="4"/>
  <c r="H672" i="4"/>
  <c r="G672" i="4"/>
  <c r="K672" i="4"/>
  <c r="B673" i="4"/>
  <c r="J672" i="4"/>
  <c r="C672" i="4"/>
  <c r="I672" i="4" s="1"/>
  <c r="E672" i="4"/>
  <c r="H673" i="4" l="1"/>
  <c r="F673" i="4"/>
  <c r="D673" i="4"/>
  <c r="E673" i="4"/>
  <c r="B674" i="4"/>
  <c r="J673" i="4"/>
  <c r="K673" i="4"/>
  <c r="G673" i="4"/>
  <c r="C673" i="4"/>
  <c r="I673" i="4" s="1"/>
  <c r="D674" i="4" l="1"/>
  <c r="H674" i="4"/>
  <c r="F674" i="4"/>
  <c r="B675" i="4"/>
  <c r="E674" i="4"/>
  <c r="J674" i="4"/>
  <c r="C674" i="4"/>
  <c r="I674" i="4" s="1"/>
  <c r="G674" i="4"/>
  <c r="K674" i="4"/>
  <c r="C675" i="4" l="1"/>
  <c r="I675" i="4" s="1"/>
  <c r="K675" i="4"/>
  <c r="B676" i="4"/>
  <c r="D675" i="4"/>
  <c r="G675" i="4"/>
  <c r="J675" i="4"/>
  <c r="H675" i="4"/>
  <c r="F675" i="4"/>
  <c r="E675" i="4"/>
  <c r="K676" i="4" l="1"/>
  <c r="J676" i="4"/>
  <c r="D676" i="4"/>
  <c r="H676" i="4"/>
  <c r="G676" i="4"/>
  <c r="E676" i="4"/>
  <c r="C676" i="4"/>
  <c r="I676" i="4" s="1"/>
  <c r="B677" i="4"/>
  <c r="F676" i="4"/>
  <c r="K677" i="4" l="1"/>
  <c r="H677" i="4"/>
  <c r="C677" i="4"/>
  <c r="I677" i="4" s="1"/>
  <c r="B678" i="4"/>
  <c r="J677" i="4"/>
  <c r="F677" i="4"/>
  <c r="D677" i="4"/>
  <c r="E677" i="4"/>
  <c r="G677" i="4"/>
  <c r="H678" i="4" l="1"/>
  <c r="D678" i="4"/>
  <c r="E678" i="4"/>
  <c r="J678" i="4"/>
  <c r="K678" i="4"/>
  <c r="C678" i="4"/>
  <c r="I678" i="4" s="1"/>
  <c r="B679" i="4"/>
  <c r="F678" i="4"/>
  <c r="G678" i="4"/>
  <c r="E679" i="4" l="1"/>
  <c r="D679" i="4"/>
  <c r="B680" i="4"/>
  <c r="C679" i="4"/>
  <c r="I679" i="4" s="1"/>
  <c r="H679" i="4"/>
  <c r="F679" i="4"/>
  <c r="J679" i="4"/>
  <c r="K679" i="4"/>
  <c r="G679" i="4"/>
  <c r="K680" i="4" l="1"/>
  <c r="D680" i="4"/>
  <c r="C680" i="4"/>
  <c r="I680" i="4" s="1"/>
  <c r="E680" i="4"/>
  <c r="F680" i="4"/>
  <c r="H680" i="4"/>
  <c r="G680" i="4"/>
  <c r="B681" i="4"/>
  <c r="J680" i="4"/>
  <c r="D681" i="4" l="1"/>
  <c r="H681" i="4"/>
  <c r="C681" i="4"/>
  <c r="I681" i="4" s="1"/>
  <c r="F681" i="4"/>
  <c r="E681" i="4"/>
  <c r="G681" i="4"/>
  <c r="B682" i="4"/>
  <c r="J681" i="4"/>
  <c r="K681" i="4"/>
  <c r="J682" i="4" l="1"/>
  <c r="B683" i="4"/>
  <c r="F682" i="4"/>
  <c r="D682" i="4"/>
  <c r="E682" i="4"/>
  <c r="G682" i="4"/>
  <c r="H682" i="4"/>
  <c r="K682" i="4"/>
  <c r="C682" i="4"/>
  <c r="I682" i="4" s="1"/>
  <c r="D683" i="4" l="1"/>
  <c r="B684" i="4"/>
  <c r="J683" i="4"/>
  <c r="K683" i="4"/>
  <c r="H683" i="4"/>
  <c r="E683" i="4"/>
  <c r="C683" i="4"/>
  <c r="I683" i="4" s="1"/>
  <c r="G683" i="4"/>
  <c r="F683" i="4"/>
  <c r="E684" i="4" l="1"/>
  <c r="C684" i="4"/>
  <c r="I684" i="4" s="1"/>
  <c r="B685" i="4"/>
  <c r="K684" i="4"/>
  <c r="D684" i="4"/>
  <c r="J684" i="4"/>
  <c r="G684" i="4"/>
  <c r="F684" i="4"/>
  <c r="H684" i="4"/>
  <c r="G685" i="4" l="1"/>
  <c r="H685" i="4"/>
  <c r="C685" i="4"/>
  <c r="I685" i="4" s="1"/>
  <c r="F685" i="4"/>
  <c r="B686" i="4"/>
  <c r="E685" i="4"/>
  <c r="J685" i="4"/>
  <c r="K685" i="4"/>
  <c r="D685" i="4"/>
  <c r="B687" i="4" l="1"/>
  <c r="E686" i="4"/>
  <c r="F686" i="4"/>
  <c r="G686" i="4"/>
  <c r="D686" i="4"/>
  <c r="J686" i="4"/>
  <c r="H686" i="4"/>
  <c r="C686" i="4"/>
  <c r="I686" i="4" s="1"/>
  <c r="K686" i="4"/>
  <c r="B688" i="4" l="1"/>
  <c r="H687" i="4"/>
  <c r="C687" i="4"/>
  <c r="I687" i="4" s="1"/>
  <c r="J687" i="4"/>
  <c r="G687" i="4"/>
  <c r="F687" i="4"/>
  <c r="E687" i="4"/>
  <c r="D687" i="4"/>
  <c r="K687" i="4"/>
  <c r="C688" i="4" l="1"/>
  <c r="I688" i="4" s="1"/>
  <c r="H688" i="4"/>
  <c r="B689" i="4"/>
  <c r="J688" i="4"/>
  <c r="F688" i="4"/>
  <c r="E688" i="4"/>
  <c r="G688" i="4"/>
  <c r="D688" i="4"/>
  <c r="K688" i="4"/>
  <c r="F689" i="4" l="1"/>
  <c r="B690" i="4"/>
  <c r="C689" i="4"/>
  <c r="I689" i="4" s="1"/>
  <c r="E689" i="4"/>
  <c r="D689" i="4"/>
  <c r="K689" i="4"/>
  <c r="G689" i="4"/>
  <c r="J689" i="4"/>
  <c r="H689" i="4"/>
  <c r="E690" i="4" l="1"/>
  <c r="G690" i="4"/>
  <c r="C690" i="4"/>
  <c r="I690" i="4" s="1"/>
  <c r="J690" i="4"/>
  <c r="F690" i="4"/>
  <c r="K690" i="4"/>
  <c r="D690" i="4"/>
  <c r="H690" i="4"/>
  <c r="B691" i="4"/>
  <c r="J691" i="4" l="1"/>
  <c r="D691" i="4"/>
  <c r="G691" i="4"/>
  <c r="C691" i="4"/>
  <c r="I691" i="4" s="1"/>
  <c r="B692" i="4"/>
  <c r="H691" i="4"/>
  <c r="E691" i="4"/>
  <c r="K691" i="4"/>
  <c r="F691" i="4"/>
  <c r="F692" i="4" l="1"/>
  <c r="G692" i="4"/>
  <c r="B693" i="4"/>
  <c r="H692" i="4"/>
  <c r="E692" i="4"/>
  <c r="C692" i="4"/>
  <c r="I692" i="4" s="1"/>
  <c r="K692" i="4"/>
  <c r="J692" i="4"/>
  <c r="D692" i="4"/>
  <c r="B694" i="4" l="1"/>
  <c r="E693" i="4"/>
  <c r="F693" i="4"/>
  <c r="G693" i="4"/>
  <c r="K693" i="4"/>
  <c r="H693" i="4"/>
  <c r="D693" i="4"/>
  <c r="C693" i="4"/>
  <c r="I693" i="4" s="1"/>
  <c r="J693" i="4"/>
  <c r="E694" i="4" l="1"/>
  <c r="F694" i="4"/>
  <c r="C694" i="4"/>
  <c r="I694" i="4" s="1"/>
  <c r="H694" i="4"/>
  <c r="J694" i="4"/>
  <c r="B695" i="4"/>
  <c r="D694" i="4"/>
  <c r="K694" i="4"/>
  <c r="G694" i="4"/>
  <c r="D695" i="4" l="1"/>
  <c r="H695" i="4"/>
  <c r="J695" i="4"/>
  <c r="F695" i="4"/>
  <c r="E695" i="4"/>
  <c r="B696" i="4"/>
  <c r="K695" i="4"/>
  <c r="C695" i="4"/>
  <c r="I695" i="4" s="1"/>
  <c r="G695" i="4"/>
  <c r="B697" i="4" l="1"/>
  <c r="G696" i="4"/>
  <c r="E696" i="4"/>
  <c r="H696" i="4"/>
  <c r="D696" i="4"/>
  <c r="J696" i="4"/>
  <c r="F696" i="4"/>
  <c r="K696" i="4"/>
  <c r="C696" i="4"/>
  <c r="I696" i="4" s="1"/>
  <c r="G697" i="4" l="1"/>
  <c r="D697" i="4"/>
  <c r="E697" i="4"/>
  <c r="H697" i="4"/>
  <c r="C697" i="4"/>
  <c r="I697" i="4" s="1"/>
  <c r="K697" i="4"/>
  <c r="F697" i="4"/>
  <c r="B698" i="4"/>
  <c r="J697" i="4"/>
  <c r="G698" i="4" l="1"/>
  <c r="E698" i="4"/>
  <c r="C698" i="4"/>
  <c r="I698" i="4" s="1"/>
  <c r="D698" i="4"/>
  <c r="K698" i="4"/>
  <c r="H698" i="4"/>
  <c r="F698" i="4"/>
  <c r="J698" i="4"/>
  <c r="B699" i="4"/>
  <c r="C699" i="4" l="1"/>
  <c r="I699" i="4" s="1"/>
  <c r="J699" i="4"/>
  <c r="G699" i="4"/>
  <c r="H699" i="4"/>
  <c r="E699" i="4"/>
  <c r="B700" i="4"/>
  <c r="F699" i="4"/>
  <c r="D699" i="4"/>
  <c r="K699" i="4"/>
  <c r="J700" i="4" l="1"/>
  <c r="B701" i="4"/>
  <c r="F700" i="4"/>
  <c r="K700" i="4"/>
  <c r="E700" i="4"/>
  <c r="G700" i="4"/>
  <c r="C700" i="4"/>
  <c r="I700" i="4" s="1"/>
  <c r="H700" i="4"/>
  <c r="D700" i="4"/>
  <c r="D701" i="4" l="1"/>
  <c r="F701" i="4"/>
  <c r="J701" i="4"/>
  <c r="G701" i="4"/>
  <c r="E701" i="4"/>
  <c r="H701" i="4"/>
  <c r="B702" i="4"/>
  <c r="K701" i="4"/>
  <c r="C701" i="4"/>
  <c r="I701" i="4" s="1"/>
  <c r="K702" i="4" l="1"/>
  <c r="G702" i="4"/>
  <c r="D702" i="4"/>
  <c r="F702" i="4"/>
  <c r="E702" i="4"/>
  <c r="B703" i="4"/>
  <c r="C702" i="4"/>
  <c r="I702" i="4" s="1"/>
  <c r="H702" i="4"/>
  <c r="J702" i="4"/>
  <c r="F703" i="4" l="1"/>
  <c r="J703" i="4"/>
  <c r="K703" i="4"/>
  <c r="E703" i="4"/>
  <c r="B704" i="4"/>
  <c r="G703" i="4"/>
  <c r="H703" i="4"/>
  <c r="D703" i="4"/>
  <c r="C703" i="4"/>
  <c r="I703" i="4" s="1"/>
  <c r="J704" i="4" l="1"/>
  <c r="C704" i="4"/>
  <c r="I704" i="4" s="1"/>
  <c r="H704" i="4"/>
  <c r="B705" i="4"/>
  <c r="D704" i="4"/>
  <c r="G704" i="4"/>
  <c r="K704" i="4"/>
  <c r="F704" i="4"/>
  <c r="E704" i="4"/>
  <c r="H705" i="4" l="1"/>
  <c r="D705" i="4"/>
  <c r="K705" i="4"/>
  <c r="B706" i="4"/>
  <c r="F705" i="4"/>
  <c r="E705" i="4"/>
  <c r="J705" i="4"/>
  <c r="C705" i="4"/>
  <c r="I705" i="4" s="1"/>
  <c r="G705" i="4"/>
  <c r="C706" i="4" l="1"/>
  <c r="I706" i="4" s="1"/>
  <c r="D706" i="4"/>
  <c r="G706" i="4"/>
  <c r="E706" i="4"/>
  <c r="J706" i="4"/>
  <c r="F706" i="4"/>
  <c r="K706" i="4"/>
  <c r="H706" i="4"/>
  <c r="B707" i="4"/>
  <c r="E707" i="4" l="1"/>
  <c r="G707" i="4"/>
  <c r="J707" i="4"/>
  <c r="B708" i="4"/>
  <c r="K707" i="4"/>
  <c r="C707" i="4"/>
  <c r="I707" i="4" s="1"/>
  <c r="D707" i="4"/>
  <c r="H707" i="4"/>
  <c r="F707" i="4"/>
  <c r="B709" i="4" l="1"/>
  <c r="C708" i="4"/>
  <c r="I708" i="4" s="1"/>
  <c r="F708" i="4"/>
  <c r="H708" i="4"/>
  <c r="G708" i="4"/>
  <c r="J708" i="4"/>
  <c r="D708" i="4"/>
  <c r="E708" i="4"/>
  <c r="K708" i="4"/>
  <c r="H709" i="4" l="1"/>
  <c r="E709" i="4"/>
  <c r="J709" i="4"/>
  <c r="C709" i="4"/>
  <c r="I709" i="4" s="1"/>
  <c r="G709" i="4"/>
  <c r="K709" i="4"/>
  <c r="D709" i="4"/>
  <c r="F709" i="4"/>
  <c r="B710" i="4"/>
  <c r="F710" i="4" l="1"/>
  <c r="C710" i="4"/>
  <c r="I710" i="4" s="1"/>
  <c r="H710" i="4"/>
  <c r="D710" i="4"/>
  <c r="G710" i="4"/>
  <c r="E710" i="4"/>
  <c r="B711" i="4"/>
  <c r="K710" i="4"/>
  <c r="J710" i="4"/>
  <c r="K711" i="4" l="1"/>
  <c r="B712" i="4"/>
  <c r="C711" i="4"/>
  <c r="I711" i="4" s="1"/>
  <c r="E711" i="4"/>
  <c r="F711" i="4"/>
  <c r="D711" i="4"/>
  <c r="G711" i="4"/>
  <c r="H711" i="4"/>
  <c r="J711" i="4"/>
  <c r="G712" i="4" l="1"/>
  <c r="D712" i="4"/>
  <c r="K712" i="4"/>
  <c r="J712" i="4"/>
  <c r="H712" i="4"/>
  <c r="B713" i="4"/>
  <c r="C712" i="4"/>
  <c r="I712" i="4" s="1"/>
  <c r="E712" i="4"/>
  <c r="F712" i="4"/>
  <c r="H713" i="4" l="1"/>
  <c r="E713" i="4"/>
  <c r="G713" i="4"/>
  <c r="D713" i="4"/>
  <c r="B714" i="4"/>
  <c r="J713" i="4"/>
  <c r="F713" i="4"/>
  <c r="K713" i="4"/>
  <c r="C713" i="4"/>
  <c r="I713" i="4" s="1"/>
  <c r="G714" i="4" l="1"/>
  <c r="E714" i="4"/>
  <c r="B715" i="4"/>
  <c r="C714" i="4"/>
  <c r="I714" i="4" s="1"/>
  <c r="K714" i="4"/>
  <c r="F714" i="4"/>
  <c r="H714" i="4"/>
  <c r="D714" i="4"/>
  <c r="J714" i="4"/>
  <c r="C715" i="4" l="1"/>
  <c r="I715" i="4" s="1"/>
  <c r="J715" i="4"/>
  <c r="G715" i="4"/>
  <c r="E715" i="4"/>
  <c r="B716" i="4"/>
  <c r="F715" i="4"/>
  <c r="K715" i="4"/>
  <c r="H715" i="4"/>
  <c r="D715" i="4"/>
  <c r="C716" i="4" l="1"/>
  <c r="I716" i="4" s="1"/>
  <c r="G716" i="4"/>
  <c r="K716" i="4"/>
  <c r="J716" i="4"/>
  <c r="D716" i="4"/>
  <c r="F716" i="4"/>
  <c r="H716" i="4"/>
  <c r="E716" i="4"/>
  <c r="B717" i="4"/>
  <c r="K717" i="4" l="1"/>
  <c r="H717" i="4"/>
  <c r="F717" i="4"/>
  <c r="B718" i="4"/>
  <c r="J717" i="4"/>
  <c r="E717" i="4"/>
  <c r="C717" i="4"/>
  <c r="I717" i="4" s="1"/>
  <c r="G717" i="4"/>
  <c r="D717" i="4"/>
  <c r="H718" i="4" l="1"/>
  <c r="E718" i="4"/>
  <c r="F718" i="4"/>
  <c r="K718" i="4"/>
  <c r="C718" i="4"/>
  <c r="I718" i="4" s="1"/>
  <c r="D718" i="4"/>
  <c r="G718" i="4"/>
  <c r="J718" i="4"/>
  <c r="B719" i="4"/>
  <c r="E719" i="4" l="1"/>
  <c r="B720" i="4"/>
  <c r="K719" i="4"/>
  <c r="J719" i="4"/>
  <c r="H719" i="4"/>
  <c r="G719" i="4"/>
  <c r="D719" i="4"/>
  <c r="F719" i="4"/>
  <c r="C719" i="4"/>
  <c r="I719" i="4" s="1"/>
  <c r="H720" i="4" l="1"/>
  <c r="F720" i="4"/>
  <c r="E720" i="4"/>
  <c r="D720" i="4"/>
  <c r="J720" i="4"/>
  <c r="G720" i="4"/>
  <c r="B721" i="4"/>
  <c r="K720" i="4"/>
  <c r="C720" i="4"/>
  <c r="I720" i="4" s="1"/>
  <c r="B722" i="4" l="1"/>
  <c r="J721" i="4"/>
  <c r="G721" i="4"/>
  <c r="E721" i="4"/>
  <c r="H721" i="4"/>
  <c r="K721" i="4"/>
  <c r="C721" i="4"/>
  <c r="I721" i="4" s="1"/>
  <c r="D721" i="4"/>
  <c r="F721" i="4"/>
  <c r="D722" i="4" l="1"/>
  <c r="C722" i="4"/>
  <c r="I722" i="4" s="1"/>
  <c r="E722" i="4"/>
  <c r="J722" i="4"/>
  <c r="B723" i="4"/>
  <c r="G722" i="4"/>
  <c r="K722" i="4"/>
  <c r="F722" i="4"/>
  <c r="H722" i="4"/>
  <c r="F723" i="4" l="1"/>
  <c r="B724" i="4"/>
  <c r="D723" i="4"/>
  <c r="C723" i="4"/>
  <c r="I723" i="4" s="1"/>
  <c r="K723" i="4"/>
  <c r="H723" i="4"/>
  <c r="G723" i="4"/>
  <c r="E723" i="4"/>
  <c r="J723" i="4"/>
  <c r="J724" i="4" l="1"/>
  <c r="E724" i="4"/>
  <c r="C724" i="4"/>
  <c r="I724" i="4" s="1"/>
  <c r="K724" i="4"/>
  <c r="F724" i="4"/>
  <c r="D724" i="4"/>
  <c r="H724" i="4"/>
  <c r="B725" i="4"/>
  <c r="G724" i="4"/>
  <c r="F725" i="4" l="1"/>
  <c r="J725" i="4"/>
  <c r="E725" i="4"/>
  <c r="G725" i="4"/>
  <c r="K725" i="4"/>
  <c r="C725" i="4"/>
  <c r="I725" i="4" s="1"/>
  <c r="H725" i="4"/>
  <c r="B726" i="4"/>
  <c r="D725" i="4"/>
  <c r="E726" i="4" l="1"/>
  <c r="C726" i="4"/>
  <c r="I726" i="4" s="1"/>
  <c r="H726" i="4"/>
  <c r="K726" i="4"/>
  <c r="G726" i="4"/>
  <c r="D726" i="4"/>
  <c r="J726" i="4"/>
  <c r="B727" i="4"/>
  <c r="F726" i="4"/>
  <c r="H727" i="4" l="1"/>
  <c r="G727" i="4"/>
  <c r="J727" i="4"/>
  <c r="B728" i="4"/>
  <c r="F727" i="4"/>
  <c r="C727" i="4"/>
  <c r="I727" i="4" s="1"/>
  <c r="D727" i="4"/>
  <c r="K727" i="4"/>
  <c r="E727" i="4"/>
  <c r="K728" i="4" l="1"/>
  <c r="D728" i="4"/>
  <c r="C728" i="4"/>
  <c r="I728" i="4" s="1"/>
  <c r="G728" i="4"/>
  <c r="F728" i="4"/>
  <c r="H728" i="4"/>
  <c r="E728" i="4"/>
  <c r="J728" i="4"/>
  <c r="B729" i="4"/>
  <c r="E729" i="4" l="1"/>
  <c r="K729" i="4"/>
  <c r="D729" i="4"/>
  <c r="B730" i="4"/>
  <c r="G729" i="4"/>
  <c r="C729" i="4"/>
  <c r="I729" i="4" s="1"/>
  <c r="F729" i="4"/>
  <c r="J729" i="4"/>
  <c r="H729" i="4"/>
  <c r="E730" i="4" l="1"/>
  <c r="B731" i="4"/>
  <c r="C730" i="4"/>
  <c r="I730" i="4" s="1"/>
  <c r="F730" i="4"/>
  <c r="G730" i="4"/>
  <c r="H730" i="4"/>
  <c r="K730" i="4"/>
  <c r="D730" i="4"/>
  <c r="J730" i="4"/>
  <c r="K731" i="4" l="1"/>
  <c r="J731" i="4"/>
  <c r="B732" i="4"/>
  <c r="E731" i="4"/>
  <c r="C731" i="4"/>
  <c r="I731" i="4" s="1"/>
  <c r="D731" i="4"/>
  <c r="H731" i="4"/>
  <c r="G731" i="4"/>
  <c r="F731" i="4"/>
  <c r="E732" i="4" l="1"/>
  <c r="D732" i="4"/>
  <c r="H732" i="4"/>
  <c r="B733" i="4"/>
  <c r="J732" i="4"/>
  <c r="G732" i="4"/>
  <c r="C732" i="4"/>
  <c r="I732" i="4" s="1"/>
  <c r="K732" i="4"/>
  <c r="F732" i="4"/>
  <c r="C733" i="4" l="1"/>
  <c r="I733" i="4" s="1"/>
  <c r="G733" i="4"/>
  <c r="K733" i="4"/>
  <c r="D733" i="4"/>
  <c r="E733" i="4"/>
  <c r="F733" i="4"/>
  <c r="H733" i="4"/>
  <c r="J733" i="4"/>
  <c r="B734" i="4"/>
  <c r="J734" i="4" l="1"/>
  <c r="E734" i="4"/>
  <c r="C734" i="4"/>
  <c r="I734" i="4" s="1"/>
  <c r="G734" i="4"/>
  <c r="D734" i="4"/>
  <c r="K734" i="4"/>
  <c r="B735" i="4"/>
  <c r="F734" i="4"/>
  <c r="H734" i="4"/>
  <c r="C735" i="4" l="1"/>
  <c r="I735" i="4" s="1"/>
  <c r="F735" i="4"/>
  <c r="E735" i="4"/>
  <c r="J735" i="4"/>
  <c r="B736" i="4"/>
  <c r="D735" i="4"/>
  <c r="H735" i="4"/>
  <c r="K735" i="4"/>
  <c r="G735" i="4"/>
  <c r="J736" i="4" l="1"/>
  <c r="F736" i="4"/>
  <c r="K736" i="4"/>
  <c r="G736" i="4"/>
  <c r="E736" i="4"/>
  <c r="D736" i="4"/>
  <c r="B737" i="4"/>
  <c r="C736" i="4"/>
  <c r="I736" i="4" s="1"/>
  <c r="H736" i="4"/>
  <c r="H737" i="4" l="1"/>
  <c r="K737" i="4"/>
  <c r="B738" i="4"/>
  <c r="E737" i="4"/>
  <c r="G737" i="4"/>
  <c r="F737" i="4"/>
  <c r="J737" i="4"/>
  <c r="D737" i="4"/>
  <c r="C737" i="4"/>
  <c r="I737" i="4" s="1"/>
  <c r="D738" i="4" l="1"/>
  <c r="E738" i="4"/>
  <c r="F738" i="4"/>
  <c r="C738" i="4"/>
  <c r="I738" i="4" s="1"/>
  <c r="G738" i="4"/>
  <c r="H738" i="4"/>
  <c r="B739" i="4"/>
  <c r="J738" i="4"/>
  <c r="K738" i="4"/>
  <c r="H739" i="4" l="1"/>
  <c r="K739" i="4"/>
  <c r="C739" i="4"/>
  <c r="I739" i="4" s="1"/>
  <c r="D739" i="4"/>
  <c r="F739" i="4"/>
  <c r="J739" i="4"/>
  <c r="E739" i="4"/>
  <c r="B740" i="4"/>
  <c r="G739" i="4"/>
  <c r="C740" i="4" l="1"/>
  <c r="I740" i="4" s="1"/>
  <c r="E740" i="4"/>
  <c r="G740" i="4"/>
  <c r="J740" i="4"/>
  <c r="D740" i="4"/>
  <c r="H740" i="4"/>
  <c r="K740" i="4"/>
  <c r="B741" i="4"/>
  <c r="F740" i="4"/>
  <c r="G741" i="4" l="1"/>
  <c r="K741" i="4"/>
  <c r="B742" i="4"/>
  <c r="J741" i="4"/>
  <c r="H741" i="4"/>
  <c r="D741" i="4"/>
  <c r="E741" i="4"/>
  <c r="F741" i="4"/>
  <c r="C741" i="4"/>
  <c r="I741" i="4" s="1"/>
  <c r="G742" i="4" l="1"/>
  <c r="E742" i="4"/>
  <c r="H742" i="4"/>
  <c r="B743" i="4"/>
  <c r="F742" i="4"/>
  <c r="K742" i="4"/>
  <c r="C742" i="4"/>
  <c r="I742" i="4" s="1"/>
  <c r="J742" i="4"/>
  <c r="D742" i="4"/>
  <c r="G743" i="4" l="1"/>
  <c r="E743" i="4"/>
  <c r="F743" i="4"/>
  <c r="D743" i="4"/>
  <c r="B744" i="4"/>
  <c r="K743" i="4"/>
  <c r="J743" i="4"/>
  <c r="C743" i="4"/>
  <c r="I743" i="4" s="1"/>
  <c r="H743" i="4"/>
  <c r="G744" i="4" l="1"/>
  <c r="F744" i="4"/>
  <c r="H744" i="4"/>
  <c r="J744" i="4"/>
  <c r="K744" i="4"/>
  <c r="D744" i="4"/>
  <c r="C744" i="4"/>
  <c r="I744" i="4" s="1"/>
  <c r="B745" i="4"/>
  <c r="E744" i="4"/>
  <c r="H745" i="4" l="1"/>
  <c r="K745" i="4"/>
  <c r="D745" i="4"/>
  <c r="J745" i="4"/>
  <c r="C745" i="4"/>
  <c r="I745" i="4" s="1"/>
  <c r="E745" i="4"/>
  <c r="G745" i="4"/>
  <c r="B746" i="4"/>
  <c r="F745" i="4"/>
  <c r="E746" i="4" l="1"/>
  <c r="D746" i="4"/>
  <c r="H746" i="4"/>
  <c r="C746" i="4"/>
  <c r="I746" i="4" s="1"/>
  <c r="G746" i="4"/>
  <c r="J746" i="4"/>
  <c r="K746" i="4"/>
  <c r="F746" i="4"/>
  <c r="B747" i="4"/>
  <c r="K747" i="4" l="1"/>
  <c r="B748" i="4"/>
  <c r="E747" i="4"/>
  <c r="C747" i="4"/>
  <c r="I747" i="4" s="1"/>
  <c r="G747" i="4"/>
  <c r="F747" i="4"/>
  <c r="H747" i="4"/>
  <c r="J747" i="4"/>
  <c r="D747" i="4"/>
  <c r="J748" i="4" l="1"/>
  <c r="H748" i="4"/>
  <c r="K748" i="4"/>
  <c r="B749" i="4"/>
  <c r="D748" i="4"/>
  <c r="C748" i="4"/>
  <c r="I748" i="4" s="1"/>
  <c r="E748" i="4"/>
  <c r="G748" i="4"/>
  <c r="F748" i="4"/>
  <c r="J749" i="4" l="1"/>
  <c r="D749" i="4"/>
  <c r="E749" i="4"/>
  <c r="F749" i="4"/>
  <c r="C749" i="4"/>
  <c r="I749" i="4" s="1"/>
  <c r="K749" i="4"/>
  <c r="G749" i="4"/>
  <c r="B750" i="4"/>
  <c r="H749" i="4"/>
  <c r="D750" i="4" l="1"/>
  <c r="H750" i="4"/>
  <c r="G750" i="4"/>
  <c r="B751" i="4"/>
  <c r="F750" i="4"/>
  <c r="C750" i="4"/>
  <c r="I750" i="4" s="1"/>
  <c r="K750" i="4"/>
  <c r="J750" i="4"/>
  <c r="E750" i="4"/>
  <c r="K751" i="4" l="1"/>
  <c r="J751" i="4"/>
  <c r="B752" i="4"/>
  <c r="C751" i="4"/>
  <c r="I751" i="4" s="1"/>
  <c r="F751" i="4"/>
  <c r="D751" i="4"/>
  <c r="E751" i="4"/>
  <c r="G751" i="4"/>
  <c r="H751" i="4"/>
  <c r="J752" i="4" l="1"/>
  <c r="F752" i="4"/>
  <c r="K752" i="4"/>
  <c r="G752" i="4"/>
  <c r="C752" i="4"/>
  <c r="I752" i="4" s="1"/>
  <c r="B753" i="4"/>
  <c r="D752" i="4"/>
  <c r="H752" i="4"/>
  <c r="E752" i="4"/>
  <c r="J753" i="4" l="1"/>
  <c r="G753" i="4"/>
  <c r="E753" i="4"/>
  <c r="D753" i="4"/>
  <c r="K753" i="4"/>
  <c r="B754" i="4"/>
  <c r="C753" i="4"/>
  <c r="I753" i="4" s="1"/>
  <c r="F753" i="4"/>
  <c r="H753" i="4"/>
  <c r="G754" i="4" l="1"/>
  <c r="B755" i="4"/>
  <c r="K754" i="4"/>
  <c r="C754" i="4"/>
  <c r="I754" i="4" s="1"/>
  <c r="E754" i="4"/>
  <c r="J754" i="4"/>
  <c r="H754" i="4"/>
  <c r="F754" i="4"/>
  <c r="D754" i="4"/>
  <c r="B756" i="4" l="1"/>
  <c r="K755" i="4"/>
  <c r="F755" i="4"/>
  <c r="J755" i="4"/>
  <c r="E755" i="4"/>
  <c r="H755" i="4"/>
  <c r="D755" i="4"/>
  <c r="C755" i="4"/>
  <c r="I755" i="4" s="1"/>
  <c r="G755" i="4"/>
  <c r="G756" i="4" l="1"/>
  <c r="E756" i="4"/>
  <c r="H756" i="4"/>
  <c r="F756" i="4"/>
  <c r="D756" i="4"/>
  <c r="K756" i="4"/>
  <c r="B757" i="4"/>
  <c r="C756" i="4"/>
  <c r="I756" i="4" s="1"/>
  <c r="J756" i="4"/>
  <c r="G757" i="4" l="1"/>
  <c r="B758" i="4"/>
  <c r="E757" i="4"/>
  <c r="J757" i="4"/>
  <c r="H757" i="4"/>
  <c r="F757" i="4"/>
  <c r="C757" i="4"/>
  <c r="I757" i="4" s="1"/>
  <c r="K757" i="4"/>
  <c r="D757" i="4"/>
  <c r="G758" i="4" l="1"/>
  <c r="H758" i="4"/>
  <c r="E758" i="4"/>
  <c r="B759" i="4"/>
  <c r="F758" i="4"/>
  <c r="D758" i="4"/>
  <c r="J758" i="4"/>
  <c r="C758" i="4"/>
  <c r="I758" i="4" s="1"/>
  <c r="K758" i="4"/>
  <c r="G759" i="4" l="1"/>
  <c r="K759" i="4"/>
  <c r="E759" i="4"/>
  <c r="D759" i="4"/>
  <c r="C759" i="4"/>
  <c r="I759" i="4" s="1"/>
  <c r="B760" i="4"/>
  <c r="H759" i="4"/>
  <c r="J759" i="4"/>
  <c r="F759" i="4"/>
  <c r="F760" i="4" l="1"/>
  <c r="C760" i="4"/>
  <c r="I760" i="4" s="1"/>
  <c r="D760" i="4"/>
  <c r="G760" i="4"/>
  <c r="J760" i="4"/>
  <c r="H760" i="4"/>
  <c r="E760" i="4"/>
  <c r="B761" i="4"/>
  <c r="K760" i="4"/>
  <c r="B762" i="4" l="1"/>
  <c r="K761" i="4"/>
  <c r="E761" i="4"/>
  <c r="F761" i="4"/>
  <c r="H761" i="4"/>
  <c r="G761" i="4"/>
  <c r="C761" i="4"/>
  <c r="I761" i="4" s="1"/>
  <c r="D761" i="4"/>
  <c r="J761" i="4"/>
  <c r="B763" i="4" l="1"/>
  <c r="H762" i="4"/>
  <c r="C762" i="4"/>
  <c r="I762" i="4" s="1"/>
  <c r="K762" i="4"/>
  <c r="E762" i="4"/>
  <c r="J762" i="4"/>
  <c r="D762" i="4"/>
  <c r="F762" i="4"/>
  <c r="G762" i="4"/>
  <c r="C763" i="4" l="1"/>
  <c r="I763" i="4" s="1"/>
  <c r="J763" i="4"/>
  <c r="E763" i="4"/>
  <c r="D763" i="4"/>
  <c r="G763" i="4"/>
  <c r="K763" i="4"/>
  <c r="B764" i="4"/>
  <c r="H763" i="4"/>
  <c r="F763" i="4"/>
  <c r="E764" i="4" l="1"/>
  <c r="G764" i="4"/>
  <c r="C764" i="4"/>
  <c r="I764" i="4" s="1"/>
  <c r="H764" i="4"/>
  <c r="B765" i="4"/>
  <c r="K764" i="4"/>
  <c r="J764" i="4"/>
  <c r="F764" i="4"/>
  <c r="D764" i="4"/>
  <c r="D765" i="4" l="1"/>
  <c r="C765" i="4"/>
  <c r="I765" i="4" s="1"/>
  <c r="E765" i="4"/>
  <c r="B766" i="4"/>
  <c r="J765" i="4"/>
  <c r="F765" i="4"/>
  <c r="G765" i="4"/>
  <c r="K765" i="4"/>
  <c r="H765" i="4"/>
  <c r="F766" i="4" l="1"/>
  <c r="K766" i="4"/>
  <c r="E766" i="4"/>
  <c r="J766" i="4"/>
  <c r="G766" i="4"/>
  <c r="H766" i="4"/>
  <c r="B767" i="4"/>
  <c r="C766" i="4"/>
  <c r="I766" i="4" s="1"/>
  <c r="D766" i="4"/>
  <c r="F767" i="4" l="1"/>
  <c r="B768" i="4"/>
  <c r="D767" i="4"/>
  <c r="J767" i="4"/>
  <c r="H767" i="4"/>
  <c r="K767" i="4"/>
  <c r="G767" i="4"/>
  <c r="E767" i="4"/>
  <c r="C767" i="4"/>
  <c r="I767" i="4" s="1"/>
  <c r="H768" i="4" l="1"/>
  <c r="E768" i="4"/>
  <c r="J768" i="4"/>
  <c r="D768" i="4"/>
  <c r="G768" i="4"/>
  <c r="C768" i="4"/>
  <c r="I768" i="4" s="1"/>
  <c r="K768" i="4"/>
  <c r="B769" i="4"/>
  <c r="F768" i="4"/>
  <c r="B770" i="4" l="1"/>
  <c r="K769" i="4"/>
  <c r="H769" i="4"/>
  <c r="G769" i="4"/>
  <c r="C769" i="4"/>
  <c r="I769" i="4" s="1"/>
  <c r="J769" i="4"/>
  <c r="E769" i="4"/>
  <c r="F769" i="4"/>
  <c r="D769" i="4"/>
  <c r="E770" i="4" l="1"/>
  <c r="J770" i="4"/>
  <c r="F770" i="4"/>
  <c r="H770" i="4"/>
  <c r="K770" i="4"/>
  <c r="C770" i="4"/>
  <c r="I770" i="4" s="1"/>
  <c r="D770" i="4"/>
  <c r="G770" i="4"/>
  <c r="B771" i="4"/>
  <c r="K771" i="4" l="1"/>
  <c r="J771" i="4"/>
  <c r="G771" i="4"/>
  <c r="E771" i="4"/>
  <c r="F771" i="4"/>
  <c r="B772" i="4"/>
  <c r="C771" i="4"/>
  <c r="I771" i="4" s="1"/>
  <c r="H771" i="4"/>
  <c r="D771" i="4"/>
  <c r="F772" i="4" l="1"/>
  <c r="H772" i="4"/>
  <c r="C772" i="4"/>
  <c r="I772" i="4" s="1"/>
  <c r="J772" i="4"/>
  <c r="E772" i="4"/>
  <c r="D772" i="4"/>
  <c r="K772" i="4"/>
  <c r="G772" i="4"/>
  <c r="B773" i="4"/>
  <c r="F773" i="4" l="1"/>
  <c r="D773" i="4"/>
  <c r="C773" i="4"/>
  <c r="I773" i="4" s="1"/>
  <c r="B774" i="4"/>
  <c r="K773" i="4"/>
  <c r="E773" i="4"/>
  <c r="H773" i="4"/>
  <c r="G773" i="4"/>
  <c r="J773" i="4"/>
  <c r="J774" i="4" l="1"/>
  <c r="F774" i="4"/>
  <c r="K774" i="4"/>
  <c r="D774" i="4"/>
  <c r="C774" i="4"/>
  <c r="I774" i="4" s="1"/>
  <c r="E774" i="4"/>
  <c r="G774" i="4"/>
  <c r="B775" i="4"/>
  <c r="H774" i="4"/>
  <c r="C775" i="4" l="1"/>
  <c r="I775" i="4" s="1"/>
  <c r="F775" i="4"/>
  <c r="E775" i="4"/>
  <c r="H775" i="4"/>
  <c r="B776" i="4"/>
  <c r="G775" i="4"/>
  <c r="D775" i="4"/>
  <c r="K775" i="4"/>
  <c r="J775" i="4"/>
  <c r="J776" i="4" l="1"/>
  <c r="D776" i="4"/>
  <c r="H776" i="4"/>
  <c r="E776" i="4"/>
  <c r="F776" i="4"/>
  <c r="C776" i="4"/>
  <c r="I776" i="4" s="1"/>
  <c r="G776" i="4"/>
  <c r="K776" i="4"/>
  <c r="B777" i="4"/>
  <c r="J777" i="4" l="1"/>
  <c r="G777" i="4"/>
  <c r="C777" i="4"/>
  <c r="E777" i="4"/>
  <c r="F777" i="4"/>
  <c r="B778" i="4"/>
  <c r="I777" i="4"/>
  <c r="K777" i="4"/>
  <c r="H777" i="4"/>
  <c r="D777" i="4"/>
  <c r="E778" i="4" l="1"/>
  <c r="D778" i="4"/>
  <c r="G778" i="4"/>
  <c r="J778" i="4"/>
  <c r="K778" i="4"/>
  <c r="B779" i="4"/>
  <c r="C778" i="4"/>
  <c r="I778" i="4" s="1"/>
  <c r="H778" i="4"/>
  <c r="F778" i="4"/>
  <c r="H779" i="4" l="1"/>
  <c r="D779" i="4"/>
  <c r="B780" i="4"/>
  <c r="C779" i="4"/>
  <c r="I779" i="4" s="1"/>
  <c r="J779" i="4"/>
  <c r="E779" i="4"/>
  <c r="K779" i="4"/>
  <c r="G779" i="4"/>
  <c r="F779" i="4"/>
  <c r="K780" i="4" l="1"/>
  <c r="C780" i="4"/>
  <c r="I780" i="4" s="1"/>
  <c r="F780" i="4"/>
  <c r="E780" i="4"/>
  <c r="J780" i="4"/>
  <c r="D780" i="4"/>
  <c r="H780" i="4"/>
  <c r="G780" i="4"/>
  <c r="B781" i="4"/>
  <c r="E781" i="4" l="1"/>
  <c r="F781" i="4"/>
  <c r="G781" i="4"/>
  <c r="B782" i="4"/>
  <c r="J781" i="4"/>
  <c r="K781" i="4"/>
  <c r="C781" i="4"/>
  <c r="I781" i="4" s="1"/>
  <c r="H781" i="4"/>
  <c r="D781" i="4"/>
  <c r="F782" i="4" l="1"/>
  <c r="D782" i="4"/>
  <c r="B783" i="4"/>
  <c r="G782" i="4"/>
  <c r="H782" i="4"/>
  <c r="K782" i="4"/>
  <c r="E782" i="4"/>
  <c r="C782" i="4"/>
  <c r="I782" i="4" s="1"/>
  <c r="J782" i="4"/>
  <c r="E783" i="4" l="1"/>
  <c r="J783" i="4"/>
  <c r="C783" i="4"/>
  <c r="I783" i="4" s="1"/>
  <c r="K783" i="4"/>
  <c r="D783" i="4"/>
  <c r="G783" i="4"/>
  <c r="H783" i="4"/>
  <c r="B784" i="4"/>
  <c r="F783" i="4"/>
  <c r="J784" i="4" l="1"/>
  <c r="C784" i="4"/>
  <c r="I784" i="4" s="1"/>
  <c r="B785" i="4"/>
  <c r="K784" i="4"/>
  <c r="E784" i="4"/>
  <c r="G784" i="4"/>
  <c r="H784" i="4"/>
  <c r="F784" i="4"/>
  <c r="D784" i="4"/>
  <c r="D785" i="4" l="1"/>
  <c r="C785" i="4"/>
  <c r="I785" i="4" s="1"/>
  <c r="H785" i="4"/>
  <c r="F785" i="4"/>
  <c r="G785" i="4"/>
  <c r="K785" i="4"/>
  <c r="B786" i="4"/>
  <c r="E785" i="4"/>
  <c r="J785" i="4"/>
  <c r="E786" i="4" l="1"/>
  <c r="C786" i="4"/>
  <c r="I786" i="4" s="1"/>
  <c r="G786" i="4"/>
  <c r="B787" i="4"/>
  <c r="H786" i="4"/>
  <c r="D786" i="4"/>
  <c r="K786" i="4"/>
  <c r="F786" i="4"/>
  <c r="J786" i="4"/>
  <c r="C787" i="4" l="1"/>
  <c r="I787" i="4" s="1"/>
  <c r="G787" i="4"/>
  <c r="K787" i="4"/>
  <c r="D787" i="4"/>
  <c r="E787" i="4"/>
  <c r="J787" i="4"/>
  <c r="H787" i="4"/>
  <c r="F787" i="4"/>
  <c r="B788" i="4"/>
  <c r="D788" i="4" l="1"/>
  <c r="K788" i="4"/>
  <c r="H788" i="4"/>
  <c r="J788" i="4"/>
  <c r="B789" i="4"/>
  <c r="E788" i="4"/>
  <c r="G788" i="4"/>
  <c r="C788" i="4"/>
  <c r="I788" i="4" s="1"/>
  <c r="F788" i="4"/>
  <c r="C789" i="4" l="1"/>
  <c r="I789" i="4" s="1"/>
  <c r="F789" i="4"/>
  <c r="E789" i="4"/>
  <c r="K789" i="4"/>
  <c r="B790" i="4"/>
  <c r="H789" i="4"/>
  <c r="D789" i="4"/>
  <c r="J789" i="4"/>
  <c r="G789" i="4"/>
  <c r="C790" i="4" l="1"/>
  <c r="I790" i="4" s="1"/>
  <c r="J790" i="4"/>
  <c r="H790" i="4"/>
  <c r="K790" i="4"/>
  <c r="D790" i="4"/>
  <c r="E790" i="4"/>
  <c r="G790" i="4"/>
  <c r="B791" i="4"/>
  <c r="F790" i="4"/>
  <c r="C791" i="4" l="1"/>
  <c r="I791" i="4" s="1"/>
  <c r="K791" i="4"/>
  <c r="G791" i="4"/>
  <c r="H791" i="4"/>
  <c r="D791" i="4"/>
  <c r="F791" i="4"/>
  <c r="E791" i="4"/>
  <c r="B792" i="4"/>
  <c r="J791" i="4"/>
  <c r="D792" i="4" l="1"/>
  <c r="B793" i="4"/>
  <c r="E792" i="4"/>
  <c r="H792" i="4"/>
  <c r="G792" i="4"/>
  <c r="F792" i="4"/>
  <c r="K792" i="4"/>
  <c r="J792" i="4"/>
  <c r="C792" i="4"/>
  <c r="I792" i="4" s="1"/>
  <c r="K793" i="4" l="1"/>
  <c r="H793" i="4"/>
  <c r="E793" i="4"/>
  <c r="C793" i="4"/>
  <c r="I793" i="4" s="1"/>
  <c r="F793" i="4"/>
  <c r="B794" i="4"/>
  <c r="G793" i="4"/>
  <c r="D793" i="4"/>
  <c r="J793" i="4"/>
  <c r="C794" i="4" l="1"/>
  <c r="I794" i="4" s="1"/>
  <c r="K794" i="4"/>
  <c r="D794" i="4"/>
  <c r="B795" i="4"/>
  <c r="E794" i="4"/>
  <c r="H794" i="4"/>
  <c r="G794" i="4"/>
  <c r="F794" i="4"/>
  <c r="J794" i="4"/>
  <c r="K795" i="4" l="1"/>
  <c r="C795" i="4"/>
  <c r="I795" i="4" s="1"/>
  <c r="D795" i="4"/>
  <c r="H795" i="4"/>
  <c r="F795" i="4"/>
  <c r="E795" i="4"/>
  <c r="B796" i="4"/>
  <c r="J795" i="4"/>
  <c r="G795" i="4"/>
  <c r="E796" i="4" l="1"/>
  <c r="B797" i="4"/>
  <c r="D796" i="4"/>
  <c r="H796" i="4"/>
  <c r="C796" i="4"/>
  <c r="I796" i="4" s="1"/>
  <c r="J796" i="4"/>
  <c r="K796" i="4"/>
  <c r="G796" i="4"/>
  <c r="F796" i="4"/>
  <c r="J797" i="4" l="1"/>
  <c r="B798" i="4"/>
  <c r="D797" i="4"/>
  <c r="E797" i="4"/>
  <c r="C797" i="4"/>
  <c r="I797" i="4" s="1"/>
  <c r="G797" i="4"/>
  <c r="K797" i="4"/>
  <c r="H797" i="4"/>
  <c r="F797" i="4"/>
  <c r="F798" i="4" l="1"/>
  <c r="B799" i="4"/>
  <c r="G798" i="4"/>
  <c r="K798" i="4"/>
  <c r="E798" i="4"/>
  <c r="D798" i="4"/>
  <c r="J798" i="4"/>
  <c r="C798" i="4"/>
  <c r="I798" i="4" s="1"/>
  <c r="H798" i="4"/>
  <c r="C799" i="4" l="1"/>
  <c r="I799" i="4" s="1"/>
  <c r="H799" i="4"/>
  <c r="F799" i="4"/>
  <c r="D799" i="4"/>
  <c r="J799" i="4"/>
  <c r="B800" i="4"/>
  <c r="G799" i="4"/>
  <c r="E799" i="4"/>
  <c r="K799" i="4"/>
  <c r="D800" i="4" l="1"/>
  <c r="C800" i="4"/>
  <c r="I800" i="4" s="1"/>
  <c r="H800" i="4"/>
  <c r="K800" i="4"/>
  <c r="J800" i="4"/>
  <c r="F800" i="4"/>
  <c r="E800" i="4"/>
  <c r="G800" i="4"/>
  <c r="B801" i="4"/>
  <c r="K801" i="4" l="1"/>
  <c r="B802" i="4"/>
  <c r="H801" i="4"/>
  <c r="G801" i="4"/>
  <c r="E801" i="4"/>
  <c r="F801" i="4"/>
  <c r="D801" i="4"/>
  <c r="C801" i="4"/>
  <c r="I801" i="4" s="1"/>
  <c r="J801" i="4"/>
  <c r="J802" i="4" l="1"/>
  <c r="D802" i="4"/>
  <c r="H802" i="4"/>
  <c r="B803" i="4"/>
  <c r="G802" i="4"/>
  <c r="K802" i="4"/>
  <c r="C802" i="4"/>
  <c r="I802" i="4" s="1"/>
  <c r="E802" i="4"/>
  <c r="F802" i="4"/>
  <c r="H803" i="4" l="1"/>
  <c r="C803" i="4"/>
  <c r="I803" i="4" s="1"/>
  <c r="D803" i="4"/>
  <c r="J803" i="4"/>
  <c r="E803" i="4"/>
  <c r="G803" i="4"/>
  <c r="K803" i="4"/>
  <c r="B804" i="4"/>
  <c r="F803" i="4"/>
  <c r="J804" i="4" l="1"/>
  <c r="C804" i="4"/>
  <c r="I804" i="4" s="1"/>
  <c r="G804" i="4"/>
  <c r="E804" i="4"/>
  <c r="B805" i="4"/>
  <c r="H804" i="4"/>
  <c r="D804" i="4"/>
  <c r="F804" i="4"/>
  <c r="K804" i="4"/>
  <c r="F805" i="4" l="1"/>
  <c r="D805" i="4"/>
  <c r="B806" i="4"/>
  <c r="C805" i="4"/>
  <c r="I805" i="4" s="1"/>
  <c r="G805" i="4"/>
  <c r="K805" i="4"/>
  <c r="J805" i="4"/>
  <c r="E805" i="4"/>
  <c r="H805" i="4"/>
  <c r="F806" i="4" l="1"/>
  <c r="E806" i="4"/>
  <c r="H806" i="4"/>
  <c r="J806" i="4"/>
  <c r="K806" i="4"/>
  <c r="D806" i="4"/>
  <c r="B807" i="4"/>
  <c r="C806" i="4"/>
  <c r="I806" i="4" s="1"/>
  <c r="G806" i="4"/>
  <c r="J807" i="4" l="1"/>
  <c r="H807" i="4"/>
  <c r="C807" i="4"/>
  <c r="I807" i="4" s="1"/>
  <c r="K807" i="4"/>
  <c r="G807" i="4"/>
  <c r="F807" i="4"/>
  <c r="E807" i="4"/>
  <c r="B808" i="4"/>
  <c r="D807" i="4"/>
  <c r="C808" i="4" l="1"/>
  <c r="F808" i="4"/>
  <c r="I808" i="4"/>
  <c r="B809" i="4"/>
  <c r="J808" i="4"/>
  <c r="G808" i="4"/>
  <c r="E808" i="4"/>
  <c r="D808" i="4"/>
  <c r="K808" i="4"/>
  <c r="H808" i="4"/>
  <c r="J809" i="4" l="1"/>
  <c r="D809" i="4"/>
  <c r="G809" i="4"/>
  <c r="F809" i="4"/>
  <c r="E809" i="4"/>
  <c r="C809" i="4"/>
  <c r="I809" i="4" s="1"/>
  <c r="B810" i="4"/>
  <c r="H809" i="4"/>
  <c r="K809" i="4"/>
  <c r="K810" i="4" l="1"/>
  <c r="F810" i="4"/>
  <c r="D810" i="4"/>
  <c r="J810" i="4"/>
  <c r="C810" i="4"/>
  <c r="I810" i="4" s="1"/>
  <c r="E810" i="4"/>
  <c r="B811" i="4"/>
  <c r="G810" i="4"/>
  <c r="H810" i="4"/>
  <c r="C811" i="4" l="1"/>
  <c r="I811" i="4" s="1"/>
  <c r="E811" i="4"/>
  <c r="K811" i="4"/>
  <c r="D811" i="4"/>
  <c r="G811" i="4"/>
  <c r="J811" i="4"/>
  <c r="B812" i="4"/>
  <c r="H811" i="4"/>
  <c r="F811" i="4"/>
  <c r="G812" i="4" l="1"/>
  <c r="C812" i="4"/>
  <c r="I812" i="4" s="1"/>
  <c r="H812" i="4"/>
  <c r="E812" i="4"/>
  <c r="B813" i="4"/>
  <c r="D812" i="4"/>
  <c r="F812" i="4"/>
  <c r="K812" i="4"/>
  <c r="J812" i="4"/>
  <c r="H813" i="4" l="1"/>
  <c r="D813" i="4"/>
  <c r="C813" i="4"/>
  <c r="I813" i="4" s="1"/>
  <c r="K813" i="4"/>
  <c r="G813" i="4"/>
  <c r="F813" i="4"/>
  <c r="J813" i="4"/>
  <c r="B814" i="4"/>
  <c r="E813" i="4"/>
  <c r="B815" i="4" l="1"/>
  <c r="D814" i="4"/>
  <c r="G814" i="4"/>
  <c r="K814" i="4"/>
  <c r="E814" i="4"/>
  <c r="F814" i="4"/>
  <c r="J814" i="4"/>
  <c r="H814" i="4"/>
  <c r="C814" i="4"/>
  <c r="I814" i="4" s="1"/>
  <c r="E815" i="4" l="1"/>
  <c r="F815" i="4"/>
  <c r="J815" i="4"/>
  <c r="G815" i="4"/>
  <c r="C815" i="4"/>
  <c r="I815" i="4" s="1"/>
  <c r="H815" i="4"/>
  <c r="D815" i="4"/>
  <c r="K815" i="4"/>
  <c r="B816" i="4"/>
  <c r="H816" i="4" l="1"/>
  <c r="D816" i="4"/>
  <c r="C816" i="4"/>
  <c r="I816" i="4" s="1"/>
  <c r="K816" i="4"/>
  <c r="F816" i="4"/>
  <c r="G816" i="4"/>
  <c r="J816" i="4"/>
  <c r="E816" i="4"/>
  <c r="B817" i="4"/>
  <c r="F817" i="4" l="1"/>
  <c r="J817" i="4"/>
  <c r="C817" i="4"/>
  <c r="I817" i="4" s="1"/>
  <c r="K817" i="4"/>
  <c r="E817" i="4"/>
  <c r="G817" i="4"/>
  <c r="D817" i="4"/>
  <c r="H817" i="4"/>
  <c r="B818" i="4"/>
  <c r="D818" i="4" l="1"/>
  <c r="K818" i="4"/>
  <c r="J818" i="4"/>
  <c r="G818" i="4"/>
  <c r="H818" i="4"/>
  <c r="C818" i="4"/>
  <c r="I818" i="4" s="1"/>
  <c r="E818" i="4"/>
  <c r="B819" i="4"/>
  <c r="F818" i="4"/>
  <c r="E819" i="4" l="1"/>
  <c r="K819" i="4"/>
  <c r="B820" i="4"/>
  <c r="F819" i="4"/>
  <c r="C819" i="4"/>
  <c r="I819" i="4" s="1"/>
  <c r="J819" i="4"/>
  <c r="D819" i="4"/>
  <c r="H819" i="4"/>
  <c r="G819" i="4"/>
  <c r="J820" i="4" l="1"/>
  <c r="G820" i="4"/>
  <c r="K820" i="4"/>
  <c r="B821" i="4"/>
  <c r="D820" i="4"/>
  <c r="C820" i="4"/>
  <c r="I820" i="4" s="1"/>
  <c r="H820" i="4"/>
  <c r="E820" i="4"/>
  <c r="F820" i="4"/>
  <c r="E821" i="4" l="1"/>
  <c r="C821" i="4"/>
  <c r="I821" i="4" s="1"/>
  <c r="J821" i="4"/>
  <c r="D821" i="4"/>
  <c r="G821" i="4"/>
  <c r="H821" i="4"/>
  <c r="K821" i="4"/>
  <c r="F821" i="4"/>
  <c r="B822" i="4"/>
  <c r="H822" i="4" l="1"/>
  <c r="J822" i="4"/>
  <c r="G822" i="4"/>
  <c r="K822" i="4"/>
  <c r="E822" i="4"/>
  <c r="D822" i="4"/>
  <c r="B823" i="4"/>
  <c r="C822" i="4"/>
  <c r="I822" i="4" s="1"/>
  <c r="F822" i="4"/>
  <c r="D823" i="4" l="1"/>
  <c r="G823" i="4"/>
  <c r="B824" i="4"/>
  <c r="F823" i="4"/>
  <c r="J823" i="4"/>
  <c r="K823" i="4"/>
  <c r="H823" i="4"/>
  <c r="C823" i="4"/>
  <c r="I823" i="4" s="1"/>
  <c r="E823" i="4"/>
  <c r="D824" i="4" l="1"/>
  <c r="K824" i="4"/>
  <c r="C824" i="4"/>
  <c r="I824" i="4" s="1"/>
  <c r="H824" i="4"/>
  <c r="E824" i="4"/>
  <c r="B825" i="4"/>
  <c r="G824" i="4"/>
  <c r="J824" i="4"/>
  <c r="F824" i="4"/>
  <c r="E825" i="4" l="1"/>
  <c r="C825" i="4"/>
  <c r="H825" i="4"/>
  <c r="D825" i="4"/>
  <c r="I825" i="4"/>
  <c r="B826" i="4"/>
  <c r="K825" i="4"/>
  <c r="J825" i="4"/>
  <c r="G825" i="4"/>
  <c r="F825" i="4"/>
  <c r="J826" i="4" l="1"/>
  <c r="D826" i="4"/>
  <c r="C826" i="4"/>
  <c r="I826" i="4" s="1"/>
  <c r="F826" i="4"/>
  <c r="G826" i="4"/>
  <c r="H826" i="4"/>
  <c r="B827" i="4"/>
  <c r="E826" i="4"/>
  <c r="K826" i="4"/>
  <c r="D827" i="4" l="1"/>
  <c r="B828" i="4"/>
  <c r="C827" i="4"/>
  <c r="I827" i="4" s="1"/>
  <c r="J827" i="4"/>
  <c r="E827" i="4"/>
  <c r="H827" i="4"/>
  <c r="K827" i="4"/>
  <c r="F827" i="4"/>
  <c r="G827" i="4"/>
  <c r="B829" i="4" l="1"/>
  <c r="J828" i="4"/>
  <c r="D828" i="4"/>
  <c r="K828" i="4"/>
  <c r="E828" i="4"/>
  <c r="C828" i="4"/>
  <c r="I828" i="4" s="1"/>
  <c r="G828" i="4"/>
  <c r="F828" i="4"/>
  <c r="H828" i="4"/>
  <c r="D829" i="4" l="1"/>
  <c r="J829" i="4"/>
  <c r="E829" i="4"/>
  <c r="C829" i="4"/>
  <c r="I829" i="4" s="1"/>
  <c r="H829" i="4"/>
  <c r="F829" i="4"/>
  <c r="G829" i="4"/>
  <c r="B830" i="4"/>
  <c r="K829" i="4"/>
  <c r="K830" i="4" l="1"/>
  <c r="J830" i="4"/>
  <c r="F830" i="4"/>
  <c r="C830" i="4"/>
  <c r="I830" i="4" s="1"/>
  <c r="B831" i="4"/>
  <c r="D830" i="4"/>
  <c r="G830" i="4"/>
  <c r="H830" i="4"/>
  <c r="E830" i="4"/>
  <c r="H831" i="4" l="1"/>
  <c r="K831" i="4"/>
  <c r="D831" i="4"/>
  <c r="B832" i="4"/>
  <c r="E831" i="4"/>
  <c r="G831" i="4"/>
  <c r="C831" i="4"/>
  <c r="I831" i="4" s="1"/>
  <c r="F831" i="4"/>
  <c r="J831" i="4"/>
  <c r="B833" i="4" l="1"/>
  <c r="F832" i="4"/>
  <c r="H832" i="4"/>
  <c r="K832" i="4"/>
  <c r="E832" i="4"/>
  <c r="C832" i="4"/>
  <c r="I832" i="4" s="1"/>
  <c r="J832" i="4"/>
  <c r="G832" i="4"/>
  <c r="D832" i="4"/>
  <c r="B834" i="4" l="1"/>
  <c r="D833" i="4"/>
  <c r="C833" i="4"/>
  <c r="I833" i="4" s="1"/>
  <c r="J833" i="4"/>
  <c r="E833" i="4"/>
  <c r="G833" i="4"/>
  <c r="H833" i="4"/>
  <c r="K833" i="4"/>
  <c r="F833" i="4"/>
  <c r="F834" i="4" l="1"/>
  <c r="E834" i="4"/>
  <c r="B835" i="4"/>
  <c r="J834" i="4"/>
  <c r="C834" i="4"/>
  <c r="I834" i="4" s="1"/>
  <c r="G834" i="4"/>
  <c r="K834" i="4"/>
  <c r="D834" i="4"/>
  <c r="H834" i="4"/>
  <c r="J835" i="4" l="1"/>
  <c r="E835" i="4"/>
  <c r="K835" i="4"/>
  <c r="G835" i="4"/>
  <c r="H835" i="4"/>
  <c r="F835" i="4"/>
  <c r="D835" i="4"/>
  <c r="C835" i="4"/>
  <c r="I835" i="4" s="1"/>
  <c r="B836" i="4"/>
  <c r="H836" i="4" l="1"/>
  <c r="G836" i="4"/>
  <c r="J836" i="4"/>
  <c r="E836" i="4"/>
  <c r="K836" i="4"/>
  <c r="F836" i="4"/>
  <c r="C836" i="4"/>
  <c r="I836" i="4" s="1"/>
  <c r="D836" i="4"/>
  <c r="B837" i="4"/>
  <c r="G837" i="4" l="1"/>
  <c r="D837" i="4"/>
  <c r="F837" i="4"/>
  <c r="E837" i="4"/>
  <c r="B838" i="4"/>
  <c r="J837" i="4"/>
  <c r="K837" i="4"/>
  <c r="H837" i="4"/>
  <c r="C837" i="4"/>
  <c r="I837" i="4" s="1"/>
  <c r="F838" i="4" l="1"/>
  <c r="C838" i="4"/>
  <c r="I838" i="4" s="1"/>
  <c r="E838" i="4"/>
  <c r="K838" i="4"/>
  <c r="J838" i="4"/>
  <c r="D838" i="4"/>
  <c r="H838" i="4"/>
  <c r="G838" i="4"/>
  <c r="B839" i="4"/>
  <c r="B840" i="4" l="1"/>
  <c r="H839" i="4"/>
  <c r="F839" i="4"/>
  <c r="J839" i="4"/>
  <c r="G839" i="4"/>
  <c r="D839" i="4"/>
  <c r="E839" i="4"/>
  <c r="K839" i="4"/>
  <c r="C839" i="4"/>
  <c r="I839" i="4" s="1"/>
  <c r="H840" i="4" l="1"/>
  <c r="K840" i="4"/>
  <c r="B841" i="4"/>
  <c r="F840" i="4"/>
  <c r="E840" i="4"/>
  <c r="D840" i="4"/>
  <c r="J840" i="4"/>
  <c r="C840" i="4"/>
  <c r="I840" i="4" s="1"/>
  <c r="G840" i="4"/>
  <c r="E841" i="4" l="1"/>
  <c r="G841" i="4"/>
  <c r="F841" i="4"/>
  <c r="D841" i="4"/>
  <c r="K841" i="4"/>
  <c r="J841" i="4"/>
  <c r="C841" i="4"/>
  <c r="I841" i="4" s="1"/>
  <c r="H841" i="4"/>
  <c r="B842" i="4"/>
  <c r="C842" i="4" l="1"/>
  <c r="I842" i="4" s="1"/>
  <c r="K842" i="4"/>
  <c r="E842" i="4"/>
  <c r="F842" i="4"/>
  <c r="J842" i="4"/>
  <c r="B843" i="4"/>
  <c r="D842" i="4"/>
  <c r="H842" i="4"/>
  <c r="G842" i="4"/>
  <c r="G843" i="4" l="1"/>
  <c r="E843" i="4"/>
  <c r="C843" i="4"/>
  <c r="I843" i="4" s="1"/>
  <c r="B844" i="4"/>
  <c r="J843" i="4"/>
  <c r="F843" i="4"/>
  <c r="D843" i="4"/>
  <c r="H843" i="4"/>
  <c r="K843" i="4"/>
  <c r="E844" i="4" l="1"/>
  <c r="G844" i="4"/>
  <c r="D844" i="4"/>
  <c r="K844" i="4"/>
  <c r="H844" i="4"/>
  <c r="B845" i="4"/>
  <c r="C844" i="4"/>
  <c r="I844" i="4" s="1"/>
  <c r="J844" i="4"/>
  <c r="F844" i="4"/>
  <c r="D845" i="4" l="1"/>
  <c r="E845" i="4"/>
  <c r="C845" i="4"/>
  <c r="I845" i="4" s="1"/>
  <c r="H845" i="4"/>
  <c r="K845" i="4"/>
  <c r="B846" i="4"/>
  <c r="J845" i="4"/>
  <c r="G845" i="4"/>
  <c r="F845" i="4"/>
  <c r="K846" i="4" l="1"/>
  <c r="G846" i="4"/>
  <c r="C846" i="4"/>
  <c r="I846" i="4" s="1"/>
  <c r="J846" i="4"/>
  <c r="E846" i="4"/>
  <c r="D846" i="4"/>
  <c r="H846" i="4"/>
  <c r="F846" i="4"/>
  <c r="B847" i="4"/>
  <c r="D847" i="4" l="1"/>
  <c r="K847" i="4"/>
  <c r="H847" i="4"/>
  <c r="B848" i="4"/>
  <c r="F847" i="4"/>
  <c r="C847" i="4"/>
  <c r="I847" i="4" s="1"/>
  <c r="J847" i="4"/>
  <c r="G847" i="4"/>
  <c r="E847" i="4"/>
  <c r="J848" i="4" l="1"/>
  <c r="E848" i="4"/>
  <c r="K848" i="4"/>
  <c r="C848" i="4"/>
  <c r="F848" i="4"/>
  <c r="H848" i="4"/>
  <c r="G848" i="4"/>
  <c r="B849" i="4"/>
  <c r="I848" i="4"/>
  <c r="D848" i="4"/>
  <c r="D849" i="4" l="1"/>
  <c r="B850" i="4"/>
  <c r="K849" i="4"/>
  <c r="H849" i="4"/>
  <c r="G849" i="4"/>
  <c r="E849" i="4"/>
  <c r="C849" i="4"/>
  <c r="I849" i="4" s="1"/>
  <c r="J849" i="4"/>
  <c r="F849" i="4"/>
  <c r="F850" i="4" l="1"/>
  <c r="D850" i="4"/>
  <c r="G850" i="4"/>
  <c r="J850" i="4"/>
  <c r="E850" i="4"/>
  <c r="K850" i="4"/>
  <c r="H850" i="4"/>
  <c r="C850" i="4"/>
  <c r="I850" i="4" s="1"/>
  <c r="B851" i="4"/>
  <c r="D851" i="4" l="1"/>
  <c r="B852" i="4"/>
  <c r="H851" i="4"/>
  <c r="E851" i="4"/>
  <c r="F851" i="4"/>
  <c r="K851" i="4"/>
  <c r="C851" i="4"/>
  <c r="I851" i="4" s="1"/>
  <c r="G851" i="4"/>
  <c r="J851" i="4"/>
  <c r="B853" i="4" l="1"/>
  <c r="E852" i="4"/>
  <c r="D852" i="4"/>
  <c r="F852" i="4"/>
  <c r="H852" i="4"/>
  <c r="K852" i="4"/>
  <c r="J852" i="4"/>
  <c r="C852" i="4"/>
  <c r="I852" i="4" s="1"/>
  <c r="G852" i="4"/>
  <c r="E853" i="4" l="1"/>
  <c r="D853" i="4"/>
  <c r="F853" i="4"/>
  <c r="C853" i="4"/>
  <c r="I853" i="4" s="1"/>
  <c r="J853" i="4"/>
  <c r="H853" i="4"/>
  <c r="K853" i="4"/>
  <c r="B854" i="4"/>
  <c r="G853" i="4"/>
  <c r="K854" i="4" l="1"/>
  <c r="C854" i="4"/>
  <c r="I854" i="4" s="1"/>
  <c r="E854" i="4"/>
  <c r="D854" i="4"/>
  <c r="B855" i="4"/>
  <c r="J854" i="4"/>
  <c r="F854" i="4"/>
  <c r="G854" i="4"/>
  <c r="H854" i="4"/>
  <c r="C855" i="4" l="1"/>
  <c r="I855" i="4" s="1"/>
  <c r="J855" i="4"/>
  <c r="D855" i="4"/>
  <c r="K855" i="4"/>
  <c r="G855" i="4"/>
  <c r="H855" i="4"/>
  <c r="E855" i="4"/>
  <c r="F855" i="4"/>
  <c r="B856" i="4"/>
  <c r="B857" i="4" l="1"/>
  <c r="F856" i="4"/>
  <c r="G856" i="4"/>
  <c r="D856" i="4"/>
  <c r="H856" i="4"/>
  <c r="E856" i="4"/>
  <c r="C856" i="4"/>
  <c r="I856" i="4" s="1"/>
  <c r="J856" i="4"/>
  <c r="K856" i="4"/>
  <c r="B858" i="4" l="1"/>
  <c r="J857" i="4"/>
  <c r="F857" i="4"/>
  <c r="E857" i="4"/>
  <c r="H857" i="4"/>
  <c r="C857" i="4"/>
  <c r="I857" i="4" s="1"/>
  <c r="K857" i="4"/>
  <c r="G857" i="4"/>
  <c r="D857" i="4"/>
  <c r="C858" i="4" l="1"/>
  <c r="I858" i="4" s="1"/>
  <c r="D858" i="4"/>
  <c r="K858" i="4"/>
  <c r="F858" i="4"/>
  <c r="B859" i="4"/>
  <c r="G858" i="4"/>
  <c r="H858" i="4"/>
  <c r="E858" i="4"/>
  <c r="J858" i="4"/>
  <c r="C859" i="4" l="1"/>
  <c r="I859" i="4" s="1"/>
  <c r="K859" i="4"/>
  <c r="J859" i="4"/>
  <c r="D859" i="4"/>
  <c r="B860" i="4"/>
  <c r="F859" i="4"/>
  <c r="E859" i="4"/>
  <c r="G859" i="4"/>
  <c r="H859" i="4"/>
  <c r="K860" i="4" l="1"/>
  <c r="E860" i="4"/>
  <c r="F860" i="4"/>
  <c r="H860" i="4"/>
  <c r="G860" i="4"/>
  <c r="J860" i="4"/>
  <c r="B861" i="4"/>
  <c r="C860" i="4"/>
  <c r="I860" i="4" s="1"/>
  <c r="D860" i="4"/>
  <c r="D861" i="4" l="1"/>
  <c r="B862" i="4"/>
  <c r="C861" i="4"/>
  <c r="I861" i="4" s="1"/>
  <c r="G861" i="4"/>
  <c r="J861" i="4"/>
  <c r="H861" i="4"/>
  <c r="F861" i="4"/>
  <c r="E861" i="4"/>
  <c r="K861" i="4"/>
  <c r="C862" i="4" l="1"/>
  <c r="I862" i="4" s="1"/>
  <c r="G862" i="4"/>
  <c r="K862" i="4"/>
  <c r="E862" i="4"/>
  <c r="F862" i="4"/>
  <c r="B863" i="4"/>
  <c r="H862" i="4"/>
  <c r="J862" i="4"/>
  <c r="D862" i="4"/>
  <c r="D863" i="4" l="1"/>
  <c r="K863" i="4"/>
  <c r="F863" i="4"/>
  <c r="G863" i="4"/>
  <c r="C863" i="4"/>
  <c r="I863" i="4" s="1"/>
  <c r="H863" i="4"/>
  <c r="J863" i="4"/>
  <c r="E863" i="4"/>
  <c r="B864" i="4"/>
  <c r="K864" i="4" l="1"/>
  <c r="F864" i="4"/>
  <c r="C864" i="4"/>
  <c r="I864" i="4" s="1"/>
  <c r="D864" i="4"/>
  <c r="J864" i="4"/>
  <c r="G864" i="4"/>
  <c r="E864" i="4"/>
  <c r="H864" i="4"/>
  <c r="B865" i="4"/>
  <c r="D865" i="4" l="1"/>
  <c r="F865" i="4"/>
  <c r="J865" i="4"/>
  <c r="B866" i="4"/>
  <c r="K865" i="4"/>
  <c r="E865" i="4"/>
  <c r="C865" i="4"/>
  <c r="I865" i="4" s="1"/>
  <c r="H865" i="4"/>
  <c r="G865" i="4"/>
  <c r="B867" i="4" l="1"/>
  <c r="C866" i="4"/>
  <c r="I866" i="4" s="1"/>
  <c r="G866" i="4"/>
  <c r="H866" i="4"/>
  <c r="E866" i="4"/>
  <c r="J866" i="4"/>
  <c r="D866" i="4"/>
  <c r="F866" i="4"/>
  <c r="K866" i="4"/>
  <c r="G867" i="4" l="1"/>
  <c r="J867" i="4"/>
  <c r="C867" i="4"/>
  <c r="I867" i="4" s="1"/>
  <c r="D867" i="4"/>
  <c r="K867" i="4"/>
  <c r="F867" i="4"/>
  <c r="E867" i="4"/>
  <c r="H867" i="4"/>
  <c r="B868" i="4"/>
  <c r="K868" i="4" l="1"/>
  <c r="C868" i="4"/>
  <c r="I868" i="4" s="1"/>
  <c r="B869" i="4"/>
  <c r="D868" i="4"/>
  <c r="J868" i="4"/>
  <c r="E868" i="4"/>
  <c r="G868" i="4"/>
  <c r="H868" i="4"/>
  <c r="F868" i="4"/>
  <c r="J869" i="4" l="1"/>
  <c r="K869" i="4"/>
  <c r="G869" i="4"/>
  <c r="E869" i="4"/>
  <c r="B870" i="4"/>
  <c r="H869" i="4"/>
  <c r="C869" i="4"/>
  <c r="I869" i="4" s="1"/>
  <c r="D869" i="4"/>
  <c r="F869" i="4"/>
  <c r="H870" i="4" l="1"/>
  <c r="E870" i="4"/>
  <c r="K870" i="4"/>
  <c r="B871" i="4"/>
  <c r="J870" i="4"/>
  <c r="G870" i="4"/>
  <c r="F870" i="4"/>
  <c r="C870" i="4"/>
  <c r="I870" i="4" s="1"/>
  <c r="D870" i="4"/>
  <c r="H871" i="4" l="1"/>
  <c r="F871" i="4"/>
  <c r="B872" i="4"/>
  <c r="G871" i="4"/>
  <c r="C871" i="4"/>
  <c r="I871" i="4" s="1"/>
  <c r="E871" i="4"/>
  <c r="D871" i="4"/>
  <c r="J871" i="4"/>
  <c r="K871" i="4"/>
  <c r="C872" i="4" l="1"/>
  <c r="I872" i="4" s="1"/>
  <c r="F872" i="4"/>
  <c r="D872" i="4"/>
  <c r="K872" i="4"/>
  <c r="B873" i="4"/>
  <c r="J872" i="4"/>
  <c r="G872" i="4"/>
  <c r="E872" i="4"/>
  <c r="H872" i="4"/>
  <c r="C873" i="4" l="1"/>
  <c r="G873" i="4"/>
  <c r="D873" i="4"/>
  <c r="E873" i="4"/>
  <c r="H873" i="4"/>
  <c r="F873" i="4"/>
  <c r="K873" i="4"/>
  <c r="B874" i="4"/>
  <c r="J873" i="4"/>
  <c r="I873" i="4"/>
  <c r="C874" i="4" l="1"/>
  <c r="I874" i="4" s="1"/>
  <c r="D874" i="4"/>
  <c r="G874" i="4"/>
  <c r="B875" i="4"/>
  <c r="H874" i="4"/>
  <c r="E874" i="4"/>
  <c r="F874" i="4"/>
  <c r="J874" i="4"/>
  <c r="K874" i="4"/>
  <c r="K875" i="4" l="1"/>
  <c r="G875" i="4"/>
  <c r="E875" i="4"/>
  <c r="B876" i="4"/>
  <c r="F875" i="4"/>
  <c r="C875" i="4"/>
  <c r="I875" i="4" s="1"/>
  <c r="D875" i="4"/>
  <c r="J875" i="4"/>
  <c r="H875" i="4"/>
  <c r="D876" i="4" l="1"/>
  <c r="J876" i="4"/>
  <c r="F876" i="4"/>
  <c r="H876" i="4"/>
  <c r="G876" i="4"/>
  <c r="B877" i="4"/>
  <c r="C876" i="4"/>
  <c r="I876" i="4" s="1"/>
  <c r="E876" i="4"/>
  <c r="K876" i="4"/>
  <c r="E877" i="4" l="1"/>
  <c r="G877" i="4"/>
  <c r="B878" i="4"/>
  <c r="C877" i="4"/>
  <c r="I877" i="4" s="1"/>
  <c r="K877" i="4"/>
  <c r="H877" i="4"/>
  <c r="F877" i="4"/>
  <c r="D877" i="4"/>
  <c r="J877" i="4"/>
  <c r="G878" i="4" l="1"/>
  <c r="E878" i="4"/>
  <c r="F878" i="4"/>
  <c r="C878" i="4"/>
  <c r="I878" i="4" s="1"/>
  <c r="H878" i="4"/>
  <c r="K878" i="4"/>
  <c r="J878" i="4"/>
  <c r="B879" i="4"/>
  <c r="D878" i="4"/>
  <c r="H879" i="4" l="1"/>
  <c r="B880" i="4"/>
  <c r="J879" i="4"/>
  <c r="K879" i="4"/>
  <c r="D879" i="4"/>
  <c r="F879" i="4"/>
  <c r="E879" i="4"/>
  <c r="C879" i="4"/>
  <c r="I879" i="4" s="1"/>
  <c r="G879" i="4"/>
  <c r="J880" i="4" l="1"/>
  <c r="C880" i="4"/>
  <c r="I880" i="4" s="1"/>
  <c r="G880" i="4"/>
  <c r="K880" i="4"/>
  <c r="F880" i="4"/>
  <c r="H880" i="4"/>
  <c r="B881" i="4"/>
  <c r="D880" i="4"/>
  <c r="E880" i="4"/>
  <c r="E881" i="4" l="1"/>
  <c r="D881" i="4"/>
  <c r="B882" i="4"/>
  <c r="K881" i="4"/>
  <c r="H881" i="4"/>
  <c r="J881" i="4"/>
  <c r="C881" i="4"/>
  <c r="I881" i="4" s="1"/>
  <c r="F881" i="4"/>
  <c r="G881" i="4"/>
  <c r="J882" i="4" l="1"/>
  <c r="H882" i="4"/>
  <c r="D882" i="4"/>
  <c r="K882" i="4"/>
  <c r="C882" i="4"/>
  <c r="I882" i="4" s="1"/>
  <c r="E882" i="4"/>
  <c r="G882" i="4"/>
  <c r="B883" i="4"/>
  <c r="F882" i="4"/>
  <c r="G883" i="4" l="1"/>
  <c r="K883" i="4"/>
  <c r="D883" i="4"/>
  <c r="J883" i="4"/>
  <c r="C883" i="4"/>
  <c r="I883" i="4" s="1"/>
  <c r="F883" i="4"/>
  <c r="E883" i="4"/>
  <c r="B884" i="4"/>
  <c r="H883" i="4"/>
  <c r="K884" i="4" l="1"/>
  <c r="C884" i="4"/>
  <c r="I884" i="4" s="1"/>
  <c r="H884" i="4"/>
  <c r="G884" i="4"/>
  <c r="D884" i="4"/>
  <c r="B885" i="4"/>
  <c r="E884" i="4"/>
  <c r="J884" i="4"/>
  <c r="F884" i="4"/>
  <c r="E885" i="4" l="1"/>
  <c r="D885" i="4"/>
  <c r="K885" i="4"/>
  <c r="B886" i="4"/>
  <c r="C885" i="4"/>
  <c r="I885" i="4" s="1"/>
  <c r="H885" i="4"/>
  <c r="F885" i="4"/>
  <c r="J885" i="4"/>
  <c r="G885" i="4"/>
  <c r="K886" i="4" l="1"/>
  <c r="G886" i="4"/>
  <c r="C886" i="4"/>
  <c r="I886" i="4" s="1"/>
  <c r="F886" i="4"/>
  <c r="B887" i="4"/>
  <c r="H886" i="4"/>
  <c r="E886" i="4"/>
  <c r="J886" i="4"/>
  <c r="D886" i="4"/>
  <c r="F887" i="4" l="1"/>
  <c r="H887" i="4"/>
  <c r="E887" i="4"/>
  <c r="G887" i="4"/>
  <c r="D887" i="4"/>
  <c r="B888" i="4"/>
  <c r="J887" i="4"/>
  <c r="C887" i="4"/>
  <c r="I887" i="4" s="1"/>
  <c r="K887" i="4"/>
  <c r="H888" i="4" l="1"/>
  <c r="G888" i="4"/>
  <c r="E888" i="4"/>
  <c r="D888" i="4"/>
  <c r="J888" i="4"/>
  <c r="K888" i="4"/>
  <c r="F888" i="4"/>
  <c r="B889" i="4"/>
  <c r="C888" i="4"/>
  <c r="I888" i="4" s="1"/>
  <c r="J889" i="4" l="1"/>
  <c r="H889" i="4"/>
  <c r="F889" i="4"/>
  <c r="G889" i="4"/>
  <c r="K889" i="4"/>
  <c r="D889" i="4"/>
  <c r="B890" i="4"/>
  <c r="C889" i="4"/>
  <c r="I889" i="4" s="1"/>
  <c r="E889" i="4"/>
  <c r="F890" i="4" l="1"/>
  <c r="B891" i="4"/>
  <c r="C890" i="4"/>
  <c r="I890" i="4" s="1"/>
  <c r="D890" i="4"/>
  <c r="K890" i="4"/>
  <c r="H890" i="4"/>
  <c r="G890" i="4"/>
  <c r="J890" i="4"/>
  <c r="E890" i="4"/>
  <c r="D891" i="4" l="1"/>
  <c r="H891" i="4"/>
  <c r="J891" i="4"/>
  <c r="F891" i="4"/>
  <c r="K891" i="4"/>
  <c r="G891" i="4"/>
  <c r="C891" i="4"/>
  <c r="I891" i="4" s="1"/>
  <c r="B892" i="4"/>
  <c r="E891" i="4"/>
  <c r="G892" i="4" l="1"/>
  <c r="D892" i="4"/>
  <c r="J892" i="4"/>
  <c r="E892" i="4"/>
  <c r="K892" i="4"/>
  <c r="B893" i="4"/>
  <c r="C892" i="4"/>
  <c r="I892" i="4" s="1"/>
  <c r="F892" i="4"/>
  <c r="H892" i="4"/>
  <c r="G893" i="4" l="1"/>
  <c r="J893" i="4"/>
  <c r="C893" i="4"/>
  <c r="I893" i="4" s="1"/>
  <c r="K893" i="4"/>
  <c r="B894" i="4"/>
  <c r="H893" i="4"/>
  <c r="D893" i="4"/>
  <c r="F893" i="4"/>
  <c r="E893" i="4"/>
  <c r="E894" i="4" l="1"/>
  <c r="G894" i="4"/>
  <c r="H894" i="4"/>
  <c r="K894" i="4"/>
  <c r="F894" i="4"/>
  <c r="J894" i="4"/>
  <c r="B895" i="4"/>
  <c r="D894" i="4"/>
  <c r="C894" i="4"/>
  <c r="I894" i="4" s="1"/>
  <c r="G895" i="4" l="1"/>
  <c r="E895" i="4"/>
  <c r="C895" i="4"/>
  <c r="I895" i="4" s="1"/>
  <c r="F895" i="4"/>
  <c r="B896" i="4"/>
  <c r="J895" i="4"/>
  <c r="H895" i="4"/>
  <c r="D895" i="4"/>
  <c r="K895" i="4"/>
  <c r="G896" i="4" l="1"/>
  <c r="E896" i="4"/>
  <c r="J896" i="4"/>
  <c r="F896" i="4"/>
  <c r="D896" i="4"/>
  <c r="H896" i="4"/>
  <c r="C896" i="4"/>
  <c r="I896" i="4" s="1"/>
  <c r="B897" i="4"/>
  <c r="K896" i="4"/>
  <c r="F897" i="4" l="1"/>
  <c r="B898" i="4"/>
  <c r="G897" i="4"/>
  <c r="K897" i="4"/>
  <c r="D897" i="4"/>
  <c r="C897" i="4"/>
  <c r="I897" i="4" s="1"/>
  <c r="J897" i="4"/>
  <c r="E897" i="4"/>
  <c r="H897" i="4"/>
  <c r="D898" i="4" l="1"/>
  <c r="C898" i="4"/>
  <c r="I898" i="4" s="1"/>
  <c r="E898" i="4"/>
  <c r="G898" i="4"/>
  <c r="H898" i="4"/>
  <c r="K898" i="4"/>
  <c r="B899" i="4"/>
  <c r="J898" i="4"/>
  <c r="F898" i="4"/>
  <c r="J899" i="4" l="1"/>
  <c r="E899" i="4"/>
  <c r="D899" i="4"/>
  <c r="F899" i="4"/>
  <c r="G899" i="4"/>
  <c r="K899" i="4"/>
  <c r="C899" i="4"/>
  <c r="I899" i="4" s="1"/>
  <c r="B900" i="4"/>
  <c r="H899" i="4"/>
  <c r="J900" i="4" l="1"/>
  <c r="K900" i="4"/>
  <c r="C900" i="4"/>
  <c r="I900" i="4" s="1"/>
  <c r="H900" i="4"/>
  <c r="E900" i="4"/>
  <c r="G900" i="4"/>
  <c r="D900" i="4"/>
  <c r="B901" i="4"/>
  <c r="F900" i="4"/>
  <c r="K901" i="4" l="1"/>
  <c r="C901" i="4"/>
  <c r="I901" i="4" s="1"/>
  <c r="F901" i="4"/>
  <c r="H901" i="4"/>
  <c r="E901" i="4"/>
  <c r="G901" i="4"/>
  <c r="J901" i="4"/>
  <c r="B902" i="4"/>
  <c r="D901" i="4"/>
  <c r="C902" i="4" l="1"/>
  <c r="I902" i="4" s="1"/>
  <c r="D902" i="4"/>
  <c r="H902" i="4"/>
  <c r="J902" i="4"/>
  <c r="K902" i="4"/>
  <c r="G902" i="4"/>
  <c r="B903" i="4"/>
  <c r="F902" i="4"/>
  <c r="E902" i="4"/>
  <c r="E903" i="4" l="1"/>
  <c r="H903" i="4"/>
  <c r="D903" i="4"/>
  <c r="F903" i="4"/>
  <c r="J903" i="4"/>
  <c r="B904" i="4"/>
  <c r="C903" i="4"/>
  <c r="I903" i="4" s="1"/>
  <c r="K903" i="4"/>
  <c r="G903" i="4"/>
  <c r="J904" i="4" l="1"/>
  <c r="G904" i="4"/>
  <c r="B905" i="4"/>
  <c r="D904" i="4"/>
  <c r="H904" i="4"/>
  <c r="E904" i="4"/>
  <c r="C904" i="4"/>
  <c r="I904" i="4" s="1"/>
  <c r="K904" i="4"/>
  <c r="F904" i="4"/>
  <c r="G905" i="4" l="1"/>
  <c r="C905" i="4"/>
  <c r="I905" i="4" s="1"/>
  <c r="J905" i="4"/>
  <c r="B906" i="4"/>
  <c r="K905" i="4"/>
  <c r="H905" i="4"/>
  <c r="D905" i="4"/>
  <c r="E905" i="4"/>
  <c r="F905" i="4"/>
  <c r="H906" i="4" l="1"/>
  <c r="D906" i="4"/>
  <c r="F906" i="4"/>
  <c r="G906" i="4"/>
  <c r="K906" i="4"/>
  <c r="C906" i="4"/>
  <c r="I906" i="4" s="1"/>
  <c r="J906" i="4"/>
  <c r="E906" i="4"/>
  <c r="B907" i="4"/>
  <c r="K907" i="4" l="1"/>
  <c r="G907" i="4"/>
  <c r="E907" i="4"/>
  <c r="C907" i="4"/>
  <c r="I907" i="4" s="1"/>
  <c r="H907" i="4"/>
  <c r="D907" i="4"/>
  <c r="B908" i="4"/>
  <c r="F907" i="4"/>
  <c r="J907" i="4"/>
  <c r="G908" i="4" l="1"/>
  <c r="J908" i="4"/>
  <c r="K908" i="4"/>
  <c r="F908" i="4"/>
  <c r="D908" i="4"/>
  <c r="B909" i="4"/>
  <c r="H908" i="4"/>
  <c r="C908" i="4"/>
  <c r="I908" i="4" s="1"/>
  <c r="E908" i="4"/>
  <c r="D909" i="4" l="1"/>
  <c r="C909" i="4"/>
  <c r="I909" i="4" s="1"/>
  <c r="K909" i="4"/>
  <c r="B910" i="4"/>
  <c r="H909" i="4"/>
  <c r="J909" i="4"/>
  <c r="F909" i="4"/>
  <c r="E909" i="4"/>
  <c r="G909" i="4"/>
  <c r="J910" i="4" l="1"/>
  <c r="B911" i="4"/>
  <c r="C910" i="4"/>
  <c r="I910" i="4" s="1"/>
  <c r="D910" i="4"/>
  <c r="K910" i="4"/>
  <c r="H910" i="4"/>
  <c r="E910" i="4"/>
  <c r="G910" i="4"/>
  <c r="F910" i="4"/>
  <c r="H911" i="4" l="1"/>
  <c r="K911" i="4"/>
  <c r="G911" i="4"/>
  <c r="J911" i="4"/>
  <c r="E911" i="4"/>
  <c r="C911" i="4"/>
  <c r="I911" i="4" s="1"/>
  <c r="F911" i="4"/>
  <c r="D911" i="4"/>
  <c r="B912" i="4"/>
  <c r="F912" i="4" l="1"/>
  <c r="H912" i="4"/>
  <c r="D912" i="4"/>
  <c r="J912" i="4"/>
  <c r="K912" i="4"/>
  <c r="G912" i="4"/>
  <c r="B913" i="4"/>
  <c r="C912" i="4"/>
  <c r="I912" i="4" s="1"/>
  <c r="E912" i="4"/>
  <c r="F913" i="4" l="1"/>
  <c r="B914" i="4"/>
  <c r="H913" i="4"/>
  <c r="D913" i="4"/>
  <c r="C913" i="4"/>
  <c r="I913" i="4" s="1"/>
  <c r="K913" i="4"/>
  <c r="E913" i="4"/>
  <c r="J913" i="4"/>
  <c r="G913" i="4"/>
  <c r="D914" i="4" l="1"/>
  <c r="K914" i="4"/>
  <c r="B915" i="4"/>
  <c r="G914" i="4"/>
  <c r="E914" i="4"/>
  <c r="J914" i="4"/>
  <c r="H914" i="4"/>
  <c r="F914" i="4"/>
  <c r="C914" i="4"/>
  <c r="I914" i="4" s="1"/>
  <c r="F915" i="4" l="1"/>
  <c r="C915" i="4"/>
  <c r="I915" i="4" s="1"/>
  <c r="K915" i="4"/>
  <c r="G915" i="4"/>
  <c r="J915" i="4"/>
  <c r="D915" i="4"/>
  <c r="B916" i="4"/>
  <c r="E915" i="4"/>
  <c r="H915" i="4"/>
  <c r="J916" i="4" l="1"/>
  <c r="F916" i="4"/>
  <c r="G916" i="4"/>
  <c r="B917" i="4"/>
  <c r="C916" i="4"/>
  <c r="I916" i="4" s="1"/>
  <c r="D916" i="4"/>
  <c r="E916" i="4"/>
  <c r="H916" i="4"/>
  <c r="K916" i="4"/>
  <c r="J917" i="4" l="1"/>
  <c r="F917" i="4"/>
  <c r="C917" i="4"/>
  <c r="I917" i="4" s="1"/>
  <c r="D917" i="4"/>
  <c r="E917" i="4"/>
  <c r="H917" i="4"/>
  <c r="K917" i="4"/>
  <c r="G917" i="4"/>
  <c r="B918" i="4"/>
  <c r="H918" i="4" l="1"/>
  <c r="E918" i="4"/>
  <c r="C918" i="4"/>
  <c r="I918" i="4" s="1"/>
  <c r="J918" i="4"/>
  <c r="F918" i="4"/>
  <c r="B919" i="4"/>
  <c r="D918" i="4"/>
  <c r="G918" i="4"/>
  <c r="K918" i="4"/>
  <c r="H919" i="4" l="1"/>
  <c r="D919" i="4"/>
  <c r="C919" i="4"/>
  <c r="I919" i="4" s="1"/>
  <c r="E919" i="4"/>
  <c r="B920" i="4"/>
  <c r="J919" i="4"/>
  <c r="G919" i="4"/>
  <c r="K919" i="4"/>
  <c r="F919" i="4"/>
  <c r="E920" i="4" l="1"/>
  <c r="B921" i="4"/>
  <c r="K920" i="4"/>
  <c r="C920" i="4"/>
  <c r="I920" i="4" s="1"/>
  <c r="H920" i="4"/>
  <c r="G920" i="4"/>
  <c r="F920" i="4"/>
  <c r="J920" i="4"/>
  <c r="D920" i="4"/>
  <c r="F921" i="4" l="1"/>
  <c r="D921" i="4"/>
  <c r="G921" i="4"/>
  <c r="E921" i="4"/>
  <c r="C921" i="4"/>
  <c r="I921" i="4" s="1"/>
  <c r="J921" i="4"/>
  <c r="B922" i="4"/>
  <c r="H921" i="4"/>
  <c r="K921" i="4"/>
  <c r="G922" i="4" l="1"/>
  <c r="E922" i="4"/>
  <c r="J922" i="4"/>
  <c r="F922" i="4"/>
  <c r="K922" i="4"/>
  <c r="D922" i="4"/>
  <c r="B923" i="4"/>
  <c r="H922" i="4"/>
  <c r="C922" i="4"/>
  <c r="I922" i="4" s="1"/>
  <c r="F923" i="4" l="1"/>
  <c r="K923" i="4"/>
  <c r="B924" i="4"/>
  <c r="G923" i="4"/>
  <c r="E923" i="4"/>
  <c r="C923" i="4"/>
  <c r="I923" i="4" s="1"/>
  <c r="H923" i="4"/>
  <c r="J923" i="4"/>
  <c r="D923" i="4"/>
  <c r="K924" i="4" l="1"/>
  <c r="H924" i="4"/>
  <c r="J924" i="4"/>
  <c r="C924" i="4"/>
  <c r="I924" i="4" s="1"/>
  <c r="D924" i="4"/>
  <c r="B925" i="4"/>
  <c r="E924" i="4"/>
  <c r="G924" i="4"/>
  <c r="F924" i="4"/>
  <c r="B926" i="4" l="1"/>
  <c r="H925" i="4"/>
  <c r="D925" i="4"/>
  <c r="G925" i="4"/>
  <c r="K925" i="4"/>
  <c r="C925" i="4"/>
  <c r="I925" i="4" s="1"/>
  <c r="E925" i="4"/>
  <c r="F925" i="4"/>
  <c r="J925" i="4"/>
  <c r="D926" i="4" l="1"/>
  <c r="E926" i="4"/>
  <c r="J926" i="4"/>
  <c r="C926" i="4"/>
  <c r="I926" i="4" s="1"/>
  <c r="F926" i="4"/>
  <c r="K926" i="4"/>
  <c r="B927" i="4"/>
  <c r="G926" i="4"/>
  <c r="H926" i="4"/>
  <c r="E927" i="4" l="1"/>
  <c r="B928" i="4"/>
  <c r="H927" i="4"/>
  <c r="G927" i="4"/>
  <c r="K927" i="4"/>
  <c r="C927" i="4"/>
  <c r="I927" i="4" s="1"/>
  <c r="D927" i="4"/>
  <c r="F927" i="4"/>
  <c r="J927" i="4"/>
  <c r="K928" i="4" l="1"/>
  <c r="B929" i="4"/>
  <c r="G928" i="4"/>
  <c r="C928" i="4"/>
  <c r="I928" i="4" s="1"/>
  <c r="H928" i="4"/>
  <c r="E928" i="4"/>
  <c r="D928" i="4"/>
  <c r="F928" i="4"/>
  <c r="J928" i="4"/>
  <c r="K929" i="4" l="1"/>
  <c r="J929" i="4"/>
  <c r="B930" i="4"/>
  <c r="G929" i="4"/>
  <c r="D929" i="4"/>
  <c r="F929" i="4"/>
  <c r="E929" i="4"/>
  <c r="C929" i="4"/>
  <c r="I929" i="4" s="1"/>
  <c r="H929" i="4"/>
  <c r="F930" i="4" l="1"/>
  <c r="J930" i="4"/>
  <c r="E930" i="4"/>
  <c r="D930" i="4"/>
  <c r="K930" i="4"/>
  <c r="H930" i="4"/>
  <c r="C930" i="4"/>
  <c r="I930" i="4" s="1"/>
  <c r="G930" i="4"/>
  <c r="B931" i="4"/>
  <c r="J931" i="4" l="1"/>
  <c r="F931" i="4"/>
  <c r="C931" i="4"/>
  <c r="I931" i="4" s="1"/>
  <c r="D931" i="4"/>
  <c r="G931" i="4"/>
  <c r="B932" i="4"/>
  <c r="H931" i="4"/>
  <c r="K931" i="4"/>
  <c r="E931" i="4"/>
  <c r="F932" i="4" l="1"/>
  <c r="J932" i="4"/>
  <c r="G932" i="4"/>
  <c r="D932" i="4"/>
  <c r="C932" i="4"/>
  <c r="I932" i="4" s="1"/>
  <c r="B933" i="4"/>
  <c r="E932" i="4"/>
  <c r="K932" i="4"/>
  <c r="H932" i="4"/>
  <c r="H933" i="4" l="1"/>
  <c r="C933" i="4"/>
  <c r="I933" i="4" s="1"/>
  <c r="D933" i="4"/>
  <c r="B934" i="4"/>
  <c r="K933" i="4"/>
  <c r="F933" i="4"/>
  <c r="G933" i="4"/>
  <c r="J933" i="4"/>
  <c r="E933" i="4"/>
  <c r="F934" i="4" l="1"/>
  <c r="H934" i="4"/>
  <c r="K934" i="4"/>
  <c r="J934" i="4"/>
  <c r="B935" i="4"/>
  <c r="D934" i="4"/>
  <c r="C934" i="4"/>
  <c r="I934" i="4" s="1"/>
  <c r="E934" i="4"/>
  <c r="G934" i="4"/>
  <c r="J935" i="4" l="1"/>
  <c r="E935" i="4"/>
  <c r="C935" i="4"/>
  <c r="I935" i="4" s="1"/>
  <c r="K935" i="4"/>
  <c r="H935" i="4"/>
  <c r="D935" i="4"/>
  <c r="B936" i="4"/>
  <c r="F935" i="4"/>
  <c r="G935" i="4"/>
  <c r="G936" i="4" l="1"/>
  <c r="E936" i="4"/>
  <c r="D936" i="4"/>
  <c r="C936" i="4"/>
  <c r="I936" i="4" s="1"/>
  <c r="K936" i="4"/>
  <c r="J936" i="4"/>
  <c r="B937" i="4"/>
  <c r="H936" i="4"/>
  <c r="F936" i="4"/>
  <c r="K937" i="4" l="1"/>
  <c r="J937" i="4"/>
  <c r="E937" i="4"/>
  <c r="H937" i="4"/>
  <c r="D937" i="4"/>
  <c r="F937" i="4"/>
  <c r="B938" i="4"/>
  <c r="G937" i="4"/>
  <c r="C937" i="4"/>
  <c r="I937" i="4" s="1"/>
  <c r="B939" i="4" l="1"/>
  <c r="H938" i="4"/>
  <c r="C938" i="4"/>
  <c r="I938" i="4" s="1"/>
  <c r="J938" i="4"/>
  <c r="K938" i="4"/>
  <c r="G938" i="4"/>
  <c r="E938" i="4"/>
  <c r="D938" i="4"/>
  <c r="F938" i="4"/>
  <c r="D939" i="4" l="1"/>
  <c r="B940" i="4"/>
  <c r="G939" i="4"/>
  <c r="K939" i="4"/>
  <c r="E939" i="4"/>
  <c r="F939" i="4"/>
  <c r="J939" i="4"/>
  <c r="C939" i="4"/>
  <c r="I939" i="4" s="1"/>
  <c r="H939" i="4"/>
  <c r="B941" i="4" l="1"/>
  <c r="C940" i="4"/>
  <c r="I940" i="4" s="1"/>
  <c r="G940" i="4"/>
  <c r="K940" i="4"/>
  <c r="J940" i="4"/>
  <c r="D940" i="4"/>
  <c r="H940" i="4"/>
  <c r="F940" i="4"/>
  <c r="E940" i="4"/>
  <c r="G941" i="4" l="1"/>
  <c r="F941" i="4"/>
  <c r="D941" i="4"/>
  <c r="B942" i="4"/>
  <c r="J941" i="4"/>
  <c r="K941" i="4"/>
  <c r="C941" i="4"/>
  <c r="I941" i="4" s="1"/>
  <c r="H941" i="4"/>
  <c r="E941" i="4"/>
  <c r="C942" i="4" l="1"/>
  <c r="I942" i="4" s="1"/>
  <c r="J942" i="4"/>
  <c r="K942" i="4"/>
  <c r="F942" i="4"/>
  <c r="D942" i="4"/>
  <c r="H942" i="4"/>
  <c r="G942" i="4"/>
  <c r="B943" i="4"/>
  <c r="E942" i="4"/>
  <c r="E943" i="4" l="1"/>
  <c r="K943" i="4"/>
  <c r="F943" i="4"/>
  <c r="D943" i="4"/>
  <c r="C943" i="4"/>
  <c r="I943" i="4" s="1"/>
  <c r="J943" i="4"/>
  <c r="B944" i="4"/>
  <c r="G943" i="4"/>
  <c r="H943" i="4"/>
  <c r="D944" i="4" l="1"/>
  <c r="H944" i="4"/>
  <c r="E944" i="4"/>
  <c r="J944" i="4"/>
  <c r="F944" i="4"/>
  <c r="K944" i="4"/>
  <c r="G944" i="4"/>
  <c r="B945" i="4"/>
  <c r="C944" i="4"/>
  <c r="I944" i="4" s="1"/>
  <c r="F945" i="4" l="1"/>
  <c r="H945" i="4"/>
  <c r="G945" i="4"/>
  <c r="C945" i="4"/>
  <c r="I945" i="4" s="1"/>
  <c r="B946" i="4"/>
  <c r="J945" i="4"/>
  <c r="D945" i="4"/>
  <c r="E945" i="4"/>
  <c r="K945" i="4"/>
  <c r="K946" i="4" l="1"/>
  <c r="C946" i="4"/>
  <c r="I946" i="4" s="1"/>
  <c r="G946" i="4"/>
  <c r="D946" i="4"/>
  <c r="B947" i="4"/>
  <c r="H946" i="4"/>
  <c r="E946" i="4"/>
  <c r="J946" i="4"/>
  <c r="F946" i="4"/>
  <c r="K947" i="4" l="1"/>
  <c r="F947" i="4"/>
  <c r="E947" i="4"/>
  <c r="G947" i="4"/>
  <c r="J947" i="4"/>
  <c r="C947" i="4"/>
  <c r="I947" i="4" s="1"/>
  <c r="D947" i="4"/>
  <c r="B948" i="4"/>
  <c r="H947" i="4"/>
  <c r="K948" i="4" l="1"/>
  <c r="E948" i="4"/>
  <c r="H948" i="4"/>
  <c r="J948" i="4"/>
  <c r="D948" i="4"/>
  <c r="B949" i="4"/>
  <c r="C948" i="4"/>
  <c r="G948" i="4"/>
  <c r="I948" i="4"/>
  <c r="F948" i="4"/>
  <c r="J949" i="4" l="1"/>
  <c r="B950" i="4"/>
  <c r="D949" i="4"/>
  <c r="C949" i="4"/>
  <c r="I949" i="4" s="1"/>
  <c r="F949" i="4"/>
  <c r="G949" i="4"/>
  <c r="K949" i="4"/>
  <c r="H949" i="4"/>
  <c r="E949" i="4"/>
  <c r="C950" i="4" l="1"/>
  <c r="G950" i="4"/>
  <c r="B951" i="4"/>
  <c r="H950" i="4"/>
  <c r="J950" i="4"/>
  <c r="D950" i="4"/>
  <c r="K950" i="4"/>
  <c r="E950" i="4"/>
  <c r="F950" i="4"/>
  <c r="I950" i="4"/>
  <c r="J951" i="4" l="1"/>
  <c r="G951" i="4"/>
  <c r="E951" i="4"/>
  <c r="F951" i="4"/>
  <c r="C951" i="4"/>
  <c r="I951" i="4" s="1"/>
  <c r="K951" i="4"/>
  <c r="B952" i="4"/>
  <c r="H951" i="4"/>
  <c r="D951" i="4"/>
  <c r="E952" i="4" l="1"/>
  <c r="J952" i="4"/>
  <c r="F952" i="4"/>
  <c r="G952" i="4"/>
  <c r="D952" i="4"/>
  <c r="C952" i="4"/>
  <c r="I952" i="4" s="1"/>
  <c r="B953" i="4"/>
  <c r="K952" i="4"/>
  <c r="H952" i="4"/>
  <c r="C953" i="4" l="1"/>
  <c r="E953" i="4"/>
  <c r="D953" i="4"/>
  <c r="F953" i="4"/>
  <c r="I953" i="4"/>
  <c r="J953" i="4"/>
  <c r="K953" i="4"/>
  <c r="B954" i="4"/>
  <c r="H953" i="4"/>
  <c r="G953" i="4"/>
  <c r="F954" i="4" l="1"/>
  <c r="B955" i="4"/>
  <c r="G954" i="4"/>
  <c r="E954" i="4"/>
  <c r="H954" i="4"/>
  <c r="J954" i="4"/>
  <c r="K954" i="4"/>
  <c r="C954" i="4"/>
  <c r="I954" i="4" s="1"/>
  <c r="D954" i="4"/>
  <c r="C955" i="4" l="1"/>
  <c r="I955" i="4" s="1"/>
  <c r="G955" i="4"/>
  <c r="J955" i="4"/>
  <c r="F955" i="4"/>
  <c r="E955" i="4"/>
  <c r="H955" i="4"/>
  <c r="K955" i="4"/>
  <c r="D955" i="4"/>
  <c r="B956" i="4"/>
  <c r="G956" i="4" l="1"/>
  <c r="C956" i="4"/>
  <c r="I956" i="4" s="1"/>
  <c r="F956" i="4"/>
  <c r="J956" i="4"/>
  <c r="K956" i="4"/>
  <c r="H956" i="4"/>
  <c r="E956" i="4"/>
  <c r="D956" i="4"/>
  <c r="B957" i="4"/>
  <c r="E957" i="4" l="1"/>
  <c r="B958" i="4"/>
  <c r="C957" i="4"/>
  <c r="I957" i="4" s="1"/>
  <c r="J957" i="4"/>
  <c r="K957" i="4"/>
  <c r="G957" i="4"/>
  <c r="F957" i="4"/>
  <c r="D957" i="4"/>
  <c r="H957" i="4"/>
  <c r="B959" i="4" l="1"/>
  <c r="C958" i="4"/>
  <c r="I958" i="4" s="1"/>
  <c r="H958" i="4"/>
  <c r="K958" i="4"/>
  <c r="F958" i="4"/>
  <c r="D958" i="4"/>
  <c r="J958" i="4"/>
  <c r="E958" i="4"/>
  <c r="G958" i="4"/>
  <c r="J959" i="4" l="1"/>
  <c r="E959" i="4"/>
  <c r="G959" i="4"/>
  <c r="F959" i="4"/>
  <c r="D959" i="4"/>
  <c r="C959" i="4"/>
  <c r="I959" i="4" s="1"/>
  <c r="B960" i="4"/>
  <c r="K959" i="4"/>
  <c r="H959" i="4"/>
  <c r="D960" i="4" l="1"/>
  <c r="B961" i="4"/>
  <c r="E960" i="4"/>
  <c r="C960" i="4"/>
  <c r="I960" i="4" s="1"/>
  <c r="G960" i="4"/>
  <c r="J960" i="4"/>
  <c r="K960" i="4"/>
  <c r="F960" i="4"/>
  <c r="H960" i="4"/>
  <c r="B962" i="4" l="1"/>
  <c r="D961" i="4"/>
  <c r="C961" i="4"/>
  <c r="I961" i="4" s="1"/>
  <c r="J961" i="4"/>
  <c r="K961" i="4"/>
  <c r="E961" i="4"/>
  <c r="F961" i="4"/>
  <c r="H961" i="4"/>
  <c r="G961" i="4"/>
  <c r="J962" i="4" l="1"/>
  <c r="G962" i="4"/>
  <c r="E962" i="4"/>
  <c r="K962" i="4"/>
  <c r="C962" i="4"/>
  <c r="I962" i="4" s="1"/>
  <c r="B963" i="4"/>
  <c r="D962" i="4"/>
  <c r="F962" i="4"/>
  <c r="H962" i="4"/>
  <c r="D963" i="4" l="1"/>
  <c r="H963" i="4"/>
  <c r="J963" i="4"/>
  <c r="B964" i="4"/>
  <c r="C963" i="4"/>
  <c r="I963" i="4" s="1"/>
  <c r="G963" i="4"/>
  <c r="E963" i="4"/>
  <c r="F963" i="4"/>
  <c r="K963" i="4"/>
  <c r="C964" i="4" l="1"/>
  <c r="I964" i="4" s="1"/>
  <c r="B965" i="4"/>
  <c r="K964" i="4"/>
  <c r="E964" i="4"/>
  <c r="J964" i="4"/>
  <c r="H964" i="4"/>
  <c r="G964" i="4"/>
  <c r="F964" i="4"/>
  <c r="D964" i="4"/>
  <c r="K965" i="4" l="1"/>
  <c r="D965" i="4"/>
  <c r="E965" i="4"/>
  <c r="B966" i="4"/>
  <c r="C965" i="4"/>
  <c r="I965" i="4" s="1"/>
  <c r="G965" i="4"/>
  <c r="F965" i="4"/>
  <c r="H965" i="4"/>
  <c r="J965" i="4"/>
  <c r="J966" i="4" l="1"/>
  <c r="C966" i="4"/>
  <c r="I966" i="4" s="1"/>
  <c r="G966" i="4"/>
  <c r="H966" i="4"/>
  <c r="F966" i="4"/>
  <c r="B967" i="4"/>
  <c r="K966" i="4"/>
  <c r="E966" i="4"/>
  <c r="D966" i="4"/>
  <c r="D967" i="4" l="1"/>
  <c r="B968" i="4"/>
  <c r="J967" i="4"/>
  <c r="G967" i="4"/>
  <c r="H967" i="4"/>
  <c r="C967" i="4"/>
  <c r="I967" i="4" s="1"/>
  <c r="E967" i="4"/>
  <c r="F967" i="4"/>
  <c r="K967" i="4"/>
  <c r="F968" i="4" l="1"/>
  <c r="K968" i="4"/>
  <c r="C968" i="4"/>
  <c r="I968" i="4" s="1"/>
  <c r="H968" i="4"/>
  <c r="G968" i="4"/>
  <c r="E968" i="4"/>
  <c r="J968" i="4"/>
  <c r="B969" i="4"/>
  <c r="D968" i="4"/>
  <c r="D969" i="4" l="1"/>
  <c r="J969" i="4"/>
  <c r="F969" i="4"/>
  <c r="E969" i="4"/>
  <c r="G969" i="4"/>
  <c r="B970" i="4"/>
  <c r="K969" i="4"/>
  <c r="C969" i="4"/>
  <c r="I969" i="4" s="1"/>
  <c r="H969" i="4"/>
  <c r="H970" i="4" l="1"/>
  <c r="G970" i="4"/>
  <c r="F970" i="4"/>
  <c r="K970" i="4"/>
  <c r="B971" i="4"/>
  <c r="J970" i="4"/>
  <c r="D970" i="4"/>
  <c r="C970" i="4"/>
  <c r="I970" i="4" s="1"/>
  <c r="E970" i="4"/>
  <c r="C971" i="4" l="1"/>
  <c r="I971" i="4" s="1"/>
  <c r="K971" i="4"/>
  <c r="E971" i="4"/>
  <c r="H971" i="4"/>
  <c r="B972" i="4"/>
  <c r="F971" i="4"/>
  <c r="G971" i="4"/>
  <c r="J971" i="4"/>
  <c r="D971" i="4"/>
  <c r="J972" i="4" l="1"/>
  <c r="C972" i="4"/>
  <c r="I972" i="4" s="1"/>
  <c r="K972" i="4"/>
  <c r="H972" i="4"/>
  <c r="F972" i="4"/>
  <c r="E972" i="4"/>
  <c r="B973" i="4"/>
  <c r="D972" i="4"/>
  <c r="G972" i="4"/>
  <c r="F973" i="4" l="1"/>
  <c r="K973" i="4"/>
  <c r="D973" i="4"/>
  <c r="G973" i="4"/>
  <c r="C973" i="4"/>
  <c r="I973" i="4" s="1"/>
  <c r="H973" i="4"/>
  <c r="J973" i="4"/>
  <c r="E973" i="4"/>
  <c r="B974" i="4"/>
  <c r="B975" i="4" l="1"/>
  <c r="K974" i="4"/>
  <c r="C974" i="4"/>
  <c r="I974" i="4" s="1"/>
  <c r="D974" i="4"/>
  <c r="E974" i="4"/>
  <c r="H974" i="4"/>
  <c r="F974" i="4"/>
  <c r="G974" i="4"/>
  <c r="J974" i="4"/>
  <c r="H975" i="4" l="1"/>
  <c r="D975" i="4"/>
  <c r="K975" i="4"/>
  <c r="G975" i="4"/>
  <c r="J975" i="4"/>
  <c r="E975" i="4"/>
  <c r="B976" i="4"/>
  <c r="F975" i="4"/>
  <c r="C975" i="4"/>
  <c r="I975" i="4" s="1"/>
  <c r="H976" i="4" l="1"/>
  <c r="C976" i="4"/>
  <c r="I976" i="4" s="1"/>
  <c r="J976" i="4"/>
  <c r="E976" i="4"/>
  <c r="D976" i="4"/>
  <c r="K976" i="4"/>
  <c r="B977" i="4"/>
  <c r="F976" i="4"/>
  <c r="G976" i="4"/>
  <c r="D977" i="4" l="1"/>
  <c r="J977" i="4"/>
  <c r="G977" i="4"/>
  <c r="H977" i="4"/>
  <c r="B978" i="4"/>
  <c r="K977" i="4"/>
  <c r="F977" i="4"/>
  <c r="C977" i="4"/>
  <c r="I977" i="4" s="1"/>
  <c r="E977" i="4"/>
  <c r="F978" i="4" l="1"/>
  <c r="J978" i="4"/>
  <c r="E978" i="4"/>
  <c r="C978" i="4"/>
  <c r="I978" i="4" s="1"/>
  <c r="G978" i="4"/>
  <c r="K978" i="4"/>
  <c r="B979" i="4"/>
  <c r="D978" i="4"/>
  <c r="H978" i="4"/>
  <c r="B980" i="4" l="1"/>
  <c r="H979" i="4"/>
  <c r="E979" i="4"/>
  <c r="K979" i="4"/>
  <c r="J979" i="4"/>
  <c r="F979" i="4"/>
  <c r="D979" i="4"/>
  <c r="G979" i="4"/>
  <c r="C979" i="4"/>
  <c r="I979" i="4" s="1"/>
  <c r="K980" i="4" l="1"/>
  <c r="B981" i="4"/>
  <c r="F980" i="4"/>
  <c r="D980" i="4"/>
  <c r="C980" i="4"/>
  <c r="I980" i="4" s="1"/>
  <c r="G980" i="4"/>
  <c r="H980" i="4"/>
  <c r="J980" i="4"/>
  <c r="E980" i="4"/>
  <c r="D981" i="4" l="1"/>
  <c r="B982" i="4"/>
  <c r="J981" i="4"/>
  <c r="C981" i="4"/>
  <c r="I981" i="4" s="1"/>
  <c r="E981" i="4"/>
  <c r="K981" i="4"/>
  <c r="G981" i="4"/>
  <c r="F981" i="4"/>
  <c r="H981" i="4"/>
  <c r="G982" i="4" l="1"/>
  <c r="E982" i="4"/>
  <c r="K982" i="4"/>
  <c r="C982" i="4"/>
  <c r="I982" i="4" s="1"/>
  <c r="H982" i="4"/>
  <c r="F982" i="4"/>
  <c r="D982" i="4"/>
  <c r="J982" i="4"/>
  <c r="B983" i="4"/>
  <c r="E983" i="4" l="1"/>
  <c r="G983" i="4"/>
  <c r="F983" i="4"/>
  <c r="H983" i="4"/>
  <c r="J983" i="4"/>
  <c r="B984" i="4"/>
  <c r="C983" i="4"/>
  <c r="I983" i="4" s="1"/>
  <c r="D983" i="4"/>
  <c r="K983" i="4"/>
  <c r="D984" i="4" l="1"/>
  <c r="J984" i="4"/>
  <c r="C984" i="4"/>
  <c r="I984" i="4" s="1"/>
  <c r="H984" i="4"/>
  <c r="B985" i="4"/>
  <c r="G984" i="4"/>
  <c r="F984" i="4"/>
  <c r="K984" i="4"/>
  <c r="E984" i="4"/>
  <c r="C985" i="4" l="1"/>
  <c r="I985" i="4" s="1"/>
  <c r="H985" i="4"/>
  <c r="K985" i="4"/>
  <c r="G985" i="4"/>
  <c r="J985" i="4"/>
  <c r="D985" i="4"/>
  <c r="F985" i="4"/>
  <c r="E985" i="4"/>
  <c r="B986" i="4"/>
  <c r="K986" i="4" l="1"/>
  <c r="C986" i="4"/>
  <c r="I986" i="4" s="1"/>
  <c r="J986" i="4"/>
  <c r="G986" i="4"/>
  <c r="E986" i="4"/>
  <c r="B987" i="4"/>
  <c r="F986" i="4"/>
  <c r="H986" i="4"/>
  <c r="D986" i="4"/>
  <c r="H987" i="4" l="1"/>
  <c r="K987" i="4"/>
  <c r="D987" i="4"/>
  <c r="B988" i="4"/>
  <c r="F987" i="4"/>
  <c r="G987" i="4"/>
  <c r="E987" i="4"/>
  <c r="J987" i="4"/>
  <c r="C987" i="4"/>
  <c r="I987" i="4" s="1"/>
  <c r="F988" i="4" l="1"/>
  <c r="B989" i="4"/>
  <c r="G988" i="4"/>
  <c r="E988" i="4"/>
  <c r="H988" i="4"/>
  <c r="C988" i="4"/>
  <c r="I988" i="4" s="1"/>
  <c r="J988" i="4"/>
  <c r="D988" i="4"/>
  <c r="K988" i="4"/>
  <c r="J989" i="4" l="1"/>
  <c r="B990" i="4"/>
  <c r="K989" i="4"/>
  <c r="G989" i="4"/>
  <c r="D989" i="4"/>
  <c r="C989" i="4"/>
  <c r="I989" i="4" s="1"/>
  <c r="E989" i="4"/>
  <c r="F989" i="4"/>
  <c r="H989" i="4"/>
  <c r="E990" i="4" l="1"/>
  <c r="F990" i="4"/>
  <c r="J990" i="4"/>
  <c r="C990" i="4"/>
  <c r="H990" i="4"/>
  <c r="D990" i="4"/>
  <c r="K990" i="4"/>
  <c r="G990" i="4"/>
  <c r="B991" i="4"/>
  <c r="I990" i="4"/>
  <c r="J991" i="4" l="1"/>
  <c r="H991" i="4"/>
  <c r="C991" i="4"/>
  <c r="I991" i="4" s="1"/>
  <c r="F991" i="4"/>
  <c r="D991" i="4"/>
  <c r="G991" i="4"/>
  <c r="K991" i="4"/>
  <c r="E991" i="4"/>
  <c r="B992" i="4"/>
  <c r="K992" i="4" l="1"/>
  <c r="D992" i="4"/>
  <c r="B993" i="4"/>
  <c r="H992" i="4"/>
  <c r="G992" i="4"/>
  <c r="C992" i="4"/>
  <c r="I992" i="4" s="1"/>
  <c r="E992" i="4"/>
  <c r="F992" i="4"/>
  <c r="J992" i="4"/>
  <c r="G993" i="4" l="1"/>
  <c r="D993" i="4"/>
  <c r="J993" i="4"/>
  <c r="K993" i="4"/>
  <c r="E993" i="4"/>
  <c r="B994" i="4"/>
  <c r="F993" i="4"/>
  <c r="H993" i="4"/>
  <c r="C993" i="4"/>
  <c r="I993" i="4" s="1"/>
  <c r="K994" i="4" l="1"/>
  <c r="E994" i="4"/>
  <c r="H994" i="4"/>
  <c r="J994" i="4"/>
  <c r="F994" i="4"/>
  <c r="B995" i="4"/>
  <c r="G994" i="4"/>
  <c r="D994" i="4"/>
  <c r="C994" i="4"/>
  <c r="I994" i="4" s="1"/>
  <c r="K995" i="4" l="1"/>
  <c r="C995" i="4"/>
  <c r="I995" i="4" s="1"/>
  <c r="G995" i="4"/>
  <c r="B996" i="4"/>
  <c r="J995" i="4"/>
  <c r="D995" i="4"/>
  <c r="F995" i="4"/>
  <c r="H995" i="4"/>
  <c r="E995" i="4"/>
  <c r="B997" i="4" l="1"/>
  <c r="J996" i="4"/>
  <c r="C996" i="4"/>
  <c r="I996" i="4" s="1"/>
  <c r="K996" i="4"/>
  <c r="D996" i="4"/>
  <c r="H996" i="4"/>
  <c r="E996" i="4"/>
  <c r="G996" i="4"/>
  <c r="F996" i="4"/>
  <c r="E997" i="4" l="1"/>
  <c r="B998" i="4"/>
  <c r="H997" i="4"/>
  <c r="F997" i="4"/>
  <c r="C997" i="4"/>
  <c r="I997" i="4" s="1"/>
  <c r="G997" i="4"/>
  <c r="D997" i="4"/>
  <c r="K997" i="4"/>
  <c r="J997" i="4"/>
  <c r="K998" i="4" l="1"/>
  <c r="H998" i="4"/>
  <c r="F998" i="4"/>
  <c r="B999" i="4"/>
  <c r="J998" i="4"/>
  <c r="G998" i="4"/>
  <c r="C998" i="4"/>
  <c r="I998" i="4" s="1"/>
  <c r="D998" i="4"/>
  <c r="E998" i="4"/>
  <c r="E999" i="4" l="1"/>
  <c r="G999" i="4"/>
  <c r="K999" i="4"/>
  <c r="H999" i="4"/>
  <c r="B1000" i="4"/>
  <c r="D999" i="4"/>
  <c r="C999" i="4"/>
  <c r="I999" i="4" s="1"/>
  <c r="F999" i="4"/>
  <c r="J999" i="4"/>
  <c r="B1001" i="4" l="1"/>
  <c r="F1000" i="4"/>
  <c r="G1000" i="4"/>
  <c r="C1000" i="4"/>
  <c r="I1000" i="4" s="1"/>
  <c r="E1000" i="4"/>
  <c r="D1000" i="4"/>
  <c r="J1000" i="4"/>
  <c r="K1000" i="4"/>
  <c r="H1000" i="4"/>
  <c r="G1001" i="4" l="1"/>
  <c r="D1001" i="4"/>
  <c r="J1001" i="4"/>
  <c r="C1001" i="4"/>
  <c r="I1001" i="4" s="1"/>
  <c r="E1001" i="4"/>
  <c r="F1001" i="4"/>
  <c r="B1002" i="4"/>
  <c r="H1001" i="4"/>
  <c r="K1001" i="4"/>
  <c r="D1002" i="4" l="1"/>
  <c r="F1002" i="4"/>
  <c r="H1002" i="4"/>
  <c r="B1003" i="4"/>
  <c r="K1002" i="4"/>
  <c r="G1002" i="4"/>
  <c r="C1002" i="4"/>
  <c r="I1002" i="4" s="1"/>
  <c r="J1002" i="4"/>
  <c r="E1002" i="4"/>
  <c r="F1003" i="4" l="1"/>
  <c r="E1003" i="4"/>
  <c r="B1004" i="4"/>
  <c r="H1003" i="4"/>
  <c r="K1003" i="4"/>
  <c r="J1003" i="4"/>
  <c r="D1003" i="4"/>
  <c r="C1003" i="4"/>
  <c r="I1003" i="4" s="1"/>
  <c r="G1003" i="4"/>
  <c r="H1004" i="4" l="1"/>
  <c r="G1004" i="4"/>
  <c r="J1004" i="4"/>
  <c r="E1004" i="4"/>
  <c r="K1004" i="4"/>
  <c r="D1004" i="4"/>
  <c r="B1005" i="4"/>
  <c r="C1004" i="4"/>
  <c r="I1004" i="4" s="1"/>
  <c r="F1004" i="4"/>
  <c r="K1005" i="4" l="1"/>
  <c r="F1005" i="4"/>
  <c r="G1005" i="4"/>
  <c r="E1005" i="4"/>
  <c r="J1005" i="4"/>
  <c r="B1006" i="4"/>
  <c r="C1005" i="4"/>
  <c r="I1005" i="4" s="1"/>
  <c r="H1005" i="4"/>
  <c r="D1005" i="4"/>
  <c r="J1006" i="4" l="1"/>
  <c r="F1006" i="4"/>
  <c r="D1006" i="4"/>
  <c r="B1007" i="4"/>
  <c r="K1006" i="4"/>
  <c r="E1006" i="4"/>
  <c r="G1006" i="4"/>
  <c r="C1006" i="4"/>
  <c r="I1006" i="4" s="1"/>
  <c r="H1006" i="4"/>
  <c r="G1007" i="4" l="1"/>
  <c r="J1007" i="4"/>
  <c r="E1007" i="4"/>
  <c r="B1008" i="4"/>
  <c r="C1007" i="4"/>
  <c r="I1007" i="4" s="1"/>
  <c r="D1007" i="4"/>
  <c r="K1007" i="4"/>
  <c r="H1007" i="4"/>
  <c r="F1007" i="4"/>
  <c r="H1008" i="4" l="1"/>
  <c r="K1008" i="4"/>
  <c r="C1008" i="4"/>
  <c r="I1008" i="4" s="1"/>
  <c r="E1008" i="4"/>
  <c r="F1008" i="4"/>
  <c r="B1009" i="4"/>
  <c r="D1008" i="4"/>
  <c r="J1008" i="4"/>
  <c r="G1008" i="4"/>
  <c r="F1009" i="4" l="1"/>
  <c r="K1009" i="4"/>
  <c r="G1009" i="4"/>
  <c r="J1009" i="4"/>
  <c r="H1009" i="4"/>
  <c r="E1009" i="4"/>
  <c r="D1009" i="4"/>
  <c r="C1009" i="4"/>
  <c r="I1009" i="4" s="1"/>
  <c r="B1010" i="4"/>
  <c r="D1010" i="4" l="1"/>
  <c r="G1010" i="4"/>
  <c r="E1010" i="4"/>
  <c r="J1010" i="4"/>
  <c r="H1010" i="4"/>
  <c r="K1010" i="4"/>
  <c r="F1010" i="4"/>
  <c r="C1010" i="4"/>
  <c r="I1010" i="4" s="1"/>
  <c r="B1011" i="4"/>
  <c r="E1011" i="4" l="1"/>
  <c r="C1011" i="4"/>
  <c r="I1011" i="4" s="1"/>
  <c r="D1011" i="4"/>
  <c r="H1011" i="4"/>
  <c r="F1011" i="4"/>
  <c r="K1011" i="4"/>
  <c r="B1012" i="4"/>
  <c r="J1011" i="4"/>
  <c r="G1011" i="4"/>
  <c r="B1013" i="4" l="1"/>
  <c r="D1012" i="4"/>
  <c r="F1012" i="4"/>
  <c r="H1012" i="4"/>
  <c r="J1012" i="4"/>
  <c r="G1012" i="4"/>
  <c r="K1012" i="4"/>
  <c r="E1012" i="4"/>
  <c r="C1012" i="4"/>
  <c r="I1012" i="4" s="1"/>
  <c r="E1013" i="4" l="1"/>
  <c r="G1013" i="4"/>
  <c r="J1013" i="4"/>
  <c r="F1013" i="4"/>
  <c r="K1013" i="4"/>
  <c r="D1013" i="4"/>
  <c r="H1013" i="4"/>
  <c r="B1014" i="4"/>
  <c r="C1013" i="4"/>
  <c r="I1013" i="4" s="1"/>
  <c r="G1014" i="4" l="1"/>
  <c r="E1014" i="4"/>
  <c r="K1014" i="4"/>
  <c r="J1014" i="4"/>
  <c r="F1014" i="4"/>
  <c r="H1014" i="4"/>
  <c r="C1014" i="4"/>
  <c r="I1014" i="4" s="1"/>
  <c r="B1015" i="4"/>
  <c r="D1014" i="4"/>
  <c r="B1016" i="4" l="1"/>
  <c r="F1015" i="4"/>
  <c r="G1015" i="4"/>
  <c r="J1015" i="4"/>
  <c r="C1015" i="4"/>
  <c r="I1015" i="4" s="1"/>
  <c r="E1015" i="4"/>
  <c r="K1015" i="4"/>
  <c r="D1015" i="4"/>
  <c r="H1015" i="4"/>
  <c r="B1017" i="4" l="1"/>
  <c r="C1016" i="4"/>
  <c r="I1016" i="4" s="1"/>
  <c r="D1016" i="4"/>
  <c r="G1016" i="4"/>
  <c r="E1016" i="4"/>
  <c r="J1016" i="4"/>
  <c r="H1016" i="4"/>
  <c r="K1016" i="4"/>
  <c r="F1016" i="4"/>
  <c r="J1017" i="4" l="1"/>
  <c r="K1017" i="4"/>
  <c r="F1017" i="4"/>
  <c r="C1017" i="4"/>
  <c r="I1017" i="4" s="1"/>
  <c r="E1017" i="4"/>
  <c r="D1017" i="4"/>
  <c r="G1017" i="4"/>
  <c r="H1017" i="4"/>
  <c r="B1018" i="4"/>
  <c r="D1018" i="4" l="1"/>
  <c r="E1018" i="4"/>
  <c r="K1018" i="4"/>
  <c r="B1019" i="4"/>
  <c r="J1018" i="4"/>
  <c r="F1018" i="4"/>
  <c r="C1018" i="4"/>
  <c r="I1018" i="4" s="1"/>
  <c r="H1018" i="4"/>
  <c r="G1018" i="4"/>
  <c r="E1019" i="4" l="1"/>
  <c r="C1019" i="4"/>
  <c r="I1019" i="4" s="1"/>
  <c r="J1019" i="4"/>
  <c r="D1019" i="4"/>
  <c r="K1019" i="4"/>
  <c r="B1020" i="4"/>
  <c r="G1019" i="4"/>
  <c r="F1019" i="4"/>
  <c r="H1019" i="4"/>
  <c r="C1020" i="4" l="1"/>
  <c r="I1020" i="4" s="1"/>
  <c r="J1020" i="4"/>
  <c r="E1020" i="4"/>
  <c r="G1020" i="4"/>
  <c r="F1020" i="4"/>
  <c r="K1020" i="4"/>
  <c r="H1020" i="4"/>
  <c r="B1021" i="4"/>
  <c r="D1020" i="4"/>
  <c r="K1021" i="4" l="1"/>
  <c r="C1021" i="4"/>
  <c r="I1021" i="4" s="1"/>
  <c r="G1021" i="4"/>
  <c r="E1021" i="4"/>
  <c r="J1021" i="4"/>
  <c r="B1022" i="4"/>
  <c r="D1021" i="4"/>
  <c r="F1021" i="4"/>
  <c r="H1021" i="4"/>
  <c r="J1022" i="4" l="1"/>
  <c r="D1022" i="4"/>
  <c r="E1022" i="4"/>
  <c r="G1022" i="4"/>
  <c r="H1022" i="4"/>
  <c r="K1022" i="4"/>
  <c r="C1022" i="4"/>
  <c r="I1022" i="4" s="1"/>
  <c r="B1023" i="4"/>
  <c r="F1022" i="4"/>
  <c r="K1023" i="4" l="1"/>
  <c r="B1024" i="4"/>
  <c r="G1023" i="4"/>
  <c r="F1023" i="4"/>
  <c r="C1023" i="4"/>
  <c r="I1023" i="4" s="1"/>
  <c r="J1023" i="4"/>
  <c r="H1023" i="4"/>
  <c r="E1023" i="4"/>
  <c r="D1023" i="4"/>
  <c r="F1024" i="4" l="1"/>
  <c r="G1024" i="4"/>
  <c r="E1024" i="4"/>
  <c r="K1024" i="4"/>
  <c r="B1025" i="4"/>
  <c r="H1024" i="4"/>
  <c r="D1024" i="4"/>
  <c r="J1024" i="4"/>
  <c r="C1024" i="4"/>
  <c r="I1024" i="4" s="1"/>
  <c r="J1025" i="4" l="1"/>
  <c r="E1025" i="4"/>
  <c r="F1025" i="4"/>
  <c r="C1025" i="4"/>
  <c r="I1025" i="4" s="1"/>
  <c r="H1025" i="4"/>
  <c r="D1025" i="4"/>
  <c r="G1025" i="4"/>
  <c r="K1025" i="4"/>
  <c r="B1026" i="4"/>
  <c r="F1026" i="4" l="1"/>
  <c r="C1026" i="4"/>
  <c r="I1026" i="4" s="1"/>
  <c r="J1026" i="4"/>
  <c r="K1026" i="4"/>
  <c r="E1026" i="4"/>
  <c r="G1026" i="4"/>
  <c r="H1026" i="4"/>
  <c r="B1027" i="4"/>
  <c r="D1026" i="4"/>
  <c r="G1027" i="4" l="1"/>
  <c r="B1028" i="4"/>
  <c r="H1027" i="4"/>
  <c r="C1027" i="4"/>
  <c r="I1027" i="4" s="1"/>
  <c r="K1027" i="4"/>
  <c r="J1027" i="4"/>
  <c r="D1027" i="4"/>
  <c r="E1027" i="4"/>
  <c r="F1027" i="4"/>
  <c r="H1028" i="4" l="1"/>
  <c r="D1028" i="4"/>
  <c r="E1028" i="4"/>
  <c r="K1028" i="4"/>
  <c r="C1028" i="4"/>
  <c r="I1028" i="4" s="1"/>
  <c r="J1028" i="4"/>
  <c r="B1029" i="4"/>
  <c r="G1028" i="4"/>
  <c r="F1028" i="4"/>
  <c r="G1029" i="4" l="1"/>
  <c r="H1029" i="4"/>
  <c r="D1029" i="4"/>
  <c r="C1029" i="4"/>
  <c r="I1029" i="4" s="1"/>
  <c r="K1029" i="4"/>
  <c r="E1029" i="4"/>
  <c r="J1029" i="4"/>
  <c r="B1030" i="4"/>
  <c r="F1029" i="4"/>
  <c r="D1030" i="4" l="1"/>
  <c r="J1030" i="4"/>
  <c r="K1030" i="4"/>
  <c r="F1030" i="4"/>
  <c r="B1031" i="4"/>
  <c r="C1030" i="4"/>
  <c r="I1030" i="4" s="1"/>
  <c r="H1030" i="4"/>
  <c r="G1030" i="4"/>
  <c r="E1030" i="4"/>
  <c r="K1031" i="4" l="1"/>
  <c r="G1031" i="4"/>
  <c r="J1031" i="4"/>
  <c r="H1031" i="4"/>
  <c r="C1031" i="4"/>
  <c r="I1031" i="4" s="1"/>
  <c r="F1031" i="4"/>
  <c r="E1031" i="4"/>
  <c r="B1032" i="4"/>
  <c r="D1031" i="4"/>
  <c r="E1032" i="4" l="1"/>
  <c r="H1032" i="4"/>
  <c r="D1032" i="4"/>
  <c r="C1032" i="4"/>
  <c r="I1032" i="4" s="1"/>
  <c r="B1033" i="4"/>
  <c r="K1032" i="4"/>
  <c r="J1032" i="4"/>
  <c r="G1032" i="4"/>
  <c r="F1032" i="4"/>
  <c r="H1033" i="4" l="1"/>
  <c r="G1033" i="4"/>
  <c r="E1033" i="4"/>
  <c r="J1033" i="4"/>
  <c r="D1033" i="4"/>
  <c r="K1033" i="4"/>
  <c r="F1033" i="4"/>
  <c r="B1034" i="4"/>
  <c r="C1033" i="4"/>
  <c r="I1033" i="4" s="1"/>
  <c r="K1034" i="4" l="1"/>
  <c r="F1034" i="4"/>
  <c r="E1034" i="4"/>
  <c r="J1034" i="4"/>
  <c r="B1035" i="4"/>
  <c r="G1034" i="4"/>
  <c r="D1034" i="4"/>
  <c r="C1034" i="4"/>
  <c r="I1034" i="4" s="1"/>
  <c r="H1034" i="4"/>
  <c r="J1035" i="4" l="1"/>
  <c r="H1035" i="4"/>
  <c r="E1035" i="4"/>
  <c r="B1036" i="4"/>
  <c r="F1035" i="4"/>
  <c r="G1035" i="4"/>
  <c r="K1035" i="4"/>
  <c r="C1035" i="4"/>
  <c r="I1035" i="4" s="1"/>
  <c r="D1035" i="4"/>
  <c r="E1036" i="4" l="1"/>
  <c r="C1036" i="4"/>
  <c r="I1036" i="4" s="1"/>
  <c r="H1036" i="4"/>
  <c r="J1036" i="4"/>
  <c r="K1036" i="4"/>
  <c r="G1036" i="4"/>
  <c r="D1036" i="4"/>
  <c r="B1037" i="4"/>
  <c r="F1036" i="4"/>
  <c r="F1037" i="4" l="1"/>
  <c r="C1037" i="4"/>
  <c r="I1037" i="4" s="1"/>
  <c r="K1037" i="4"/>
  <c r="E1037" i="4"/>
  <c r="G1037" i="4"/>
  <c r="D1037" i="4"/>
  <c r="B1038" i="4"/>
  <c r="J1037" i="4"/>
  <c r="H1037" i="4"/>
  <c r="K1038" i="4" l="1"/>
  <c r="G1038" i="4"/>
  <c r="C1038" i="4"/>
  <c r="I1038" i="4" s="1"/>
  <c r="D1038" i="4"/>
  <c r="J1038" i="4"/>
  <c r="H1038" i="4"/>
  <c r="E1038" i="4"/>
  <c r="F1038" i="4"/>
  <c r="B1039" i="4"/>
  <c r="J1039" i="4" l="1"/>
  <c r="F1039" i="4"/>
  <c r="H1039" i="4"/>
  <c r="E1039" i="4"/>
  <c r="B1040" i="4"/>
  <c r="D1039" i="4"/>
  <c r="K1039" i="4"/>
  <c r="C1039" i="4"/>
  <c r="I1039" i="4" s="1"/>
  <c r="G1039" i="4"/>
  <c r="B1041" i="4" l="1"/>
  <c r="D1040" i="4"/>
  <c r="C1040" i="4"/>
  <c r="I1040" i="4" s="1"/>
  <c r="G1040" i="4"/>
  <c r="K1040" i="4"/>
  <c r="E1040" i="4"/>
  <c r="F1040" i="4"/>
  <c r="J1040" i="4"/>
  <c r="H1040" i="4"/>
  <c r="K1041" i="4" l="1"/>
  <c r="E1041" i="4"/>
  <c r="C1041" i="4"/>
  <c r="I1041" i="4" s="1"/>
  <c r="G1041" i="4"/>
  <c r="J1041" i="4"/>
  <c r="H1041" i="4"/>
  <c r="B1042" i="4"/>
  <c r="F1041" i="4"/>
  <c r="D1041" i="4"/>
  <c r="K1042" i="4" l="1"/>
  <c r="D1042" i="4"/>
  <c r="F1042" i="4"/>
  <c r="E1042" i="4"/>
  <c r="B1043" i="4"/>
  <c r="H1042" i="4"/>
  <c r="G1042" i="4"/>
  <c r="J1042" i="4"/>
  <c r="C1042" i="4"/>
  <c r="I1042" i="4" s="1"/>
  <c r="K1043" i="4" l="1"/>
  <c r="B1044" i="4"/>
  <c r="J1043" i="4"/>
  <c r="G1043" i="4"/>
  <c r="E1043" i="4"/>
  <c r="C1043" i="4"/>
  <c r="I1043" i="4" s="1"/>
  <c r="F1043" i="4"/>
  <c r="D1043" i="4"/>
  <c r="H1043" i="4"/>
  <c r="H1044" i="4" l="1"/>
  <c r="D1044" i="4"/>
  <c r="J1044" i="4"/>
  <c r="G1044" i="4"/>
  <c r="C1044" i="4"/>
  <c r="I1044" i="4" s="1"/>
  <c r="F1044" i="4"/>
  <c r="K1044" i="4"/>
  <c r="E1044" i="4"/>
  <c r="B1045" i="4"/>
  <c r="J1045" i="4" l="1"/>
  <c r="D1045" i="4"/>
  <c r="E1045" i="4"/>
  <c r="K1045" i="4"/>
  <c r="H1045" i="4"/>
  <c r="F1045" i="4"/>
  <c r="C1045" i="4"/>
  <c r="I1045" i="4" s="1"/>
  <c r="G1045" i="4"/>
  <c r="B1046" i="4"/>
  <c r="C1046" i="4" l="1"/>
  <c r="I1046" i="4" s="1"/>
  <c r="E1046" i="4"/>
  <c r="K1046" i="4"/>
  <c r="F1046" i="4"/>
  <c r="H1046" i="4"/>
  <c r="G1046" i="4"/>
  <c r="B1047" i="4"/>
  <c r="J1046" i="4"/>
  <c r="D1046" i="4"/>
  <c r="C1047" i="4" l="1"/>
  <c r="I1047" i="4" s="1"/>
  <c r="D1047" i="4"/>
  <c r="B1048" i="4"/>
  <c r="J1047" i="4"/>
  <c r="K1047" i="4"/>
  <c r="H1047" i="4"/>
  <c r="E1047" i="4"/>
  <c r="G1047" i="4"/>
  <c r="F1047" i="4"/>
  <c r="H1048" i="4" l="1"/>
  <c r="G1048" i="4"/>
  <c r="J1048" i="4"/>
  <c r="B1049" i="4"/>
  <c r="E1048" i="4"/>
  <c r="K1048" i="4"/>
  <c r="F1048" i="4"/>
  <c r="C1048" i="4"/>
  <c r="I1048" i="4" s="1"/>
  <c r="D1048" i="4"/>
  <c r="D1049" i="4" l="1"/>
  <c r="E1049" i="4"/>
  <c r="K1049" i="4"/>
  <c r="J1049" i="4"/>
  <c r="H1049" i="4"/>
  <c r="B1050" i="4"/>
  <c r="F1049" i="4"/>
  <c r="G1049" i="4"/>
  <c r="C1049" i="4"/>
  <c r="I1049" i="4" s="1"/>
  <c r="G1050" i="4" l="1"/>
  <c r="E1050" i="4"/>
  <c r="F1050" i="4"/>
  <c r="C1050" i="4"/>
  <c r="I1050" i="4" s="1"/>
  <c r="D1050" i="4"/>
  <c r="B1051" i="4"/>
  <c r="J1050" i="4"/>
  <c r="H1050" i="4"/>
  <c r="K1050" i="4"/>
  <c r="F1051" i="4" l="1"/>
  <c r="H1051" i="4"/>
  <c r="J1051" i="4"/>
  <c r="D1051" i="4"/>
  <c r="G1051" i="4"/>
  <c r="K1051" i="4"/>
  <c r="B1052" i="4"/>
  <c r="E1051" i="4"/>
  <c r="C1051" i="4"/>
  <c r="I1051" i="4" s="1"/>
  <c r="C1052" i="4" l="1"/>
  <c r="I1052" i="4" s="1"/>
  <c r="J1052" i="4"/>
  <c r="G1052" i="4"/>
  <c r="K1052" i="4"/>
  <c r="E1052" i="4"/>
  <c r="D1052" i="4"/>
  <c r="B1053" i="4"/>
  <c r="H1052" i="4"/>
  <c r="F1052" i="4"/>
  <c r="H1053" i="4" l="1"/>
  <c r="K1053" i="4"/>
  <c r="F1053" i="4"/>
  <c r="C1053" i="4"/>
  <c r="I1053" i="4" s="1"/>
  <c r="E1053" i="4"/>
  <c r="B1054" i="4"/>
  <c r="G1053" i="4"/>
  <c r="J1053" i="4"/>
  <c r="D1053" i="4"/>
  <c r="B1055" i="4" l="1"/>
  <c r="J1054" i="4"/>
  <c r="C1054" i="4"/>
  <c r="I1054" i="4" s="1"/>
  <c r="K1054" i="4"/>
  <c r="G1054" i="4"/>
  <c r="D1054" i="4"/>
  <c r="F1054" i="4"/>
  <c r="E1054" i="4"/>
  <c r="H1054" i="4"/>
  <c r="G1055" i="4" l="1"/>
  <c r="E1055" i="4"/>
  <c r="C1055" i="4"/>
  <c r="I1055" i="4" s="1"/>
  <c r="K1055" i="4"/>
  <c r="J1055" i="4"/>
  <c r="H1055" i="4"/>
  <c r="D1055" i="4"/>
  <c r="F1055" i="4"/>
  <c r="B1056" i="4"/>
  <c r="E1056" i="4" l="1"/>
  <c r="F1056" i="4"/>
  <c r="H1056" i="4"/>
  <c r="B1057" i="4"/>
  <c r="K1056" i="4"/>
  <c r="G1056" i="4"/>
  <c r="C1056" i="4"/>
  <c r="I1056" i="4" s="1"/>
  <c r="J1056" i="4"/>
  <c r="D1056" i="4"/>
  <c r="D1057" i="4" l="1"/>
  <c r="J1057" i="4"/>
  <c r="G1057" i="4"/>
  <c r="F1057" i="4"/>
  <c r="K1057" i="4"/>
  <c r="H1057" i="4"/>
  <c r="E1057" i="4"/>
  <c r="C1057" i="4"/>
  <c r="I1057" i="4" s="1"/>
  <c r="B1058" i="4"/>
  <c r="J1058" i="4" l="1"/>
  <c r="F1058" i="4"/>
  <c r="B1059" i="4"/>
  <c r="H1058" i="4"/>
  <c r="C1058" i="4"/>
  <c r="I1058" i="4" s="1"/>
  <c r="G1058" i="4"/>
  <c r="D1058" i="4"/>
  <c r="K1058" i="4"/>
  <c r="E1058" i="4"/>
  <c r="D1059" i="4" l="1"/>
  <c r="G1059" i="4"/>
  <c r="K1059" i="4"/>
  <c r="J1059" i="4"/>
  <c r="B1060" i="4"/>
  <c r="E1059" i="4"/>
  <c r="H1059" i="4"/>
  <c r="F1059" i="4"/>
  <c r="C1059" i="4"/>
  <c r="I1059" i="4" s="1"/>
  <c r="G1060" i="4" l="1"/>
  <c r="E1060" i="4"/>
  <c r="C1060" i="4"/>
  <c r="I1060" i="4" s="1"/>
  <c r="H1060" i="4"/>
  <c r="J1060" i="4"/>
  <c r="K1060" i="4"/>
  <c r="B1061" i="4"/>
  <c r="D1060" i="4"/>
  <c r="F1060" i="4"/>
  <c r="K1061" i="4" l="1"/>
  <c r="G1061" i="4"/>
  <c r="F1061" i="4"/>
  <c r="J1061" i="4"/>
  <c r="H1061" i="4"/>
  <c r="B1062" i="4"/>
  <c r="C1061" i="4"/>
  <c r="I1061" i="4" s="1"/>
  <c r="E1061" i="4"/>
  <c r="D1061" i="4"/>
  <c r="C1062" i="4" l="1"/>
  <c r="J1062" i="4"/>
  <c r="K1062" i="4"/>
  <c r="G1062" i="4"/>
  <c r="D1062" i="4"/>
  <c r="H1062" i="4"/>
  <c r="B1063" i="4"/>
  <c r="I1062" i="4"/>
  <c r="E1062" i="4"/>
  <c r="F1062" i="4"/>
  <c r="G1063" i="4" l="1"/>
  <c r="B1064" i="4"/>
  <c r="D1063" i="4"/>
  <c r="E1063" i="4"/>
  <c r="J1063" i="4"/>
  <c r="F1063" i="4"/>
  <c r="K1063" i="4"/>
  <c r="C1063" i="4"/>
  <c r="I1063" i="4" s="1"/>
  <c r="H1063" i="4"/>
  <c r="D1064" i="4" l="1"/>
  <c r="G1064" i="4"/>
  <c r="E1064" i="4"/>
  <c r="F1064" i="4"/>
  <c r="H1064" i="4"/>
  <c r="C1064" i="4"/>
  <c r="I1064" i="4" s="1"/>
  <c r="B1065" i="4"/>
  <c r="J1064" i="4"/>
  <c r="K1064" i="4"/>
  <c r="J1065" i="4" l="1"/>
  <c r="H1065" i="4"/>
  <c r="K1065" i="4"/>
  <c r="B1066" i="4"/>
  <c r="G1065" i="4"/>
  <c r="E1065" i="4"/>
  <c r="F1065" i="4"/>
  <c r="C1065" i="4"/>
  <c r="I1065" i="4" s="1"/>
  <c r="D1065" i="4"/>
  <c r="G1066" i="4" l="1"/>
  <c r="K1066" i="4"/>
  <c r="D1066" i="4"/>
  <c r="B1067" i="4"/>
  <c r="C1066" i="4"/>
  <c r="I1066" i="4" s="1"/>
  <c r="E1066" i="4"/>
  <c r="F1066" i="4"/>
  <c r="J1066" i="4"/>
  <c r="H1066" i="4"/>
  <c r="J1067" i="4" l="1"/>
  <c r="G1067" i="4"/>
  <c r="D1067" i="4"/>
  <c r="B1068" i="4"/>
  <c r="E1067" i="4"/>
  <c r="H1067" i="4"/>
  <c r="K1067" i="4"/>
  <c r="C1067" i="4"/>
  <c r="I1067" i="4" s="1"/>
  <c r="F1067" i="4"/>
  <c r="E1068" i="4" l="1"/>
  <c r="F1068" i="4"/>
  <c r="G1068" i="4"/>
  <c r="K1068" i="4"/>
  <c r="D1068" i="4"/>
  <c r="C1068" i="4"/>
  <c r="I1068" i="4" s="1"/>
  <c r="B1069" i="4"/>
  <c r="H1068" i="4"/>
  <c r="J1068" i="4"/>
  <c r="D1069" i="4" l="1"/>
  <c r="G1069" i="4"/>
  <c r="B1070" i="4"/>
  <c r="E1069" i="4"/>
  <c r="J1069" i="4"/>
  <c r="C1069" i="4"/>
  <c r="I1069" i="4" s="1"/>
  <c r="K1069" i="4"/>
  <c r="H1069" i="4"/>
  <c r="F1069" i="4"/>
  <c r="G1070" i="4" l="1"/>
  <c r="E1070" i="4"/>
  <c r="J1070" i="4"/>
  <c r="B1071" i="4"/>
  <c r="D1070" i="4"/>
  <c r="C1070" i="4"/>
  <c r="I1070" i="4" s="1"/>
  <c r="F1070" i="4"/>
  <c r="H1070" i="4"/>
  <c r="K1070" i="4"/>
  <c r="F1071" i="4" l="1"/>
  <c r="E1071" i="4"/>
  <c r="B1072" i="4"/>
  <c r="D1071" i="4"/>
  <c r="K1071" i="4"/>
  <c r="G1071" i="4"/>
  <c r="C1071" i="4"/>
  <c r="I1071" i="4" s="1"/>
  <c r="J1071" i="4"/>
  <c r="H1071" i="4"/>
  <c r="J1072" i="4" l="1"/>
  <c r="G1072" i="4"/>
  <c r="B1073" i="4"/>
  <c r="E1072" i="4"/>
  <c r="D1072" i="4"/>
  <c r="C1072" i="4"/>
  <c r="I1072" i="4" s="1"/>
  <c r="F1072" i="4"/>
  <c r="K1072" i="4"/>
  <c r="H1072" i="4"/>
  <c r="H1073" i="4" l="1"/>
  <c r="B1074" i="4"/>
  <c r="E1073" i="4"/>
  <c r="C1073" i="4"/>
  <c r="I1073" i="4" s="1"/>
  <c r="G1073" i="4"/>
  <c r="K1073" i="4"/>
  <c r="F1073" i="4"/>
  <c r="D1073" i="4"/>
  <c r="J1073" i="4"/>
  <c r="G1074" i="4" l="1"/>
  <c r="B1075" i="4"/>
  <c r="H1074" i="4"/>
  <c r="D1074" i="4"/>
  <c r="J1074" i="4"/>
  <c r="C1074" i="4"/>
  <c r="I1074" i="4" s="1"/>
  <c r="F1074" i="4"/>
  <c r="K1074" i="4"/>
  <c r="E1074" i="4"/>
  <c r="D1075" i="4" l="1"/>
  <c r="C1075" i="4"/>
  <c r="I1075" i="4" s="1"/>
  <c r="B1076" i="4"/>
  <c r="K1075" i="4"/>
  <c r="J1075" i="4"/>
  <c r="G1075" i="4"/>
  <c r="E1075" i="4"/>
  <c r="H1075" i="4"/>
  <c r="F1075" i="4"/>
  <c r="H1076" i="4" l="1"/>
  <c r="K1076" i="4"/>
  <c r="E1076" i="4"/>
  <c r="J1076" i="4"/>
  <c r="D1076" i="4"/>
  <c r="G1076" i="4"/>
  <c r="F1076" i="4"/>
  <c r="C1076" i="4"/>
  <c r="I1076" i="4" s="1"/>
  <c r="B1077" i="4"/>
  <c r="D1077" i="4" l="1"/>
  <c r="K1077" i="4"/>
  <c r="C1077" i="4"/>
  <c r="I1077" i="4" s="1"/>
  <c r="H1077" i="4"/>
  <c r="E1077" i="4"/>
  <c r="F1077" i="4"/>
  <c r="B1078" i="4"/>
  <c r="J1077" i="4"/>
  <c r="G1077" i="4"/>
  <c r="H1078" i="4" l="1"/>
  <c r="G1078" i="4"/>
  <c r="E1078" i="4"/>
  <c r="D1078" i="4"/>
  <c r="C1078" i="4"/>
  <c r="I1078" i="4" s="1"/>
  <c r="K1078" i="4"/>
  <c r="F1078" i="4"/>
  <c r="J1078" i="4"/>
  <c r="B1079" i="4"/>
  <c r="C1079" i="4" l="1"/>
  <c r="I1079" i="4" s="1"/>
  <c r="F1079" i="4"/>
  <c r="K1079" i="4"/>
  <c r="J1079" i="4"/>
  <c r="B1080" i="4"/>
  <c r="H1079" i="4"/>
  <c r="D1079" i="4"/>
  <c r="G1079" i="4"/>
  <c r="E1079" i="4"/>
  <c r="F1080" i="4" l="1"/>
  <c r="B1081" i="4"/>
  <c r="D1080" i="4"/>
  <c r="C1080" i="4"/>
  <c r="I1080" i="4" s="1"/>
  <c r="J1080" i="4"/>
  <c r="H1080" i="4"/>
  <c r="E1080" i="4"/>
  <c r="G1080" i="4"/>
  <c r="K1080" i="4"/>
  <c r="B1082" i="4" l="1"/>
  <c r="F1081" i="4"/>
  <c r="H1081" i="4"/>
  <c r="G1081" i="4"/>
  <c r="D1081" i="4"/>
  <c r="C1081" i="4"/>
  <c r="I1081" i="4" s="1"/>
  <c r="J1081" i="4"/>
  <c r="E1081" i="4"/>
  <c r="K1081" i="4"/>
  <c r="G1082" i="4" l="1"/>
  <c r="B1083" i="4"/>
  <c r="H1082" i="4"/>
  <c r="J1082" i="4"/>
  <c r="F1082" i="4"/>
  <c r="C1082" i="4"/>
  <c r="I1082" i="4" s="1"/>
  <c r="E1082" i="4"/>
  <c r="K1082" i="4"/>
  <c r="D1082" i="4"/>
  <c r="J1083" i="4" l="1"/>
  <c r="H1083" i="4"/>
  <c r="D1083" i="4"/>
  <c r="C1083" i="4"/>
  <c r="I1083" i="4" s="1"/>
  <c r="K1083" i="4"/>
  <c r="B1084" i="4"/>
  <c r="G1083" i="4"/>
  <c r="F1083" i="4"/>
  <c r="E1083" i="4"/>
  <c r="J1084" i="4" l="1"/>
  <c r="K1084" i="4"/>
  <c r="G1084" i="4"/>
  <c r="B1085" i="4"/>
  <c r="D1084" i="4"/>
  <c r="E1084" i="4"/>
  <c r="C1084" i="4"/>
  <c r="I1084" i="4" s="1"/>
  <c r="F1084" i="4"/>
  <c r="H1084" i="4"/>
  <c r="J1085" i="4" l="1"/>
  <c r="D1085" i="4"/>
  <c r="G1085" i="4"/>
  <c r="H1085" i="4"/>
  <c r="B1086" i="4"/>
  <c r="E1085" i="4"/>
  <c r="K1085" i="4"/>
  <c r="F1085" i="4"/>
  <c r="C1085" i="4"/>
  <c r="I1085" i="4" s="1"/>
  <c r="F1086" i="4" l="1"/>
  <c r="D1086" i="4"/>
  <c r="G1086" i="4"/>
  <c r="B1087" i="4"/>
  <c r="H1086" i="4"/>
  <c r="J1086" i="4"/>
  <c r="E1086" i="4"/>
  <c r="K1086" i="4"/>
  <c r="C1086" i="4"/>
  <c r="I1086" i="4" s="1"/>
  <c r="C1087" i="4" l="1"/>
  <c r="I1087" i="4" s="1"/>
  <c r="B1088" i="4"/>
  <c r="K1087" i="4"/>
  <c r="H1087" i="4"/>
  <c r="G1087" i="4"/>
  <c r="D1087" i="4"/>
  <c r="E1087" i="4"/>
  <c r="F1087" i="4"/>
  <c r="J1087" i="4"/>
  <c r="J1088" i="4" l="1"/>
  <c r="K1088" i="4"/>
  <c r="D1088" i="4"/>
  <c r="H1088" i="4"/>
  <c r="G1088" i="4"/>
  <c r="F1088" i="4"/>
  <c r="B1089" i="4"/>
  <c r="C1088" i="4"/>
  <c r="I1088" i="4" s="1"/>
  <c r="E1088" i="4"/>
  <c r="C1089" i="4" l="1"/>
  <c r="I1089" i="4" s="1"/>
  <c r="D1089" i="4"/>
  <c r="J1089" i="4"/>
  <c r="F1089" i="4"/>
  <c r="K1089" i="4"/>
  <c r="E1089" i="4"/>
  <c r="G1089" i="4"/>
  <c r="H1089" i="4"/>
  <c r="B1090" i="4"/>
  <c r="G1090" i="4" l="1"/>
  <c r="E1090" i="4"/>
  <c r="F1090" i="4"/>
  <c r="D1090" i="4"/>
  <c r="C1090" i="4"/>
  <c r="I1090" i="4" s="1"/>
  <c r="K1090" i="4"/>
  <c r="H1090" i="4"/>
  <c r="J1090" i="4"/>
  <c r="B1091" i="4"/>
  <c r="B1092" i="4" l="1"/>
  <c r="E1091" i="4"/>
  <c r="K1091" i="4"/>
  <c r="G1091" i="4"/>
  <c r="J1091" i="4"/>
  <c r="F1091" i="4"/>
  <c r="D1091" i="4"/>
  <c r="H1091" i="4"/>
  <c r="C1091" i="4"/>
  <c r="I1091" i="4" s="1"/>
  <c r="G1092" i="4" l="1"/>
  <c r="K1092" i="4"/>
  <c r="J1092" i="4"/>
  <c r="F1092" i="4"/>
  <c r="D1092" i="4"/>
  <c r="E1092" i="4"/>
  <c r="H1092" i="4"/>
  <c r="B1093" i="4"/>
  <c r="C1092" i="4"/>
  <c r="I1092" i="4" s="1"/>
  <c r="J1093" i="4" l="1"/>
  <c r="H1093" i="4"/>
  <c r="B1094" i="4"/>
  <c r="D1093" i="4"/>
  <c r="G1093" i="4"/>
  <c r="E1093" i="4"/>
  <c r="K1093" i="4"/>
  <c r="F1093" i="4"/>
  <c r="C1093" i="4"/>
  <c r="I1093" i="4" s="1"/>
  <c r="H1094" i="4" l="1"/>
  <c r="F1094" i="4"/>
  <c r="C1094" i="4"/>
  <c r="I1094" i="4" s="1"/>
  <c r="G1094" i="4"/>
  <c r="D1094" i="4"/>
  <c r="K1094" i="4"/>
  <c r="J1094" i="4"/>
  <c r="E1094" i="4"/>
  <c r="B1095" i="4"/>
  <c r="K1095" i="4" l="1"/>
  <c r="H1095" i="4"/>
  <c r="E1095" i="4"/>
  <c r="G1095" i="4"/>
  <c r="J1095" i="4"/>
  <c r="F1095" i="4"/>
  <c r="B1096" i="4"/>
  <c r="C1095" i="4"/>
  <c r="I1095" i="4" s="1"/>
  <c r="D1095" i="4"/>
  <c r="B1097" i="4" l="1"/>
  <c r="K1096" i="4"/>
  <c r="G1096" i="4"/>
  <c r="F1096" i="4"/>
  <c r="J1096" i="4"/>
  <c r="E1096" i="4"/>
  <c r="H1096" i="4"/>
  <c r="C1096" i="4"/>
  <c r="I1096" i="4" s="1"/>
  <c r="D1096" i="4"/>
  <c r="D1097" i="4" l="1"/>
  <c r="J1097" i="4"/>
  <c r="E1097" i="4"/>
  <c r="C1097" i="4"/>
  <c r="I1097" i="4" s="1"/>
  <c r="F1097" i="4"/>
  <c r="G1097" i="4"/>
  <c r="K1097" i="4"/>
  <c r="H1097" i="4"/>
  <c r="B1098" i="4"/>
  <c r="F1098" i="4" l="1"/>
  <c r="J1098" i="4"/>
  <c r="E1098" i="4"/>
  <c r="G1098" i="4"/>
  <c r="H1098" i="4"/>
  <c r="K1098" i="4"/>
  <c r="B1099" i="4"/>
  <c r="D1098" i="4"/>
  <c r="C1098" i="4"/>
  <c r="I1098" i="4" s="1"/>
  <c r="E1099" i="4" l="1"/>
  <c r="K1099" i="4"/>
  <c r="B1100" i="4"/>
  <c r="D1099" i="4"/>
  <c r="G1099" i="4"/>
  <c r="C1099" i="4"/>
  <c r="I1099" i="4" s="1"/>
  <c r="F1099" i="4"/>
  <c r="J1099" i="4"/>
  <c r="H1099" i="4"/>
  <c r="E1100" i="4" l="1"/>
  <c r="C1100" i="4"/>
  <c r="I1100" i="4" s="1"/>
  <c r="F1100" i="4"/>
  <c r="H1100" i="4"/>
  <c r="D1100" i="4"/>
  <c r="B1101" i="4"/>
  <c r="J1100" i="4"/>
  <c r="G1100" i="4"/>
  <c r="K1100" i="4"/>
  <c r="E1101" i="4" l="1"/>
  <c r="C1101" i="4"/>
  <c r="I1101" i="4" s="1"/>
  <c r="H1101" i="4"/>
  <c r="J1101" i="4"/>
  <c r="F1101" i="4"/>
  <c r="K1101" i="4"/>
  <c r="D1101" i="4"/>
  <c r="G1101" i="4"/>
  <c r="B1102" i="4"/>
  <c r="K1102" i="4" l="1"/>
  <c r="E1102" i="4"/>
  <c r="H1102" i="4"/>
  <c r="J1102" i="4"/>
  <c r="B1103" i="4"/>
  <c r="D1102" i="4"/>
  <c r="G1102" i="4"/>
  <c r="C1102" i="4"/>
  <c r="I1102" i="4" s="1"/>
  <c r="F1102" i="4"/>
  <c r="K1103" i="4" l="1"/>
  <c r="E1103" i="4"/>
  <c r="D1103" i="4"/>
  <c r="G1103" i="4"/>
  <c r="F1103" i="4"/>
  <c r="C1103" i="4"/>
  <c r="I1103" i="4" s="1"/>
  <c r="B1104" i="4"/>
  <c r="H1103" i="4"/>
  <c r="J1103" i="4"/>
  <c r="J1104" i="4" l="1"/>
  <c r="H1104" i="4"/>
  <c r="K1104" i="4"/>
  <c r="C1104" i="4"/>
  <c r="I1104" i="4" s="1"/>
  <c r="E1104" i="4"/>
  <c r="B1105" i="4"/>
  <c r="D1104" i="4"/>
  <c r="G1104" i="4"/>
  <c r="F1104" i="4"/>
  <c r="G1105" i="4" l="1"/>
  <c r="C1105" i="4"/>
  <c r="I1105" i="4" s="1"/>
  <c r="K1105" i="4"/>
  <c r="F1105" i="4"/>
  <c r="J1105" i="4"/>
  <c r="D1105" i="4"/>
  <c r="B1106" i="4"/>
  <c r="E1105" i="4"/>
  <c r="H1105" i="4"/>
  <c r="F1106" i="4" l="1"/>
  <c r="G1106" i="4"/>
  <c r="J1106" i="4"/>
  <c r="E1106" i="4"/>
  <c r="H1106" i="4"/>
  <c r="C1106" i="4"/>
  <c r="I1106" i="4" s="1"/>
  <c r="D1106" i="4"/>
  <c r="K1106" i="4"/>
  <c r="B1107" i="4"/>
  <c r="E1107" i="4" l="1"/>
  <c r="B1108" i="4"/>
  <c r="D1107" i="4"/>
  <c r="H1107" i="4"/>
  <c r="G1107" i="4"/>
  <c r="J1107" i="4"/>
  <c r="C1107" i="4"/>
  <c r="I1107" i="4" s="1"/>
  <c r="K1107" i="4"/>
  <c r="F1107" i="4"/>
  <c r="D1108" i="4" l="1"/>
  <c r="J1108" i="4"/>
  <c r="G1108" i="4"/>
  <c r="E1108" i="4"/>
  <c r="H1108" i="4"/>
  <c r="B1109" i="4"/>
  <c r="C1108" i="4"/>
  <c r="I1108" i="4" s="1"/>
  <c r="F1108" i="4"/>
  <c r="K1108" i="4"/>
  <c r="G1109" i="4" l="1"/>
  <c r="C1109" i="4"/>
  <c r="I1109" i="4" s="1"/>
  <c r="B1110" i="4"/>
  <c r="E1109" i="4"/>
  <c r="H1109" i="4"/>
  <c r="F1109" i="4"/>
  <c r="D1109" i="4"/>
  <c r="K1109" i="4"/>
  <c r="J1109" i="4"/>
  <c r="G1110" i="4" l="1"/>
  <c r="J1110" i="4"/>
  <c r="C1110" i="4"/>
  <c r="I1110" i="4" s="1"/>
  <c r="E1110" i="4"/>
  <c r="H1110" i="4"/>
  <c r="B1111" i="4"/>
  <c r="F1110" i="4"/>
  <c r="K1110" i="4"/>
  <c r="D1110" i="4"/>
  <c r="K1111" i="4" l="1"/>
  <c r="F1111" i="4"/>
  <c r="G1111" i="4"/>
  <c r="J1111" i="4"/>
  <c r="D1111" i="4"/>
  <c r="E1111" i="4"/>
  <c r="B1112" i="4"/>
  <c r="C1111" i="4"/>
  <c r="I1111" i="4" s="1"/>
  <c r="H1111" i="4"/>
  <c r="H1112" i="4" l="1"/>
  <c r="E1112" i="4"/>
  <c r="F1112" i="4"/>
  <c r="C1112" i="4"/>
  <c r="I1112" i="4" s="1"/>
  <c r="D1112" i="4"/>
  <c r="K1112" i="4"/>
  <c r="J1112" i="4"/>
  <c r="B1113" i="4"/>
  <c r="G1112" i="4"/>
  <c r="K1113" i="4" l="1"/>
  <c r="C1113" i="4"/>
  <c r="I1113" i="4" s="1"/>
  <c r="F1113" i="4"/>
  <c r="D1113" i="4"/>
  <c r="J1113" i="4"/>
  <c r="H1113" i="4"/>
  <c r="E1113" i="4"/>
  <c r="G1113" i="4"/>
  <c r="B1114" i="4"/>
  <c r="E1114" i="4" l="1"/>
  <c r="K1114" i="4"/>
  <c r="G1114" i="4"/>
  <c r="H1114" i="4"/>
  <c r="J1114" i="4"/>
  <c r="B1115" i="4"/>
  <c r="C1114" i="4"/>
  <c r="I1114" i="4" s="1"/>
  <c r="D1114" i="4"/>
  <c r="F1114" i="4"/>
  <c r="F1115" i="4" l="1"/>
  <c r="G1115" i="4"/>
  <c r="K1115" i="4"/>
  <c r="H1115" i="4"/>
  <c r="J1115" i="4"/>
  <c r="B1116" i="4"/>
  <c r="D1115" i="4"/>
  <c r="E1115" i="4"/>
  <c r="C1115" i="4"/>
  <c r="I1115" i="4" s="1"/>
  <c r="D1116" i="4" l="1"/>
  <c r="K1116" i="4"/>
  <c r="F1116" i="4"/>
  <c r="G1116" i="4"/>
  <c r="E1116" i="4"/>
  <c r="C1116" i="4"/>
  <c r="I1116" i="4" s="1"/>
  <c r="J1116" i="4"/>
  <c r="H1116" i="4"/>
  <c r="B1117" i="4"/>
  <c r="J1117" i="4" l="1"/>
  <c r="F1117" i="4"/>
  <c r="C1117" i="4"/>
  <c r="B1118" i="4"/>
  <c r="I1117" i="4"/>
  <c r="E1117" i="4"/>
  <c r="D1117" i="4"/>
  <c r="G1117" i="4"/>
  <c r="H1117" i="4"/>
  <c r="K1117" i="4"/>
  <c r="B1119" i="4" l="1"/>
  <c r="E1118" i="4"/>
  <c r="G1118" i="4"/>
  <c r="C1118" i="4"/>
  <c r="I1118" i="4" s="1"/>
  <c r="F1118" i="4"/>
  <c r="K1118" i="4"/>
  <c r="D1118" i="4"/>
  <c r="H1118" i="4"/>
  <c r="J1118" i="4"/>
  <c r="E1119" i="4" l="1"/>
  <c r="J1119" i="4"/>
  <c r="C1119" i="4"/>
  <c r="I1119" i="4" s="1"/>
  <c r="B1120" i="4"/>
  <c r="H1119" i="4"/>
  <c r="K1119" i="4"/>
  <c r="G1119" i="4"/>
  <c r="F1119" i="4"/>
  <c r="D1119" i="4"/>
  <c r="F1120" i="4" l="1"/>
  <c r="D1120" i="4"/>
  <c r="G1120" i="4"/>
  <c r="B1121" i="4"/>
  <c r="C1120" i="4"/>
  <c r="I1120" i="4" s="1"/>
  <c r="E1120" i="4"/>
  <c r="K1120" i="4"/>
  <c r="J1120" i="4"/>
  <c r="H1120" i="4"/>
  <c r="H1121" i="4" l="1"/>
  <c r="B1122" i="4"/>
  <c r="F1121" i="4"/>
  <c r="K1121" i="4"/>
  <c r="E1121" i="4"/>
  <c r="C1121" i="4"/>
  <c r="I1121" i="4" s="1"/>
  <c r="D1121" i="4"/>
  <c r="G1121" i="4"/>
  <c r="J1121" i="4"/>
  <c r="B1123" i="4" l="1"/>
  <c r="G1122" i="4"/>
  <c r="K1122" i="4"/>
  <c r="F1122" i="4"/>
  <c r="C1122" i="4"/>
  <c r="I1122" i="4" s="1"/>
  <c r="D1122" i="4"/>
  <c r="E1122" i="4"/>
  <c r="H1122" i="4"/>
  <c r="J1122" i="4"/>
  <c r="H1123" i="4" l="1"/>
  <c r="E1123" i="4"/>
  <c r="G1123" i="4"/>
  <c r="J1123" i="4"/>
  <c r="B1124" i="4"/>
  <c r="F1123" i="4"/>
  <c r="C1123" i="4"/>
  <c r="I1123" i="4" s="1"/>
  <c r="D1123" i="4"/>
  <c r="K1123" i="4"/>
  <c r="D1124" i="4" l="1"/>
  <c r="K1124" i="4"/>
  <c r="F1124" i="4"/>
  <c r="H1124" i="4"/>
  <c r="J1124" i="4"/>
  <c r="B1125" i="4"/>
  <c r="G1124" i="4"/>
  <c r="E1124" i="4"/>
  <c r="C1124" i="4"/>
  <c r="I1124" i="4" s="1"/>
  <c r="K1125" i="4" l="1"/>
  <c r="D1125" i="4"/>
  <c r="G1125" i="4"/>
  <c r="E1125" i="4"/>
  <c r="H1125" i="4"/>
  <c r="C1125" i="4"/>
  <c r="I1125" i="4" s="1"/>
  <c r="B1126" i="4"/>
  <c r="F1125" i="4"/>
  <c r="J1125" i="4"/>
  <c r="J1126" i="4" l="1"/>
  <c r="F1126" i="4"/>
  <c r="K1126" i="4"/>
  <c r="G1126" i="4"/>
  <c r="C1126" i="4"/>
  <c r="I1126" i="4" s="1"/>
  <c r="D1126" i="4"/>
  <c r="H1126" i="4"/>
  <c r="E1126" i="4"/>
  <c r="B1127" i="4"/>
  <c r="B1128" i="4" l="1"/>
  <c r="D1127" i="4"/>
  <c r="C1127" i="4"/>
  <c r="I1127" i="4" s="1"/>
  <c r="F1127" i="4"/>
  <c r="G1127" i="4"/>
  <c r="J1127" i="4"/>
  <c r="H1127" i="4"/>
  <c r="K1127" i="4"/>
  <c r="E1127" i="4"/>
  <c r="B1129" i="4" l="1"/>
  <c r="F1128" i="4"/>
  <c r="E1128" i="4"/>
  <c r="J1128" i="4"/>
  <c r="C1128" i="4"/>
  <c r="I1128" i="4" s="1"/>
  <c r="D1128" i="4"/>
  <c r="K1128" i="4"/>
  <c r="H1128" i="4"/>
  <c r="G1128" i="4"/>
  <c r="K1129" i="4" l="1"/>
  <c r="D1129" i="4"/>
  <c r="C1129" i="4"/>
  <c r="I1129" i="4" s="1"/>
  <c r="F1129" i="4"/>
  <c r="E1129" i="4"/>
  <c r="G1129" i="4"/>
  <c r="B1130" i="4"/>
  <c r="H1129" i="4"/>
  <c r="J1129" i="4"/>
  <c r="F1130" i="4" l="1"/>
  <c r="K1130" i="4"/>
  <c r="H1130" i="4"/>
  <c r="D1130" i="4"/>
  <c r="C1130" i="4"/>
  <c r="I1130" i="4" s="1"/>
  <c r="G1130" i="4"/>
  <c r="B1131" i="4"/>
  <c r="J1130" i="4"/>
  <c r="E1130" i="4"/>
  <c r="F1131" i="4" l="1"/>
  <c r="H1131" i="4"/>
  <c r="B1132" i="4"/>
  <c r="K1131" i="4"/>
  <c r="J1131" i="4"/>
  <c r="C1131" i="4"/>
  <c r="I1131" i="4" s="1"/>
  <c r="D1131" i="4"/>
  <c r="G1131" i="4"/>
  <c r="E1131" i="4"/>
  <c r="G1132" i="4" l="1"/>
  <c r="E1132" i="4"/>
  <c r="J1132" i="4"/>
  <c r="H1132" i="4"/>
  <c r="C1132" i="4"/>
  <c r="I1132" i="4" s="1"/>
  <c r="B1133" i="4"/>
  <c r="F1132" i="4"/>
  <c r="K1132" i="4"/>
  <c r="D1132" i="4"/>
  <c r="C1133" i="4" l="1"/>
  <c r="I1133" i="4" s="1"/>
  <c r="H1133" i="4"/>
  <c r="F1133" i="4"/>
  <c r="G1133" i="4"/>
  <c r="J1133" i="4"/>
  <c r="D1133" i="4"/>
  <c r="B1134" i="4"/>
  <c r="K1133" i="4"/>
  <c r="E1133" i="4"/>
  <c r="C1134" i="4" l="1"/>
  <c r="I1134" i="4" s="1"/>
  <c r="H1134" i="4"/>
  <c r="J1134" i="4"/>
  <c r="E1134" i="4"/>
  <c r="K1134" i="4"/>
  <c r="F1134" i="4"/>
  <c r="B1135" i="4"/>
  <c r="D1134" i="4"/>
  <c r="G1134" i="4"/>
  <c r="E1135" i="4" l="1"/>
  <c r="B1136" i="4"/>
  <c r="K1135" i="4"/>
  <c r="C1135" i="4"/>
  <c r="I1135" i="4" s="1"/>
  <c r="J1135" i="4"/>
  <c r="D1135" i="4"/>
  <c r="F1135" i="4"/>
  <c r="H1135" i="4"/>
  <c r="G1135" i="4"/>
  <c r="D1136" i="4" l="1"/>
  <c r="C1136" i="4"/>
  <c r="K1136" i="4"/>
  <c r="G1136" i="4"/>
  <c r="F1136" i="4"/>
  <c r="H1136" i="4"/>
  <c r="J1136" i="4"/>
  <c r="E1136" i="4"/>
  <c r="B1137" i="4"/>
  <c r="I1136" i="4"/>
  <c r="K1137" i="4" l="1"/>
  <c r="E1137" i="4"/>
  <c r="B1138" i="4"/>
  <c r="H1137" i="4"/>
  <c r="F1137" i="4"/>
  <c r="G1137" i="4"/>
  <c r="D1137" i="4"/>
  <c r="C1137" i="4"/>
  <c r="I1137" i="4" s="1"/>
  <c r="J1137" i="4"/>
  <c r="G1138" i="4" l="1"/>
  <c r="C1138" i="4"/>
  <c r="I1138" i="4" s="1"/>
  <c r="J1138" i="4"/>
  <c r="D1138" i="4"/>
  <c r="E1138" i="4"/>
  <c r="H1138" i="4"/>
  <c r="F1138" i="4"/>
  <c r="K1138" i="4"/>
  <c r="B1139" i="4"/>
  <c r="G1139" i="4" l="1"/>
  <c r="J1139" i="4"/>
  <c r="H1139" i="4"/>
  <c r="C1139" i="4"/>
  <c r="I1139" i="4" s="1"/>
  <c r="D1139" i="4"/>
  <c r="F1139" i="4"/>
  <c r="E1139" i="4"/>
  <c r="B1140" i="4"/>
  <c r="K1139" i="4"/>
  <c r="J1140" i="4" l="1"/>
  <c r="G1140" i="4"/>
  <c r="B1141" i="4"/>
  <c r="D1140" i="4"/>
  <c r="C1140" i="4"/>
  <c r="I1140" i="4" s="1"/>
  <c r="H1140" i="4"/>
  <c r="E1140" i="4"/>
  <c r="F1140" i="4"/>
  <c r="K1140" i="4"/>
  <c r="K1141" i="4" l="1"/>
  <c r="J1141" i="4"/>
  <c r="H1141" i="4"/>
  <c r="B1142" i="4"/>
  <c r="F1141" i="4"/>
  <c r="E1141" i="4"/>
  <c r="G1141" i="4"/>
  <c r="C1141" i="4"/>
  <c r="I1141" i="4" s="1"/>
  <c r="D1141" i="4"/>
  <c r="J1142" i="4" l="1"/>
  <c r="F1142" i="4"/>
  <c r="G1142" i="4"/>
  <c r="K1142" i="4"/>
  <c r="C1142" i="4"/>
  <c r="I1142" i="4" s="1"/>
  <c r="H1142" i="4"/>
  <c r="B1143" i="4"/>
  <c r="D1142" i="4"/>
  <c r="E1142" i="4"/>
  <c r="F1143" i="4" l="1"/>
  <c r="H1143" i="4"/>
  <c r="B1144" i="4"/>
  <c r="J1143" i="4"/>
  <c r="E1143" i="4"/>
  <c r="C1143" i="4"/>
  <c r="I1143" i="4" s="1"/>
  <c r="G1143" i="4"/>
  <c r="K1143" i="4"/>
  <c r="D1143" i="4"/>
  <c r="D1144" i="4" l="1"/>
  <c r="C1144" i="4"/>
  <c r="I1144" i="4" s="1"/>
  <c r="E1144" i="4"/>
  <c r="J1144" i="4"/>
  <c r="H1144" i="4"/>
  <c r="F1144" i="4"/>
  <c r="G1144" i="4"/>
  <c r="B1145" i="4"/>
  <c r="K1144" i="4"/>
  <c r="F1145" i="4" l="1"/>
  <c r="K1145" i="4"/>
  <c r="B1146" i="4"/>
  <c r="G1145" i="4"/>
  <c r="E1145" i="4"/>
  <c r="C1145" i="4"/>
  <c r="I1145" i="4" s="1"/>
  <c r="J1145" i="4"/>
  <c r="D1145" i="4"/>
  <c r="H1145" i="4"/>
  <c r="H1146" i="4" l="1"/>
  <c r="K1146" i="4"/>
  <c r="E1146" i="4"/>
  <c r="F1146" i="4"/>
  <c r="D1146" i="4"/>
  <c r="C1146" i="4"/>
  <c r="I1146" i="4" s="1"/>
  <c r="G1146" i="4"/>
  <c r="B1147" i="4"/>
  <c r="J1146" i="4"/>
  <c r="B1148" i="4" l="1"/>
  <c r="E1147" i="4"/>
  <c r="J1147" i="4"/>
  <c r="C1147" i="4"/>
  <c r="I1147" i="4" s="1"/>
  <c r="G1147" i="4"/>
  <c r="H1147" i="4"/>
  <c r="K1147" i="4"/>
  <c r="F1147" i="4"/>
  <c r="D1147" i="4"/>
  <c r="K1148" i="4" l="1"/>
  <c r="B1149" i="4"/>
  <c r="D1148" i="4"/>
  <c r="F1148" i="4"/>
  <c r="H1148" i="4"/>
  <c r="C1148" i="4"/>
  <c r="I1148" i="4" s="1"/>
  <c r="E1148" i="4"/>
  <c r="J1148" i="4"/>
  <c r="G1148" i="4"/>
  <c r="E1149" i="4" l="1"/>
  <c r="B1150" i="4"/>
  <c r="D1149" i="4"/>
  <c r="H1149" i="4"/>
  <c r="J1149" i="4"/>
  <c r="K1149" i="4"/>
  <c r="G1149" i="4"/>
  <c r="C1149" i="4"/>
  <c r="I1149" i="4" s="1"/>
  <c r="F1149" i="4"/>
  <c r="D1150" i="4" l="1"/>
  <c r="K1150" i="4"/>
  <c r="F1150" i="4"/>
  <c r="H1150" i="4"/>
  <c r="C1150" i="4"/>
  <c r="I1150" i="4" s="1"/>
  <c r="J1150" i="4"/>
  <c r="E1150" i="4"/>
  <c r="B1151" i="4"/>
  <c r="G1150" i="4"/>
  <c r="H1151" i="4" l="1"/>
  <c r="F1151" i="4"/>
  <c r="K1151" i="4"/>
  <c r="J1151" i="4"/>
  <c r="C1151" i="4"/>
  <c r="I1151" i="4" s="1"/>
  <c r="E1151" i="4"/>
  <c r="G1151" i="4"/>
  <c r="D1151" i="4"/>
  <c r="B1152" i="4"/>
  <c r="F1152" i="4" l="1"/>
  <c r="J1152" i="4"/>
  <c r="H1152" i="4"/>
  <c r="B1153" i="4"/>
  <c r="C1152" i="4"/>
  <c r="I1152" i="4" s="1"/>
  <c r="K1152" i="4"/>
  <c r="E1152" i="4"/>
  <c r="G1152" i="4"/>
  <c r="D1152" i="4"/>
  <c r="K1153" i="4" l="1"/>
  <c r="E1153" i="4"/>
  <c r="G1153" i="4"/>
  <c r="B1154" i="4"/>
  <c r="C1153" i="4"/>
  <c r="I1153" i="4" s="1"/>
  <c r="F1153" i="4"/>
  <c r="H1153" i="4"/>
  <c r="D1153" i="4"/>
  <c r="J1153" i="4"/>
  <c r="E1154" i="4" l="1"/>
  <c r="G1154" i="4"/>
  <c r="C1154" i="4"/>
  <c r="I1154" i="4" s="1"/>
  <c r="H1154" i="4"/>
  <c r="J1154" i="4"/>
  <c r="F1154" i="4"/>
  <c r="B1155" i="4"/>
  <c r="K1154" i="4"/>
  <c r="D1154" i="4"/>
  <c r="K1155" i="4" l="1"/>
  <c r="B1156" i="4"/>
  <c r="C1155" i="4"/>
  <c r="I1155" i="4" s="1"/>
  <c r="D1155" i="4"/>
  <c r="G1155" i="4"/>
  <c r="F1155" i="4"/>
  <c r="J1155" i="4"/>
  <c r="E1155" i="4"/>
  <c r="H1155" i="4"/>
  <c r="B1157" i="4" l="1"/>
  <c r="H1156" i="4"/>
  <c r="K1156" i="4"/>
  <c r="G1156" i="4"/>
  <c r="C1156" i="4"/>
  <c r="I1156" i="4" s="1"/>
  <c r="D1156" i="4"/>
  <c r="E1156" i="4"/>
  <c r="F1156" i="4"/>
  <c r="J1156" i="4"/>
  <c r="B1158" i="4" l="1"/>
  <c r="D1157" i="4"/>
  <c r="G1157" i="4"/>
  <c r="C1157" i="4"/>
  <c r="I1157" i="4" s="1"/>
  <c r="F1157" i="4"/>
  <c r="J1157" i="4"/>
  <c r="K1157" i="4"/>
  <c r="E1157" i="4"/>
  <c r="H1157" i="4"/>
  <c r="K1158" i="4" l="1"/>
  <c r="G1158" i="4"/>
  <c r="J1158" i="4"/>
  <c r="B1159" i="4"/>
  <c r="H1158" i="4"/>
  <c r="C1158" i="4"/>
  <c r="I1158" i="4" s="1"/>
  <c r="E1158" i="4"/>
  <c r="D1158" i="4"/>
  <c r="F1158" i="4"/>
  <c r="D1159" i="4" l="1"/>
  <c r="B1160" i="4"/>
  <c r="C1159" i="4"/>
  <c r="I1159" i="4" s="1"/>
  <c r="E1159" i="4"/>
  <c r="H1159" i="4"/>
  <c r="K1159" i="4"/>
  <c r="F1159" i="4"/>
  <c r="J1159" i="4"/>
  <c r="G1159" i="4"/>
  <c r="G1160" i="4" l="1"/>
  <c r="H1160" i="4"/>
  <c r="K1160" i="4"/>
  <c r="C1160" i="4"/>
  <c r="I1160" i="4" s="1"/>
  <c r="J1160" i="4"/>
  <c r="E1160" i="4"/>
  <c r="B1161" i="4"/>
  <c r="F1160" i="4"/>
  <c r="D1160" i="4"/>
  <c r="F1161" i="4" l="1"/>
  <c r="G1161" i="4"/>
  <c r="C1161" i="4"/>
  <c r="I1161" i="4" s="1"/>
  <c r="E1161" i="4"/>
  <c r="D1161" i="4"/>
  <c r="K1161" i="4"/>
  <c r="H1161" i="4"/>
  <c r="J1161" i="4"/>
  <c r="B1162" i="4"/>
  <c r="C1162" i="4" l="1"/>
  <c r="I1162" i="4" s="1"/>
  <c r="F1162" i="4"/>
  <c r="H1162" i="4"/>
  <c r="J1162" i="4"/>
  <c r="G1162" i="4"/>
  <c r="D1162" i="4"/>
  <c r="B1163" i="4"/>
  <c r="K1162" i="4"/>
  <c r="E1162" i="4"/>
  <c r="E1163" i="4" l="1"/>
  <c r="F1163" i="4"/>
  <c r="K1163" i="4"/>
  <c r="C1163" i="4"/>
  <c r="I1163" i="4" s="1"/>
  <c r="D1163" i="4"/>
  <c r="H1163" i="4"/>
  <c r="B1164" i="4"/>
  <c r="G1163" i="4"/>
  <c r="J1163" i="4"/>
  <c r="H1164" i="4" l="1"/>
  <c r="C1164" i="4"/>
  <c r="I1164" i="4" s="1"/>
  <c r="B1165" i="4"/>
  <c r="D1164" i="4"/>
  <c r="E1164" i="4"/>
  <c r="J1164" i="4"/>
  <c r="G1164" i="4"/>
  <c r="K1164" i="4"/>
  <c r="F1164" i="4"/>
  <c r="D1165" i="4" l="1"/>
  <c r="G1165" i="4"/>
  <c r="E1165" i="4"/>
  <c r="C1165" i="4"/>
  <c r="I1165" i="4" s="1"/>
  <c r="H1165" i="4"/>
  <c r="J1165" i="4"/>
  <c r="B1166" i="4"/>
  <c r="K1165" i="4"/>
  <c r="F1165" i="4"/>
  <c r="J1166" i="4" l="1"/>
  <c r="E1166" i="4"/>
  <c r="F1166" i="4"/>
  <c r="C1166" i="4"/>
  <c r="I1166" i="4" s="1"/>
  <c r="D1166" i="4"/>
  <c r="K1166" i="4"/>
  <c r="B1167" i="4"/>
  <c r="G1166" i="4"/>
  <c r="H1166" i="4"/>
  <c r="K1167" i="4" l="1"/>
  <c r="D1167" i="4"/>
  <c r="C1167" i="4"/>
  <c r="I1167" i="4" s="1"/>
  <c r="B1168" i="4"/>
  <c r="J1167" i="4"/>
  <c r="F1167" i="4"/>
  <c r="E1167" i="4"/>
  <c r="H1167" i="4"/>
  <c r="G1167" i="4"/>
  <c r="K1168" i="4" l="1"/>
  <c r="H1168" i="4"/>
  <c r="F1168" i="4"/>
  <c r="B1169" i="4"/>
  <c r="G1168" i="4"/>
  <c r="D1168" i="4"/>
  <c r="E1168" i="4"/>
  <c r="J1168" i="4"/>
  <c r="C1168" i="4"/>
  <c r="I1168" i="4" s="1"/>
  <c r="J1169" i="4" l="1"/>
  <c r="H1169" i="4"/>
  <c r="K1169" i="4"/>
  <c r="B1170" i="4"/>
  <c r="D1169" i="4"/>
  <c r="G1169" i="4"/>
  <c r="E1169" i="4"/>
  <c r="F1169" i="4"/>
  <c r="C1169" i="4"/>
  <c r="I1169" i="4" s="1"/>
  <c r="B1171" i="4" l="1"/>
  <c r="E1170" i="4"/>
  <c r="G1170" i="4"/>
  <c r="D1170" i="4"/>
  <c r="K1170" i="4"/>
  <c r="J1170" i="4"/>
  <c r="C1170" i="4"/>
  <c r="I1170" i="4" s="1"/>
  <c r="F1170" i="4"/>
  <c r="H1170" i="4"/>
  <c r="B1172" i="4" l="1"/>
  <c r="J1171" i="4"/>
  <c r="H1171" i="4"/>
  <c r="D1171" i="4"/>
  <c r="G1171" i="4"/>
  <c r="K1171" i="4"/>
  <c r="E1171" i="4"/>
  <c r="F1171" i="4"/>
  <c r="C1171" i="4"/>
  <c r="I1171" i="4" s="1"/>
  <c r="F1172" i="4" l="1"/>
  <c r="E1172" i="4"/>
  <c r="G1172" i="4"/>
  <c r="K1172" i="4"/>
  <c r="C1172" i="4"/>
  <c r="I1172" i="4" s="1"/>
  <c r="D1172" i="4"/>
  <c r="H1172" i="4"/>
  <c r="J1172" i="4"/>
  <c r="B1173" i="4"/>
  <c r="E1173" i="4" l="1"/>
  <c r="F1173" i="4"/>
  <c r="B1174" i="4"/>
  <c r="H1173" i="4"/>
  <c r="J1173" i="4"/>
  <c r="G1173" i="4"/>
  <c r="K1173" i="4"/>
  <c r="C1173" i="4"/>
  <c r="I1173" i="4" s="1"/>
  <c r="D1173" i="4"/>
  <c r="C1174" i="4" l="1"/>
  <c r="F1174" i="4"/>
  <c r="K1174" i="4"/>
  <c r="E1174" i="4"/>
  <c r="G1174" i="4"/>
  <c r="D1174" i="4"/>
  <c r="J1174" i="4"/>
  <c r="H1174" i="4"/>
  <c r="I1174" i="4"/>
  <c r="B1175" i="4"/>
  <c r="B1176" i="4" l="1"/>
  <c r="J1175" i="4"/>
  <c r="H1175" i="4"/>
  <c r="D1175" i="4"/>
  <c r="E1175" i="4"/>
  <c r="G1175" i="4"/>
  <c r="K1175" i="4"/>
  <c r="F1175" i="4"/>
  <c r="C1175" i="4"/>
  <c r="I1175" i="4" s="1"/>
  <c r="B1177" i="4" l="1"/>
  <c r="G1176" i="4"/>
  <c r="K1176" i="4"/>
  <c r="F1176" i="4"/>
  <c r="J1176" i="4"/>
  <c r="E1176" i="4"/>
  <c r="D1176" i="4"/>
  <c r="H1176" i="4"/>
  <c r="C1176" i="4"/>
  <c r="I1176" i="4" s="1"/>
  <c r="H1177" i="4" l="1"/>
  <c r="B1178" i="4"/>
  <c r="E1177" i="4"/>
  <c r="F1177" i="4"/>
  <c r="K1177" i="4"/>
  <c r="J1177" i="4"/>
  <c r="G1177" i="4"/>
  <c r="C1177" i="4"/>
  <c r="I1177" i="4" s="1"/>
  <c r="D1177" i="4"/>
  <c r="D1178" i="4" l="1"/>
  <c r="G1178" i="4"/>
  <c r="H1178" i="4"/>
  <c r="F1178" i="4"/>
  <c r="J1178" i="4"/>
  <c r="E1178" i="4"/>
  <c r="K1178" i="4"/>
  <c r="B1179" i="4"/>
  <c r="C1178" i="4"/>
  <c r="I1178" i="4" s="1"/>
  <c r="E1179" i="4" l="1"/>
  <c r="G1179" i="4"/>
  <c r="F1179" i="4"/>
  <c r="J1179" i="4"/>
  <c r="K1179" i="4"/>
  <c r="H1179" i="4"/>
  <c r="B1180" i="4"/>
  <c r="C1179" i="4"/>
  <c r="I1179" i="4" s="1"/>
  <c r="D1179" i="4"/>
  <c r="B1181" i="4" l="1"/>
  <c r="G1180" i="4"/>
  <c r="J1180" i="4"/>
  <c r="C1180" i="4"/>
  <c r="I1180" i="4" s="1"/>
  <c r="F1180" i="4"/>
  <c r="H1180" i="4"/>
  <c r="E1180" i="4"/>
  <c r="D1180" i="4"/>
  <c r="K1180" i="4"/>
  <c r="C1181" i="4" l="1"/>
  <c r="I1181" i="4" s="1"/>
  <c r="B1182" i="4"/>
  <c r="G1181" i="4"/>
  <c r="K1181" i="4"/>
  <c r="E1181" i="4"/>
  <c r="D1181" i="4"/>
  <c r="F1181" i="4"/>
  <c r="J1181" i="4"/>
  <c r="H1181" i="4"/>
  <c r="D1182" i="4" l="1"/>
  <c r="B1183" i="4"/>
  <c r="E1182" i="4"/>
  <c r="K1182" i="4"/>
  <c r="H1182" i="4"/>
  <c r="F1182" i="4"/>
  <c r="G1182" i="4"/>
  <c r="J1182" i="4"/>
  <c r="C1182" i="4"/>
  <c r="I1182" i="4" s="1"/>
  <c r="E1183" i="4" l="1"/>
  <c r="F1183" i="4"/>
  <c r="J1183" i="4"/>
  <c r="C1183" i="4"/>
  <c r="I1183" i="4" s="1"/>
  <c r="G1183" i="4"/>
  <c r="H1183" i="4"/>
  <c r="K1183" i="4"/>
  <c r="B1184" i="4"/>
  <c r="D1183" i="4"/>
  <c r="F1184" i="4" l="1"/>
  <c r="K1184" i="4"/>
  <c r="J1184" i="4"/>
  <c r="B1185" i="4"/>
  <c r="D1184" i="4"/>
  <c r="H1184" i="4"/>
  <c r="C1184" i="4"/>
  <c r="I1184" i="4" s="1"/>
  <c r="E1184" i="4"/>
  <c r="G1184" i="4"/>
  <c r="E1185" i="4" l="1"/>
  <c r="B1186" i="4"/>
  <c r="G1185" i="4"/>
  <c r="H1185" i="4"/>
  <c r="D1185" i="4"/>
  <c r="J1185" i="4"/>
  <c r="F1185" i="4"/>
  <c r="C1185" i="4"/>
  <c r="I1185" i="4" s="1"/>
  <c r="K1185" i="4"/>
  <c r="K1186" i="4" l="1"/>
  <c r="C1186" i="4"/>
  <c r="I1186" i="4" s="1"/>
  <c r="D1186" i="4"/>
  <c r="J1186" i="4"/>
  <c r="B1187" i="4"/>
  <c r="H1186" i="4"/>
  <c r="F1186" i="4"/>
  <c r="E1186" i="4"/>
  <c r="G1186" i="4"/>
  <c r="G1187" i="4" l="1"/>
  <c r="K1187" i="4"/>
  <c r="H1187" i="4"/>
  <c r="D1187" i="4"/>
  <c r="C1187" i="4"/>
  <c r="I1187" i="4" s="1"/>
  <c r="E1187" i="4"/>
  <c r="J1187" i="4"/>
  <c r="F1187" i="4"/>
  <c r="B1188" i="4"/>
  <c r="K1188" i="4" l="1"/>
  <c r="B1189" i="4"/>
  <c r="F1188" i="4"/>
  <c r="G1188" i="4"/>
  <c r="J1188" i="4"/>
  <c r="E1188" i="4"/>
  <c r="H1188" i="4"/>
  <c r="D1188" i="4"/>
  <c r="C1188" i="4"/>
  <c r="I1188" i="4" s="1"/>
  <c r="E1189" i="4" l="1"/>
  <c r="K1189" i="4"/>
  <c r="J1189" i="4"/>
  <c r="B1190" i="4"/>
  <c r="F1189" i="4"/>
  <c r="C1189" i="4"/>
  <c r="I1189" i="4" s="1"/>
  <c r="D1189" i="4"/>
  <c r="H1189" i="4"/>
  <c r="G1189" i="4"/>
  <c r="H1190" i="4" l="1"/>
  <c r="E1190" i="4"/>
  <c r="K1190" i="4"/>
  <c r="C1190" i="4"/>
  <c r="I1190" i="4" s="1"/>
  <c r="B1191" i="4"/>
  <c r="G1190" i="4"/>
  <c r="F1190" i="4"/>
  <c r="J1190" i="4"/>
  <c r="D1190" i="4"/>
  <c r="E1191" i="4" l="1"/>
  <c r="J1191" i="4"/>
  <c r="G1191" i="4"/>
  <c r="C1191" i="4"/>
  <c r="I1191" i="4" s="1"/>
  <c r="K1191" i="4"/>
  <c r="D1191" i="4"/>
  <c r="B1192" i="4"/>
  <c r="F1191" i="4"/>
  <c r="H1191" i="4"/>
  <c r="F1192" i="4" l="1"/>
  <c r="B1193" i="4"/>
  <c r="E1192" i="4"/>
  <c r="K1192" i="4"/>
  <c r="C1192" i="4"/>
  <c r="I1192" i="4" s="1"/>
  <c r="H1192" i="4"/>
  <c r="J1192" i="4"/>
  <c r="D1192" i="4"/>
  <c r="G1192" i="4"/>
  <c r="G1193" i="4" l="1"/>
  <c r="J1193" i="4"/>
  <c r="K1193" i="4"/>
  <c r="E1193" i="4"/>
  <c r="D1193" i="4"/>
  <c r="B1194" i="4"/>
  <c r="H1193" i="4"/>
  <c r="F1193" i="4"/>
  <c r="C1193" i="4"/>
  <c r="I1193" i="4" s="1"/>
  <c r="D1194" i="4" l="1"/>
  <c r="E1194" i="4"/>
  <c r="K1194" i="4"/>
  <c r="G1194" i="4"/>
  <c r="J1194" i="4"/>
  <c r="F1194" i="4"/>
  <c r="H1194" i="4"/>
  <c r="C1194" i="4"/>
  <c r="I1194" i="4" s="1"/>
  <c r="B1195" i="4"/>
  <c r="H1195" i="4" l="1"/>
  <c r="J1195" i="4"/>
  <c r="K1195" i="4"/>
  <c r="D1195" i="4"/>
  <c r="B1196" i="4"/>
  <c r="E1195" i="4"/>
  <c r="F1195" i="4"/>
  <c r="C1195" i="4"/>
  <c r="I1195" i="4" s="1"/>
  <c r="G1195" i="4"/>
  <c r="B1197" i="4" l="1"/>
  <c r="J1196" i="4"/>
  <c r="D1196" i="4"/>
  <c r="H1196" i="4"/>
  <c r="G1196" i="4"/>
  <c r="C1196" i="4"/>
  <c r="I1196" i="4" s="1"/>
  <c r="F1196" i="4"/>
  <c r="K1196" i="4"/>
  <c r="E1196" i="4"/>
  <c r="B1198" i="4" l="1"/>
  <c r="G1197" i="4"/>
  <c r="J1197" i="4"/>
  <c r="E1197" i="4"/>
  <c r="H1197" i="4"/>
  <c r="D1197" i="4"/>
  <c r="F1197" i="4"/>
  <c r="K1197" i="4"/>
  <c r="C1197" i="4"/>
  <c r="I1197" i="4" s="1"/>
  <c r="J1198" i="4" l="1"/>
  <c r="C1198" i="4"/>
  <c r="I1198" i="4" s="1"/>
  <c r="K1198" i="4"/>
  <c r="G1198" i="4"/>
  <c r="B1199" i="4"/>
  <c r="E1198" i="4"/>
  <c r="F1198" i="4"/>
  <c r="D1198" i="4"/>
  <c r="H1198" i="4"/>
  <c r="K1199" i="4" l="1"/>
  <c r="H1199" i="4"/>
  <c r="E1199" i="4"/>
  <c r="C1199" i="4"/>
  <c r="I1199" i="4" s="1"/>
  <c r="B1200" i="4"/>
  <c r="F1199" i="4"/>
  <c r="D1199" i="4"/>
  <c r="G1199" i="4"/>
  <c r="J1199" i="4"/>
  <c r="H1200" i="4" l="1"/>
  <c r="J1200" i="4"/>
  <c r="F1200" i="4"/>
  <c r="C1200" i="4"/>
  <c r="I1200" i="4" s="1"/>
  <c r="G1200" i="4"/>
  <c r="K1200" i="4"/>
  <c r="D1200" i="4"/>
  <c r="E1200" i="4"/>
  <c r="B1201" i="4"/>
  <c r="F1201" i="4" l="1"/>
  <c r="K1201" i="4"/>
  <c r="D1201" i="4"/>
  <c r="J1201" i="4"/>
  <c r="H1201" i="4"/>
  <c r="B1202" i="4"/>
  <c r="E1201" i="4"/>
  <c r="G1201" i="4"/>
  <c r="C1201" i="4"/>
  <c r="I1201" i="4" s="1"/>
  <c r="K1202" i="4" l="1"/>
  <c r="B1203" i="4"/>
  <c r="E1202" i="4"/>
  <c r="J1202" i="4"/>
  <c r="G1202" i="4"/>
  <c r="C1202" i="4"/>
  <c r="I1202" i="4" s="1"/>
  <c r="F1202" i="4"/>
  <c r="H1202" i="4"/>
  <c r="D1202" i="4"/>
  <c r="H1203" i="4" l="1"/>
  <c r="F1203" i="4"/>
  <c r="G1203" i="4"/>
  <c r="D1203" i="4"/>
  <c r="B1204" i="4"/>
  <c r="J1203" i="4"/>
  <c r="C1203" i="4"/>
  <c r="I1203" i="4" s="1"/>
  <c r="E1203" i="4"/>
  <c r="K1203" i="4"/>
  <c r="H1204" i="4" l="1"/>
  <c r="K1204" i="4"/>
  <c r="G1204" i="4"/>
  <c r="C1204" i="4"/>
  <c r="I1204" i="4" s="1"/>
  <c r="E1204" i="4"/>
  <c r="D1204" i="4"/>
  <c r="B1205" i="4"/>
  <c r="F1204" i="4"/>
  <c r="J1204" i="4"/>
  <c r="C1205" i="4" l="1"/>
  <c r="I1205" i="4" s="1"/>
  <c r="J1205" i="4"/>
  <c r="G1205" i="4"/>
  <c r="K1205" i="4"/>
  <c r="D1205" i="4"/>
  <c r="F1205" i="4"/>
  <c r="E1205" i="4"/>
  <c r="B1206" i="4"/>
  <c r="H1205" i="4"/>
  <c r="D1206" i="4" l="1"/>
  <c r="J1206" i="4"/>
  <c r="G1206" i="4"/>
  <c r="E1206" i="4"/>
  <c r="F1206" i="4"/>
  <c r="K1206" i="4"/>
  <c r="H1206" i="4"/>
  <c r="C1206" i="4"/>
  <c r="I1206" i="4" s="1"/>
  <c r="B1207" i="4"/>
  <c r="B1208" i="4" l="1"/>
  <c r="F1207" i="4"/>
  <c r="C1207" i="4"/>
  <c r="I1207" i="4" s="1"/>
  <c r="H1207" i="4"/>
  <c r="E1207" i="4"/>
  <c r="G1207" i="4"/>
  <c r="J1207" i="4"/>
  <c r="K1207" i="4"/>
  <c r="D1207" i="4"/>
  <c r="G1208" i="4" l="1"/>
  <c r="E1208" i="4"/>
  <c r="D1208" i="4"/>
  <c r="K1208" i="4"/>
  <c r="F1208" i="4"/>
  <c r="C1208" i="4"/>
  <c r="I1208" i="4" s="1"/>
  <c r="J1208" i="4"/>
  <c r="H1208" i="4"/>
  <c r="B1209" i="4"/>
  <c r="K1209" i="4" l="1"/>
  <c r="B1210" i="4"/>
  <c r="H1209" i="4"/>
  <c r="C1209" i="4"/>
  <c r="I1209" i="4" s="1"/>
  <c r="J1209" i="4"/>
  <c r="F1209" i="4"/>
  <c r="G1209" i="4"/>
  <c r="E1209" i="4"/>
  <c r="D1209" i="4"/>
  <c r="G1210" i="4" l="1"/>
  <c r="H1210" i="4"/>
  <c r="D1210" i="4"/>
  <c r="J1210" i="4"/>
  <c r="C1210" i="4"/>
  <c r="I1210" i="4" s="1"/>
  <c r="E1210" i="4"/>
  <c r="K1210" i="4"/>
  <c r="F1210" i="4"/>
  <c r="B1211" i="4"/>
  <c r="E1211" i="4" l="1"/>
  <c r="C1211" i="4"/>
  <c r="I1211" i="4" s="1"/>
  <c r="K1211" i="4"/>
  <c r="H1211" i="4"/>
  <c r="J1211" i="4"/>
  <c r="D1211" i="4"/>
  <c r="F1211" i="4"/>
  <c r="G1211" i="4"/>
  <c r="B1212" i="4"/>
  <c r="H1212" i="4" l="1"/>
  <c r="E1212" i="4"/>
  <c r="K1212" i="4"/>
  <c r="G1212" i="4"/>
  <c r="J1212" i="4"/>
  <c r="B1213" i="4"/>
  <c r="C1212" i="4"/>
  <c r="I1212" i="4" s="1"/>
  <c r="F1212" i="4"/>
  <c r="D1212" i="4"/>
  <c r="J1213" i="4" l="1"/>
  <c r="B1214" i="4"/>
  <c r="D1213" i="4"/>
  <c r="H1213" i="4"/>
  <c r="G1213" i="4"/>
  <c r="F1213" i="4"/>
  <c r="C1213" i="4"/>
  <c r="I1213" i="4" s="1"/>
  <c r="E1213" i="4"/>
  <c r="K1213" i="4"/>
  <c r="H1214" i="4" l="1"/>
  <c r="D1214" i="4"/>
  <c r="F1214" i="4"/>
  <c r="J1214" i="4"/>
  <c r="E1214" i="4"/>
  <c r="C1214" i="4"/>
  <c r="I1214" i="4" s="1"/>
  <c r="K1214" i="4"/>
  <c r="G1214" i="4"/>
  <c r="B1215" i="4"/>
  <c r="F1215" i="4" l="1"/>
  <c r="D1215" i="4"/>
  <c r="K1215" i="4"/>
  <c r="J1215" i="4"/>
  <c r="H1215" i="4"/>
  <c r="E1215" i="4"/>
  <c r="G1215" i="4"/>
  <c r="B1216" i="4"/>
  <c r="C1215" i="4"/>
  <c r="I1215" i="4" s="1"/>
  <c r="C1216" i="4" l="1"/>
  <c r="I1216" i="4" s="1"/>
  <c r="E1216" i="4"/>
  <c r="G1216" i="4"/>
  <c r="J1216" i="4"/>
  <c r="B1217" i="4"/>
  <c r="F1216" i="4"/>
  <c r="D1216" i="4"/>
  <c r="H1216" i="4"/>
  <c r="K1216" i="4"/>
  <c r="J1217" i="4" l="1"/>
  <c r="G1217" i="4"/>
  <c r="H1217" i="4"/>
  <c r="C1217" i="4"/>
  <c r="I1217" i="4" s="1"/>
  <c r="B1218" i="4"/>
  <c r="D1217" i="4"/>
  <c r="K1217" i="4"/>
  <c r="E1217" i="4"/>
  <c r="F1217" i="4"/>
  <c r="C1218" i="4" l="1"/>
  <c r="I1218" i="4" s="1"/>
  <c r="B1219" i="4"/>
  <c r="H1218" i="4"/>
  <c r="D1218" i="4"/>
  <c r="K1218" i="4"/>
  <c r="E1218" i="4"/>
  <c r="J1218" i="4"/>
  <c r="G1218" i="4"/>
  <c r="F1218" i="4"/>
  <c r="K1219" i="4" l="1"/>
  <c r="G1219" i="4"/>
  <c r="H1219" i="4"/>
  <c r="D1219" i="4"/>
  <c r="E1219" i="4"/>
  <c r="C1219" i="4"/>
  <c r="I1219" i="4" s="1"/>
  <c r="J1219" i="4"/>
  <c r="B1220" i="4"/>
  <c r="F1219" i="4"/>
  <c r="B1221" i="4" l="1"/>
  <c r="E1220" i="4"/>
  <c r="C1220" i="4"/>
  <c r="I1220" i="4" s="1"/>
  <c r="G1220" i="4"/>
  <c r="J1220" i="4"/>
  <c r="K1220" i="4"/>
  <c r="F1220" i="4"/>
  <c r="D1220" i="4"/>
  <c r="H1220" i="4"/>
  <c r="B1222" i="4" l="1"/>
  <c r="F1221" i="4"/>
  <c r="H1221" i="4"/>
  <c r="C1221" i="4"/>
  <c r="I1221" i="4" s="1"/>
  <c r="E1221" i="4"/>
  <c r="D1221" i="4"/>
  <c r="K1221" i="4"/>
  <c r="G1221" i="4"/>
  <c r="J1221" i="4"/>
  <c r="E1222" i="4" l="1"/>
  <c r="K1222" i="4"/>
  <c r="C1222" i="4"/>
  <c r="I1222" i="4" s="1"/>
  <c r="H1222" i="4"/>
  <c r="D1222" i="4"/>
  <c r="J1222" i="4"/>
  <c r="F1222" i="4"/>
  <c r="B1223" i="4"/>
  <c r="G1222" i="4"/>
  <c r="K1223" i="4" l="1"/>
  <c r="H1223" i="4"/>
  <c r="G1223" i="4"/>
  <c r="B1224" i="4"/>
  <c r="D1223" i="4"/>
  <c r="J1223" i="4"/>
  <c r="E1223" i="4"/>
  <c r="F1223" i="4"/>
  <c r="C1223" i="4"/>
  <c r="I1223" i="4" s="1"/>
  <c r="G1224" i="4" l="1"/>
  <c r="E1224" i="4"/>
  <c r="K1224" i="4"/>
  <c r="J1224" i="4"/>
  <c r="F1224" i="4"/>
  <c r="D1224" i="4"/>
  <c r="C1224" i="4"/>
  <c r="I1224" i="4" s="1"/>
  <c r="H1224" i="4"/>
  <c r="B1225" i="4"/>
  <c r="B1226" i="4" l="1"/>
  <c r="J1225" i="4"/>
  <c r="C1225" i="4"/>
  <c r="I1225" i="4" s="1"/>
  <c r="E1225" i="4"/>
  <c r="K1225" i="4"/>
  <c r="D1225" i="4"/>
  <c r="G1225" i="4"/>
  <c r="H1225" i="4"/>
  <c r="F1225" i="4"/>
  <c r="G1226" i="4" l="1"/>
  <c r="E1226" i="4"/>
  <c r="F1226" i="4"/>
  <c r="C1226" i="4"/>
  <c r="I1226" i="4" s="1"/>
  <c r="H1226" i="4"/>
  <c r="B1227" i="4"/>
  <c r="K1226" i="4"/>
  <c r="D1226" i="4"/>
  <c r="J1226" i="4"/>
  <c r="E1227" i="4" l="1"/>
  <c r="D1227" i="4"/>
  <c r="F1227" i="4"/>
  <c r="H1227" i="4"/>
  <c r="K1227" i="4"/>
  <c r="J1227" i="4"/>
  <c r="C1227" i="4"/>
  <c r="I1227" i="4" s="1"/>
  <c r="G1227" i="4"/>
  <c r="B1228" i="4"/>
  <c r="C1228" i="4" l="1"/>
  <c r="I1228" i="4" s="1"/>
  <c r="E1228" i="4"/>
  <c r="J1228" i="4"/>
  <c r="H1228" i="4"/>
  <c r="K1228" i="4"/>
  <c r="F1228" i="4"/>
  <c r="G1228" i="4"/>
  <c r="D1228" i="4"/>
  <c r="B1229" i="4"/>
  <c r="H1229" i="4" l="1"/>
  <c r="G1229" i="4"/>
  <c r="E1229" i="4"/>
  <c r="J1229" i="4"/>
  <c r="D1229" i="4"/>
  <c r="C1229" i="4"/>
  <c r="I1229" i="4" s="1"/>
  <c r="F1229" i="4"/>
  <c r="B1230" i="4"/>
  <c r="K1229" i="4"/>
  <c r="D1230" i="4" l="1"/>
  <c r="F1230" i="4"/>
  <c r="E1230" i="4"/>
  <c r="H1230" i="4"/>
  <c r="B1231" i="4"/>
  <c r="G1230" i="4"/>
  <c r="J1230" i="4"/>
  <c r="K1230" i="4"/>
  <c r="C1230" i="4"/>
  <c r="I1230" i="4" s="1"/>
  <c r="C1231" i="4" l="1"/>
  <c r="I1231" i="4" s="1"/>
  <c r="J1231" i="4"/>
  <c r="E1231" i="4"/>
  <c r="G1231" i="4"/>
  <c r="B1232" i="4"/>
  <c r="D1231" i="4"/>
  <c r="F1231" i="4"/>
  <c r="K1231" i="4"/>
  <c r="H1231" i="4"/>
  <c r="J1232" i="4" l="1"/>
  <c r="B1233" i="4"/>
  <c r="E1232" i="4"/>
  <c r="C1232" i="4"/>
  <c r="I1232" i="4" s="1"/>
  <c r="D1232" i="4"/>
  <c r="G1232" i="4"/>
  <c r="K1232" i="4"/>
  <c r="H1232" i="4"/>
  <c r="F1232" i="4"/>
  <c r="F1233" i="4" l="1"/>
  <c r="G1233" i="4"/>
  <c r="C1233" i="4"/>
  <c r="I1233" i="4" s="1"/>
  <c r="D1233" i="4"/>
  <c r="B1234" i="4"/>
  <c r="E1233" i="4"/>
  <c r="H1233" i="4"/>
  <c r="K1233" i="4"/>
  <c r="J1233" i="4"/>
  <c r="F1234" i="4" l="1"/>
  <c r="H1234" i="4"/>
  <c r="C1234" i="4"/>
  <c r="I1234" i="4" s="1"/>
  <c r="G1234" i="4"/>
  <c r="K1234" i="4"/>
  <c r="E1234" i="4"/>
  <c r="D1234" i="4"/>
  <c r="J1234" i="4"/>
  <c r="B1235" i="4"/>
  <c r="B1236" i="4" l="1"/>
  <c r="D1235" i="4"/>
  <c r="C1235" i="4"/>
  <c r="I1235" i="4" s="1"/>
  <c r="F1235" i="4"/>
  <c r="G1235" i="4"/>
  <c r="J1235" i="4"/>
  <c r="K1235" i="4"/>
  <c r="E1235" i="4"/>
  <c r="H1235" i="4"/>
  <c r="H1236" i="4" l="1"/>
  <c r="J1236" i="4"/>
  <c r="E1236" i="4"/>
  <c r="F1236" i="4"/>
  <c r="G1236" i="4"/>
  <c r="B1237" i="4"/>
  <c r="C1236" i="4"/>
  <c r="I1236" i="4" s="1"/>
  <c r="K1236" i="4"/>
  <c r="D1236" i="4"/>
  <c r="E1237" i="4" l="1"/>
  <c r="J1237" i="4"/>
  <c r="G1237" i="4"/>
  <c r="H1237" i="4"/>
  <c r="C1237" i="4"/>
  <c r="I1237" i="4" s="1"/>
  <c r="B1238" i="4"/>
  <c r="D1237" i="4"/>
  <c r="K1237" i="4"/>
  <c r="F1237" i="4"/>
  <c r="K1238" i="4" l="1"/>
  <c r="H1238" i="4"/>
  <c r="G1238" i="4"/>
  <c r="E1238" i="4"/>
  <c r="D1238" i="4"/>
  <c r="C1238" i="4"/>
  <c r="I1238" i="4" s="1"/>
  <c r="B1239" i="4"/>
  <c r="J1238" i="4"/>
  <c r="F1238" i="4"/>
  <c r="F1239" i="4" l="1"/>
  <c r="D1239" i="4"/>
  <c r="B1240" i="4"/>
  <c r="C1239" i="4"/>
  <c r="I1239" i="4" s="1"/>
  <c r="H1239" i="4"/>
  <c r="K1239" i="4"/>
  <c r="E1239" i="4"/>
  <c r="G1239" i="4"/>
  <c r="J1239" i="4"/>
  <c r="K1240" i="4" l="1"/>
  <c r="C1240" i="4"/>
  <c r="I1240" i="4" s="1"/>
  <c r="H1240" i="4"/>
  <c r="E1240" i="4"/>
  <c r="G1240" i="4"/>
  <c r="B1241" i="4"/>
  <c r="F1240" i="4"/>
  <c r="D1240" i="4"/>
  <c r="J1240" i="4"/>
  <c r="J1241" i="4" l="1"/>
  <c r="D1241" i="4"/>
  <c r="E1241" i="4"/>
  <c r="F1241" i="4"/>
  <c r="C1241" i="4"/>
  <c r="I1241" i="4" s="1"/>
  <c r="B1242" i="4"/>
  <c r="K1241" i="4"/>
  <c r="G1241" i="4"/>
  <c r="H1241" i="4"/>
  <c r="C1242" i="4" l="1"/>
  <c r="I1242" i="4" s="1"/>
  <c r="B1243" i="4"/>
  <c r="J1242" i="4"/>
  <c r="F1242" i="4"/>
  <c r="G1242" i="4"/>
  <c r="E1242" i="4"/>
  <c r="K1242" i="4"/>
  <c r="D1242" i="4"/>
  <c r="H1242" i="4"/>
  <c r="E1243" i="4" l="1"/>
  <c r="H1243" i="4"/>
  <c r="B1244" i="4"/>
  <c r="J1243" i="4"/>
  <c r="D1243" i="4"/>
  <c r="C1243" i="4"/>
  <c r="I1243" i="4" s="1"/>
  <c r="F1243" i="4"/>
  <c r="G1243" i="4"/>
  <c r="K1243" i="4"/>
  <c r="B1245" i="4" l="1"/>
  <c r="K1244" i="4"/>
  <c r="D1244" i="4"/>
  <c r="J1244" i="4"/>
  <c r="C1244" i="4"/>
  <c r="I1244" i="4" s="1"/>
  <c r="G1244" i="4"/>
  <c r="H1244" i="4"/>
  <c r="F1244" i="4"/>
  <c r="E1244" i="4"/>
  <c r="E1245" i="4" l="1"/>
  <c r="K1245" i="4"/>
  <c r="D1245" i="4"/>
  <c r="B1246" i="4"/>
  <c r="H1245" i="4"/>
  <c r="F1245" i="4"/>
  <c r="C1245" i="4"/>
  <c r="I1245" i="4" s="1"/>
  <c r="G1245" i="4"/>
  <c r="J1245" i="4"/>
  <c r="F1246" i="4" l="1"/>
  <c r="K1246" i="4"/>
  <c r="E1246" i="4"/>
  <c r="B1247" i="4"/>
  <c r="D1246" i="4"/>
  <c r="C1246" i="4"/>
  <c r="I1246" i="4" s="1"/>
  <c r="J1246" i="4"/>
  <c r="H1246" i="4"/>
  <c r="G1246" i="4"/>
  <c r="D1247" i="4" l="1"/>
  <c r="F1247" i="4"/>
  <c r="B1248" i="4"/>
  <c r="E1247" i="4"/>
  <c r="J1247" i="4"/>
  <c r="G1247" i="4"/>
  <c r="H1247" i="4"/>
  <c r="K1247" i="4"/>
  <c r="C1247" i="4"/>
  <c r="I1247" i="4" s="1"/>
  <c r="E1248" i="4" l="1"/>
  <c r="C1248" i="4"/>
  <c r="I1248" i="4" s="1"/>
  <c r="J1248" i="4"/>
  <c r="K1248" i="4"/>
  <c r="G1248" i="4"/>
  <c r="F1248" i="4"/>
  <c r="B1249" i="4"/>
  <c r="D1248" i="4"/>
  <c r="H1248" i="4"/>
  <c r="B1250" i="4" l="1"/>
  <c r="G1249" i="4"/>
  <c r="J1249" i="4"/>
  <c r="D1249" i="4"/>
  <c r="F1249" i="4"/>
  <c r="H1249" i="4"/>
  <c r="E1249" i="4"/>
  <c r="K1249" i="4"/>
  <c r="C1249" i="4"/>
  <c r="I1249" i="4" s="1"/>
  <c r="D1250" i="4" l="1"/>
  <c r="K1250" i="4"/>
  <c r="J1250" i="4"/>
  <c r="H1250" i="4"/>
  <c r="G1250" i="4"/>
  <c r="B1251" i="4"/>
  <c r="E1250" i="4"/>
  <c r="F1250" i="4"/>
  <c r="C1250" i="4"/>
  <c r="I1250" i="4" s="1"/>
  <c r="G1251" i="4" l="1"/>
  <c r="E1251" i="4"/>
  <c r="F1251" i="4"/>
  <c r="D1251" i="4"/>
  <c r="H1251" i="4"/>
  <c r="K1251" i="4"/>
  <c r="J1251" i="4"/>
  <c r="C1251" i="4"/>
  <c r="I1251" i="4" s="1"/>
  <c r="B1252" i="4"/>
  <c r="K1252" i="4" l="1"/>
  <c r="E1252" i="4"/>
  <c r="G1252" i="4"/>
  <c r="J1252" i="4"/>
  <c r="C1252" i="4"/>
  <c r="I1252" i="4" s="1"/>
  <c r="D1252" i="4"/>
  <c r="B1253" i="4"/>
  <c r="F1252" i="4"/>
  <c r="H1252" i="4"/>
  <c r="J1253" i="4" l="1"/>
  <c r="F1253" i="4"/>
  <c r="G1253" i="4"/>
  <c r="D1253" i="4"/>
  <c r="E1253" i="4"/>
  <c r="B1254" i="4"/>
  <c r="C1253" i="4"/>
  <c r="I1253" i="4" s="1"/>
  <c r="K1253" i="4"/>
  <c r="H1253" i="4"/>
  <c r="K1254" i="4" l="1"/>
  <c r="F1254" i="4"/>
  <c r="G1254" i="4"/>
  <c r="H1254" i="4"/>
  <c r="E1254" i="4"/>
  <c r="D1254" i="4"/>
  <c r="B1255" i="4"/>
  <c r="J1254" i="4"/>
  <c r="C1254" i="4"/>
  <c r="I1254" i="4" s="1"/>
  <c r="D1255" i="4" l="1"/>
  <c r="E1255" i="4"/>
  <c r="B1256" i="4"/>
  <c r="G1255" i="4"/>
  <c r="J1255" i="4"/>
  <c r="C1255" i="4"/>
  <c r="I1255" i="4" s="1"/>
  <c r="H1255" i="4"/>
  <c r="F1255" i="4"/>
  <c r="K1255" i="4"/>
  <c r="K1256" i="4" l="1"/>
  <c r="H1256" i="4"/>
  <c r="D1256" i="4"/>
  <c r="E1256" i="4"/>
  <c r="J1256" i="4"/>
  <c r="G1256" i="4"/>
  <c r="B1257" i="4"/>
  <c r="C1256" i="4"/>
  <c r="I1256" i="4" s="1"/>
  <c r="F1256" i="4"/>
  <c r="B1258" i="4" l="1"/>
  <c r="H1257" i="4"/>
  <c r="F1257" i="4"/>
  <c r="G1257" i="4"/>
  <c r="K1257" i="4"/>
  <c r="D1257" i="4"/>
  <c r="C1257" i="4"/>
  <c r="I1257" i="4" s="1"/>
  <c r="J1257" i="4"/>
  <c r="E1257" i="4"/>
  <c r="F1258" i="4" l="1"/>
  <c r="H1258" i="4"/>
  <c r="D1258" i="4"/>
  <c r="E1258" i="4"/>
  <c r="G1258" i="4"/>
  <c r="C1258" i="4"/>
  <c r="I1258" i="4" s="1"/>
  <c r="B1259" i="4"/>
  <c r="J1258" i="4"/>
  <c r="K1258" i="4"/>
  <c r="B1260" i="4" l="1"/>
  <c r="J1259" i="4"/>
  <c r="K1259" i="4"/>
  <c r="D1259" i="4"/>
  <c r="H1259" i="4"/>
  <c r="G1259" i="4"/>
  <c r="C1259" i="4"/>
  <c r="I1259" i="4" s="1"/>
  <c r="E1259" i="4"/>
  <c r="F1259" i="4"/>
  <c r="K1260" i="4" l="1"/>
  <c r="B1261" i="4"/>
  <c r="C1260" i="4"/>
  <c r="I1260" i="4" s="1"/>
  <c r="J1260" i="4"/>
  <c r="E1260" i="4"/>
  <c r="H1260" i="4"/>
  <c r="G1260" i="4"/>
  <c r="D1260" i="4"/>
  <c r="F1260" i="4"/>
  <c r="G1261" i="4" l="1"/>
  <c r="D1261" i="4"/>
  <c r="K1261" i="4"/>
  <c r="E1261" i="4"/>
  <c r="C1261" i="4"/>
  <c r="I1261" i="4" s="1"/>
  <c r="J1261" i="4"/>
  <c r="B1262" i="4"/>
  <c r="H1261" i="4"/>
  <c r="F1261" i="4"/>
  <c r="E1262" i="4" l="1"/>
  <c r="C1262" i="4"/>
  <c r="I1262" i="4" s="1"/>
  <c r="H1262" i="4"/>
  <c r="G1262" i="4"/>
  <c r="B1263" i="4"/>
  <c r="K1262" i="4"/>
  <c r="D1262" i="4"/>
  <c r="F1262" i="4"/>
  <c r="J1262" i="4"/>
  <c r="J1263" i="4" l="1"/>
  <c r="H1263" i="4"/>
  <c r="F1263" i="4"/>
  <c r="G1263" i="4"/>
  <c r="E1263" i="4"/>
  <c r="K1263" i="4"/>
  <c r="B1264" i="4"/>
  <c r="C1263" i="4"/>
  <c r="I1263" i="4" s="1"/>
  <c r="D1263" i="4"/>
  <c r="J1264" i="4" l="1"/>
  <c r="C1264" i="4"/>
  <c r="I1264" i="4" s="1"/>
  <c r="E1264" i="4"/>
  <c r="F1264" i="4"/>
  <c r="K1264" i="4"/>
  <c r="H1264" i="4"/>
  <c r="D1264" i="4"/>
  <c r="B1265" i="4"/>
  <c r="G1264" i="4"/>
  <c r="F1265" i="4" l="1"/>
  <c r="H1265" i="4"/>
  <c r="K1265" i="4"/>
  <c r="D1265" i="4"/>
  <c r="J1265" i="4"/>
  <c r="B1266" i="4"/>
  <c r="G1265" i="4"/>
  <c r="E1265" i="4"/>
  <c r="C1265" i="4"/>
  <c r="I1265" i="4" s="1"/>
  <c r="C1266" i="4" l="1"/>
  <c r="I1266" i="4" s="1"/>
  <c r="G1266" i="4"/>
  <c r="J1266" i="4"/>
  <c r="E1266" i="4"/>
  <c r="B1267" i="4"/>
  <c r="H1266" i="4"/>
  <c r="D1266" i="4"/>
  <c r="F1266" i="4"/>
  <c r="K1266" i="4"/>
  <c r="E1267" i="4" l="1"/>
  <c r="D1267" i="4"/>
  <c r="C1267" i="4"/>
  <c r="I1267" i="4" s="1"/>
  <c r="H1267" i="4"/>
  <c r="K1267" i="4"/>
  <c r="G1267" i="4"/>
  <c r="B1268" i="4"/>
  <c r="J1267" i="4"/>
  <c r="F1267" i="4"/>
  <c r="F1268" i="4" l="1"/>
  <c r="H1268" i="4"/>
  <c r="E1268" i="4"/>
  <c r="K1268" i="4"/>
  <c r="G1268" i="4"/>
  <c r="B1269" i="4"/>
  <c r="C1268" i="4"/>
  <c r="I1268" i="4" s="1"/>
  <c r="D1268" i="4"/>
  <c r="J1268" i="4"/>
  <c r="B1270" i="4" l="1"/>
  <c r="H1269" i="4"/>
  <c r="J1269" i="4"/>
  <c r="K1269" i="4"/>
  <c r="G1269" i="4"/>
  <c r="F1269" i="4"/>
  <c r="C1269" i="4"/>
  <c r="I1269" i="4" s="1"/>
  <c r="E1269" i="4"/>
  <c r="D1269" i="4"/>
  <c r="F1270" i="4" l="1"/>
  <c r="H1270" i="4"/>
  <c r="G1270" i="4"/>
  <c r="D1270" i="4"/>
  <c r="C1270" i="4"/>
  <c r="I1270" i="4" s="1"/>
  <c r="B1271" i="4"/>
  <c r="K1270" i="4"/>
  <c r="E1270" i="4"/>
  <c r="J1270" i="4"/>
  <c r="J1271" i="4" l="1"/>
  <c r="B1272" i="4"/>
  <c r="D1271" i="4"/>
  <c r="C1271" i="4"/>
  <c r="I1271" i="4" s="1"/>
  <c r="G1271" i="4"/>
  <c r="K1271" i="4"/>
  <c r="H1271" i="4"/>
  <c r="F1271" i="4"/>
  <c r="E1271" i="4"/>
  <c r="F1272" i="4" l="1"/>
  <c r="D1272" i="4"/>
  <c r="H1272" i="4"/>
  <c r="C1272" i="4"/>
  <c r="I1272" i="4" s="1"/>
  <c r="J1272" i="4"/>
  <c r="K1272" i="4"/>
  <c r="G1272" i="4"/>
  <c r="E1272" i="4"/>
  <c r="B1273" i="4"/>
  <c r="C1273" i="4" l="1"/>
  <c r="I1273" i="4" s="1"/>
  <c r="G1273" i="4"/>
  <c r="D1273" i="4"/>
  <c r="E1273" i="4"/>
  <c r="B1274" i="4"/>
  <c r="K1273" i="4"/>
  <c r="H1273" i="4"/>
  <c r="J1273" i="4"/>
  <c r="F1273" i="4"/>
  <c r="K1274" i="4" l="1"/>
  <c r="E1274" i="4"/>
  <c r="F1274" i="4"/>
  <c r="G1274" i="4"/>
  <c r="H1274" i="4"/>
  <c r="B1275" i="4"/>
  <c r="C1274" i="4"/>
  <c r="I1274" i="4" s="1"/>
  <c r="D1274" i="4"/>
  <c r="J1274" i="4"/>
  <c r="B1276" i="4" l="1"/>
  <c r="G1275" i="4"/>
  <c r="E1275" i="4"/>
  <c r="K1275" i="4"/>
  <c r="J1275" i="4"/>
  <c r="C1275" i="4"/>
  <c r="I1275" i="4" s="1"/>
  <c r="D1275" i="4"/>
  <c r="F1275" i="4"/>
  <c r="H1275" i="4"/>
  <c r="E1276" i="4" l="1"/>
  <c r="D1276" i="4"/>
  <c r="F1276" i="4"/>
  <c r="H1276" i="4"/>
  <c r="B1277" i="4"/>
  <c r="C1276" i="4"/>
  <c r="I1276" i="4" s="1"/>
  <c r="G1276" i="4"/>
  <c r="K1276" i="4"/>
  <c r="J1276" i="4"/>
  <c r="K1277" i="4" l="1"/>
  <c r="J1277" i="4"/>
  <c r="H1277" i="4"/>
  <c r="F1277" i="4"/>
  <c r="G1277" i="4"/>
  <c r="C1277" i="4"/>
  <c r="I1277" i="4" s="1"/>
  <c r="D1277" i="4"/>
  <c r="B1278" i="4"/>
  <c r="E1277" i="4"/>
  <c r="G1278" i="4" l="1"/>
  <c r="C1278" i="4"/>
  <c r="I1278" i="4" s="1"/>
  <c r="D1278" i="4"/>
  <c r="F1278" i="4"/>
  <c r="H1278" i="4"/>
  <c r="J1278" i="4"/>
  <c r="E1278" i="4"/>
  <c r="B1279" i="4"/>
  <c r="K1278" i="4"/>
  <c r="F1279" i="4" l="1"/>
  <c r="E1279" i="4"/>
  <c r="G1279" i="4"/>
  <c r="J1279" i="4"/>
  <c r="B1280" i="4"/>
  <c r="H1279" i="4"/>
  <c r="C1279" i="4"/>
  <c r="I1279" i="4" s="1"/>
  <c r="K1279" i="4"/>
  <c r="D1279" i="4"/>
  <c r="H1280" i="4" l="1"/>
  <c r="J1280" i="4"/>
  <c r="D1280" i="4"/>
  <c r="B1281" i="4"/>
  <c r="G1280" i="4"/>
  <c r="K1280" i="4"/>
  <c r="F1280" i="4"/>
  <c r="E1280" i="4"/>
  <c r="C1280" i="4"/>
  <c r="I1280" i="4" s="1"/>
  <c r="H1281" i="4" l="1"/>
  <c r="G1281" i="4"/>
  <c r="D1281" i="4"/>
  <c r="B1282" i="4"/>
  <c r="F1281" i="4"/>
  <c r="E1281" i="4"/>
  <c r="K1281" i="4"/>
  <c r="C1281" i="4"/>
  <c r="I1281" i="4" s="1"/>
  <c r="J1281" i="4"/>
  <c r="H1282" i="4" l="1"/>
  <c r="J1282" i="4"/>
  <c r="B1283" i="4"/>
  <c r="D1282" i="4"/>
  <c r="E1282" i="4"/>
  <c r="K1282" i="4"/>
  <c r="C1282" i="4"/>
  <c r="I1282" i="4" s="1"/>
  <c r="F1282" i="4"/>
  <c r="G1282" i="4"/>
  <c r="J1283" i="4" l="1"/>
  <c r="K1283" i="4"/>
  <c r="F1283" i="4"/>
  <c r="E1283" i="4"/>
  <c r="D1283" i="4"/>
  <c r="H1283" i="4"/>
  <c r="B1284" i="4"/>
  <c r="G1283" i="4"/>
  <c r="C1283" i="4"/>
  <c r="I1283" i="4" s="1"/>
  <c r="C1284" i="4" l="1"/>
  <c r="I1284" i="4" s="1"/>
  <c r="H1284" i="4"/>
  <c r="E1284" i="4"/>
  <c r="F1284" i="4"/>
  <c r="K1284" i="4"/>
  <c r="J1284" i="4"/>
  <c r="D1284" i="4"/>
  <c r="B1285" i="4"/>
  <c r="G1284" i="4"/>
  <c r="C1285" i="4" l="1"/>
  <c r="I1285" i="4" s="1"/>
  <c r="E1285" i="4"/>
  <c r="F1285" i="4"/>
  <c r="H1285" i="4"/>
  <c r="K1285" i="4"/>
  <c r="G1285" i="4"/>
  <c r="D1285" i="4"/>
  <c r="B1286" i="4"/>
  <c r="J1285" i="4"/>
  <c r="B1287" i="4" l="1"/>
  <c r="J1286" i="4"/>
  <c r="G1286" i="4"/>
  <c r="D1286" i="4"/>
  <c r="F1286" i="4"/>
  <c r="H1286" i="4"/>
  <c r="E1286" i="4"/>
  <c r="K1286" i="4"/>
  <c r="C1286" i="4"/>
  <c r="I1286" i="4" s="1"/>
  <c r="G1287" i="4" l="1"/>
  <c r="D1287" i="4"/>
  <c r="J1287" i="4"/>
  <c r="H1287" i="4"/>
  <c r="B1288" i="4"/>
  <c r="F1287" i="4"/>
  <c r="C1287" i="4"/>
  <c r="I1287" i="4" s="1"/>
  <c r="K1287" i="4"/>
  <c r="E1287" i="4"/>
  <c r="K1288" i="4" l="1"/>
  <c r="F1288" i="4"/>
  <c r="G1288" i="4"/>
  <c r="C1288" i="4"/>
  <c r="I1288" i="4" s="1"/>
  <c r="J1288" i="4"/>
  <c r="E1288" i="4"/>
  <c r="B1289" i="4"/>
  <c r="D1288" i="4"/>
  <c r="H1288" i="4"/>
  <c r="J1289" i="4" l="1"/>
  <c r="F1289" i="4"/>
  <c r="E1289" i="4"/>
  <c r="C1289" i="4"/>
  <c r="I1289" i="4" s="1"/>
  <c r="H1289" i="4"/>
  <c r="D1289" i="4"/>
  <c r="B1290" i="4"/>
  <c r="G1289" i="4"/>
  <c r="K1289" i="4"/>
  <c r="F1290" i="4" l="1"/>
  <c r="J1290" i="4"/>
  <c r="H1290" i="4"/>
  <c r="D1290" i="4"/>
  <c r="K1290" i="4"/>
  <c r="B1291" i="4"/>
  <c r="C1290" i="4"/>
  <c r="I1290" i="4" s="1"/>
  <c r="E1290" i="4"/>
  <c r="G1290" i="4"/>
  <c r="C1291" i="4" l="1"/>
  <c r="I1291" i="4" s="1"/>
  <c r="D1291" i="4"/>
  <c r="B1292" i="4"/>
  <c r="F1291" i="4"/>
  <c r="G1291" i="4"/>
  <c r="H1291" i="4"/>
  <c r="E1291" i="4"/>
  <c r="J1291" i="4"/>
  <c r="K1291" i="4"/>
  <c r="G1292" i="4" l="1"/>
  <c r="J1292" i="4"/>
  <c r="C1292" i="4"/>
  <c r="I1292" i="4" s="1"/>
  <c r="H1292" i="4"/>
  <c r="K1292" i="4"/>
  <c r="E1292" i="4"/>
  <c r="F1292" i="4"/>
  <c r="D1292" i="4"/>
  <c r="B1293" i="4"/>
  <c r="K1293" i="4" l="1"/>
  <c r="F1293" i="4"/>
  <c r="C1293" i="4"/>
  <c r="I1293" i="4" s="1"/>
  <c r="G1293" i="4"/>
  <c r="E1293" i="4"/>
  <c r="B1294" i="4"/>
  <c r="H1293" i="4"/>
  <c r="J1293" i="4"/>
  <c r="D1293" i="4"/>
  <c r="C1294" i="4" l="1"/>
  <c r="I1294" i="4" s="1"/>
  <c r="F1294" i="4"/>
  <c r="J1294" i="4"/>
  <c r="B1295" i="4"/>
  <c r="K1294" i="4"/>
  <c r="G1294" i="4"/>
  <c r="H1294" i="4"/>
  <c r="D1294" i="4"/>
  <c r="E1294" i="4"/>
  <c r="E1295" i="4" l="1"/>
  <c r="B1296" i="4"/>
  <c r="J1295" i="4"/>
  <c r="C1295" i="4"/>
  <c r="I1295" i="4" s="1"/>
  <c r="G1295" i="4"/>
  <c r="H1295" i="4"/>
  <c r="K1295" i="4"/>
  <c r="D1295" i="4"/>
  <c r="F1295" i="4"/>
  <c r="C1296" i="4" l="1"/>
  <c r="I1296" i="4" s="1"/>
  <c r="E1296" i="4"/>
  <c r="H1296" i="4"/>
  <c r="K1296" i="4"/>
  <c r="G1296" i="4"/>
  <c r="J1296" i="4"/>
  <c r="F1296" i="4"/>
  <c r="B1297" i="4"/>
  <c r="D1296" i="4"/>
  <c r="K1297" i="4" l="1"/>
  <c r="B1298" i="4"/>
  <c r="J1297" i="4"/>
  <c r="H1297" i="4"/>
  <c r="D1297" i="4"/>
  <c r="G1297" i="4"/>
  <c r="F1297" i="4"/>
  <c r="C1297" i="4"/>
  <c r="I1297" i="4" s="1"/>
  <c r="E1297" i="4"/>
  <c r="G1298" i="4" l="1"/>
  <c r="H1298" i="4"/>
  <c r="K1298" i="4"/>
  <c r="B1299" i="4"/>
  <c r="C1298" i="4"/>
  <c r="I1298" i="4" s="1"/>
  <c r="E1298" i="4"/>
  <c r="D1298" i="4"/>
  <c r="J1298" i="4"/>
  <c r="F1298" i="4"/>
  <c r="H1299" i="4" l="1"/>
  <c r="F1299" i="4"/>
  <c r="B1300" i="4"/>
  <c r="D1299" i="4"/>
  <c r="J1299" i="4"/>
  <c r="C1299" i="4"/>
  <c r="I1299" i="4" s="1"/>
  <c r="E1299" i="4"/>
  <c r="G1299" i="4"/>
  <c r="K1299" i="4"/>
  <c r="K1300" i="4" l="1"/>
  <c r="D1300" i="4"/>
  <c r="G1300" i="4"/>
  <c r="C1300" i="4"/>
  <c r="I1300" i="4" s="1"/>
  <c r="F1300" i="4"/>
  <c r="J1300" i="4"/>
  <c r="H1300" i="4"/>
  <c r="E1300" i="4"/>
  <c r="B1301" i="4"/>
  <c r="H1301" i="4" l="1"/>
  <c r="K1301" i="4"/>
  <c r="E1301" i="4"/>
  <c r="B1302" i="4"/>
  <c r="G1301" i="4"/>
  <c r="C1301" i="4"/>
  <c r="I1301" i="4" s="1"/>
  <c r="D1301" i="4"/>
  <c r="J1301" i="4"/>
  <c r="F1301" i="4"/>
  <c r="C1302" i="4" l="1"/>
  <c r="I1302" i="4" s="1"/>
  <c r="K1302" i="4"/>
  <c r="G1302" i="4"/>
  <c r="B1303" i="4"/>
  <c r="H1302" i="4"/>
  <c r="F1302" i="4"/>
  <c r="D1302" i="4"/>
  <c r="E1302" i="4"/>
  <c r="J1302" i="4"/>
  <c r="K1303" i="4" l="1"/>
  <c r="E1303" i="4"/>
  <c r="D1303" i="4"/>
  <c r="F1303" i="4"/>
  <c r="B1304" i="4"/>
  <c r="C1303" i="4"/>
  <c r="I1303" i="4" s="1"/>
  <c r="J1303" i="4"/>
  <c r="G1303" i="4"/>
  <c r="H1303" i="4"/>
  <c r="J1304" i="4" l="1"/>
  <c r="C1304" i="4"/>
  <c r="I1304" i="4" s="1"/>
  <c r="H1304" i="4"/>
  <c r="K1304" i="4"/>
  <c r="E1304" i="4"/>
  <c r="D1304" i="4"/>
  <c r="G1304" i="4"/>
  <c r="F1304" i="4"/>
  <c r="B1305" i="4"/>
  <c r="E1305" i="4" l="1"/>
  <c r="B1306" i="4"/>
  <c r="J1305" i="4"/>
  <c r="F1305" i="4"/>
  <c r="C1305" i="4"/>
  <c r="I1305" i="4" s="1"/>
  <c r="K1305" i="4"/>
  <c r="G1305" i="4"/>
  <c r="H1305" i="4"/>
  <c r="D1305" i="4"/>
  <c r="C1306" i="4" l="1"/>
  <c r="I1306" i="4" s="1"/>
  <c r="D1306" i="4"/>
  <c r="K1306" i="4"/>
  <c r="G1306" i="4"/>
  <c r="B1307" i="4"/>
  <c r="J1306" i="4"/>
  <c r="E1306" i="4"/>
  <c r="H1306" i="4"/>
  <c r="F1306" i="4"/>
  <c r="D1307" i="4" l="1"/>
  <c r="B1308" i="4"/>
  <c r="G1307" i="4"/>
  <c r="H1307" i="4"/>
  <c r="K1307" i="4"/>
  <c r="C1307" i="4"/>
  <c r="I1307" i="4" s="1"/>
  <c r="J1307" i="4"/>
  <c r="F1307" i="4"/>
  <c r="E1307" i="4"/>
  <c r="D1308" i="4" l="1"/>
  <c r="K1308" i="4"/>
  <c r="E1308" i="4"/>
  <c r="G1308" i="4"/>
  <c r="F1308" i="4"/>
  <c r="B1309" i="4"/>
  <c r="H1308" i="4"/>
  <c r="C1308" i="4"/>
  <c r="I1308" i="4" s="1"/>
  <c r="J1308" i="4"/>
  <c r="B1310" i="4" l="1"/>
  <c r="H1309" i="4"/>
  <c r="G1309" i="4"/>
  <c r="C1309" i="4"/>
  <c r="I1309" i="4" s="1"/>
  <c r="E1309" i="4"/>
  <c r="K1309" i="4"/>
  <c r="F1309" i="4"/>
  <c r="D1309" i="4"/>
  <c r="J1309" i="4"/>
  <c r="J1310" i="4" l="1"/>
  <c r="H1310" i="4"/>
  <c r="G1310" i="4"/>
  <c r="F1310" i="4"/>
  <c r="B1311" i="4"/>
  <c r="C1310" i="4"/>
  <c r="I1310" i="4" s="1"/>
  <c r="K1310" i="4"/>
  <c r="E1310" i="4"/>
  <c r="D1310" i="4"/>
  <c r="J1311" i="4" l="1"/>
  <c r="G1311" i="4"/>
  <c r="D1311" i="4"/>
  <c r="B1312" i="4"/>
  <c r="H1311" i="4"/>
  <c r="F1311" i="4"/>
  <c r="C1311" i="4"/>
  <c r="I1311" i="4" s="1"/>
  <c r="E1311" i="4"/>
  <c r="K1311" i="4"/>
  <c r="K1312" i="4" l="1"/>
  <c r="G1312" i="4"/>
  <c r="H1312" i="4"/>
  <c r="B1313" i="4"/>
  <c r="J1312" i="4"/>
  <c r="E1312" i="4"/>
  <c r="C1312" i="4"/>
  <c r="I1312" i="4" s="1"/>
  <c r="F1312" i="4"/>
  <c r="D1312" i="4"/>
  <c r="K1313" i="4" l="1"/>
  <c r="B1314" i="4"/>
  <c r="D1313" i="4"/>
  <c r="C1313" i="4"/>
  <c r="I1313" i="4" s="1"/>
  <c r="E1313" i="4"/>
  <c r="G1313" i="4"/>
  <c r="F1313" i="4"/>
  <c r="H1313" i="4"/>
  <c r="J1313" i="4"/>
  <c r="C1314" i="4" l="1"/>
  <c r="I1314" i="4" s="1"/>
  <c r="J1314" i="4"/>
  <c r="F1314" i="4"/>
  <c r="H1314" i="4"/>
  <c r="D1314" i="4"/>
  <c r="G1314" i="4"/>
  <c r="B1315" i="4"/>
  <c r="K1314" i="4"/>
  <c r="E1314" i="4"/>
  <c r="K1315" i="4" l="1"/>
  <c r="E1315" i="4"/>
  <c r="F1315" i="4"/>
  <c r="J1315" i="4"/>
  <c r="C1315" i="4"/>
  <c r="I1315" i="4" s="1"/>
  <c r="D1315" i="4"/>
  <c r="H1315" i="4"/>
  <c r="B1316" i="4"/>
  <c r="G1315" i="4"/>
  <c r="G1316" i="4" l="1"/>
  <c r="H1316" i="4"/>
  <c r="F1316" i="4"/>
  <c r="J1316" i="4"/>
  <c r="B1317" i="4"/>
  <c r="D1316" i="4"/>
  <c r="K1316" i="4"/>
  <c r="E1316" i="4"/>
  <c r="C1316" i="4"/>
  <c r="I1316" i="4" s="1"/>
  <c r="J1317" i="4" l="1"/>
  <c r="D1317" i="4"/>
  <c r="K1317" i="4"/>
  <c r="F1317" i="4"/>
  <c r="B1318" i="4"/>
  <c r="H1317" i="4"/>
  <c r="E1317" i="4"/>
  <c r="G1317" i="4"/>
  <c r="C1317" i="4"/>
  <c r="I1317" i="4" s="1"/>
  <c r="F1318" i="4" l="1"/>
  <c r="K1318" i="4"/>
  <c r="J1318" i="4"/>
  <c r="H1318" i="4"/>
  <c r="E1318" i="4"/>
  <c r="D1318" i="4"/>
  <c r="G1318" i="4"/>
  <c r="C1318" i="4"/>
  <c r="I1318" i="4" s="1"/>
  <c r="B1319" i="4"/>
  <c r="F1319" i="4" l="1"/>
  <c r="B1320" i="4"/>
  <c r="D1319" i="4"/>
  <c r="G1319" i="4"/>
  <c r="C1319" i="4"/>
  <c r="I1319" i="4" s="1"/>
  <c r="K1319" i="4"/>
  <c r="J1319" i="4"/>
  <c r="E1319" i="4"/>
  <c r="H1319" i="4"/>
  <c r="D1320" i="4" l="1"/>
  <c r="H1320" i="4"/>
  <c r="G1320" i="4"/>
  <c r="J1320" i="4"/>
  <c r="E1320" i="4"/>
  <c r="B1321" i="4"/>
  <c r="K1320" i="4"/>
  <c r="C1320" i="4"/>
  <c r="I1320" i="4" s="1"/>
  <c r="F1320" i="4"/>
  <c r="H1321" i="4" l="1"/>
  <c r="K1321" i="4"/>
  <c r="J1321" i="4"/>
  <c r="B1322" i="4"/>
  <c r="G1321" i="4"/>
  <c r="C1321" i="4"/>
  <c r="I1321" i="4" s="1"/>
  <c r="D1321" i="4"/>
  <c r="F1321" i="4"/>
  <c r="E1321" i="4"/>
  <c r="F1322" i="4" l="1"/>
  <c r="D1322" i="4"/>
  <c r="C1322" i="4"/>
  <c r="I1322" i="4" s="1"/>
  <c r="G1322" i="4"/>
  <c r="E1322" i="4"/>
  <c r="H1322" i="4"/>
  <c r="B1323" i="4"/>
  <c r="K1322" i="4"/>
  <c r="J1322" i="4"/>
  <c r="E1323" i="4" l="1"/>
  <c r="J1323" i="4"/>
  <c r="K1323" i="4"/>
  <c r="D1323" i="4"/>
  <c r="B1324" i="4"/>
  <c r="C1323" i="4"/>
  <c r="I1323" i="4" s="1"/>
  <c r="H1323" i="4"/>
  <c r="G1323" i="4"/>
  <c r="F1323" i="4"/>
  <c r="F1324" i="4" l="1"/>
  <c r="G1324" i="4"/>
  <c r="E1324" i="4"/>
  <c r="J1324" i="4"/>
  <c r="B1325" i="4"/>
  <c r="D1324" i="4"/>
  <c r="K1324" i="4"/>
  <c r="C1324" i="4"/>
  <c r="I1324" i="4" s="1"/>
  <c r="H1324" i="4"/>
  <c r="K1325" i="4" l="1"/>
  <c r="C1325" i="4"/>
  <c r="I1325" i="4" s="1"/>
  <c r="G1325" i="4"/>
  <c r="D1325" i="4"/>
  <c r="H1325" i="4"/>
  <c r="E1325" i="4"/>
  <c r="B1326" i="4"/>
  <c r="F1325" i="4"/>
  <c r="J1325" i="4"/>
  <c r="D1326" i="4" l="1"/>
  <c r="K1326" i="4"/>
  <c r="E1326" i="4"/>
  <c r="C1326" i="4"/>
  <c r="I1326" i="4" s="1"/>
  <c r="H1326" i="4"/>
  <c r="F1326" i="4"/>
  <c r="B1327" i="4"/>
  <c r="G1326" i="4"/>
  <c r="J1326" i="4"/>
  <c r="H1327" i="4" l="1"/>
  <c r="D1327" i="4"/>
  <c r="G1327" i="4"/>
  <c r="B1328" i="4"/>
  <c r="E1327" i="4"/>
  <c r="J1327" i="4"/>
  <c r="F1327" i="4"/>
  <c r="C1327" i="4"/>
  <c r="I1327" i="4" s="1"/>
  <c r="K1327" i="4"/>
  <c r="G1328" i="4" l="1"/>
  <c r="K1328" i="4"/>
  <c r="H1328" i="4"/>
  <c r="D1328" i="4"/>
  <c r="J1328" i="4"/>
  <c r="E1328" i="4"/>
  <c r="C1328" i="4"/>
  <c r="I1328" i="4" s="1"/>
  <c r="F1328" i="4"/>
  <c r="B1329" i="4"/>
  <c r="E1329" i="4" l="1"/>
  <c r="G1329" i="4"/>
  <c r="F1329" i="4"/>
  <c r="J1329" i="4"/>
  <c r="K1329" i="4"/>
  <c r="B1330" i="4"/>
  <c r="H1329" i="4"/>
  <c r="D1329" i="4"/>
  <c r="C1329" i="4"/>
  <c r="I1329" i="4" s="1"/>
  <c r="B1331" i="4" l="1"/>
  <c r="G1330" i="4"/>
  <c r="F1330" i="4"/>
  <c r="K1330" i="4"/>
  <c r="C1330" i="4"/>
  <c r="I1330" i="4" s="1"/>
  <c r="H1330" i="4"/>
  <c r="J1330" i="4"/>
  <c r="D1330" i="4"/>
  <c r="E1330" i="4"/>
  <c r="K1331" i="4" l="1"/>
  <c r="J1331" i="4"/>
  <c r="D1331" i="4"/>
  <c r="F1331" i="4"/>
  <c r="H1331" i="4"/>
  <c r="C1331" i="4"/>
  <c r="I1331" i="4" s="1"/>
  <c r="B1332" i="4"/>
  <c r="E1331" i="4"/>
  <c r="G1331" i="4"/>
  <c r="J1332" i="4" l="1"/>
  <c r="H1332" i="4"/>
  <c r="K1332" i="4"/>
  <c r="E1332" i="4"/>
  <c r="B1333" i="4"/>
  <c r="D1332" i="4"/>
  <c r="G1332" i="4"/>
  <c r="F1332" i="4"/>
  <c r="C1332" i="4"/>
  <c r="I1332" i="4" s="1"/>
  <c r="G1333" i="4" l="1"/>
  <c r="H1333" i="4"/>
  <c r="E1333" i="4"/>
  <c r="C1333" i="4"/>
  <c r="I1333" i="4" s="1"/>
  <c r="B1334" i="4"/>
  <c r="D1333" i="4"/>
  <c r="F1333" i="4"/>
  <c r="J1333" i="4"/>
  <c r="K1333" i="4"/>
  <c r="B1335" i="4" l="1"/>
  <c r="J1334" i="4"/>
  <c r="F1334" i="4"/>
  <c r="K1334" i="4"/>
  <c r="D1334" i="4"/>
  <c r="H1334" i="4"/>
  <c r="G1334" i="4"/>
  <c r="E1334" i="4"/>
  <c r="C1334" i="4"/>
  <c r="I1334" i="4" s="1"/>
  <c r="D1335" i="4" l="1"/>
  <c r="B1336" i="4"/>
  <c r="E1335" i="4"/>
  <c r="H1335" i="4"/>
  <c r="C1335" i="4"/>
  <c r="I1335" i="4" s="1"/>
  <c r="G1335" i="4"/>
  <c r="J1335" i="4"/>
  <c r="K1335" i="4"/>
  <c r="F1335" i="4"/>
  <c r="G1336" i="4" l="1"/>
  <c r="E1336" i="4"/>
  <c r="F1336" i="4"/>
  <c r="C1336" i="4"/>
  <c r="I1336" i="4" s="1"/>
  <c r="D1336" i="4"/>
  <c r="B1337" i="4"/>
  <c r="H1336" i="4"/>
  <c r="K1336" i="4"/>
  <c r="J1336" i="4"/>
  <c r="D1337" i="4" l="1"/>
  <c r="J1337" i="4"/>
  <c r="G1337" i="4"/>
  <c r="F1337" i="4"/>
  <c r="B1338" i="4"/>
  <c r="K1337" i="4"/>
  <c r="E1337" i="4"/>
  <c r="H1337" i="4"/>
  <c r="C1337" i="4"/>
  <c r="I1337" i="4" s="1"/>
  <c r="C1338" i="4" l="1"/>
  <c r="I1338" i="4" s="1"/>
  <c r="G1338" i="4"/>
  <c r="D1338" i="4"/>
  <c r="H1338" i="4"/>
  <c r="B1339" i="4"/>
  <c r="E1338" i="4"/>
  <c r="K1338" i="4"/>
  <c r="J1338" i="4"/>
  <c r="F1338" i="4"/>
  <c r="J1339" i="4" l="1"/>
  <c r="C1339" i="4"/>
  <c r="I1339" i="4" s="1"/>
  <c r="F1339" i="4"/>
  <c r="K1339" i="4"/>
  <c r="B1340" i="4"/>
  <c r="G1339" i="4"/>
  <c r="D1339" i="4"/>
  <c r="H1339" i="4"/>
  <c r="E1339" i="4"/>
  <c r="D1340" i="4" l="1"/>
  <c r="J1340" i="4"/>
  <c r="G1340" i="4"/>
  <c r="E1340" i="4"/>
  <c r="C1340" i="4"/>
  <c r="I1340" i="4" s="1"/>
  <c r="H1340" i="4"/>
  <c r="F1340" i="4"/>
  <c r="B1341" i="4"/>
  <c r="K1340" i="4"/>
  <c r="F1341" i="4" l="1"/>
  <c r="B1342" i="4"/>
  <c r="H1341" i="4"/>
  <c r="E1341" i="4"/>
  <c r="K1341" i="4"/>
  <c r="J1341" i="4"/>
  <c r="G1341" i="4"/>
  <c r="D1341" i="4"/>
  <c r="C1341" i="4"/>
  <c r="I1341" i="4" s="1"/>
  <c r="E1342" i="4" l="1"/>
  <c r="K1342" i="4"/>
  <c r="J1342" i="4"/>
  <c r="B1343" i="4"/>
  <c r="H1342" i="4"/>
  <c r="F1342" i="4"/>
  <c r="G1342" i="4"/>
  <c r="C1342" i="4"/>
  <c r="I1342" i="4" s="1"/>
  <c r="D1342" i="4"/>
  <c r="H1343" i="4" l="1"/>
  <c r="E1343" i="4"/>
  <c r="J1343" i="4"/>
  <c r="F1343" i="4"/>
  <c r="G1343" i="4"/>
  <c r="D1343" i="4"/>
  <c r="K1343" i="4"/>
  <c r="C1343" i="4"/>
  <c r="I1343" i="4" s="1"/>
  <c r="B1344" i="4"/>
  <c r="E1344" i="4" l="1"/>
  <c r="H1344" i="4"/>
  <c r="F1344" i="4"/>
  <c r="G1344" i="4"/>
  <c r="K1344" i="4"/>
  <c r="J1344" i="4"/>
  <c r="C1344" i="4"/>
  <c r="I1344" i="4" s="1"/>
  <c r="D1344" i="4"/>
  <c r="B1345" i="4"/>
  <c r="J1345" i="4" l="1"/>
  <c r="G1345" i="4"/>
  <c r="C1345" i="4"/>
  <c r="I1345" i="4" s="1"/>
  <c r="E1345" i="4"/>
  <c r="H1345" i="4"/>
  <c r="K1345" i="4"/>
  <c r="F1345" i="4"/>
  <c r="B1346" i="4"/>
  <c r="D1345" i="4"/>
  <c r="H1346" i="4" l="1"/>
  <c r="J1346" i="4"/>
  <c r="F1346" i="4"/>
  <c r="E1346" i="4"/>
  <c r="G1346" i="4"/>
  <c r="K1346" i="4"/>
  <c r="D1346" i="4"/>
  <c r="C1346" i="4"/>
  <c r="I1346" i="4" s="1"/>
  <c r="B1347" i="4"/>
  <c r="E1347" i="4" l="1"/>
  <c r="B1348" i="4"/>
  <c r="G1347" i="4"/>
  <c r="J1347" i="4"/>
  <c r="H1347" i="4"/>
  <c r="F1347" i="4"/>
  <c r="D1347" i="4"/>
  <c r="K1347" i="4"/>
  <c r="C1347" i="4"/>
  <c r="I1347" i="4" s="1"/>
  <c r="D1348" i="4" l="1"/>
  <c r="H1348" i="4"/>
  <c r="B1349" i="4"/>
  <c r="E1348" i="4"/>
  <c r="F1348" i="4"/>
  <c r="C1348" i="4"/>
  <c r="I1348" i="4" s="1"/>
  <c r="J1348" i="4"/>
  <c r="G1348" i="4"/>
  <c r="K1348" i="4"/>
  <c r="J1349" i="4" l="1"/>
  <c r="B1350" i="4"/>
  <c r="G1349" i="4"/>
  <c r="H1349" i="4"/>
  <c r="E1349" i="4"/>
  <c r="K1349" i="4"/>
  <c r="D1349" i="4"/>
  <c r="F1349" i="4"/>
  <c r="C1349" i="4"/>
  <c r="I1349" i="4" s="1"/>
  <c r="J1350" i="4" l="1"/>
  <c r="B1351" i="4"/>
  <c r="H1350" i="4"/>
  <c r="G1350" i="4"/>
  <c r="E1350" i="4"/>
  <c r="K1350" i="4"/>
  <c r="F1350" i="4"/>
  <c r="C1350" i="4"/>
  <c r="I1350" i="4" s="1"/>
  <c r="D1350" i="4"/>
  <c r="C1351" i="4" l="1"/>
  <c r="I1351" i="4" s="1"/>
  <c r="E1351" i="4"/>
  <c r="J1351" i="4"/>
  <c r="F1351" i="4"/>
  <c r="G1351" i="4"/>
  <c r="H1351" i="4"/>
  <c r="K1351" i="4"/>
  <c r="B1352" i="4"/>
  <c r="D1351" i="4"/>
  <c r="H1352" i="4" l="1"/>
  <c r="E1352" i="4"/>
  <c r="C1352" i="4"/>
  <c r="I1352" i="4" s="1"/>
  <c r="B1353" i="4"/>
  <c r="D1352" i="4"/>
  <c r="F1352" i="4"/>
  <c r="J1352" i="4"/>
  <c r="K1352" i="4"/>
  <c r="G1352" i="4"/>
  <c r="K1353" i="4" l="1"/>
  <c r="H1353" i="4"/>
  <c r="C1353" i="4"/>
  <c r="I1353" i="4" s="1"/>
  <c r="D1353" i="4"/>
  <c r="F1353" i="4"/>
  <c r="J1353" i="4"/>
  <c r="E1353" i="4"/>
  <c r="G1353" i="4"/>
  <c r="B1354" i="4"/>
  <c r="H1354" i="4" l="1"/>
  <c r="C1354" i="4"/>
  <c r="I1354" i="4" s="1"/>
  <c r="J1354" i="4"/>
  <c r="G1354" i="4"/>
  <c r="F1354" i="4"/>
  <c r="D1354" i="4"/>
  <c r="E1354" i="4"/>
  <c r="B1355" i="4"/>
  <c r="K1354" i="4"/>
  <c r="K1355" i="4" l="1"/>
  <c r="J1355" i="4"/>
  <c r="G1355" i="4"/>
  <c r="C1355" i="4"/>
  <c r="I1355" i="4" s="1"/>
  <c r="H1355" i="4"/>
  <c r="D1355" i="4"/>
  <c r="B1356" i="4"/>
  <c r="E1355" i="4"/>
  <c r="F1355" i="4"/>
  <c r="D1356" i="4" l="1"/>
  <c r="C1356" i="4"/>
  <c r="I1356" i="4" s="1"/>
  <c r="H1356" i="4"/>
  <c r="K1356" i="4"/>
  <c r="J1356" i="4"/>
  <c r="B1357" i="4"/>
  <c r="F1356" i="4"/>
  <c r="G1356" i="4"/>
  <c r="E1356" i="4"/>
  <c r="J1357" i="4" l="1"/>
  <c r="K1357" i="4"/>
  <c r="G1357" i="4"/>
  <c r="C1357" i="4"/>
  <c r="I1357" i="4" s="1"/>
  <c r="F1357" i="4"/>
  <c r="H1357" i="4"/>
  <c r="B1358" i="4"/>
  <c r="D1357" i="4"/>
  <c r="E1357" i="4"/>
  <c r="K1358" i="4" l="1"/>
  <c r="G1358" i="4"/>
  <c r="J1358" i="4"/>
  <c r="H1358" i="4"/>
  <c r="C1358" i="4"/>
  <c r="I1358" i="4" s="1"/>
  <c r="D1358" i="4"/>
  <c r="F1358" i="4"/>
  <c r="E1358" i="4"/>
  <c r="B1359" i="4"/>
  <c r="G1359" i="4" l="1"/>
  <c r="D1359" i="4"/>
  <c r="F1359" i="4"/>
  <c r="J1359" i="4"/>
  <c r="H1359" i="4"/>
  <c r="K1359" i="4"/>
  <c r="C1359" i="4"/>
  <c r="I1359" i="4" s="1"/>
  <c r="B1360" i="4"/>
  <c r="E1359" i="4"/>
  <c r="J1360" i="4" l="1"/>
  <c r="E1360" i="4"/>
  <c r="K1360" i="4"/>
  <c r="G1360" i="4"/>
  <c r="F1360" i="4"/>
  <c r="C1360" i="4"/>
  <c r="I1360" i="4" s="1"/>
  <c r="D1360" i="4"/>
  <c r="B1361" i="4"/>
  <c r="H1360" i="4"/>
  <c r="K1361" i="4" l="1"/>
  <c r="G1361" i="4"/>
  <c r="C1361" i="4"/>
  <c r="I1361" i="4" s="1"/>
  <c r="E1361" i="4"/>
  <c r="H1361" i="4"/>
  <c r="D1361" i="4"/>
  <c r="J1361" i="4"/>
  <c r="F1361" i="4"/>
  <c r="B1362" i="4"/>
  <c r="J1362" i="4" l="1"/>
  <c r="E1362" i="4"/>
  <c r="F1362" i="4"/>
  <c r="G1362" i="4"/>
  <c r="K1362" i="4"/>
  <c r="B1363" i="4"/>
  <c r="D1362" i="4"/>
  <c r="C1362" i="4"/>
  <c r="I1362" i="4" s="1"/>
  <c r="H1362" i="4"/>
  <c r="E1363" i="4" l="1"/>
  <c r="H1363" i="4"/>
  <c r="J1363" i="4"/>
  <c r="B1364" i="4"/>
  <c r="F1363" i="4"/>
  <c r="C1363" i="4"/>
  <c r="I1363" i="4" s="1"/>
  <c r="D1363" i="4"/>
  <c r="K1363" i="4"/>
  <c r="G1363" i="4"/>
  <c r="G1364" i="4" l="1"/>
  <c r="E1364" i="4"/>
  <c r="K1364" i="4"/>
  <c r="B1365" i="4"/>
  <c r="D1364" i="4"/>
  <c r="H1364" i="4"/>
  <c r="F1364" i="4"/>
  <c r="C1364" i="4"/>
  <c r="I1364" i="4" s="1"/>
  <c r="J1364" i="4"/>
  <c r="D1365" i="4" l="1"/>
  <c r="B1366" i="4"/>
  <c r="H1365" i="4"/>
  <c r="E1365" i="4"/>
  <c r="K1365" i="4"/>
  <c r="C1365" i="4"/>
  <c r="I1365" i="4" s="1"/>
  <c r="G1365" i="4"/>
  <c r="J1365" i="4"/>
  <c r="F1365" i="4"/>
  <c r="F1366" i="4" l="1"/>
  <c r="C1366" i="4"/>
  <c r="I1366" i="4" s="1"/>
  <c r="K1366" i="4"/>
  <c r="G1366" i="4"/>
  <c r="D1366" i="4"/>
  <c r="J1366" i="4"/>
  <c r="B1367" i="4"/>
  <c r="H1366" i="4"/>
  <c r="E1366" i="4"/>
  <c r="J1367" i="4" l="1"/>
  <c r="D1367" i="4"/>
  <c r="F1367" i="4"/>
  <c r="E1367" i="4"/>
  <c r="K1367" i="4"/>
  <c r="C1367" i="4"/>
  <c r="I1367" i="4" s="1"/>
  <c r="B1368" i="4"/>
  <c r="H1367" i="4"/>
  <c r="G1367" i="4"/>
  <c r="G1368" i="4" l="1"/>
  <c r="K1368" i="4"/>
  <c r="C1368" i="4"/>
  <c r="I1368" i="4" s="1"/>
  <c r="D1368" i="4"/>
  <c r="J1368" i="4"/>
  <c r="E1368" i="4"/>
  <c r="F1368" i="4"/>
  <c r="H1368" i="4"/>
  <c r="B1369" i="4"/>
  <c r="K1369" i="4" l="1"/>
  <c r="E1369" i="4"/>
  <c r="B1370" i="4"/>
  <c r="J1369" i="4"/>
  <c r="H1369" i="4"/>
  <c r="F1369" i="4"/>
  <c r="C1369" i="4"/>
  <c r="I1369" i="4" s="1"/>
  <c r="G1369" i="4"/>
  <c r="D1369" i="4"/>
  <c r="F1370" i="4" l="1"/>
  <c r="B1371" i="4"/>
  <c r="C1370" i="4"/>
  <c r="I1370" i="4" s="1"/>
  <c r="H1370" i="4"/>
  <c r="J1370" i="4"/>
  <c r="K1370" i="4"/>
  <c r="D1370" i="4"/>
  <c r="E1370" i="4"/>
  <c r="G1370" i="4"/>
  <c r="B1372" i="4" l="1"/>
  <c r="G1371" i="4"/>
  <c r="F1371" i="4"/>
  <c r="D1371" i="4"/>
  <c r="H1371" i="4"/>
  <c r="J1371" i="4"/>
  <c r="E1371" i="4"/>
  <c r="K1371" i="4"/>
  <c r="C1371" i="4"/>
  <c r="I1371" i="4" s="1"/>
  <c r="K1372" i="4" l="1"/>
  <c r="E1372" i="4"/>
  <c r="J1372" i="4"/>
  <c r="B1373" i="4"/>
  <c r="G1372" i="4"/>
  <c r="D1372" i="4"/>
  <c r="C1372" i="4"/>
  <c r="I1372" i="4" s="1"/>
  <c r="F1372" i="4"/>
  <c r="H1372" i="4"/>
  <c r="J1373" i="4" l="1"/>
  <c r="C1373" i="4"/>
  <c r="I1373" i="4" s="1"/>
  <c r="B1374" i="4"/>
  <c r="E1373" i="4"/>
  <c r="G1373" i="4"/>
  <c r="K1373" i="4"/>
  <c r="F1373" i="4"/>
  <c r="D1373" i="4"/>
  <c r="H1373" i="4"/>
  <c r="H1374" i="4" l="1"/>
  <c r="D1374" i="4"/>
  <c r="J1374" i="4"/>
  <c r="G1374" i="4"/>
  <c r="E1374" i="4"/>
  <c r="B1375" i="4"/>
  <c r="K1374" i="4"/>
  <c r="C1374" i="4"/>
  <c r="I1374" i="4" s="1"/>
  <c r="F1374" i="4"/>
  <c r="B1376" i="4" l="1"/>
  <c r="J1375" i="4"/>
  <c r="K1375" i="4"/>
  <c r="C1375" i="4"/>
  <c r="I1375" i="4" s="1"/>
  <c r="D1375" i="4"/>
  <c r="G1375" i="4"/>
  <c r="F1375" i="4"/>
  <c r="H1375" i="4"/>
  <c r="E1375" i="4"/>
  <c r="F1376" i="4" l="1"/>
  <c r="G1376" i="4"/>
  <c r="D1376" i="4"/>
  <c r="H1376" i="4"/>
  <c r="K1376" i="4"/>
  <c r="C1376" i="4"/>
  <c r="I1376" i="4" s="1"/>
  <c r="J1376" i="4"/>
  <c r="E1376" i="4"/>
  <c r="B1377" i="4"/>
  <c r="B1378" i="4" l="1"/>
  <c r="K1377" i="4"/>
  <c r="C1377" i="4"/>
  <c r="I1377" i="4" s="1"/>
  <c r="J1377" i="4"/>
  <c r="D1377" i="4"/>
  <c r="E1377" i="4"/>
  <c r="G1377" i="4"/>
  <c r="F1377" i="4"/>
  <c r="H1377" i="4"/>
  <c r="B1379" i="4" l="1"/>
  <c r="F1378" i="4"/>
  <c r="C1378" i="4"/>
  <c r="I1378" i="4" s="1"/>
  <c r="E1378" i="4"/>
  <c r="H1378" i="4"/>
  <c r="G1378" i="4"/>
  <c r="J1378" i="4"/>
  <c r="D1378" i="4"/>
  <c r="K1378" i="4"/>
  <c r="B1380" i="4" l="1"/>
  <c r="C1379" i="4"/>
  <c r="I1379" i="4" s="1"/>
  <c r="H1379" i="4"/>
  <c r="G1379" i="4"/>
  <c r="K1379" i="4"/>
  <c r="D1379" i="4"/>
  <c r="J1379" i="4"/>
  <c r="E1379" i="4"/>
  <c r="F1379" i="4"/>
  <c r="H1380" i="4" l="1"/>
  <c r="F1380" i="4"/>
  <c r="G1380" i="4"/>
  <c r="J1380" i="4"/>
  <c r="K1380" i="4"/>
  <c r="B1381" i="4"/>
  <c r="C1380" i="4"/>
  <c r="I1380" i="4" s="1"/>
  <c r="E1380" i="4"/>
  <c r="D1380" i="4"/>
  <c r="J1381" i="4" l="1"/>
  <c r="D1381" i="4"/>
  <c r="E1381" i="4"/>
  <c r="G1381" i="4"/>
  <c r="F1381" i="4"/>
  <c r="C1381" i="4"/>
  <c r="I1381" i="4" s="1"/>
  <c r="H1381" i="4"/>
  <c r="B1382" i="4"/>
  <c r="K1381" i="4"/>
  <c r="F1382" i="4" l="1"/>
  <c r="K1382" i="4"/>
  <c r="J1382" i="4"/>
  <c r="H1382" i="4"/>
  <c r="B1383" i="4"/>
  <c r="C1382" i="4"/>
  <c r="I1382" i="4" s="1"/>
  <c r="G1382" i="4"/>
  <c r="E1382" i="4"/>
  <c r="D1382" i="4"/>
  <c r="K1383" i="4" l="1"/>
  <c r="F1383" i="4"/>
  <c r="G1383" i="4"/>
  <c r="B1384" i="4"/>
  <c r="D1383" i="4"/>
  <c r="C1383" i="4"/>
  <c r="I1383" i="4" s="1"/>
  <c r="J1383" i="4"/>
  <c r="H1383" i="4"/>
  <c r="E1383" i="4"/>
  <c r="D1384" i="4" l="1"/>
  <c r="G1384" i="4"/>
  <c r="H1384" i="4"/>
  <c r="J1384" i="4"/>
  <c r="K1384" i="4"/>
  <c r="E1384" i="4"/>
  <c r="C1384" i="4"/>
  <c r="I1384" i="4" s="1"/>
  <c r="B1385" i="4"/>
  <c r="F1384" i="4"/>
  <c r="E1385" i="4" l="1"/>
  <c r="B1386" i="4"/>
  <c r="C1385" i="4"/>
  <c r="I1385" i="4" s="1"/>
  <c r="F1385" i="4"/>
  <c r="D1385" i="4"/>
  <c r="J1385" i="4"/>
  <c r="G1385" i="4"/>
  <c r="H1385" i="4"/>
  <c r="K1385" i="4"/>
  <c r="K1386" i="4" l="1"/>
  <c r="C1386" i="4"/>
  <c r="I1386" i="4" s="1"/>
  <c r="F1386" i="4"/>
  <c r="D1386" i="4"/>
  <c r="G1386" i="4"/>
  <c r="E1386" i="4"/>
  <c r="H1386" i="4"/>
  <c r="B1387" i="4"/>
  <c r="J1386" i="4"/>
  <c r="K1387" i="4" l="1"/>
  <c r="B1388" i="4"/>
  <c r="J1387" i="4"/>
  <c r="G1387" i="4"/>
  <c r="H1387" i="4"/>
  <c r="C1387" i="4"/>
  <c r="I1387" i="4" s="1"/>
  <c r="D1387" i="4"/>
  <c r="F1387" i="4"/>
  <c r="E1387" i="4"/>
  <c r="E1388" i="4" l="1"/>
  <c r="F1388" i="4"/>
  <c r="H1388" i="4"/>
  <c r="G1388" i="4"/>
  <c r="D1388" i="4"/>
  <c r="B1389" i="4"/>
  <c r="K1388" i="4"/>
  <c r="J1388" i="4"/>
  <c r="C1388" i="4"/>
  <c r="I1388" i="4" s="1"/>
  <c r="K1389" i="4" l="1"/>
  <c r="E1389" i="4"/>
  <c r="J1389" i="4"/>
  <c r="G1389" i="4"/>
  <c r="H1389" i="4"/>
  <c r="B1390" i="4"/>
  <c r="C1389" i="4"/>
  <c r="I1389" i="4" s="1"/>
  <c r="F1389" i="4"/>
  <c r="D1389" i="4"/>
  <c r="B1391" i="4" l="1"/>
  <c r="F1390" i="4"/>
  <c r="C1390" i="4"/>
  <c r="I1390" i="4" s="1"/>
  <c r="E1390" i="4"/>
  <c r="D1390" i="4"/>
  <c r="J1390" i="4"/>
  <c r="G1390" i="4"/>
  <c r="H1390" i="4"/>
  <c r="K1390" i="4"/>
  <c r="F1391" i="4" l="1"/>
  <c r="J1391" i="4"/>
  <c r="D1391" i="4"/>
  <c r="H1391" i="4"/>
  <c r="G1391" i="4"/>
  <c r="B1392" i="4"/>
  <c r="K1391" i="4"/>
  <c r="E1391" i="4"/>
  <c r="C1391" i="4"/>
  <c r="I1391" i="4" s="1"/>
  <c r="F1392" i="4" l="1"/>
  <c r="H1392" i="4"/>
  <c r="J1392" i="4"/>
  <c r="E1392" i="4"/>
  <c r="G1392" i="4"/>
  <c r="K1392" i="4"/>
  <c r="D1392" i="4"/>
  <c r="C1392" i="4"/>
  <c r="I1392" i="4" s="1"/>
  <c r="B1393" i="4"/>
  <c r="H1393" i="4" l="1"/>
  <c r="G1393" i="4"/>
  <c r="C1393" i="4"/>
  <c r="I1393" i="4" s="1"/>
  <c r="E1393" i="4"/>
  <c r="B1394" i="4"/>
  <c r="J1393" i="4"/>
  <c r="K1393" i="4"/>
  <c r="D1393" i="4"/>
  <c r="F1393" i="4"/>
  <c r="F1394" i="4" l="1"/>
  <c r="H1394" i="4"/>
  <c r="D1394" i="4"/>
  <c r="J1394" i="4"/>
  <c r="C1394" i="4"/>
  <c r="I1394" i="4" s="1"/>
  <c r="B1395" i="4"/>
  <c r="K1394" i="4"/>
  <c r="G1394" i="4"/>
  <c r="E1394" i="4"/>
  <c r="J1395" i="4" l="1"/>
  <c r="E1395" i="4"/>
  <c r="B1396" i="4"/>
  <c r="G1395" i="4"/>
  <c r="C1395" i="4"/>
  <c r="I1395" i="4" s="1"/>
  <c r="K1395" i="4"/>
  <c r="F1395" i="4"/>
  <c r="H1395" i="4"/>
  <c r="D1395" i="4"/>
  <c r="K1396" i="4" l="1"/>
  <c r="G1396" i="4"/>
  <c r="C1396" i="4"/>
  <c r="I1396" i="4" s="1"/>
  <c r="H1396" i="4"/>
  <c r="E1396" i="4"/>
  <c r="J1396" i="4"/>
  <c r="F1396" i="4"/>
  <c r="B1397" i="4"/>
  <c r="D1396" i="4"/>
  <c r="D1397" i="4" l="1"/>
  <c r="B1398" i="4"/>
  <c r="J1397" i="4"/>
  <c r="G1397" i="4"/>
  <c r="C1397" i="4"/>
  <c r="I1397" i="4" s="1"/>
  <c r="H1397" i="4"/>
  <c r="K1397" i="4"/>
  <c r="E1397" i="4"/>
  <c r="F1397" i="4"/>
  <c r="K1398" i="4" l="1"/>
  <c r="C1398" i="4"/>
  <c r="I1398" i="4" s="1"/>
  <c r="H1398" i="4"/>
  <c r="F1398" i="4"/>
  <c r="D1398" i="4"/>
  <c r="G1398" i="4"/>
  <c r="B1399" i="4"/>
  <c r="J1398" i="4"/>
  <c r="E1398" i="4"/>
  <c r="C1399" i="4" l="1"/>
  <c r="I1399" i="4" s="1"/>
  <c r="B1400" i="4"/>
  <c r="J1399" i="4"/>
  <c r="K1399" i="4"/>
  <c r="E1399" i="4"/>
  <c r="F1399" i="4"/>
  <c r="D1399" i="4"/>
  <c r="G1399" i="4"/>
  <c r="H1399" i="4"/>
  <c r="F1400" i="4" l="1"/>
  <c r="C1400" i="4"/>
  <c r="I1400" i="4" s="1"/>
  <c r="K1400" i="4"/>
  <c r="J1400" i="4"/>
  <c r="D1400" i="4"/>
  <c r="E1400" i="4"/>
  <c r="G1400" i="4"/>
  <c r="H1400" i="4"/>
  <c r="B1401" i="4"/>
  <c r="J1401" i="4" l="1"/>
  <c r="F1401" i="4"/>
  <c r="G1401" i="4"/>
  <c r="E1401" i="4"/>
  <c r="B1402" i="4"/>
  <c r="C1401" i="4"/>
  <c r="I1401" i="4" s="1"/>
  <c r="K1401" i="4"/>
  <c r="D1401" i="4"/>
  <c r="H1401" i="4"/>
  <c r="K1402" i="4" l="1"/>
  <c r="G1402" i="4"/>
  <c r="B1403" i="4"/>
  <c r="E1402" i="4"/>
  <c r="C1402" i="4"/>
  <c r="I1402" i="4" s="1"/>
  <c r="H1402" i="4"/>
  <c r="F1402" i="4"/>
  <c r="J1402" i="4"/>
  <c r="D1402" i="4"/>
  <c r="B1404" i="4" l="1"/>
  <c r="F1403" i="4"/>
  <c r="C1403" i="4"/>
  <c r="I1403" i="4" s="1"/>
  <c r="E1403" i="4"/>
  <c r="J1403" i="4"/>
  <c r="G1403" i="4"/>
  <c r="D1403" i="4"/>
  <c r="H1403" i="4"/>
  <c r="K1403" i="4"/>
  <c r="J1404" i="4" l="1"/>
  <c r="G1404" i="4"/>
  <c r="C1404" i="4"/>
  <c r="I1404" i="4" s="1"/>
  <c r="D1404" i="4"/>
  <c r="H1404" i="4"/>
  <c r="F1404" i="4"/>
  <c r="B1405" i="4"/>
  <c r="K1404" i="4"/>
  <c r="E1404" i="4"/>
  <c r="B1406" i="4" l="1"/>
  <c r="J1405" i="4"/>
  <c r="K1405" i="4"/>
  <c r="F1405" i="4"/>
  <c r="H1405" i="4"/>
  <c r="E1405" i="4"/>
  <c r="D1405" i="4"/>
  <c r="G1405" i="4"/>
  <c r="C1405" i="4"/>
  <c r="I1405" i="4" s="1"/>
  <c r="H1406" i="4" l="1"/>
  <c r="B1407" i="4"/>
  <c r="K1406" i="4"/>
  <c r="C1406" i="4"/>
  <c r="I1406" i="4" s="1"/>
  <c r="J1406" i="4"/>
  <c r="D1406" i="4"/>
  <c r="G1406" i="4"/>
  <c r="E1406" i="4"/>
  <c r="F1406" i="4"/>
  <c r="F1407" i="4" l="1"/>
  <c r="E1407" i="4"/>
  <c r="K1407" i="4"/>
  <c r="G1407" i="4"/>
  <c r="J1407" i="4"/>
  <c r="D1407" i="4"/>
  <c r="C1407" i="4"/>
  <c r="I1407" i="4" s="1"/>
  <c r="B1408" i="4"/>
  <c r="H1407" i="4"/>
  <c r="G1408" i="4" l="1"/>
  <c r="F1408" i="4"/>
  <c r="J1408" i="4"/>
  <c r="C1408" i="4"/>
  <c r="I1408" i="4" s="1"/>
  <c r="B1409" i="4"/>
  <c r="K1408" i="4"/>
  <c r="D1408" i="4"/>
  <c r="H1408" i="4"/>
  <c r="E1408" i="4"/>
  <c r="F1409" i="4" l="1"/>
  <c r="B1410" i="4"/>
  <c r="K1409" i="4"/>
  <c r="D1409" i="4"/>
  <c r="H1409" i="4"/>
  <c r="C1409" i="4"/>
  <c r="I1409" i="4" s="1"/>
  <c r="G1409" i="4"/>
  <c r="E1409" i="4"/>
  <c r="J1409" i="4"/>
  <c r="F1410" i="4" l="1"/>
  <c r="C1410" i="4"/>
  <c r="I1410" i="4" s="1"/>
  <c r="K1410" i="4"/>
  <c r="J1410" i="4"/>
  <c r="E1410" i="4"/>
  <c r="B1411" i="4"/>
  <c r="D1410" i="4"/>
  <c r="G1410" i="4"/>
  <c r="H1410" i="4"/>
  <c r="H1411" i="4" l="1"/>
  <c r="B1412" i="4"/>
  <c r="E1411" i="4"/>
  <c r="G1411" i="4"/>
  <c r="K1411" i="4"/>
  <c r="F1411" i="4"/>
  <c r="J1411" i="4"/>
  <c r="D1411" i="4"/>
  <c r="C1411" i="4"/>
  <c r="I1411" i="4" s="1"/>
  <c r="C1412" i="4" l="1"/>
  <c r="I1412" i="4" s="1"/>
  <c r="J1412" i="4"/>
  <c r="D1412" i="4"/>
  <c r="H1412" i="4"/>
  <c r="F1412" i="4"/>
  <c r="K1412" i="4"/>
  <c r="G1412" i="4"/>
  <c r="E1412" i="4"/>
  <c r="B1413" i="4"/>
  <c r="B1414" i="4" l="1"/>
  <c r="G1413" i="4"/>
  <c r="C1413" i="4"/>
  <c r="I1413" i="4" s="1"/>
  <c r="H1413" i="4"/>
  <c r="K1413" i="4"/>
  <c r="J1413" i="4"/>
  <c r="E1413" i="4"/>
  <c r="F1413" i="4"/>
  <c r="D1413" i="4"/>
  <c r="G1414" i="4" l="1"/>
  <c r="H1414" i="4"/>
  <c r="E1414" i="4"/>
  <c r="J1414" i="4"/>
  <c r="B1415" i="4"/>
  <c r="D1414" i="4"/>
  <c r="F1414" i="4"/>
  <c r="K1414" i="4"/>
  <c r="C1414" i="4"/>
  <c r="I1414" i="4" s="1"/>
  <c r="C1415" i="4" l="1"/>
  <c r="I1415" i="4" s="1"/>
  <c r="F1415" i="4"/>
  <c r="E1415" i="4"/>
  <c r="J1415" i="4"/>
  <c r="G1415" i="4"/>
  <c r="D1415" i="4"/>
  <c r="H1415" i="4"/>
  <c r="K1415" i="4"/>
  <c r="B1416" i="4"/>
  <c r="F1416" i="4" l="1"/>
  <c r="G1416" i="4"/>
  <c r="J1416" i="4"/>
  <c r="E1416" i="4"/>
  <c r="H1416" i="4"/>
  <c r="D1416" i="4"/>
  <c r="C1416" i="4"/>
  <c r="I1416" i="4" s="1"/>
  <c r="B1417" i="4"/>
  <c r="K1416" i="4"/>
  <c r="E1417" i="4" l="1"/>
  <c r="J1417" i="4"/>
  <c r="C1417" i="4"/>
  <c r="I1417" i="4" s="1"/>
  <c r="H1417" i="4"/>
  <c r="G1417" i="4"/>
  <c r="B1418" i="4"/>
  <c r="F1417" i="4"/>
  <c r="K1417" i="4"/>
  <c r="D1417" i="4"/>
  <c r="D1418" i="4" l="1"/>
  <c r="J1418" i="4"/>
  <c r="K1418" i="4"/>
  <c r="E1418" i="4"/>
  <c r="C1418" i="4"/>
  <c r="I1418" i="4" s="1"/>
  <c r="F1418" i="4"/>
  <c r="B1419" i="4"/>
  <c r="G1418" i="4"/>
  <c r="H1418" i="4"/>
  <c r="J1419" i="4" l="1"/>
  <c r="E1419" i="4"/>
  <c r="B1420" i="4"/>
  <c r="F1419" i="4"/>
  <c r="K1419" i="4"/>
  <c r="H1419" i="4"/>
  <c r="G1419" i="4"/>
  <c r="D1419" i="4"/>
  <c r="C1419" i="4"/>
  <c r="I1419" i="4" s="1"/>
  <c r="H1420" i="4" l="1"/>
  <c r="G1420" i="4"/>
  <c r="K1420" i="4"/>
  <c r="J1420" i="4"/>
  <c r="E1420" i="4"/>
  <c r="F1420" i="4"/>
  <c r="C1420" i="4"/>
  <c r="I1420" i="4" s="1"/>
  <c r="B1421" i="4"/>
  <c r="D1420" i="4"/>
  <c r="D1421" i="4" l="1"/>
  <c r="K1421" i="4"/>
  <c r="F1421" i="4"/>
  <c r="G1421" i="4"/>
  <c r="B1422" i="4"/>
  <c r="C1421" i="4"/>
  <c r="I1421" i="4" s="1"/>
  <c r="H1421" i="4"/>
  <c r="J1421" i="4"/>
  <c r="E1421" i="4"/>
  <c r="H1422" i="4" l="1"/>
  <c r="D1422" i="4"/>
  <c r="J1422" i="4"/>
  <c r="G1422" i="4"/>
  <c r="B1423" i="4"/>
  <c r="E1422" i="4"/>
  <c r="F1422" i="4"/>
  <c r="C1422" i="4"/>
  <c r="I1422" i="4" s="1"/>
  <c r="K1422" i="4"/>
  <c r="K1423" i="4" l="1"/>
  <c r="B1424" i="4"/>
  <c r="H1423" i="4"/>
  <c r="G1423" i="4"/>
  <c r="F1423" i="4"/>
  <c r="J1423" i="4"/>
  <c r="D1423" i="4"/>
  <c r="C1423" i="4"/>
  <c r="I1423" i="4" s="1"/>
  <c r="E1423" i="4"/>
  <c r="J1424" i="4" l="1"/>
  <c r="B1425" i="4"/>
  <c r="H1424" i="4"/>
  <c r="F1424" i="4"/>
  <c r="E1424" i="4"/>
  <c r="D1424" i="4"/>
  <c r="G1424" i="4"/>
  <c r="K1424" i="4"/>
  <c r="C1424" i="4"/>
  <c r="I1424" i="4" s="1"/>
  <c r="B1426" i="4" l="1"/>
  <c r="J1425" i="4"/>
  <c r="K1425" i="4"/>
  <c r="D1425" i="4"/>
  <c r="G1425" i="4"/>
  <c r="E1425" i="4"/>
  <c r="C1425" i="4"/>
  <c r="I1425" i="4" s="1"/>
  <c r="F1425" i="4"/>
  <c r="H1425" i="4"/>
  <c r="G1426" i="4" l="1"/>
  <c r="K1426" i="4"/>
  <c r="H1426" i="4"/>
  <c r="B1427" i="4"/>
  <c r="E1426" i="4"/>
  <c r="C1426" i="4"/>
  <c r="I1426" i="4" s="1"/>
  <c r="J1426" i="4"/>
  <c r="F1426" i="4"/>
  <c r="D1426" i="4"/>
  <c r="H1427" i="4" l="1"/>
  <c r="C1427" i="4"/>
  <c r="I1427" i="4" s="1"/>
  <c r="B1428" i="4"/>
  <c r="G1427" i="4"/>
  <c r="E1427" i="4"/>
  <c r="K1427" i="4"/>
  <c r="F1427" i="4"/>
  <c r="D1427" i="4"/>
  <c r="J1427" i="4"/>
  <c r="B1429" i="4" l="1"/>
  <c r="H1428" i="4"/>
  <c r="G1428" i="4"/>
  <c r="J1428" i="4"/>
  <c r="F1428" i="4"/>
  <c r="D1428" i="4"/>
  <c r="C1428" i="4"/>
  <c r="I1428" i="4" s="1"/>
  <c r="E1428" i="4"/>
  <c r="K1428" i="4"/>
  <c r="B1430" i="4" l="1"/>
  <c r="G1429" i="4"/>
  <c r="J1429" i="4"/>
  <c r="C1429" i="4"/>
  <c r="I1429" i="4" s="1"/>
  <c r="H1429" i="4"/>
  <c r="D1429" i="4"/>
  <c r="F1429" i="4"/>
  <c r="K1429" i="4"/>
  <c r="E1429" i="4"/>
  <c r="K1430" i="4" l="1"/>
  <c r="G1430" i="4"/>
  <c r="E1430" i="4"/>
  <c r="C1430" i="4"/>
  <c r="I1430" i="4" s="1"/>
  <c r="J1430" i="4"/>
  <c r="B1431" i="4"/>
  <c r="H1430" i="4"/>
  <c r="F1430" i="4"/>
  <c r="D1430" i="4"/>
  <c r="E1431" i="4" l="1"/>
  <c r="F1431" i="4"/>
  <c r="B1432" i="4"/>
  <c r="J1431" i="4"/>
  <c r="K1431" i="4"/>
  <c r="G1431" i="4"/>
  <c r="C1431" i="4"/>
  <c r="I1431" i="4" s="1"/>
  <c r="D1431" i="4"/>
  <c r="H1431" i="4"/>
  <c r="G1432" i="4" l="1"/>
  <c r="H1432" i="4"/>
  <c r="J1432" i="4"/>
  <c r="F1432" i="4"/>
  <c r="K1432" i="4"/>
  <c r="B1433" i="4"/>
  <c r="D1432" i="4"/>
  <c r="E1432" i="4"/>
  <c r="C1432" i="4"/>
  <c r="I1432" i="4" s="1"/>
  <c r="K1433" i="4" l="1"/>
  <c r="H1433" i="4"/>
  <c r="E1433" i="4"/>
  <c r="J1433" i="4"/>
  <c r="F1433" i="4"/>
  <c r="G1433" i="4"/>
  <c r="C1433" i="4"/>
  <c r="I1433" i="4" s="1"/>
  <c r="B1434" i="4"/>
  <c r="D1433" i="4"/>
  <c r="C1434" i="4" l="1"/>
  <c r="I1434" i="4" s="1"/>
  <c r="H1434" i="4"/>
  <c r="J1434" i="4"/>
  <c r="G1434" i="4"/>
  <c r="F1434" i="4"/>
  <c r="D1434" i="4"/>
  <c r="K1434" i="4"/>
  <c r="B1435" i="4"/>
  <c r="E1434" i="4"/>
  <c r="C1435" i="4" l="1"/>
  <c r="I1435" i="4" s="1"/>
  <c r="E1435" i="4"/>
  <c r="K1435" i="4"/>
  <c r="H1435" i="4"/>
  <c r="G1435" i="4"/>
  <c r="F1435" i="4"/>
  <c r="J1435" i="4"/>
  <c r="D1435" i="4"/>
  <c r="B1436" i="4"/>
  <c r="H1436" i="4" l="1"/>
  <c r="E1436" i="4"/>
  <c r="G1436" i="4"/>
  <c r="D1436" i="4"/>
  <c r="F1436" i="4"/>
  <c r="K1436" i="4"/>
  <c r="J1436" i="4"/>
  <c r="B1437" i="4"/>
  <c r="C1436" i="4"/>
  <c r="I1436" i="4" s="1"/>
  <c r="B1438" i="4" l="1"/>
  <c r="C1437" i="4"/>
  <c r="I1437" i="4" s="1"/>
  <c r="H1437" i="4"/>
  <c r="J1437" i="4"/>
  <c r="K1437" i="4"/>
  <c r="E1437" i="4"/>
  <c r="G1437" i="4"/>
  <c r="F1437" i="4"/>
  <c r="D1437" i="4"/>
  <c r="B1439" i="4" l="1"/>
  <c r="J1438" i="4"/>
  <c r="E1438" i="4"/>
  <c r="K1438" i="4"/>
  <c r="H1438" i="4"/>
  <c r="D1438" i="4"/>
  <c r="F1438" i="4"/>
  <c r="G1438" i="4"/>
  <c r="C1438" i="4"/>
  <c r="I1438" i="4" s="1"/>
  <c r="F1439" i="4" l="1"/>
  <c r="G1439" i="4"/>
  <c r="B1440" i="4"/>
  <c r="E1439" i="4"/>
  <c r="C1439" i="4"/>
  <c r="I1439" i="4" s="1"/>
  <c r="K1439" i="4"/>
  <c r="H1439" i="4"/>
  <c r="D1439" i="4"/>
  <c r="J1439" i="4"/>
  <c r="G1440" i="4" l="1"/>
  <c r="K1440" i="4"/>
  <c r="J1440" i="4"/>
  <c r="E1440" i="4"/>
  <c r="C1440" i="4"/>
  <c r="I1440" i="4" s="1"/>
  <c r="D1440" i="4"/>
  <c r="B1441" i="4"/>
  <c r="H1440" i="4"/>
  <c r="F1440" i="4"/>
  <c r="K1441" i="4" l="1"/>
  <c r="F1441" i="4"/>
  <c r="J1441" i="4"/>
  <c r="B1442" i="4"/>
  <c r="H1441" i="4"/>
  <c r="G1441" i="4"/>
  <c r="D1441" i="4"/>
  <c r="E1441" i="4"/>
  <c r="C1441" i="4"/>
  <c r="I1441" i="4" s="1"/>
  <c r="J1442" i="4" l="1"/>
  <c r="G1442" i="4"/>
  <c r="D1442" i="4"/>
  <c r="K1442" i="4"/>
  <c r="H1442" i="4"/>
  <c r="C1442" i="4"/>
  <c r="I1442" i="4" s="1"/>
  <c r="B1443" i="4"/>
  <c r="E1442" i="4"/>
  <c r="F1442" i="4"/>
  <c r="B1444" i="4" l="1"/>
  <c r="K1443" i="4"/>
  <c r="E1443" i="4"/>
  <c r="D1443" i="4"/>
  <c r="G1443" i="4"/>
  <c r="H1443" i="4"/>
  <c r="C1443" i="4"/>
  <c r="I1443" i="4" s="1"/>
  <c r="J1443" i="4"/>
  <c r="F1443" i="4"/>
  <c r="J1444" i="4" l="1"/>
  <c r="B1445" i="4"/>
  <c r="K1444" i="4"/>
  <c r="G1444" i="4"/>
  <c r="H1444" i="4"/>
  <c r="F1444" i="4"/>
  <c r="C1444" i="4"/>
  <c r="I1444" i="4" s="1"/>
  <c r="D1444" i="4"/>
  <c r="E1444" i="4"/>
  <c r="B1446" i="4" l="1"/>
  <c r="J1445" i="4"/>
  <c r="H1445" i="4"/>
  <c r="C1445" i="4"/>
  <c r="I1445" i="4" s="1"/>
  <c r="K1445" i="4"/>
  <c r="G1445" i="4"/>
  <c r="F1445" i="4"/>
  <c r="E1445" i="4"/>
  <c r="D1445" i="4"/>
  <c r="H1446" i="4" l="1"/>
  <c r="B1447" i="4"/>
  <c r="C1446" i="4"/>
  <c r="I1446" i="4" s="1"/>
  <c r="D1446" i="4"/>
  <c r="J1446" i="4"/>
  <c r="G1446" i="4"/>
  <c r="K1446" i="4"/>
  <c r="E1446" i="4"/>
  <c r="F1446" i="4"/>
  <c r="K1447" i="4" l="1"/>
  <c r="F1447" i="4"/>
  <c r="G1447" i="4"/>
  <c r="E1447" i="4"/>
  <c r="D1447" i="4"/>
  <c r="C1447" i="4"/>
  <c r="I1447" i="4" s="1"/>
  <c r="J1447" i="4"/>
  <c r="H1447" i="4"/>
  <c r="B1448" i="4"/>
  <c r="H1448" i="4" l="1"/>
  <c r="F1448" i="4"/>
  <c r="K1448" i="4"/>
  <c r="C1448" i="4"/>
  <c r="I1448" i="4" s="1"/>
  <c r="G1448" i="4"/>
  <c r="B1449" i="4"/>
  <c r="D1448" i="4"/>
  <c r="E1448" i="4"/>
  <c r="J1448" i="4"/>
  <c r="E1449" i="4" l="1"/>
  <c r="F1449" i="4"/>
  <c r="K1449" i="4"/>
  <c r="J1449" i="4"/>
  <c r="C1449" i="4"/>
  <c r="I1449" i="4" s="1"/>
  <c r="B1450" i="4"/>
  <c r="H1449" i="4"/>
  <c r="D1449" i="4"/>
  <c r="G1449" i="4"/>
  <c r="C1450" i="4" l="1"/>
  <c r="I1450" i="4" s="1"/>
  <c r="F1450" i="4"/>
  <c r="H1450" i="4"/>
  <c r="E1450" i="4"/>
  <c r="K1450" i="4"/>
  <c r="B1451" i="4"/>
  <c r="J1450" i="4"/>
  <c r="G1450" i="4"/>
  <c r="D1450" i="4"/>
  <c r="H1451" i="4" l="1"/>
  <c r="B1452" i="4"/>
  <c r="D1451" i="4"/>
  <c r="C1451" i="4"/>
  <c r="I1451" i="4" s="1"/>
  <c r="E1451" i="4"/>
  <c r="K1451" i="4"/>
  <c r="G1451" i="4"/>
  <c r="J1451" i="4"/>
  <c r="F1451" i="4"/>
  <c r="G1452" i="4" l="1"/>
  <c r="E1452" i="4"/>
  <c r="F1452" i="4"/>
  <c r="K1452" i="4"/>
  <c r="J1452" i="4"/>
  <c r="H1452" i="4"/>
  <c r="B1453" i="4"/>
  <c r="D1452" i="4"/>
  <c r="C1452" i="4"/>
  <c r="I1452" i="4" s="1"/>
  <c r="B1454" i="4" l="1"/>
  <c r="G1453" i="4"/>
  <c r="J1453" i="4"/>
  <c r="D1453" i="4"/>
  <c r="E1453" i="4"/>
  <c r="F1453" i="4"/>
  <c r="C1453" i="4"/>
  <c r="I1453" i="4" s="1"/>
  <c r="H1453" i="4"/>
  <c r="K1453" i="4"/>
  <c r="J1454" i="4" l="1"/>
  <c r="F1454" i="4"/>
  <c r="G1454" i="4"/>
  <c r="E1454" i="4"/>
  <c r="B1455" i="4"/>
  <c r="D1454" i="4"/>
  <c r="H1454" i="4"/>
  <c r="C1454" i="4"/>
  <c r="I1454" i="4" s="1"/>
  <c r="K1454" i="4"/>
  <c r="K1455" i="4" l="1"/>
  <c r="B1456" i="4"/>
  <c r="E1455" i="4"/>
  <c r="C1455" i="4"/>
  <c r="I1455" i="4" s="1"/>
  <c r="F1455" i="4"/>
  <c r="J1455" i="4"/>
  <c r="D1455" i="4"/>
  <c r="H1455" i="4"/>
  <c r="G1455" i="4"/>
  <c r="K1456" i="4" l="1"/>
  <c r="G1456" i="4"/>
  <c r="C1456" i="4"/>
  <c r="I1456" i="4" s="1"/>
  <c r="F1456" i="4"/>
  <c r="J1456" i="4"/>
  <c r="E1456" i="4"/>
  <c r="B1457" i="4"/>
  <c r="D1456" i="4"/>
  <c r="H1456" i="4"/>
  <c r="J1457" i="4" l="1"/>
  <c r="K1457" i="4"/>
  <c r="D1457" i="4"/>
  <c r="E1457" i="4"/>
  <c r="G1457" i="4"/>
  <c r="C1457" i="4"/>
  <c r="I1457" i="4" s="1"/>
  <c r="B1458" i="4"/>
  <c r="H1457" i="4"/>
  <c r="F1457" i="4"/>
  <c r="F1458" i="4" l="1"/>
  <c r="C1458" i="4"/>
  <c r="I1458" i="4" s="1"/>
  <c r="B1459" i="4"/>
  <c r="G1458" i="4"/>
  <c r="J1458" i="4"/>
  <c r="E1458" i="4"/>
  <c r="D1458" i="4"/>
  <c r="K1458" i="4"/>
  <c r="H1458" i="4"/>
  <c r="K1459" i="4" l="1"/>
  <c r="J1459" i="4"/>
  <c r="D1459" i="4"/>
  <c r="G1459" i="4"/>
  <c r="F1459" i="4"/>
  <c r="B1460" i="4"/>
  <c r="H1459" i="4"/>
  <c r="E1459" i="4"/>
  <c r="C1459" i="4"/>
  <c r="I1459" i="4" s="1"/>
  <c r="J1460" i="4" l="1"/>
  <c r="H1460" i="4"/>
  <c r="C1460" i="4"/>
  <c r="I1460" i="4" s="1"/>
  <c r="K1460" i="4"/>
  <c r="F1460" i="4"/>
  <c r="D1460" i="4"/>
  <c r="E1460" i="4"/>
  <c r="G1460" i="4"/>
  <c r="B1461" i="4"/>
  <c r="H1461" i="4" l="1"/>
  <c r="C1461" i="4"/>
  <c r="I1461" i="4" s="1"/>
  <c r="K1461" i="4"/>
  <c r="F1461" i="4"/>
  <c r="E1461" i="4"/>
  <c r="G1461" i="4"/>
  <c r="B1462" i="4"/>
  <c r="J1461" i="4"/>
  <c r="D1461" i="4"/>
  <c r="C1462" i="4" l="1"/>
  <c r="I1462" i="4" s="1"/>
  <c r="H1462" i="4"/>
  <c r="D1462" i="4"/>
  <c r="E1462" i="4"/>
  <c r="K1462" i="4"/>
  <c r="B1463" i="4"/>
  <c r="F1462" i="4"/>
  <c r="G1462" i="4"/>
  <c r="J1462" i="4"/>
  <c r="H1463" i="4" l="1"/>
  <c r="E1463" i="4"/>
  <c r="D1463" i="4"/>
  <c r="F1463" i="4"/>
  <c r="G1463" i="4"/>
  <c r="J1463" i="4"/>
  <c r="C1463" i="4"/>
  <c r="I1463" i="4" s="1"/>
  <c r="K1463" i="4"/>
  <c r="B1464" i="4"/>
  <c r="H1464" i="4" l="1"/>
  <c r="E1464" i="4"/>
  <c r="B1465" i="4"/>
  <c r="G1464" i="4"/>
  <c r="C1464" i="4"/>
  <c r="I1464" i="4" s="1"/>
  <c r="K1464" i="4"/>
  <c r="F1464" i="4"/>
  <c r="D1464" i="4"/>
  <c r="J1464" i="4"/>
  <c r="B1466" i="4" l="1"/>
  <c r="D1465" i="4"/>
  <c r="C1465" i="4"/>
  <c r="I1465" i="4" s="1"/>
  <c r="E1465" i="4"/>
  <c r="K1465" i="4"/>
  <c r="F1465" i="4"/>
  <c r="H1465" i="4"/>
  <c r="J1465" i="4"/>
  <c r="G1465" i="4"/>
  <c r="C1466" i="4" l="1"/>
  <c r="I1466" i="4" s="1"/>
  <c r="H1466" i="4"/>
  <c r="G1466" i="4"/>
  <c r="J1466" i="4"/>
  <c r="B1467" i="4"/>
  <c r="K1466" i="4"/>
  <c r="E1466" i="4"/>
  <c r="D1466" i="4"/>
  <c r="F1466" i="4"/>
  <c r="F1467" i="4" l="1"/>
  <c r="H1467" i="4"/>
  <c r="D1467" i="4"/>
  <c r="E1467" i="4"/>
  <c r="K1467" i="4"/>
  <c r="G1467" i="4"/>
  <c r="J1467" i="4"/>
  <c r="C1467" i="4"/>
  <c r="I1467" i="4" s="1"/>
  <c r="B1468" i="4"/>
  <c r="H1468" i="4" l="1"/>
  <c r="C1468" i="4"/>
  <c r="I1468" i="4" s="1"/>
  <c r="K1468" i="4"/>
  <c r="G1468" i="4"/>
  <c r="J1468" i="4"/>
  <c r="D1468" i="4"/>
  <c r="B1469" i="4"/>
  <c r="F1468" i="4"/>
  <c r="E1468" i="4"/>
  <c r="F1469" i="4" l="1"/>
  <c r="D1469" i="4"/>
  <c r="G1469" i="4"/>
  <c r="J1469" i="4"/>
  <c r="B1470" i="4"/>
  <c r="K1469" i="4"/>
  <c r="C1469" i="4"/>
  <c r="I1469" i="4" s="1"/>
  <c r="E1469" i="4"/>
  <c r="H1469" i="4"/>
  <c r="G1470" i="4" l="1"/>
  <c r="H1470" i="4"/>
  <c r="F1470" i="4"/>
  <c r="J1470" i="4"/>
  <c r="E1470" i="4"/>
  <c r="B1471" i="4"/>
  <c r="C1470" i="4"/>
  <c r="I1470" i="4" s="1"/>
  <c r="D1470" i="4"/>
  <c r="K1470" i="4"/>
  <c r="F1471" i="4" l="1"/>
  <c r="H1471" i="4"/>
  <c r="D1471" i="4"/>
  <c r="G1471" i="4"/>
  <c r="B1472" i="4"/>
  <c r="J1471" i="4"/>
  <c r="E1471" i="4"/>
  <c r="C1471" i="4"/>
  <c r="I1471" i="4" s="1"/>
  <c r="K1471" i="4"/>
  <c r="F1472" i="4" l="1"/>
  <c r="D1472" i="4"/>
  <c r="J1472" i="4"/>
  <c r="G1472" i="4"/>
  <c r="C1472" i="4"/>
  <c r="I1472" i="4" s="1"/>
  <c r="K1472" i="4"/>
  <c r="B1473" i="4"/>
  <c r="E1472" i="4"/>
  <c r="H1472" i="4"/>
  <c r="J1473" i="4" l="1"/>
  <c r="H1473" i="4"/>
  <c r="G1473" i="4"/>
  <c r="K1473" i="4"/>
  <c r="E1473" i="4"/>
  <c r="D1473" i="4"/>
  <c r="B1474" i="4"/>
  <c r="C1473" i="4"/>
  <c r="I1473" i="4" s="1"/>
  <c r="F1473" i="4"/>
  <c r="B1475" i="4" l="1"/>
  <c r="C1474" i="4"/>
  <c r="I1474" i="4" s="1"/>
  <c r="H1474" i="4"/>
  <c r="F1474" i="4"/>
  <c r="D1474" i="4"/>
  <c r="G1474" i="4"/>
  <c r="K1474" i="4"/>
  <c r="E1474" i="4"/>
  <c r="J1474" i="4"/>
  <c r="D1475" i="4" l="1"/>
  <c r="C1475" i="4"/>
  <c r="I1475" i="4" s="1"/>
  <c r="F1475" i="4"/>
  <c r="J1475" i="4"/>
  <c r="E1475" i="4"/>
  <c r="B1476" i="4"/>
  <c r="G1475" i="4"/>
  <c r="K1475" i="4"/>
  <c r="H1475" i="4"/>
  <c r="C1476" i="4" l="1"/>
  <c r="I1476" i="4" s="1"/>
  <c r="H1476" i="4"/>
  <c r="E1476" i="4"/>
  <c r="G1476" i="4"/>
  <c r="J1476" i="4"/>
  <c r="D1476" i="4"/>
  <c r="F1476" i="4"/>
  <c r="K1476" i="4"/>
  <c r="B1477" i="4"/>
  <c r="C1477" i="4" l="1"/>
  <c r="I1477" i="4" s="1"/>
  <c r="F1477" i="4"/>
  <c r="J1477" i="4"/>
  <c r="B1478" i="4"/>
  <c r="K1477" i="4"/>
  <c r="G1477" i="4"/>
  <c r="E1477" i="4"/>
  <c r="H1477" i="4"/>
  <c r="D1477" i="4"/>
  <c r="B1479" i="4" l="1"/>
  <c r="C1478" i="4"/>
  <c r="I1478" i="4" s="1"/>
  <c r="E1478" i="4"/>
  <c r="H1478" i="4"/>
  <c r="D1478" i="4"/>
  <c r="J1478" i="4"/>
  <c r="K1478" i="4"/>
  <c r="F1478" i="4"/>
  <c r="G1478" i="4"/>
  <c r="E1479" i="4" l="1"/>
  <c r="F1479" i="4"/>
  <c r="J1479" i="4"/>
  <c r="B1480" i="4"/>
  <c r="G1479" i="4"/>
  <c r="K1479" i="4"/>
  <c r="H1479" i="4"/>
  <c r="C1479" i="4"/>
  <c r="I1479" i="4" s="1"/>
  <c r="D1479" i="4"/>
  <c r="D1480" i="4" l="1"/>
  <c r="F1480" i="4"/>
  <c r="H1480" i="4"/>
  <c r="G1480" i="4"/>
  <c r="C1480" i="4"/>
  <c r="I1480" i="4" s="1"/>
  <c r="E1480" i="4"/>
  <c r="B1481" i="4"/>
  <c r="K1480" i="4"/>
  <c r="J1480" i="4"/>
  <c r="B1482" i="4" l="1"/>
  <c r="C1481" i="4"/>
  <c r="I1481" i="4" s="1"/>
  <c r="E1481" i="4"/>
  <c r="F1481" i="4"/>
  <c r="D1481" i="4"/>
  <c r="G1481" i="4"/>
  <c r="H1481" i="4"/>
  <c r="J1481" i="4"/>
  <c r="K1481" i="4"/>
  <c r="G1482" i="4" l="1"/>
  <c r="H1482" i="4"/>
  <c r="B1483" i="4"/>
  <c r="C1482" i="4"/>
  <c r="I1482" i="4" s="1"/>
  <c r="F1482" i="4"/>
  <c r="D1482" i="4"/>
  <c r="K1482" i="4"/>
  <c r="J1482" i="4"/>
  <c r="E1482" i="4"/>
  <c r="E1483" i="4" l="1"/>
  <c r="J1483" i="4"/>
  <c r="C1483" i="4"/>
  <c r="I1483" i="4" s="1"/>
  <c r="G1483" i="4"/>
  <c r="H1483" i="4"/>
  <c r="B1484" i="4"/>
  <c r="F1483" i="4"/>
  <c r="K1483" i="4"/>
  <c r="D1483" i="4"/>
  <c r="G1484" i="4" l="1"/>
  <c r="J1484" i="4"/>
  <c r="K1484" i="4"/>
  <c r="D1484" i="4"/>
  <c r="F1484" i="4"/>
  <c r="B1485" i="4"/>
  <c r="E1484" i="4"/>
  <c r="C1484" i="4"/>
  <c r="I1484" i="4" s="1"/>
  <c r="H1484" i="4"/>
  <c r="B1486" i="4" l="1"/>
  <c r="D1485" i="4"/>
  <c r="F1485" i="4"/>
  <c r="G1485" i="4"/>
  <c r="J1485" i="4"/>
  <c r="K1485" i="4"/>
  <c r="E1485" i="4"/>
  <c r="C1485" i="4"/>
  <c r="I1485" i="4" s="1"/>
  <c r="H1485" i="4"/>
  <c r="B1487" i="4" l="1"/>
  <c r="H1486" i="4"/>
  <c r="K1486" i="4"/>
  <c r="J1486" i="4"/>
  <c r="G1486" i="4"/>
  <c r="E1486" i="4"/>
  <c r="F1486" i="4"/>
  <c r="C1486" i="4"/>
  <c r="I1486" i="4" s="1"/>
  <c r="D1486" i="4"/>
  <c r="K1487" i="4" l="1"/>
  <c r="E1487" i="4"/>
  <c r="C1487" i="4"/>
  <c r="I1487" i="4" s="1"/>
  <c r="B1488" i="4"/>
  <c r="F1487" i="4"/>
  <c r="J1487" i="4"/>
  <c r="D1487" i="4"/>
  <c r="H1487" i="4"/>
  <c r="G1487" i="4"/>
  <c r="G1488" i="4" l="1"/>
  <c r="D1488" i="4"/>
  <c r="H1488" i="4"/>
  <c r="J1488" i="4"/>
  <c r="K1488" i="4"/>
  <c r="B1489" i="4"/>
  <c r="C1488" i="4"/>
  <c r="I1488" i="4" s="1"/>
  <c r="F1488" i="4"/>
  <c r="E1488" i="4"/>
  <c r="J1489" i="4" l="1"/>
  <c r="G1489" i="4"/>
  <c r="H1489" i="4"/>
  <c r="C1489" i="4"/>
  <c r="I1489" i="4" s="1"/>
  <c r="K1489" i="4"/>
  <c r="B1490" i="4"/>
  <c r="D1489" i="4"/>
  <c r="E1489" i="4"/>
  <c r="F1489" i="4"/>
  <c r="H1490" i="4" l="1"/>
  <c r="C1490" i="4"/>
  <c r="I1490" i="4" s="1"/>
  <c r="K1490" i="4"/>
  <c r="G1490" i="4"/>
  <c r="E1490" i="4"/>
  <c r="J1490" i="4"/>
  <c r="B1491" i="4"/>
  <c r="F1490" i="4"/>
  <c r="D1490" i="4"/>
  <c r="G1491" i="4" l="1"/>
  <c r="B1492" i="4"/>
  <c r="K1491" i="4"/>
  <c r="J1491" i="4"/>
  <c r="C1491" i="4"/>
  <c r="I1491" i="4" s="1"/>
  <c r="H1491" i="4"/>
  <c r="E1491" i="4"/>
  <c r="D1491" i="4"/>
  <c r="F1491" i="4"/>
  <c r="D1492" i="4" l="1"/>
  <c r="C1492" i="4"/>
  <c r="I1492" i="4" s="1"/>
  <c r="G1492" i="4"/>
  <c r="E1492" i="4"/>
  <c r="J1492" i="4"/>
  <c r="H1492" i="4"/>
  <c r="B1493" i="4"/>
  <c r="K1492" i="4"/>
  <c r="F1492" i="4"/>
  <c r="J1493" i="4" l="1"/>
  <c r="B1494" i="4"/>
  <c r="D1493" i="4"/>
  <c r="H1493" i="4"/>
  <c r="G1493" i="4"/>
  <c r="K1493" i="4"/>
  <c r="C1493" i="4"/>
  <c r="I1493" i="4" s="1"/>
  <c r="F1493" i="4"/>
  <c r="E1493" i="4"/>
  <c r="B1495" i="4" l="1"/>
  <c r="E1494" i="4"/>
  <c r="G1494" i="4"/>
  <c r="D1494" i="4"/>
  <c r="F1494" i="4"/>
  <c r="K1494" i="4"/>
  <c r="J1494" i="4"/>
  <c r="C1494" i="4"/>
  <c r="I1494" i="4" s="1"/>
  <c r="H1494" i="4"/>
  <c r="F1495" i="4" l="1"/>
  <c r="C1495" i="4"/>
  <c r="I1495" i="4" s="1"/>
  <c r="E1495" i="4"/>
  <c r="H1495" i="4"/>
  <c r="K1495" i="4"/>
  <c r="G1495" i="4"/>
  <c r="J1495" i="4"/>
  <c r="D1495" i="4"/>
  <c r="B1496" i="4"/>
  <c r="E1496" i="4" l="1"/>
  <c r="C1496" i="4"/>
  <c r="I1496" i="4" s="1"/>
  <c r="F1496" i="4"/>
  <c r="B1497" i="4"/>
  <c r="K1496" i="4"/>
  <c r="H1496" i="4"/>
  <c r="J1496" i="4"/>
  <c r="G1496" i="4"/>
  <c r="D1496" i="4"/>
  <c r="K1497" i="4" l="1"/>
  <c r="G1497" i="4"/>
  <c r="C1497" i="4"/>
  <c r="I1497" i="4" s="1"/>
  <c r="B1498" i="4"/>
  <c r="E1497" i="4"/>
  <c r="F1497" i="4"/>
  <c r="J1497" i="4"/>
  <c r="D1497" i="4"/>
  <c r="H1497" i="4"/>
  <c r="E1498" i="4" l="1"/>
  <c r="G1498" i="4"/>
  <c r="B1499" i="4"/>
  <c r="F1498" i="4"/>
  <c r="J1498" i="4"/>
  <c r="D1498" i="4"/>
  <c r="C1498" i="4"/>
  <c r="I1498" i="4" s="1"/>
  <c r="K1498" i="4"/>
  <c r="H1498" i="4"/>
  <c r="G10" i="5" l="1"/>
  <c r="E11" i="5"/>
  <c r="D8" i="5"/>
  <c r="E7" i="5"/>
  <c r="G11" i="5"/>
  <c r="D11" i="5"/>
  <c r="F11" i="5"/>
  <c r="G13" i="5"/>
  <c r="D7" i="5"/>
  <c r="G12" i="5"/>
  <c r="F9" i="5"/>
  <c r="D14" i="5"/>
  <c r="G6" i="5"/>
  <c r="F12" i="5"/>
  <c r="E12" i="5"/>
  <c r="I4" i="4"/>
  <c r="M4" i="4"/>
  <c r="K4" i="4"/>
  <c r="C1499" i="4"/>
  <c r="I1499" i="4" s="1"/>
  <c r="H1499" i="4"/>
  <c r="K1499" i="4"/>
  <c r="G1499" i="4"/>
  <c r="F1499" i="4"/>
  <c r="J1499" i="4"/>
  <c r="D1499" i="4"/>
  <c r="E1499" i="4"/>
  <c r="H12" i="5" l="1"/>
  <c r="H11" i="5"/>
  <c r="F14" i="5"/>
  <c r="G7" i="5"/>
  <c r="H7" i="5" s="1"/>
  <c r="D9" i="5"/>
  <c r="E13" i="5"/>
  <c r="H13" i="5" s="1"/>
  <c r="E9" i="5"/>
  <c r="H9" i="5" s="1"/>
  <c r="G14" i="5"/>
  <c r="F7" i="5"/>
  <c r="F6" i="5"/>
  <c r="E10" i="5"/>
  <c r="H10" i="5" s="1"/>
  <c r="D12" i="5"/>
  <c r="E8" i="5"/>
  <c r="H8" i="5" s="1"/>
  <c r="D6" i="5"/>
  <c r="F10" i="5"/>
  <c r="F13" i="5"/>
  <c r="D10" i="5"/>
  <c r="E6" i="5"/>
  <c r="F8" i="5"/>
  <c r="D13" i="5"/>
  <c r="E14" i="5"/>
  <c r="G9" i="5"/>
  <c r="G8" i="5"/>
  <c r="H6" i="5" l="1"/>
  <c r="E15" i="5"/>
  <c r="E4" i="5" s="1"/>
  <c r="F15" i="5"/>
  <c r="G15" i="5"/>
  <c r="D15" i="5"/>
  <c r="H14" i="5"/>
  <c r="H15" i="5" l="1"/>
</calcChain>
</file>

<file path=xl/sharedStrings.xml><?xml version="1.0" encoding="utf-8"?>
<sst xmlns="http://schemas.openxmlformats.org/spreadsheetml/2006/main" count="1436" uniqueCount="1333">
  <si>
    <t>REGISTRO DE SAÍDA DE VENDAS (POR PEDIDO E ITEM)</t>
  </si>
  <si>
    <t>Adicione múltiplos itens no mesmo Pedido. O Valor Total do Pedido e o Resumo de Itens são calculados automaticamente.</t>
  </si>
  <si>
    <t>TOTAL VENDIDO:</t>
  </si>
  <si>
    <t>Nº Pedido</t>
  </si>
  <si>
    <t>ID Venda Item</t>
  </si>
  <si>
    <t>Data da Venda</t>
  </si>
  <si>
    <t>Nome do Cliente</t>
  </si>
  <si>
    <t>Telefone (Auto)</t>
  </si>
  <si>
    <t>Produto e Tamanho (Unificado)</t>
  </si>
  <si>
    <t>Qtd Vendida</t>
  </si>
  <si>
    <t>Valor Unitário (R$)</t>
  </si>
  <si>
    <t>Subtotal Item (R$)</t>
  </si>
  <si>
    <t>Condição do Pedido</t>
  </si>
  <si>
    <t>Valor de Entrada (R$)</t>
  </si>
  <si>
    <t>Saldo a Parcelar (R$)</t>
  </si>
  <si>
    <t>Total de Parcelas</t>
  </si>
  <si>
    <t>Total do Pedido (R$)</t>
  </si>
  <si>
    <t>Valor da Parcela (R$)</t>
  </si>
  <si>
    <t>PED-1001</t>
  </si>
  <si>
    <t>V-001</t>
  </si>
  <si>
    <t xml:space="preserve">ADRIANA PEDRO </t>
  </si>
  <si>
    <t xml:space="preserve">KIT LENÇOL KING 2000 FIOS 3 PEÇAS </t>
  </si>
  <si>
    <t>À Vista</t>
  </si>
  <si>
    <t>V-002</t>
  </si>
  <si>
    <t xml:space="preserve">VALERIA ALVES </t>
  </si>
  <si>
    <t>MANTA KING ALGODAO 2,45X2,85</t>
  </si>
  <si>
    <t>V-003</t>
  </si>
  <si>
    <t>FLAVIA BEZERRA</t>
  </si>
  <si>
    <t>PASSADEIRA PIPOQUINHA 50X2,0</t>
  </si>
  <si>
    <t>V-004</t>
  </si>
  <si>
    <t>TELMA CAMPARI</t>
  </si>
  <si>
    <t>MANTA SOFT CASAL SIMPLES</t>
  </si>
  <si>
    <t>A Prazo</t>
  </si>
  <si>
    <t>V-005</t>
  </si>
  <si>
    <t>V-006</t>
  </si>
  <si>
    <t xml:space="preserve">LUCIA HELENA </t>
  </si>
  <si>
    <t>V-007</t>
  </si>
  <si>
    <t xml:space="preserve">CLAUDIA SILVA </t>
  </si>
  <si>
    <t>PASSADEIRA SEDA 2</t>
  </si>
  <si>
    <t>V-008</t>
  </si>
  <si>
    <t>SONIA MARIA</t>
  </si>
  <si>
    <t>TOALHA DE CHA 90X90</t>
  </si>
  <si>
    <t>V-009</t>
  </si>
  <si>
    <t>ROSE GALDINO</t>
  </si>
  <si>
    <t>V-010</t>
  </si>
  <si>
    <t xml:space="preserve">KIT LENÇOL KING 5200 FIOS 3 PEÇAS </t>
  </si>
  <si>
    <t>V-011</t>
  </si>
  <si>
    <t>JOGO DE PASSADEIRA MALHA 3 PEÇAS 1,50</t>
  </si>
  <si>
    <t>V-012</t>
  </si>
  <si>
    <t>HADIJA</t>
  </si>
  <si>
    <t>MANTA QUEEN ALGODAO 2,20X2,50</t>
  </si>
  <si>
    <t>V-013</t>
  </si>
  <si>
    <t>V-014</t>
  </si>
  <si>
    <t>V-015</t>
  </si>
  <si>
    <t>V-016</t>
  </si>
  <si>
    <t>V-017</t>
  </si>
  <si>
    <t>V-018</t>
  </si>
  <si>
    <t>V-019</t>
  </si>
  <si>
    <t>V-020</t>
  </si>
  <si>
    <t>V-021</t>
  </si>
  <si>
    <t>V-022</t>
  </si>
  <si>
    <t>V-023</t>
  </si>
  <si>
    <t>V-024</t>
  </si>
  <si>
    <t>V-025</t>
  </si>
  <si>
    <t>V-026</t>
  </si>
  <si>
    <t>V-027</t>
  </si>
  <si>
    <t>V-028</t>
  </si>
  <si>
    <t>V-029</t>
  </si>
  <si>
    <t>V-030</t>
  </si>
  <si>
    <t>V-031</t>
  </si>
  <si>
    <t>V-032</t>
  </si>
  <si>
    <t>V-033</t>
  </si>
  <si>
    <t>V-034</t>
  </si>
  <si>
    <t>V-035</t>
  </si>
  <si>
    <t>V-036</t>
  </si>
  <si>
    <t>V-037</t>
  </si>
  <si>
    <t>V-038</t>
  </si>
  <si>
    <t>V-039</t>
  </si>
  <si>
    <t>V-040</t>
  </si>
  <si>
    <t>V-041</t>
  </si>
  <si>
    <t>V-042</t>
  </si>
  <si>
    <t>V-043</t>
  </si>
  <si>
    <t>V-044</t>
  </si>
  <si>
    <t>V-045</t>
  </si>
  <si>
    <t>V-046</t>
  </si>
  <si>
    <t>V-047</t>
  </si>
  <si>
    <t>V-048</t>
  </si>
  <si>
    <t>V-049</t>
  </si>
  <si>
    <t>V-050</t>
  </si>
  <si>
    <t>V-051</t>
  </si>
  <si>
    <t>V-052</t>
  </si>
  <si>
    <t>V-053</t>
  </si>
  <si>
    <t>V-054</t>
  </si>
  <si>
    <t>V-055</t>
  </si>
  <si>
    <t>V-056</t>
  </si>
  <si>
    <t>V-057</t>
  </si>
  <si>
    <t>V-058</t>
  </si>
  <si>
    <t>V-059</t>
  </si>
  <si>
    <t>V-060</t>
  </si>
  <si>
    <t>V-061</t>
  </si>
  <si>
    <t>V-062</t>
  </si>
  <si>
    <t>V-063</t>
  </si>
  <si>
    <t>V-064</t>
  </si>
  <si>
    <t>V-065</t>
  </si>
  <si>
    <t>V-066</t>
  </si>
  <si>
    <t>V-067</t>
  </si>
  <si>
    <t>V-068</t>
  </si>
  <si>
    <t>V-069</t>
  </si>
  <si>
    <t>V-070</t>
  </si>
  <si>
    <t>V-071</t>
  </si>
  <si>
    <t>V-072</t>
  </si>
  <si>
    <t>V-073</t>
  </si>
  <si>
    <t>V-074</t>
  </si>
  <si>
    <t>V-075</t>
  </si>
  <si>
    <t>V-076</t>
  </si>
  <si>
    <t>V-077</t>
  </si>
  <si>
    <t>V-078</t>
  </si>
  <si>
    <t>V-079</t>
  </si>
  <si>
    <t>V-080</t>
  </si>
  <si>
    <t>V-081</t>
  </si>
  <si>
    <t>V-082</t>
  </si>
  <si>
    <t>V-083</t>
  </si>
  <si>
    <t>V-084</t>
  </si>
  <si>
    <t>V-085</t>
  </si>
  <si>
    <t>V-086</t>
  </si>
  <si>
    <t>V-087</t>
  </si>
  <si>
    <t>V-088</t>
  </si>
  <si>
    <t>V-089</t>
  </si>
  <si>
    <t>V-090</t>
  </si>
  <si>
    <t>V-091</t>
  </si>
  <si>
    <t>V-092</t>
  </si>
  <si>
    <t>V-093</t>
  </si>
  <si>
    <t>V-094</t>
  </si>
  <si>
    <t>V-095</t>
  </si>
  <si>
    <t>V-096</t>
  </si>
  <si>
    <t>V-097</t>
  </si>
  <si>
    <t>V-098</t>
  </si>
  <si>
    <t>V-099</t>
  </si>
  <si>
    <t>V-100</t>
  </si>
  <si>
    <t>V-101</t>
  </si>
  <si>
    <t>V-102</t>
  </si>
  <si>
    <t>V-103</t>
  </si>
  <si>
    <t>V-104</t>
  </si>
  <si>
    <t>V-105</t>
  </si>
  <si>
    <t>V-106</t>
  </si>
  <si>
    <t>V-107</t>
  </si>
  <si>
    <t>V-108</t>
  </si>
  <si>
    <t>V-109</t>
  </si>
  <si>
    <t>V-110</t>
  </si>
  <si>
    <t>V-111</t>
  </si>
  <si>
    <t>V-112</t>
  </si>
  <si>
    <t>V-113</t>
  </si>
  <si>
    <t>V-114</t>
  </si>
  <si>
    <t>V-115</t>
  </si>
  <si>
    <t>V-116</t>
  </si>
  <si>
    <t>V-117</t>
  </si>
  <si>
    <t>V-118</t>
  </si>
  <si>
    <t>V-119</t>
  </si>
  <si>
    <t>V-120</t>
  </si>
  <si>
    <t>V-121</t>
  </si>
  <si>
    <t>V-122</t>
  </si>
  <si>
    <t>V-123</t>
  </si>
  <si>
    <t>V-124</t>
  </si>
  <si>
    <t>V-125</t>
  </si>
  <si>
    <t>V-126</t>
  </si>
  <si>
    <t>V-127</t>
  </si>
  <si>
    <t>V-128</t>
  </si>
  <si>
    <t>V-129</t>
  </si>
  <si>
    <t>V-130</t>
  </si>
  <si>
    <t>V-131</t>
  </si>
  <si>
    <t>V-132</t>
  </si>
  <si>
    <t>V-133</t>
  </si>
  <si>
    <t>V-134</t>
  </si>
  <si>
    <t>V-135</t>
  </si>
  <si>
    <t>V-136</t>
  </si>
  <si>
    <t>V-137</t>
  </si>
  <si>
    <t>V-138</t>
  </si>
  <si>
    <t>V-139</t>
  </si>
  <si>
    <t>V-140</t>
  </si>
  <si>
    <t>V-141</t>
  </si>
  <si>
    <t>V-142</t>
  </si>
  <si>
    <t>V-143</t>
  </si>
  <si>
    <t>V-144</t>
  </si>
  <si>
    <t>V-145</t>
  </si>
  <si>
    <t>V-146</t>
  </si>
  <si>
    <t>V-147</t>
  </si>
  <si>
    <t>V-148</t>
  </si>
  <si>
    <t>V-149</t>
  </si>
  <si>
    <t>V-150</t>
  </si>
  <si>
    <t>V-151</t>
  </si>
  <si>
    <t>V-152</t>
  </si>
  <si>
    <t>V-153</t>
  </si>
  <si>
    <t>V-154</t>
  </si>
  <si>
    <t>V-155</t>
  </si>
  <si>
    <t>V-156</t>
  </si>
  <si>
    <t>V-157</t>
  </si>
  <si>
    <t>V-158</t>
  </si>
  <si>
    <t>V-159</t>
  </si>
  <si>
    <t>V-160</t>
  </si>
  <si>
    <t>V-161</t>
  </si>
  <si>
    <t>V-162</t>
  </si>
  <si>
    <t>V-163</t>
  </si>
  <si>
    <t>V-164</t>
  </si>
  <si>
    <t>V-165</t>
  </si>
  <si>
    <t>V-166</t>
  </si>
  <si>
    <t>V-167</t>
  </si>
  <si>
    <t>V-168</t>
  </si>
  <si>
    <t>V-169</t>
  </si>
  <si>
    <t>V-170</t>
  </si>
  <si>
    <t>V-171</t>
  </si>
  <si>
    <t>V-172</t>
  </si>
  <si>
    <t>V-173</t>
  </si>
  <si>
    <t>V-174</t>
  </si>
  <si>
    <t>V-175</t>
  </si>
  <si>
    <t>V-176</t>
  </si>
  <si>
    <t>V-177</t>
  </si>
  <si>
    <t>V-178</t>
  </si>
  <si>
    <t>V-179</t>
  </si>
  <si>
    <t>V-180</t>
  </si>
  <si>
    <t>V-181</t>
  </si>
  <si>
    <t>V-182</t>
  </si>
  <si>
    <t>V-183</t>
  </si>
  <si>
    <t>V-184</t>
  </si>
  <si>
    <t>V-185</t>
  </si>
  <si>
    <t>V-186</t>
  </si>
  <si>
    <t>V-187</t>
  </si>
  <si>
    <t>V-188</t>
  </si>
  <si>
    <t>V-189</t>
  </si>
  <si>
    <t>V-190</t>
  </si>
  <si>
    <t>V-191</t>
  </si>
  <si>
    <t>V-192</t>
  </si>
  <si>
    <t>V-193</t>
  </si>
  <si>
    <t>V-194</t>
  </si>
  <si>
    <t>V-195</t>
  </si>
  <si>
    <t>V-196</t>
  </si>
  <si>
    <t>V-197</t>
  </si>
  <si>
    <t>V-198</t>
  </si>
  <si>
    <t>V-199</t>
  </si>
  <si>
    <t>V-200</t>
  </si>
  <si>
    <t>V-201</t>
  </si>
  <si>
    <t>V-202</t>
  </si>
  <si>
    <t>V-203</t>
  </si>
  <si>
    <t>V-204</t>
  </si>
  <si>
    <t>V-205</t>
  </si>
  <si>
    <t>V-206</t>
  </si>
  <si>
    <t>V-207</t>
  </si>
  <si>
    <t>V-208</t>
  </si>
  <si>
    <t>V-209</t>
  </si>
  <si>
    <t>V-210</t>
  </si>
  <si>
    <t>V-211</t>
  </si>
  <si>
    <t>V-212</t>
  </si>
  <si>
    <t>V-213</t>
  </si>
  <si>
    <t>V-214</t>
  </si>
  <si>
    <t>V-215</t>
  </si>
  <si>
    <t>V-216</t>
  </si>
  <si>
    <t>V-217</t>
  </si>
  <si>
    <t>V-218</t>
  </si>
  <si>
    <t>V-219</t>
  </si>
  <si>
    <t>V-220</t>
  </si>
  <si>
    <t>V-221</t>
  </si>
  <si>
    <t>V-222</t>
  </si>
  <si>
    <t>V-223</t>
  </si>
  <si>
    <t>V-224</t>
  </si>
  <si>
    <t>V-225</t>
  </si>
  <si>
    <t>V-226</t>
  </si>
  <si>
    <t>V-227</t>
  </si>
  <si>
    <t>V-228</t>
  </si>
  <si>
    <t>V-229</t>
  </si>
  <si>
    <t>V-230</t>
  </si>
  <si>
    <t>V-231</t>
  </si>
  <si>
    <t>V-232</t>
  </si>
  <si>
    <t>V-233</t>
  </si>
  <si>
    <t>V-234</t>
  </si>
  <si>
    <t>V-235</t>
  </si>
  <si>
    <t>V-236</t>
  </si>
  <si>
    <t>V-237</t>
  </si>
  <si>
    <t>V-238</t>
  </si>
  <si>
    <t>V-239</t>
  </si>
  <si>
    <t>V-240</t>
  </si>
  <si>
    <t>V-241</t>
  </si>
  <si>
    <t>V-242</t>
  </si>
  <si>
    <t>V-243</t>
  </si>
  <si>
    <t>V-244</t>
  </si>
  <si>
    <t>V-245</t>
  </si>
  <si>
    <t>V-246</t>
  </si>
  <si>
    <t>V-247</t>
  </si>
  <si>
    <t>V-248</t>
  </si>
  <si>
    <t>V-249</t>
  </si>
  <si>
    <t>V-250</t>
  </si>
  <si>
    <t>V-251</t>
  </si>
  <si>
    <t>V-252</t>
  </si>
  <si>
    <t>V-253</t>
  </si>
  <si>
    <t>V-254</t>
  </si>
  <si>
    <t>V-255</t>
  </si>
  <si>
    <t>V-256</t>
  </si>
  <si>
    <t>V-257</t>
  </si>
  <si>
    <t>V-258</t>
  </si>
  <si>
    <t>V-259</t>
  </si>
  <si>
    <t>V-260</t>
  </si>
  <si>
    <t>V-261</t>
  </si>
  <si>
    <t>V-262</t>
  </si>
  <si>
    <t>V-263</t>
  </si>
  <si>
    <t>V-264</t>
  </si>
  <si>
    <t>V-265</t>
  </si>
  <si>
    <t>V-266</t>
  </si>
  <si>
    <t>V-267</t>
  </si>
  <si>
    <t>V-268</t>
  </si>
  <si>
    <t>V-269</t>
  </si>
  <si>
    <t>V-270</t>
  </si>
  <si>
    <t>V-271</t>
  </si>
  <si>
    <t>V-272</t>
  </si>
  <si>
    <t>V-273</t>
  </si>
  <si>
    <t>V-274</t>
  </si>
  <si>
    <t>V-275</t>
  </si>
  <si>
    <t>V-276</t>
  </si>
  <si>
    <t>V-277</t>
  </si>
  <si>
    <t>V-278</t>
  </si>
  <si>
    <t>V-279</t>
  </si>
  <si>
    <t>V-280</t>
  </si>
  <si>
    <t>V-281</t>
  </si>
  <si>
    <t>V-282</t>
  </si>
  <si>
    <t>V-283</t>
  </si>
  <si>
    <t>V-284</t>
  </si>
  <si>
    <t>V-285</t>
  </si>
  <si>
    <t>V-286</t>
  </si>
  <si>
    <t>V-287</t>
  </si>
  <si>
    <t>V-288</t>
  </si>
  <si>
    <t>V-289</t>
  </si>
  <si>
    <t>V-290</t>
  </si>
  <si>
    <t>V-291</t>
  </si>
  <si>
    <t>V-292</t>
  </si>
  <si>
    <t>V-293</t>
  </si>
  <si>
    <t>V-294</t>
  </si>
  <si>
    <t>V-295</t>
  </si>
  <si>
    <t>V-296</t>
  </si>
  <si>
    <t>V-297</t>
  </si>
  <si>
    <t>V-298</t>
  </si>
  <si>
    <t>V-299</t>
  </si>
  <si>
    <t>V-300</t>
  </si>
  <si>
    <t>V-301</t>
  </si>
  <si>
    <t>V-302</t>
  </si>
  <si>
    <t>V-303</t>
  </si>
  <si>
    <t>V-304</t>
  </si>
  <si>
    <t>V-305</t>
  </si>
  <si>
    <t>V-306</t>
  </si>
  <si>
    <t>V-307</t>
  </si>
  <si>
    <t>V-308</t>
  </si>
  <si>
    <t>V-309</t>
  </si>
  <si>
    <t>V-310</t>
  </si>
  <si>
    <t>V-311</t>
  </si>
  <si>
    <t>V-312</t>
  </si>
  <si>
    <t>V-313</t>
  </si>
  <si>
    <t>V-314</t>
  </si>
  <si>
    <t>V-315</t>
  </si>
  <si>
    <t>V-316</t>
  </si>
  <si>
    <t>V-317</t>
  </si>
  <si>
    <t>V-318</t>
  </si>
  <si>
    <t>V-319</t>
  </si>
  <si>
    <t>V-320</t>
  </si>
  <si>
    <t>V-321</t>
  </si>
  <si>
    <t>V-322</t>
  </si>
  <si>
    <t>V-323</t>
  </si>
  <si>
    <t>V-324</t>
  </si>
  <si>
    <t>V-325</t>
  </si>
  <si>
    <t>V-326</t>
  </si>
  <si>
    <t>V-327</t>
  </si>
  <si>
    <t>V-328</t>
  </si>
  <si>
    <t>V-329</t>
  </si>
  <si>
    <t>V-330</t>
  </si>
  <si>
    <t>V-331</t>
  </si>
  <si>
    <t>V-332</t>
  </si>
  <si>
    <t>V-333</t>
  </si>
  <si>
    <t>V-334</t>
  </si>
  <si>
    <t>V-335</t>
  </si>
  <si>
    <t>V-336</t>
  </si>
  <si>
    <t>V-337</t>
  </si>
  <si>
    <t>V-338</t>
  </si>
  <si>
    <t>V-339</t>
  </si>
  <si>
    <t>V-340</t>
  </si>
  <si>
    <t>V-341</t>
  </si>
  <si>
    <t>V-342</t>
  </si>
  <si>
    <t>V-343</t>
  </si>
  <si>
    <t>V-344</t>
  </si>
  <si>
    <t>V-345</t>
  </si>
  <si>
    <t>V-346</t>
  </si>
  <si>
    <t>V-347</t>
  </si>
  <si>
    <t>V-348</t>
  </si>
  <si>
    <t>V-349</t>
  </si>
  <si>
    <t>V-350</t>
  </si>
  <si>
    <t>V-351</t>
  </si>
  <si>
    <t>V-352</t>
  </si>
  <si>
    <t>V-353</t>
  </si>
  <si>
    <t>V-354</t>
  </si>
  <si>
    <t>V-355</t>
  </si>
  <si>
    <t>V-356</t>
  </si>
  <si>
    <t>V-357</t>
  </si>
  <si>
    <t>V-358</t>
  </si>
  <si>
    <t>V-359</t>
  </si>
  <si>
    <t>V-360</t>
  </si>
  <si>
    <t>V-361</t>
  </si>
  <si>
    <t>V-362</t>
  </si>
  <si>
    <t>V-363</t>
  </si>
  <si>
    <t>V-364</t>
  </si>
  <si>
    <t>V-365</t>
  </si>
  <si>
    <t>V-366</t>
  </si>
  <si>
    <t>V-367</t>
  </si>
  <si>
    <t>V-368</t>
  </si>
  <si>
    <t>V-369</t>
  </si>
  <si>
    <t>V-370</t>
  </si>
  <si>
    <t>V-371</t>
  </si>
  <si>
    <t>V-372</t>
  </si>
  <si>
    <t>V-373</t>
  </si>
  <si>
    <t>V-374</t>
  </si>
  <si>
    <t>V-375</t>
  </si>
  <si>
    <t>V-376</t>
  </si>
  <si>
    <t>V-377</t>
  </si>
  <si>
    <t>V-378</t>
  </si>
  <si>
    <t>V-379</t>
  </si>
  <si>
    <t>V-380</t>
  </si>
  <si>
    <t>V-381</t>
  </si>
  <si>
    <t>V-382</t>
  </si>
  <si>
    <t>V-383</t>
  </si>
  <si>
    <t>V-384</t>
  </si>
  <si>
    <t>V-385</t>
  </si>
  <si>
    <t>V-386</t>
  </si>
  <si>
    <t>V-387</t>
  </si>
  <si>
    <t>V-388</t>
  </si>
  <si>
    <t>V-389</t>
  </si>
  <si>
    <t>V-390</t>
  </si>
  <si>
    <t>V-391</t>
  </si>
  <si>
    <t>V-392</t>
  </si>
  <si>
    <t>V-393</t>
  </si>
  <si>
    <t>V-394</t>
  </si>
  <si>
    <t>V-395</t>
  </si>
  <si>
    <t>V-396</t>
  </si>
  <si>
    <t>V-397</t>
  </si>
  <si>
    <t>V-398</t>
  </si>
  <si>
    <t>V-399</t>
  </si>
  <si>
    <t>V-400</t>
  </si>
  <si>
    <t>V-401</t>
  </si>
  <si>
    <t>V-402</t>
  </si>
  <si>
    <t>V-403</t>
  </si>
  <si>
    <t>V-404</t>
  </si>
  <si>
    <t>V-405</t>
  </si>
  <si>
    <t>V-406</t>
  </si>
  <si>
    <t>V-407</t>
  </si>
  <si>
    <t>V-408</t>
  </si>
  <si>
    <t>V-409</t>
  </si>
  <si>
    <t>V-410</t>
  </si>
  <si>
    <t>V-411</t>
  </si>
  <si>
    <t>V-412</t>
  </si>
  <si>
    <t>V-413</t>
  </si>
  <si>
    <t>V-414</t>
  </si>
  <si>
    <t>V-415</t>
  </si>
  <si>
    <t>V-416</t>
  </si>
  <si>
    <t>V-417</t>
  </si>
  <si>
    <t>V-418</t>
  </si>
  <si>
    <t>V-419</t>
  </si>
  <si>
    <t>V-420</t>
  </si>
  <si>
    <t>V-421</t>
  </si>
  <si>
    <t>V-422</t>
  </si>
  <si>
    <t>V-423</t>
  </si>
  <si>
    <t>V-424</t>
  </si>
  <si>
    <t>V-425</t>
  </si>
  <si>
    <t>V-426</t>
  </si>
  <si>
    <t>V-427</t>
  </si>
  <si>
    <t>V-428</t>
  </si>
  <si>
    <t>V-429</t>
  </si>
  <si>
    <t>V-430</t>
  </si>
  <si>
    <t>V-431</t>
  </si>
  <si>
    <t>V-432</t>
  </si>
  <si>
    <t>V-433</t>
  </si>
  <si>
    <t>V-434</t>
  </si>
  <si>
    <t>V-435</t>
  </si>
  <si>
    <t>V-436</t>
  </si>
  <si>
    <t>V-437</t>
  </si>
  <si>
    <t>V-438</t>
  </si>
  <si>
    <t>V-439</t>
  </si>
  <si>
    <t>V-440</t>
  </si>
  <si>
    <t>V-441</t>
  </si>
  <si>
    <t>V-442</t>
  </si>
  <si>
    <t>V-443</t>
  </si>
  <si>
    <t>V-444</t>
  </si>
  <si>
    <t>V-445</t>
  </si>
  <si>
    <t>V-446</t>
  </si>
  <si>
    <t>V-447</t>
  </si>
  <si>
    <t>V-448</t>
  </si>
  <si>
    <t>V-449</t>
  </si>
  <si>
    <t>V-450</t>
  </si>
  <si>
    <t>V-451</t>
  </si>
  <si>
    <t>V-452</t>
  </si>
  <si>
    <t>V-453</t>
  </si>
  <si>
    <t>V-454</t>
  </si>
  <si>
    <t>V-455</t>
  </si>
  <si>
    <t>V-456</t>
  </si>
  <si>
    <t>V-457</t>
  </si>
  <si>
    <t>V-458</t>
  </si>
  <si>
    <t>V-459</t>
  </si>
  <si>
    <t>V-460</t>
  </si>
  <si>
    <t>V-461</t>
  </si>
  <si>
    <t>V-462</t>
  </si>
  <si>
    <t>V-463</t>
  </si>
  <si>
    <t>V-464</t>
  </si>
  <si>
    <t>V-465</t>
  </si>
  <si>
    <t>V-466</t>
  </si>
  <si>
    <t>V-467</t>
  </si>
  <si>
    <t>V-468</t>
  </si>
  <si>
    <t>V-469</t>
  </si>
  <si>
    <t>V-470</t>
  </si>
  <si>
    <t>V-471</t>
  </si>
  <si>
    <t>V-472</t>
  </si>
  <si>
    <t>V-473</t>
  </si>
  <si>
    <t>V-474</t>
  </si>
  <si>
    <t>V-475</t>
  </si>
  <si>
    <t>V-476</t>
  </si>
  <si>
    <t>V-477</t>
  </si>
  <si>
    <t>V-478</t>
  </si>
  <si>
    <t>V-479</t>
  </si>
  <si>
    <t>V-480</t>
  </si>
  <si>
    <t>V-481</t>
  </si>
  <si>
    <t>V-482</t>
  </si>
  <si>
    <t>V-483</t>
  </si>
  <si>
    <t>V-484</t>
  </si>
  <si>
    <t>V-485</t>
  </si>
  <si>
    <t>V-486</t>
  </si>
  <si>
    <t>V-487</t>
  </si>
  <si>
    <t>V-488</t>
  </si>
  <si>
    <t>V-489</t>
  </si>
  <si>
    <t>V-490</t>
  </si>
  <si>
    <t>V-491</t>
  </si>
  <si>
    <t>V-492</t>
  </si>
  <si>
    <t>V-493</t>
  </si>
  <si>
    <t>V-494</t>
  </si>
  <si>
    <t>V-495</t>
  </si>
  <si>
    <t>CADASTRO DE MATERIAL &amp; BALANÇO DE ESTOQUE</t>
  </si>
  <si>
    <t>Controle automático: Entradas, Saídas (Vendas por Item) e Saldo Atual em Estoque</t>
  </si>
  <si>
    <t>TOTAL GERAL:</t>
  </si>
  <si>
    <t>ID / Código</t>
  </si>
  <si>
    <t>Qtd Entrou (Inicial/Compras)</t>
  </si>
  <si>
    <t>Qtd Vendida (Baixa Automática)</t>
  </si>
  <si>
    <t>Saldo Atual em Estoque</t>
  </si>
  <si>
    <t>Custo Unitário (R$)</t>
  </si>
  <si>
    <t>Valor em Estoque (R$)</t>
  </si>
  <si>
    <t>Markup (%)</t>
  </si>
  <si>
    <t>Preço de Venda Sugerido (R$)</t>
  </si>
  <si>
    <t>EST-001</t>
  </si>
  <si>
    <t>Tapete - 60x60</t>
  </si>
  <si>
    <t>EST-002</t>
  </si>
  <si>
    <t xml:space="preserve">TOALHA ROSTO SUPER SOFT ARABESCO ZERO TWIST CORTEX 50X70 </t>
  </si>
  <si>
    <t>EST-003</t>
  </si>
  <si>
    <t xml:space="preserve"> TOALHA BANHAO SUPER SOFT ARABESCO ZERO TWIST CORTEX 1,50X80</t>
  </si>
  <si>
    <t>EST-004</t>
  </si>
  <si>
    <t>KIT LAVABO LUXO 2 PEÇA</t>
  </si>
  <si>
    <t>EST-005</t>
  </si>
  <si>
    <t>KIT LAVABO COROA 2 PEÇAS</t>
  </si>
  <si>
    <t>EST-006</t>
  </si>
  <si>
    <t>KIT LAVABO SIMPLES 2 PEÇAS</t>
  </si>
  <si>
    <t>EST-007</t>
  </si>
  <si>
    <t>JOGO AMERICANO MALHA 7 PEÇAS</t>
  </si>
  <si>
    <t>EST-008</t>
  </si>
  <si>
    <t>JOGO AMERICANO LINHA 7 PEÇAS</t>
  </si>
  <si>
    <t>EST-009</t>
  </si>
  <si>
    <t>JOGO AMERICANO COMPLETO 18 PEÇAS</t>
  </si>
  <si>
    <t>EST-010</t>
  </si>
  <si>
    <t>JOGO AMERICANO COMPLETO 12 PEÇAS</t>
  </si>
  <si>
    <t>EST-011</t>
  </si>
  <si>
    <t>JO0GO AMERICANO LINHA 18 PEÇAS</t>
  </si>
  <si>
    <t>EST-012</t>
  </si>
  <si>
    <t>KIT COBRE LANCHES 2 PEÇAS</t>
  </si>
  <si>
    <t>EST-013</t>
  </si>
  <si>
    <t xml:space="preserve">LUGAR AMERICANO </t>
  </si>
  <si>
    <t>EST-014</t>
  </si>
  <si>
    <t>JOGO AMERICANO 4 LUGARES</t>
  </si>
  <si>
    <t>EST-015</t>
  </si>
  <si>
    <t>EST-016</t>
  </si>
  <si>
    <t>LUGAR AMERICANO RELIQUIA</t>
  </si>
  <si>
    <t>EST-017</t>
  </si>
  <si>
    <t>KIT AMERICANO NATAL 2 PEÇ.AS</t>
  </si>
  <si>
    <t>EST-018</t>
  </si>
  <si>
    <t>GUARDANAPO CAMBRATO</t>
  </si>
  <si>
    <t>EST-019</t>
  </si>
  <si>
    <t>GUARDANAPO BOCA ARTESANAL</t>
  </si>
  <si>
    <t>EST-020</t>
  </si>
  <si>
    <t>KIT GUARDANAPO BOCA 6 PEÇAS</t>
  </si>
  <si>
    <t>EST-021</t>
  </si>
  <si>
    <t>TOALHA DE MESA REQUINTE 1,50X4,0</t>
  </si>
  <si>
    <t>EST-022</t>
  </si>
  <si>
    <t>TOALHA DE MESA RUSTICA 1,40X3,0</t>
  </si>
  <si>
    <t>EST-023</t>
  </si>
  <si>
    <t>TOALHA DE MESA LISA REQUINTE 1,50X3,0</t>
  </si>
  <si>
    <t>EST-024</t>
  </si>
  <si>
    <t>TOALHA DE MESA LISA REQUINTE 1,50X2,50</t>
  </si>
  <si>
    <t>EST-025</t>
  </si>
  <si>
    <t>TOALHA DE MESA RUSTICA  1,40X2,20</t>
  </si>
  <si>
    <t>EST-026</t>
  </si>
  <si>
    <t>TOALHA DE MESA REQUINTE 1,50X2,20</t>
  </si>
  <si>
    <t>EST-027</t>
  </si>
  <si>
    <t>TOALHA DE MESA REQUINTE 1,50X1,50</t>
  </si>
  <si>
    <t>EST-028</t>
  </si>
  <si>
    <t>TOALHA DE MESA RUSTICA 1,40X1,40</t>
  </si>
  <si>
    <t>EST-029</t>
  </si>
  <si>
    <t>TOALHA DE MESA REDONDA RUSTICA 1,40</t>
  </si>
  <si>
    <t>EST-030</t>
  </si>
  <si>
    <t>TOALHA DE MESA RENDADA 1,50X1,50</t>
  </si>
  <si>
    <t>EST-031</t>
  </si>
  <si>
    <t>KIT TOALHA CHITA 2 PEÇAS</t>
  </si>
  <si>
    <t>EST-032</t>
  </si>
  <si>
    <t>TOALHA DE MESA RUSTICA 90X90</t>
  </si>
  <si>
    <t>EST-033</t>
  </si>
  <si>
    <t xml:space="preserve">TOALHA DE MESA NATAL 90X90 </t>
  </si>
  <si>
    <t>EST-034</t>
  </si>
  <si>
    <t>TOALHA DE MESA TELA 1,10X1,10</t>
  </si>
  <si>
    <t>EST-035</t>
  </si>
  <si>
    <t>TOALHA DE MESA REQUINTE 1,10X1,10</t>
  </si>
  <si>
    <t>EST-036</t>
  </si>
  <si>
    <t>CAMINHO DE MESA TREZ 1,0</t>
  </si>
  <si>
    <t>EST-037</t>
  </si>
  <si>
    <t>CAMINHO DE TREZ 1,50</t>
  </si>
  <si>
    <t>EST-038</t>
  </si>
  <si>
    <t>CAMINHO DE MESA RUSTICO 1,50</t>
  </si>
  <si>
    <t>EST-039</t>
  </si>
  <si>
    <t>CAMINHO DE MESA GLAMOUR 2,0</t>
  </si>
  <si>
    <t>EST-040</t>
  </si>
  <si>
    <t>CAMINHO DE MESA RAMI 1,50</t>
  </si>
  <si>
    <t>EST-041</t>
  </si>
  <si>
    <t>CAMINHO DE MESA RETALHO SECO 2,0</t>
  </si>
  <si>
    <t>EST-042</t>
  </si>
  <si>
    <t>CAMINHO DE MESA RETALHO SECO 1,50</t>
  </si>
  <si>
    <t>EST-043</t>
  </si>
  <si>
    <t>CAMINHO DE MESA LINHA  2,0</t>
  </si>
  <si>
    <t>EST-044</t>
  </si>
  <si>
    <t>CAMINHO DE MESA LINHA 1,0</t>
  </si>
  <si>
    <t>EST-045</t>
  </si>
  <si>
    <t>CAMINHO DE MESA NATAL 1,0</t>
  </si>
  <si>
    <t>EST-046</t>
  </si>
  <si>
    <t>CAMINHO DE MESA NATAL 1,50</t>
  </si>
  <si>
    <t>EST-047</t>
  </si>
  <si>
    <t>CAMINHO DE MESA NATAL 2,0</t>
  </si>
  <si>
    <t>EST-048</t>
  </si>
  <si>
    <t>TOALHA DE CHÁ 90X90</t>
  </si>
  <si>
    <t>EST-049</t>
  </si>
  <si>
    <t>KIT PANO DE PRATO 4 PEÇAS</t>
  </si>
  <si>
    <t>EST-050</t>
  </si>
  <si>
    <t>EST-051</t>
  </si>
  <si>
    <t>EST-052</t>
  </si>
  <si>
    <t xml:space="preserve">PANO DE PRATO DIGITAL </t>
  </si>
  <si>
    <t>EST-053</t>
  </si>
  <si>
    <t xml:space="preserve">CESTA PÃO DIVERSOS </t>
  </si>
  <si>
    <t>EST-054</t>
  </si>
  <si>
    <t>KIT CESTA PALHA 3 PEÇAS</t>
  </si>
  <si>
    <t>EST-055</t>
  </si>
  <si>
    <t xml:space="preserve">FRUTEIRA MORANGO </t>
  </si>
  <si>
    <t>EST-056</t>
  </si>
  <si>
    <t xml:space="preserve">BANDEJA COM 1 AZULEIJO </t>
  </si>
  <si>
    <t>EST-057</t>
  </si>
  <si>
    <t>BANDEJA COM 2 AZULEIRO</t>
  </si>
  <si>
    <t>EST-058</t>
  </si>
  <si>
    <t>TOALHA BANHAO JACAR 1,20X80</t>
  </si>
  <si>
    <t>EST-059</t>
  </si>
  <si>
    <t>TOALHA DE ROSTO JACAR 50X70</t>
  </si>
  <si>
    <t>EST-060</t>
  </si>
  <si>
    <t>TAPETE INDIANO 1,98X2,48</t>
  </si>
  <si>
    <t>EST-061</t>
  </si>
  <si>
    <t>TAPETE MOLDURA MALHA 1,50X2,0</t>
  </si>
  <si>
    <t>EST-062</t>
  </si>
  <si>
    <t>TAPETE MALHA INCA 2,0X1,50</t>
  </si>
  <si>
    <t>EST-063</t>
  </si>
  <si>
    <t>TAPETE MALHA LISTRA 1,50X2,0</t>
  </si>
  <si>
    <t>EST-064</t>
  </si>
  <si>
    <t>TAPETE ALGODAO LINHA 1,50X2,0</t>
  </si>
  <si>
    <t>EST-065</t>
  </si>
  <si>
    <t>TAPETE TRAMPA CHIQUE 1,50X2,0</t>
  </si>
  <si>
    <t>EST-066</t>
  </si>
  <si>
    <t>TAPETE TRAMA 1,50X2,0</t>
  </si>
  <si>
    <t>EST-067</t>
  </si>
  <si>
    <t>TAPETE MALHA INCA 1,50X1,50</t>
  </si>
  <si>
    <t>EST-068</t>
  </si>
  <si>
    <t>TAPETE MALHA INCA COLORIDO 1,5X2,0</t>
  </si>
  <si>
    <t>EST-069</t>
  </si>
  <si>
    <t>MANTA COMUM 1,2X1,80</t>
  </si>
  <si>
    <t>EST-070</t>
  </si>
  <si>
    <t>MANTA CHEMILE 1,2X1,80</t>
  </si>
  <si>
    <t>EST-071</t>
  </si>
  <si>
    <t>MANTA ESCAMA 1,20X1,80</t>
  </si>
  <si>
    <t>EST-072</t>
  </si>
  <si>
    <t>MANTA RUSTICA ARTESANAL 1,20X1,80</t>
  </si>
  <si>
    <t>EST-073</t>
  </si>
  <si>
    <t>PESEIRA PONTILHADA 60X2,50</t>
  </si>
  <si>
    <t>EST-074</t>
  </si>
  <si>
    <t>PESEIRA ESCAMA 60X2,50</t>
  </si>
  <si>
    <t>EST-075</t>
  </si>
  <si>
    <t>PESEIRA CHEMILE 70X2,20</t>
  </si>
  <si>
    <t>EST-076</t>
  </si>
  <si>
    <t>EST-077</t>
  </si>
  <si>
    <t>EST-078</t>
  </si>
  <si>
    <t xml:space="preserve">KIT LENÇOL KING 400 FIOS 3 PEÇAS </t>
  </si>
  <si>
    <t>EST-079</t>
  </si>
  <si>
    <t>JOGO LENÇOL QUEEN 3200 FIOS 4 PEÇAS</t>
  </si>
  <si>
    <t>EST-080</t>
  </si>
  <si>
    <t xml:space="preserve">REDE COMUM </t>
  </si>
  <si>
    <t>EST-081</t>
  </si>
  <si>
    <t xml:space="preserve">REDE BUCHO DE BOI </t>
  </si>
  <si>
    <t>EST-082</t>
  </si>
  <si>
    <t>BEIRA CAMA RUSTICO 80X1,50</t>
  </si>
  <si>
    <t>EST-083</t>
  </si>
  <si>
    <t>BEIRA CAMA MALHA BICO 80X1,50</t>
  </si>
  <si>
    <t>EST-084</t>
  </si>
  <si>
    <t>BEIRA CAMA MOLDURA 80X1,50</t>
  </si>
  <si>
    <t>EST-085</t>
  </si>
  <si>
    <t>BEIRA CAMA 70X1,40</t>
  </si>
  <si>
    <t>EST-086</t>
  </si>
  <si>
    <t>BEIRA CAMA DUPLA FACE TRADICIONAL 80X1,50</t>
  </si>
  <si>
    <t>EST-087</t>
  </si>
  <si>
    <t>BEIRA CAMA DUPLA FACE LISO 80X1,50</t>
  </si>
  <si>
    <t>EST-088</t>
  </si>
  <si>
    <t>BEIRA CAMA INDIANO 80X1,50</t>
  </si>
  <si>
    <t>EST-089</t>
  </si>
  <si>
    <t>BEIRA CAMA INDIANO 1,0X1,50</t>
  </si>
  <si>
    <t>EST-090</t>
  </si>
  <si>
    <t>BEIRA CAMA RUSTICO 1,0X1,50</t>
  </si>
  <si>
    <t>EST-091</t>
  </si>
  <si>
    <t>BEIRA CAMA BORDADO RUSTICO 1,0X1,70</t>
  </si>
  <si>
    <t>EST-092</t>
  </si>
  <si>
    <t>BEIRA CAMA PREMIUM 70X1,50</t>
  </si>
  <si>
    <t>EST-093</t>
  </si>
  <si>
    <t>BEIRA CAMA PREMIUM BARRADO 70X1,50</t>
  </si>
  <si>
    <t>EST-094</t>
  </si>
  <si>
    <t>BEIRA CAMA FIO PENTEADO 1,0X1,60</t>
  </si>
  <si>
    <t>EST-095</t>
  </si>
  <si>
    <t>COBRE LEITO CASAL QUEEN 2,60X2,40</t>
  </si>
  <si>
    <t>EST-096</t>
  </si>
  <si>
    <t>COBRE LEITO QUEEN 2,30X2,50</t>
  </si>
  <si>
    <t>EST-097</t>
  </si>
  <si>
    <t>COBRE LEITO CASAL 2,20X2,40</t>
  </si>
  <si>
    <t>EST-098</t>
  </si>
  <si>
    <t xml:space="preserve">KIT COUCHA TEAR KING 3 PEÇAS </t>
  </si>
  <si>
    <t>EST-099</t>
  </si>
  <si>
    <t>KIT COUCHA TEAR CASAL 3 PEÇAS</t>
  </si>
  <si>
    <t>EST-100</t>
  </si>
  <si>
    <t>SAIA BOX CASAL 1,90X1,40</t>
  </si>
  <si>
    <t>EST-101</t>
  </si>
  <si>
    <t>PARES DE FRONHAS ALICE 50X70</t>
  </si>
  <si>
    <t>EST-102</t>
  </si>
  <si>
    <t>PARES DE FRONHAS ALGODAO 200 FIOS 70X50</t>
  </si>
  <si>
    <t>EST-103</t>
  </si>
  <si>
    <t>PORTA TRAVESSEIRO NO TEAR 54X74</t>
  </si>
  <si>
    <t>EST-104</t>
  </si>
  <si>
    <t>BEIRA CAMA MISTURADINHO 80X1,50</t>
  </si>
  <si>
    <t>EST-105</t>
  </si>
  <si>
    <t>TOALHA DE MESA ABROLIO 1,60X2,40</t>
  </si>
  <si>
    <t>EST-106</t>
  </si>
  <si>
    <t>TOALHA DE MESA ABROLIO 1,60X2,20</t>
  </si>
  <si>
    <t>EST-107</t>
  </si>
  <si>
    <t>EST-108</t>
  </si>
  <si>
    <t>JOGO DE PASSADEIRA INDIANO 3 PEÇAS</t>
  </si>
  <si>
    <t>EST-109</t>
  </si>
  <si>
    <t>JOGO PASSADEIRA PREMIUM 3 PEÇAS 1,50</t>
  </si>
  <si>
    <t>EST-110</t>
  </si>
  <si>
    <t>JOGO PASSADEIRA MOLDURA 5 PEÇAS 1,50</t>
  </si>
  <si>
    <t>EST-111</t>
  </si>
  <si>
    <t>JOGO PASSADEIRA RELIQUIA 3 PEÇAS 1,50</t>
  </si>
  <si>
    <t>EST-112</t>
  </si>
  <si>
    <t>JOGO PASSADEIRA RUSTICA 3 PEÇAS 1,50</t>
  </si>
  <si>
    <t>EST-113</t>
  </si>
  <si>
    <t>JOGO PASSADEIRA COROA 3 PEÇAS 1,50</t>
  </si>
  <si>
    <t>EST-114</t>
  </si>
  <si>
    <t>JOGO PASSADEIRA 3 PEÇAS 2,0</t>
  </si>
  <si>
    <t>EST-115</t>
  </si>
  <si>
    <t xml:space="preserve">JOGO PASSADEIRA EMBORRACHADO </t>
  </si>
  <si>
    <t>EST-116</t>
  </si>
  <si>
    <t>PASSADEIRA MALHA 2</t>
  </si>
  <si>
    <t>EST-117</t>
  </si>
  <si>
    <t>TAPETE DADO 50X80</t>
  </si>
  <si>
    <t>EST-118</t>
  </si>
  <si>
    <t>PAR TAPETE MALHA 50X80</t>
  </si>
  <si>
    <t>EST-119</t>
  </si>
  <si>
    <t xml:space="preserve">KIT LENÇOL MALHA QUEEN </t>
  </si>
  <si>
    <t>EST-120</t>
  </si>
  <si>
    <t>KIT LAVABO FLORZINHA 2 PEÇAS</t>
  </si>
  <si>
    <t>EST-121</t>
  </si>
  <si>
    <t xml:space="preserve">TOALHA PARA LAVABO </t>
  </si>
  <si>
    <t>EST-122</t>
  </si>
  <si>
    <t>COBERTA SOFT QUEEN</t>
  </si>
  <si>
    <t>EST-123</t>
  </si>
  <si>
    <t xml:space="preserve">COBERTA SOFT CASAL </t>
  </si>
  <si>
    <t>EST-124</t>
  </si>
  <si>
    <t>REFIL AMOFADA 45X45</t>
  </si>
  <si>
    <t>EST-125</t>
  </si>
  <si>
    <t>CAPAS ALMOFADAS BORDADAS 45X45</t>
  </si>
  <si>
    <t>EST-126</t>
  </si>
  <si>
    <t>CAPAS ALMOFADAS LINHA 45X45</t>
  </si>
  <si>
    <t>EST-127</t>
  </si>
  <si>
    <t>CAPAS ALMOFADAS CHENILE 45X45</t>
  </si>
  <si>
    <t>EST-128</t>
  </si>
  <si>
    <t>CAPAS ALMOFADAS ESCAMA 45X45</t>
  </si>
  <si>
    <t>EST-129</t>
  </si>
  <si>
    <t>CAPAS ALMOFADAS BUDE 45X45</t>
  </si>
  <si>
    <t>EST-130</t>
  </si>
  <si>
    <t>CAPAS ALMOFADAS GRIDE 45X45</t>
  </si>
  <si>
    <t>EST-131</t>
  </si>
  <si>
    <t>CAPAS ALMOFADAS SUEDE NATAL 45X45</t>
  </si>
  <si>
    <t>EST-132</t>
  </si>
  <si>
    <t>CAPAS ALMOFADAS SUEDE  45X45</t>
  </si>
  <si>
    <t>EST-133</t>
  </si>
  <si>
    <t>CAPAS ALMOFADAS VELUDO DRAPIADA  45X45</t>
  </si>
  <si>
    <t>EST-134</t>
  </si>
  <si>
    <t>CAPAS ALMOFADAS LISA 45X45</t>
  </si>
  <si>
    <t>EST-135</t>
  </si>
  <si>
    <t>CAPAS ALMOFADAS TRANÇADA 45X45</t>
  </si>
  <si>
    <t>EST-136</t>
  </si>
  <si>
    <t>CAPAS ALMOFADAS CORDA 50X50</t>
  </si>
  <si>
    <t>EST-137</t>
  </si>
  <si>
    <t>CAPAS ALMOFADAS RUSTICA 50X50</t>
  </si>
  <si>
    <t>EST-138</t>
  </si>
  <si>
    <t>CAPAS ALMOFADAS CORDA 45X45</t>
  </si>
  <si>
    <t>EST-139</t>
  </si>
  <si>
    <t>CAPAS ALMOFADAS RUSTICA 45X45</t>
  </si>
  <si>
    <t>EST-140</t>
  </si>
  <si>
    <t>CAPAS ALMOFADAS LINHO 45X45</t>
  </si>
  <si>
    <t>EST-141</t>
  </si>
  <si>
    <t>CAPAS ALMOFADAS MACRAME 45X45</t>
  </si>
  <si>
    <t>EST-142</t>
  </si>
  <si>
    <t>CAPAS ALMOFADAS RELIQUIA 45X45</t>
  </si>
  <si>
    <t>EST-143</t>
  </si>
  <si>
    <t>CAPAS ALMOFADAS ALASCA 45X45</t>
  </si>
  <si>
    <t>EST-144</t>
  </si>
  <si>
    <t xml:space="preserve">BAGUETE POMPOM </t>
  </si>
  <si>
    <t>EST-145</t>
  </si>
  <si>
    <t>CAPAS ALMOFADAS SIMPLES 45X45</t>
  </si>
  <si>
    <t>EST-146</t>
  </si>
  <si>
    <t>CAPAS ALMOFADA LAVIVE 45X45</t>
  </si>
  <si>
    <t>EST-147</t>
  </si>
  <si>
    <t>CAPAS ALMOFADA CORINO 45X45</t>
  </si>
  <si>
    <t>EST-148</t>
  </si>
  <si>
    <t xml:space="preserve">CAPAS BAGUETE NATAL </t>
  </si>
  <si>
    <t>EST-149</t>
  </si>
  <si>
    <t>CAPAS BAGUETE ARTESANAL 35X50</t>
  </si>
  <si>
    <t>EST-150</t>
  </si>
  <si>
    <t>CAPAS BAGUETE MACRAME 28X45</t>
  </si>
  <si>
    <t>EST-151</t>
  </si>
  <si>
    <t>CAPAS BAGUETE FARRAPOS 30X50</t>
  </si>
  <si>
    <t>EST-152</t>
  </si>
  <si>
    <t xml:space="preserve">COLAR PORTA </t>
  </si>
  <si>
    <t>EST-153</t>
  </si>
  <si>
    <t xml:space="preserve">COLAR MADEIRA </t>
  </si>
  <si>
    <t>EST-154</t>
  </si>
  <si>
    <t>COLAR MÉDIO CORAÇAO</t>
  </si>
  <si>
    <t>EST-155</t>
  </si>
  <si>
    <t xml:space="preserve">COLAR AZUL MARINHO </t>
  </si>
  <si>
    <t>EST-156</t>
  </si>
  <si>
    <t>MANTA SOLTEIRO ALGODAO 1,40X2,40</t>
  </si>
  <si>
    <t>EST-157</t>
  </si>
  <si>
    <t>MANTA CASAL ALGODAO 1,80X2,40</t>
  </si>
  <si>
    <t>EST-158</t>
  </si>
  <si>
    <t>EST-159</t>
  </si>
  <si>
    <t>EST-160</t>
  </si>
  <si>
    <t>TAPETE PREMIUM FAXINHA 50X80</t>
  </si>
  <si>
    <t>EST-161</t>
  </si>
  <si>
    <t>PAR TAPETE BOX 40X60</t>
  </si>
  <si>
    <t>EST-162</t>
  </si>
  <si>
    <t>TAPETE FAXINHAS PREMIUM 50X80</t>
  </si>
  <si>
    <t>EST-163</t>
  </si>
  <si>
    <t>TAPETE PREMIUM 50X80</t>
  </si>
  <si>
    <t>EST-164</t>
  </si>
  <si>
    <t>TAPETE TRAMA CHIQUE 50X80</t>
  </si>
  <si>
    <t>EST-165</t>
  </si>
  <si>
    <t>PAR TAPETE LINHA 50X80</t>
  </si>
  <si>
    <t>EST-166</t>
  </si>
  <si>
    <t>PAR TAPETE RUSTICO LISTRA 50X80</t>
  </si>
  <si>
    <t>EST-167</t>
  </si>
  <si>
    <t>TAPETE BORDADO 50X80</t>
  </si>
  <si>
    <t>EST-168</t>
  </si>
  <si>
    <t xml:space="preserve"> PAR TAPETE DUPLA FACE 50X80</t>
  </si>
  <si>
    <t>EST-169</t>
  </si>
  <si>
    <t>TAPETE RUSTICO CHIQUE 50X80</t>
  </si>
  <si>
    <t>EST-170</t>
  </si>
  <si>
    <t>TAPETE FIO PENTEADO 50X80</t>
  </si>
  <si>
    <t>EST-171</t>
  </si>
  <si>
    <t>PAR TAPETE CAPAXO 50X80</t>
  </si>
  <si>
    <t>EST-172</t>
  </si>
  <si>
    <t>PAR TAPETE MALHA PREMIUM 50X80</t>
  </si>
  <si>
    <t>EST-173</t>
  </si>
  <si>
    <t>PAR TAPETE ZEBRINHA 40X60</t>
  </si>
  <si>
    <t>EST-174</t>
  </si>
  <si>
    <t>PAR TAPETE SIMPLES 50X80</t>
  </si>
  <si>
    <t>EST-175</t>
  </si>
  <si>
    <t>PAR TAPETE MINI 40X60</t>
  </si>
  <si>
    <t>EST-176</t>
  </si>
  <si>
    <t xml:space="preserve">TAPETE MINI 40X60 </t>
  </si>
  <si>
    <t>EST-177</t>
  </si>
  <si>
    <t>TAPETE CONFORT 56X86</t>
  </si>
  <si>
    <t>EST-178</t>
  </si>
  <si>
    <t>TAPETE LINHA 50X80</t>
  </si>
  <si>
    <t>EST-179</t>
  </si>
  <si>
    <t>TAPETE AQUARELA 50X80</t>
  </si>
  <si>
    <t>EST-180</t>
  </si>
  <si>
    <t>JOGO PASSADEIRA LINHA 1,5</t>
  </si>
  <si>
    <t>EST-181</t>
  </si>
  <si>
    <t>PAR TAPETE MOLDURA PREMIUM 50X80</t>
  </si>
  <si>
    <t>EST-182</t>
  </si>
  <si>
    <t>TAPETE SALA CARECA 1,50X2,0</t>
  </si>
  <si>
    <t>EST-183</t>
  </si>
  <si>
    <t>PASSADEIRA DUPLA FACE 80X3,0</t>
  </si>
  <si>
    <t>EST-184</t>
  </si>
  <si>
    <t>PASSADEIRA DUPLA FACE 80X2,0</t>
  </si>
  <si>
    <t>EST-185</t>
  </si>
  <si>
    <t>BEIRA CAMA PREMIUM 50X1,20</t>
  </si>
  <si>
    <t>EST-186</t>
  </si>
  <si>
    <t>JOGO PASSADEIRA GROSSA PRETA 1,50</t>
  </si>
  <si>
    <t>EST-187</t>
  </si>
  <si>
    <t>JOGO PASSADEIRA RUSTICA 1,50</t>
  </si>
  <si>
    <t>EST-188</t>
  </si>
  <si>
    <t>JOGO PASSADEIRA CARECA 1,50</t>
  </si>
  <si>
    <t>EST-189</t>
  </si>
  <si>
    <t>PASSADEIRA RUSTICA5 50X1,50</t>
  </si>
  <si>
    <t>EST-190</t>
  </si>
  <si>
    <t>PAR PASSADEIRA LUXO 50X1,50</t>
  </si>
  <si>
    <t>EST-191</t>
  </si>
  <si>
    <t>PASSADEIRA PREMIUIM 50X2,0</t>
  </si>
  <si>
    <t>EST-192</t>
  </si>
  <si>
    <t>PASSADEIRA PREMUIM 50X1,50</t>
  </si>
  <si>
    <t>EST-193</t>
  </si>
  <si>
    <t>EST-194</t>
  </si>
  <si>
    <t>PASSADEIRA FOLHA 50X1,50</t>
  </si>
  <si>
    <t>EST-195</t>
  </si>
  <si>
    <t>PASSADEIRA RUSTICA BORDADA 50X1,60</t>
  </si>
  <si>
    <t>EST-196</t>
  </si>
  <si>
    <t>PASSADEIRA CIZAL 50X1,50</t>
  </si>
  <si>
    <t>EST-197</t>
  </si>
  <si>
    <t>TAPETE CIZAL PORTA 40X60</t>
  </si>
  <si>
    <t>EST-198</t>
  </si>
  <si>
    <t>PASSADEIRA PELUDA CRU 60X1,50</t>
  </si>
  <si>
    <t>EST-199</t>
  </si>
  <si>
    <t>BEIRA CAMA DUPLA FACE 80X1,60</t>
  </si>
  <si>
    <t>EST-200</t>
  </si>
  <si>
    <t>JOGO PASSADEIRA DUPLA FACE TRADICIONAL NUDE</t>
  </si>
  <si>
    <t>EST-201</t>
  </si>
  <si>
    <t>JOGO PASSADEIRA DUPLA FACE TRADICIONAL FENDI</t>
  </si>
  <si>
    <t>EST-202</t>
  </si>
  <si>
    <t>JOGO PASSADEIRA DUPLA FACE TRADICIONAL AMENDOA</t>
  </si>
  <si>
    <t>EST-203</t>
  </si>
  <si>
    <t>TAPETE PUXADINHO</t>
  </si>
  <si>
    <t>EST-204</t>
  </si>
  <si>
    <t xml:space="preserve">TAPETE BICO </t>
  </si>
  <si>
    <t>EST-205</t>
  </si>
  <si>
    <t>TAPETE CHIC TRAMA</t>
  </si>
  <si>
    <t>EST-206</t>
  </si>
  <si>
    <t>TAPETE DUPLA FACE TRADIOCIONAL CAFÉ CARAMELO</t>
  </si>
  <si>
    <t>EST-207</t>
  </si>
  <si>
    <t>TAPETE REDONDO CRU 2</t>
  </si>
  <si>
    <t>EST-208</t>
  </si>
  <si>
    <t>TAPETE BOX PAR 40X60</t>
  </si>
  <si>
    <t>EST-209</t>
  </si>
  <si>
    <t>JOGO PASSADEIRA PREMIUIM 2</t>
  </si>
  <si>
    <t>EST-210</t>
  </si>
  <si>
    <t>JOGO PASSADEIRA BARRADO 1,50</t>
  </si>
  <si>
    <t>EST-211</t>
  </si>
  <si>
    <t>EST-212</t>
  </si>
  <si>
    <t>PARES MALHA PREMIUIM 50X80</t>
  </si>
  <si>
    <t>EST-213</t>
  </si>
  <si>
    <t>PASSADEIRA SEDA 3</t>
  </si>
  <si>
    <t>EST-214</t>
  </si>
  <si>
    <t>EST-215</t>
  </si>
  <si>
    <t>TAPETE FIO SEDA 50X80</t>
  </si>
  <si>
    <t>EST-216</t>
  </si>
  <si>
    <t>EST-217</t>
  </si>
  <si>
    <t>JOGO DUPLA FACE TRADICIONAL 1,50</t>
  </si>
  <si>
    <t>EST-218</t>
  </si>
  <si>
    <t>CAMINHO DE MESA 1,5</t>
  </si>
  <si>
    <t>EST-219</t>
  </si>
  <si>
    <t>CAMINHO DE MESA 2</t>
  </si>
  <si>
    <t>EST-220</t>
  </si>
  <si>
    <t>TAPETE INDIANO REDONDO 1,5</t>
  </si>
  <si>
    <t>EST-221</t>
  </si>
  <si>
    <t>PAR MALHA LISO 80X50</t>
  </si>
  <si>
    <t>EST-222</t>
  </si>
  <si>
    <t>CAPA ALMOFADA LINHO 45X45</t>
  </si>
  <si>
    <t>EST-223</t>
  </si>
  <si>
    <t>CAMINHO DE MESA LINHA 1,5</t>
  </si>
  <si>
    <t>EST-224</t>
  </si>
  <si>
    <t>CAMINHO DE MESA LINHA 1</t>
  </si>
  <si>
    <t>EST-225</t>
  </si>
  <si>
    <t>TOALHA DE CHA NATAL 90X90</t>
  </si>
  <si>
    <t>EST-226</t>
  </si>
  <si>
    <t>MANTA COMUM 1,20X1,80</t>
  </si>
  <si>
    <t>EST-227</t>
  </si>
  <si>
    <t>MANTA SOLTEIRO 1,40X2,40</t>
  </si>
  <si>
    <t>EST-228</t>
  </si>
  <si>
    <t>JOGO DE PASSADEIRA MULDURA 1,5</t>
  </si>
  <si>
    <t>EST-229</t>
  </si>
  <si>
    <t>EST-230</t>
  </si>
  <si>
    <t>EST-231</t>
  </si>
  <si>
    <t>EST-232</t>
  </si>
  <si>
    <t>EST-233</t>
  </si>
  <si>
    <t>CAMINHO MESA NATAL 2</t>
  </si>
  <si>
    <t>EST-234</t>
  </si>
  <si>
    <t>PAR TAPETE MOLDURA 50X80</t>
  </si>
  <si>
    <t>EST-235</t>
  </si>
  <si>
    <t>PAR TAPETE LISO 50X80</t>
  </si>
  <si>
    <t>EST-236</t>
  </si>
  <si>
    <t>EST-237</t>
  </si>
  <si>
    <t>EST-238</t>
  </si>
  <si>
    <t>MANTA SOLTEIRO 1,80X2,40</t>
  </si>
  <si>
    <t>EST-239</t>
  </si>
  <si>
    <t>PESEIRA RELIQUIA ROSE 60X25</t>
  </si>
  <si>
    <t>EST-240</t>
  </si>
  <si>
    <t>CAPA ALMOFADAS RELIQUIA 45X45</t>
  </si>
  <si>
    <t>EST-241</t>
  </si>
  <si>
    <t>PESEIRA RELIQUIA 60X2,5</t>
  </si>
  <si>
    <t>EST-242</t>
  </si>
  <si>
    <t>EST-243</t>
  </si>
  <si>
    <t>EST-244</t>
  </si>
  <si>
    <t>EST-245</t>
  </si>
  <si>
    <t>EST-246</t>
  </si>
  <si>
    <t>EST-247</t>
  </si>
  <si>
    <t>EST-248</t>
  </si>
  <si>
    <t>EST-249</t>
  </si>
  <si>
    <t>EST-250</t>
  </si>
  <si>
    <t>EST-251</t>
  </si>
  <si>
    <t>EST-252</t>
  </si>
  <si>
    <t>EST-253</t>
  </si>
  <si>
    <t>EST-254</t>
  </si>
  <si>
    <t>EST-255</t>
  </si>
  <si>
    <t>EST-256</t>
  </si>
  <si>
    <t>EST-257</t>
  </si>
  <si>
    <t>EST-258</t>
  </si>
  <si>
    <t>EST-259</t>
  </si>
  <si>
    <t>EST-260</t>
  </si>
  <si>
    <t>EST-261</t>
  </si>
  <si>
    <t>EST-262</t>
  </si>
  <si>
    <t>EST-263</t>
  </si>
  <si>
    <t>EST-264</t>
  </si>
  <si>
    <t>EST-265</t>
  </si>
  <si>
    <t>EST-266</t>
  </si>
  <si>
    <t>EST-267</t>
  </si>
  <si>
    <t>EST-268</t>
  </si>
  <si>
    <t>EST-269</t>
  </si>
  <si>
    <t>EST-270</t>
  </si>
  <si>
    <t>EST-271</t>
  </si>
  <si>
    <t>EST-272</t>
  </si>
  <si>
    <t>EST-273</t>
  </si>
  <si>
    <t>EST-274</t>
  </si>
  <si>
    <t>EST-275</t>
  </si>
  <si>
    <t>EST-276</t>
  </si>
  <si>
    <t>EST-277</t>
  </si>
  <si>
    <t>EST-278</t>
  </si>
  <si>
    <t>EST-279</t>
  </si>
  <si>
    <t>EST-280</t>
  </si>
  <si>
    <t>EST-281</t>
  </si>
  <si>
    <t>EST-282</t>
  </si>
  <si>
    <t>EST-283</t>
  </si>
  <si>
    <t>EST-284</t>
  </si>
  <si>
    <t>EST-285</t>
  </si>
  <si>
    <t>EST-286</t>
  </si>
  <si>
    <t>EST-287</t>
  </si>
  <si>
    <t>EST-288</t>
  </si>
  <si>
    <t>EST-289</t>
  </si>
  <si>
    <t>EST-290</t>
  </si>
  <si>
    <t>EST-291</t>
  </si>
  <si>
    <t>EST-292</t>
  </si>
  <si>
    <t>EST-293</t>
  </si>
  <si>
    <t>EST-294</t>
  </si>
  <si>
    <t>EST-295</t>
  </si>
  <si>
    <t>EST-296</t>
  </si>
  <si>
    <t>EST-297</t>
  </si>
  <si>
    <t>EST-298</t>
  </si>
  <si>
    <t>EST-299</t>
  </si>
  <si>
    <t>EST-300</t>
  </si>
  <si>
    <t>EST-301</t>
  </si>
  <si>
    <t>EST-302</t>
  </si>
  <si>
    <t>EST-303</t>
  </si>
  <si>
    <t>EST-304</t>
  </si>
  <si>
    <t>EST-305</t>
  </si>
  <si>
    <t>EST-306</t>
  </si>
  <si>
    <t>EST-307</t>
  </si>
  <si>
    <t>EST-308</t>
  </si>
  <si>
    <t>EST-309</t>
  </si>
  <si>
    <t>EST-310</t>
  </si>
  <si>
    <t>EST-311</t>
  </si>
  <si>
    <t>EST-312</t>
  </si>
  <si>
    <t>EST-313</t>
  </si>
  <si>
    <t>EST-314</t>
  </si>
  <si>
    <t>EST-315</t>
  </si>
  <si>
    <t>EST-316</t>
  </si>
  <si>
    <t>EST-317</t>
  </si>
  <si>
    <t>EST-318</t>
  </si>
  <si>
    <t>EST-319</t>
  </si>
  <si>
    <t>EST-320</t>
  </si>
  <si>
    <t>EST-321</t>
  </si>
  <si>
    <t>EST-322</t>
  </si>
  <si>
    <t>EST-323</t>
  </si>
  <si>
    <t>EST-324</t>
  </si>
  <si>
    <t>EST-325</t>
  </si>
  <si>
    <t>EST-326</t>
  </si>
  <si>
    <t>EST-327</t>
  </si>
  <si>
    <t>EST-328</t>
  </si>
  <si>
    <t>EST-329</t>
  </si>
  <si>
    <t>EST-330</t>
  </si>
  <si>
    <t>EST-331</t>
  </si>
  <si>
    <t>EST-332</t>
  </si>
  <si>
    <t>EST-333</t>
  </si>
  <si>
    <t>EST-334</t>
  </si>
  <si>
    <t>EST-335</t>
  </si>
  <si>
    <t>EST-336</t>
  </si>
  <si>
    <t>EST-337</t>
  </si>
  <si>
    <t>EST-338</t>
  </si>
  <si>
    <t>EST-339</t>
  </si>
  <si>
    <t>EST-340</t>
  </si>
  <si>
    <t>EST-341</t>
  </si>
  <si>
    <t>EST-342</t>
  </si>
  <si>
    <t>EST-343</t>
  </si>
  <si>
    <t>EST-344</t>
  </si>
  <si>
    <t>EST-345</t>
  </si>
  <si>
    <t>EST-346</t>
  </si>
  <si>
    <t>EST-347</t>
  </si>
  <si>
    <t>EST-348</t>
  </si>
  <si>
    <t>EST-349</t>
  </si>
  <si>
    <t>EST-350</t>
  </si>
  <si>
    <t>EST-351</t>
  </si>
  <si>
    <t>EST-352</t>
  </si>
  <si>
    <t>EST-353</t>
  </si>
  <si>
    <t>EST-354</t>
  </si>
  <si>
    <t>EST-355</t>
  </si>
  <si>
    <t>EST-356</t>
  </si>
  <si>
    <t>EST-357</t>
  </si>
  <si>
    <t>EST-358</t>
  </si>
  <si>
    <t>EST-359</t>
  </si>
  <si>
    <t>EST-360</t>
  </si>
  <si>
    <t>EST-361</t>
  </si>
  <si>
    <t>EST-362</t>
  </si>
  <si>
    <t>EST-363</t>
  </si>
  <si>
    <t>EST-364</t>
  </si>
  <si>
    <t>EST-365</t>
  </si>
  <si>
    <t>EST-366</t>
  </si>
  <si>
    <t>EST-367</t>
  </si>
  <si>
    <t>EST-368</t>
  </si>
  <si>
    <t>EST-369</t>
  </si>
  <si>
    <t>EST-370</t>
  </si>
  <si>
    <t>EST-371</t>
  </si>
  <si>
    <t>EST-372</t>
  </si>
  <si>
    <t>EST-373</t>
  </si>
  <si>
    <t>EST-374</t>
  </si>
  <si>
    <t>EST-375</t>
  </si>
  <si>
    <t>EST-376</t>
  </si>
  <si>
    <t>EST-377</t>
  </si>
  <si>
    <t>EST-378</t>
  </si>
  <si>
    <t>EST-379</t>
  </si>
  <si>
    <t>EST-380</t>
  </si>
  <si>
    <t>EST-381</t>
  </si>
  <si>
    <t>EST-382</t>
  </si>
  <si>
    <t>EST-383</t>
  </si>
  <si>
    <t>EST-384</t>
  </si>
  <si>
    <t>EST-385</t>
  </si>
  <si>
    <t>EST-386</t>
  </si>
  <si>
    <t>EST-387</t>
  </si>
  <si>
    <t>EST-388</t>
  </si>
  <si>
    <t>EST-389</t>
  </si>
  <si>
    <t>EST-390</t>
  </si>
  <si>
    <t>EST-391</t>
  </si>
  <si>
    <t>EST-392</t>
  </si>
  <si>
    <t>EST-393</t>
  </si>
  <si>
    <t>EST-394</t>
  </si>
  <si>
    <t>EST-395</t>
  </si>
  <si>
    <t>EST-396</t>
  </si>
  <si>
    <t>EST-397</t>
  </si>
  <si>
    <t>EST-398</t>
  </si>
  <si>
    <t>EST-399</t>
  </si>
  <si>
    <t>EST-400</t>
  </si>
  <si>
    <t>EST-401</t>
  </si>
  <si>
    <t>EST-402</t>
  </si>
  <si>
    <t>EST-403</t>
  </si>
  <si>
    <t>EST-404</t>
  </si>
  <si>
    <t>EST-405</t>
  </si>
  <si>
    <t>EST-406</t>
  </si>
  <si>
    <t>EST-407</t>
  </si>
  <si>
    <t>EST-408</t>
  </si>
  <si>
    <t>EST-409</t>
  </si>
  <si>
    <t>EST-410</t>
  </si>
  <si>
    <t>EST-411</t>
  </si>
  <si>
    <t>EST-412</t>
  </si>
  <si>
    <t>EST-413</t>
  </si>
  <si>
    <t>EST-414</t>
  </si>
  <si>
    <t>EST-415</t>
  </si>
  <si>
    <t>EST-416</t>
  </si>
  <si>
    <t>EST-417</t>
  </si>
  <si>
    <t>EST-418</t>
  </si>
  <si>
    <t>EST-419</t>
  </si>
  <si>
    <t>EST-420</t>
  </si>
  <si>
    <t>EST-421</t>
  </si>
  <si>
    <t>EST-422</t>
  </si>
  <si>
    <t>EST-423</t>
  </si>
  <si>
    <t>EST-424</t>
  </si>
  <si>
    <t>EST-425</t>
  </si>
  <si>
    <t>EST-426</t>
  </si>
  <si>
    <t>EST-427</t>
  </si>
  <si>
    <t>EST-428</t>
  </si>
  <si>
    <t>EST-429</t>
  </si>
  <si>
    <t>EST-430</t>
  </si>
  <si>
    <t>EST-431</t>
  </si>
  <si>
    <t>EST-432</t>
  </si>
  <si>
    <t>EST-433</t>
  </si>
  <si>
    <t>EST-434</t>
  </si>
  <si>
    <t>EST-435</t>
  </si>
  <si>
    <t>EST-436</t>
  </si>
  <si>
    <t>EST-437</t>
  </si>
  <si>
    <t>EST-438</t>
  </si>
  <si>
    <t>EST-439</t>
  </si>
  <si>
    <t>EST-440</t>
  </si>
  <si>
    <t>EST-441</t>
  </si>
  <si>
    <t>EST-442</t>
  </si>
  <si>
    <t>EST-443</t>
  </si>
  <si>
    <t>EST-444</t>
  </si>
  <si>
    <t>EST-445</t>
  </si>
  <si>
    <t>EST-446</t>
  </si>
  <si>
    <t>EST-447</t>
  </si>
  <si>
    <t>EST-448</t>
  </si>
  <si>
    <t>EST-449</t>
  </si>
  <si>
    <t>EST-450</t>
  </si>
  <si>
    <t>EST-451</t>
  </si>
  <si>
    <t>EST-452</t>
  </si>
  <si>
    <t>EST-453</t>
  </si>
  <si>
    <t>EST-454</t>
  </si>
  <si>
    <t>EST-455</t>
  </si>
  <si>
    <t>EST-456</t>
  </si>
  <si>
    <t>EST-457</t>
  </si>
  <si>
    <t>EST-458</t>
  </si>
  <si>
    <t>EST-459</t>
  </si>
  <si>
    <t>EST-460</t>
  </si>
  <si>
    <t>EST-461</t>
  </si>
  <si>
    <t>EST-462</t>
  </si>
  <si>
    <t>EST-463</t>
  </si>
  <si>
    <t>EST-464</t>
  </si>
  <si>
    <t>EST-465</t>
  </si>
  <si>
    <t>EST-466</t>
  </si>
  <si>
    <t>EST-467</t>
  </si>
  <si>
    <t>EST-468</t>
  </si>
  <si>
    <t>EST-469</t>
  </si>
  <si>
    <t>EST-470</t>
  </si>
  <si>
    <t>EST-471</t>
  </si>
  <si>
    <t>EST-472</t>
  </si>
  <si>
    <t>EST-473</t>
  </si>
  <si>
    <t>EST-474</t>
  </si>
  <si>
    <t>EST-475</t>
  </si>
  <si>
    <t>EST-476</t>
  </si>
  <si>
    <t>EST-477</t>
  </si>
  <si>
    <t>EST-478</t>
  </si>
  <si>
    <t>EST-479</t>
  </si>
  <si>
    <t>EST-480</t>
  </si>
  <si>
    <t>EST-481</t>
  </si>
  <si>
    <t>EST-482</t>
  </si>
  <si>
    <t>EST-483</t>
  </si>
  <si>
    <t>EST-484</t>
  </si>
  <si>
    <t>EST-485</t>
  </si>
  <si>
    <t>EST-486</t>
  </si>
  <si>
    <t>EST-487</t>
  </si>
  <si>
    <t>EST-488</t>
  </si>
  <si>
    <t>EST-489</t>
  </si>
  <si>
    <t>EST-490</t>
  </si>
  <si>
    <t>EST-491</t>
  </si>
  <si>
    <t>EST-492</t>
  </si>
  <si>
    <t>EST-493</t>
  </si>
  <si>
    <t>EST-494</t>
  </si>
  <si>
    <t>EST-495</t>
  </si>
  <si>
    <t>CADASTRO DE CLIENTES</t>
  </si>
  <si>
    <t>Base de dados de clientes para busca automática na aba Saída de Vendas</t>
  </si>
  <si>
    <t>ID Cliente</t>
  </si>
  <si>
    <t>Nome Completo do Cliente</t>
  </si>
  <si>
    <t>Endereço Completo</t>
  </si>
  <si>
    <t>Telefone / WhatsApp</t>
  </si>
  <si>
    <t>E-mail / Observações</t>
  </si>
  <si>
    <t>CLI-001</t>
  </si>
  <si>
    <t>18 99818-0064</t>
  </si>
  <si>
    <t>CLI-002</t>
  </si>
  <si>
    <t>18 93500-1704</t>
  </si>
  <si>
    <t>CLI-003</t>
  </si>
  <si>
    <t>18 99745-2150</t>
  </si>
  <si>
    <t>CLI-004</t>
  </si>
  <si>
    <t>18 99800-5512</t>
  </si>
  <si>
    <t>CLI-005</t>
  </si>
  <si>
    <t>18 98205-2963</t>
  </si>
  <si>
    <t>CLI-006</t>
  </si>
  <si>
    <t>CLI-007</t>
  </si>
  <si>
    <t>CLI-008</t>
  </si>
  <si>
    <t>CLI-009</t>
  </si>
  <si>
    <t>CLI-010</t>
  </si>
  <si>
    <t>CLI-011</t>
  </si>
  <si>
    <t>CLI-012</t>
  </si>
  <si>
    <t>CLI-013</t>
  </si>
  <si>
    <t>CLI-014</t>
  </si>
  <si>
    <t>CLI-015</t>
  </si>
  <si>
    <t>CLI-016</t>
  </si>
  <si>
    <t>CLI-017</t>
  </si>
  <si>
    <t>CLI-018</t>
  </si>
  <si>
    <t>CLI-019</t>
  </si>
  <si>
    <t>CLI-020</t>
  </si>
  <si>
    <t>CLI-021</t>
  </si>
  <si>
    <t>CLI-022</t>
  </si>
  <si>
    <t>CLI-023</t>
  </si>
  <si>
    <t>CLI-024</t>
  </si>
  <si>
    <t>CLI-025</t>
  </si>
  <si>
    <t>CONTROLE DE PARCELAS &amp; BAIXAS DE RECEBIMENTO</t>
  </si>
  <si>
    <t>Vencimentos automáticos e cálculo de Atrasado automático comparando a data atual (HOJE/TODAY) com o vencimento.</t>
  </si>
  <si>
    <t>PENDENTE A RECEBER:</t>
  </si>
  <si>
    <t>ATRASADO:</t>
  </si>
  <si>
    <t>TOTAL QUITADO:</t>
  </si>
  <si>
    <t>Data Venda (Auto)</t>
  </si>
  <si>
    <t>Nome do Cliente (Auto)</t>
  </si>
  <si>
    <t>Resumo / Itens do Pedido (Auto)</t>
  </si>
  <si>
    <t>Condição (Auto)</t>
  </si>
  <si>
    <t>Nº da Parcela</t>
  </si>
  <si>
    <t>Vencimento (+30d Auto)</t>
  </si>
  <si>
    <t>Valor da Parcela (R$) (Auto)</t>
  </si>
  <si>
    <t>Status Pagamento</t>
  </si>
  <si>
    <t>Data do Pagamento / Baixa</t>
  </si>
  <si>
    <t>Observações</t>
  </si>
  <si>
    <t>1/1</t>
  </si>
  <si>
    <t>PAINEL DE CONTAS A RECEBER POR CLIENTE</t>
  </si>
  <si>
    <t>Lista consolidada automática de clientes com parcelas vencidas. Conforme você dá baixa no Controle de Parcelas, o valor diminui e o cliente some ao quitar.</t>
  </si>
  <si>
    <t>TOTAL GERAL EM ATRASO:</t>
  </si>
  <si>
    <t>Telefone</t>
  </si>
  <si>
    <t>Qtd Parc. Em Atraso</t>
  </si>
  <si>
    <t>Valor Em Atraso (R$)</t>
  </si>
  <si>
    <t>Qtd Parc. A Vencer</t>
  </si>
  <si>
    <t>Valor A Vencer (R$)</t>
  </si>
  <si>
    <t>Total a Receber (R$)</t>
  </si>
  <si>
    <t>TOTAL GERAL</t>
  </si>
  <si>
    <t>JULIANA CORREA</t>
  </si>
  <si>
    <t>DEIGILAN</t>
  </si>
  <si>
    <t>ANDREIA FERREIRA</t>
  </si>
  <si>
    <t xml:space="preserve">CLEIDE LOPES </t>
  </si>
  <si>
    <t>MADALENA UNIMED</t>
  </si>
  <si>
    <t>EDINA REGINA</t>
  </si>
  <si>
    <t>ROSI UNIMED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</si>
</sst>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6"/>
      <color rgb="FF1F4E79"/>
      <name val="Segoe UI"/>
    </font>
    <font>
      <i/>
      <sz val="10"/>
      <color rgb="FF595959"/>
      <name val="Segoe UI"/>
    </font>
    <font>
      <b/>
      <sz val="11"/>
      <name val="Segoe UI"/>
    </font>
    <font>
      <b/>
      <sz val="11"/>
      <color rgb="FFFFFFFF"/>
      <name val="Segoe UI"/>
    </font>
    <font>
      <sz val="10"/>
      <name val="Segoe UI"/>
    </font>
    <font>
      <b/>
      <sz val="11"/>
      <color rgb="FF9C0006"/>
      <name val="Segoe UI"/>
    </font>
    <font>
      <b/>
      <sz val="13"/>
      <color rgb="FF9C0006"/>
      <name val="Segoe UI"/>
    </font>
    <font>
      <sz val="10"/>
      <name val="Segoe UI"/>
      <family val="2"/>
    </font>
    <font>
      <b/>
      <sz val="11"/>
      <color rgb="FFFFFFFF"/>
      <name val="Segoe UI"/>
    </font>
    <font>
      <b/>
      <sz val="14"/>
      <color rgb="FF1F4E79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FFC7CE"/>
        <bgColor rgb="FFFFC7CE"/>
      </patternFill>
    </fill>
    <fill>
      <patternFill patternType="solid">
        <fgColor rgb="FF1F4E79"/>
        <bgColor rgb="FF1F4E79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164" fontId="7" fillId="4" borderId="0" xfId="0" applyNumberFormat="1" applyFont="1" applyFill="1"/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5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/>
    </xf>
    <xf numFmtId="164" fontId="5" fillId="6" borderId="2" xfId="0" applyNumberFormat="1" applyFont="1" applyFill="1" applyBorder="1" applyAlignment="1">
      <alignment horizontal="right"/>
    </xf>
    <xf numFmtId="164" fontId="3" fillId="6" borderId="2" xfId="0" applyNumberFormat="1" applyFont="1" applyFill="1" applyBorder="1" applyAlignment="1">
      <alignment horizontal="right"/>
    </xf>
    <xf numFmtId="164" fontId="5" fillId="6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14" fontId="5" fillId="6" borderId="2" xfId="0" applyNumberFormat="1" applyFont="1" applyFill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0" fillId="0" borderId="0" xfId="0" applyFont="1"/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right"/>
    </xf>
    <xf numFmtId="0" fontId="5" fillId="6" borderId="2" xfId="0" applyFont="1" applyFill="1" applyBorder="1" applyAlignment="1">
      <alignment horizontal="left"/>
    </xf>
    <xf numFmtId="164" fontId="5" fillId="6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164" fontId="5" fillId="0" borderId="2" xfId="0" applyNumberFormat="1" applyFont="1" applyBorder="1" applyAlignment="1">
      <alignment horizontal="center"/>
    </xf>
    <xf numFmtId="0" fontId="3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164" fontId="3" fillId="6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wrapText="1"/>
    </xf>
    <xf numFmtId="1" fontId="0" fillId="0" borderId="0" xfId="0" applyNumberFormat="1" applyAlignment="1">
      <alignment horizontal="center"/>
    </xf>
    <xf numFmtId="1" fontId="9" fillId="5" borderId="0" xfId="0" applyNumberFormat="1" applyFont="1" applyFill="1" applyAlignment="1">
      <alignment horizontal="center" wrapText="1"/>
    </xf>
    <xf numFmtId="1" fontId="5" fillId="0" borderId="2" xfId="0" applyNumberFormat="1" applyFont="1" applyBorder="1" applyAlignment="1">
      <alignment horizontal="center"/>
    </xf>
    <xf numFmtId="1" fontId="5" fillId="6" borderId="2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4" fontId="5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sz val="10"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/>
        <sz val="10"/>
        <color rgb="FF9C0006"/>
        <name val="Segoe UI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500"/>
  <sheetViews>
    <sheetView zoomScale="85" zoomScaleNormal="85" workbookViewId="0">
      <selection activeCell="C24" sqref="C24"/>
    </sheetView>
  </sheetViews>
  <sheetFormatPr defaultRowHeight="14.4" x14ac:dyDescent="0.3"/>
  <cols>
    <col min="1" max="1" width="7" customWidth="1"/>
    <col min="2" max="2" width="16" customWidth="1"/>
    <col min="3" max="3" width="64" style="13" customWidth="1"/>
    <col min="4" max="4" width="32" style="13" customWidth="1"/>
    <col min="5" max="5" width="34" customWidth="1"/>
    <col min="6" max="6" width="26" customWidth="1"/>
    <col min="7" max="7" width="23" style="13" customWidth="1"/>
    <col min="8" max="8" width="25" style="13" customWidth="1"/>
    <col min="9" max="9" width="15" style="13" customWidth="1"/>
    <col min="10" max="10" width="32" style="13" customWidth="1"/>
  </cols>
  <sheetData>
    <row r="2" spans="2:10" ht="24.6" customHeight="1" x14ac:dyDescent="0.55000000000000004">
      <c r="B2" s="1" t="s">
        <v>534</v>
      </c>
    </row>
    <row r="3" spans="2:10" ht="15" customHeight="1" x14ac:dyDescent="0.35">
      <c r="B3" s="2" t="s">
        <v>535</v>
      </c>
    </row>
    <row r="4" spans="2:10" ht="16.8" customHeight="1" x14ac:dyDescent="0.4">
      <c r="B4" s="3" t="s">
        <v>536</v>
      </c>
      <c r="F4" s="14">
        <f>SUM(F6:F500)</f>
        <v>1244</v>
      </c>
      <c r="H4" s="15">
        <f>SUM(H6:H500)</f>
        <v>85015.070000000094</v>
      </c>
    </row>
    <row r="5" spans="2:10" ht="33" customHeight="1" x14ac:dyDescent="0.3">
      <c r="B5" s="5" t="s">
        <v>537</v>
      </c>
      <c r="C5" s="5" t="s">
        <v>8</v>
      </c>
      <c r="D5" s="5" t="s">
        <v>538</v>
      </c>
      <c r="E5" s="5" t="s">
        <v>539</v>
      </c>
      <c r="F5" s="5" t="s">
        <v>540</v>
      </c>
      <c r="G5" s="5" t="s">
        <v>541</v>
      </c>
      <c r="H5" s="5" t="s">
        <v>542</v>
      </c>
      <c r="I5" s="5" t="s">
        <v>543</v>
      </c>
      <c r="J5" s="5" t="s">
        <v>544</v>
      </c>
    </row>
    <row r="6" spans="2:10" ht="16.8" customHeight="1" x14ac:dyDescent="0.35">
      <c r="B6" s="6" t="s">
        <v>545</v>
      </c>
      <c r="C6" s="11" t="s">
        <v>546</v>
      </c>
      <c r="D6" s="11">
        <v>2</v>
      </c>
      <c r="E6" s="11">
        <f>IF(ISBLANK(C6),"",SUMIF('SAÍDA DE VENDAS'!$G$6:$G$500, C6, 'SAÍDA DE VENDAS'!$H$6:$H$500))</f>
        <v>0</v>
      </c>
      <c r="F6" s="16">
        <f t="shared" ref="F6:F69" si="0">IF(ISBLANK(C6),"", D6-E6)</f>
        <v>2</v>
      </c>
      <c r="G6" s="17">
        <v>35</v>
      </c>
      <c r="H6" s="17">
        <f t="shared" ref="H6:H69" si="1">IF(OR(ISBLANK(F6),ISBLANK(G6)), "", F6*G6)</f>
        <v>70</v>
      </c>
      <c r="I6" s="18">
        <v>1</v>
      </c>
      <c r="J6" s="19">
        <f t="shared" ref="J6:J69" si="2">IF(OR(ISBLANK(G6),ISBLANK(I6)), "", G6*(1+I6))</f>
        <v>70</v>
      </c>
    </row>
    <row r="7" spans="2:10" ht="16.8" customHeight="1" x14ac:dyDescent="0.35">
      <c r="B7" s="6" t="s">
        <v>547</v>
      </c>
      <c r="C7" s="24" t="s">
        <v>548</v>
      </c>
      <c r="D7" s="12">
        <f>11*8</f>
        <v>88</v>
      </c>
      <c r="E7" s="12">
        <f>IF(ISBLANK(C7),"",SUMIF('SAÍDA DE VENDAS'!$G$6:$G$500, C7, 'SAÍDA DE VENDAS'!$H$6:$H$500))</f>
        <v>0</v>
      </c>
      <c r="F7" s="20">
        <f t="shared" si="0"/>
        <v>88</v>
      </c>
      <c r="G7" s="21">
        <v>13</v>
      </c>
      <c r="H7" s="21">
        <f t="shared" si="1"/>
        <v>1144</v>
      </c>
      <c r="I7" s="22">
        <v>1</v>
      </c>
      <c r="J7" s="23">
        <f t="shared" si="2"/>
        <v>26</v>
      </c>
    </row>
    <row r="8" spans="2:10" ht="16.8" customHeight="1" x14ac:dyDescent="0.35">
      <c r="B8" s="6" t="s">
        <v>549</v>
      </c>
      <c r="C8" s="24" t="s">
        <v>550</v>
      </c>
      <c r="D8" s="11">
        <f>11*8</f>
        <v>88</v>
      </c>
      <c r="E8" s="11">
        <f>IF(ISBLANK(C8),"",SUMIF('SAÍDA DE VENDAS'!$G$6:$G$500, C8, 'SAÍDA DE VENDAS'!$H$6:$H$500))</f>
        <v>0</v>
      </c>
      <c r="F8" s="16">
        <f t="shared" si="0"/>
        <v>88</v>
      </c>
      <c r="G8" s="17">
        <v>37</v>
      </c>
      <c r="H8" s="17">
        <f t="shared" si="1"/>
        <v>3256</v>
      </c>
      <c r="I8" s="22">
        <v>1</v>
      </c>
      <c r="J8" s="19">
        <f t="shared" si="2"/>
        <v>74</v>
      </c>
    </row>
    <row r="9" spans="2:10" ht="16.8" customHeight="1" x14ac:dyDescent="0.35">
      <c r="B9" s="6" t="s">
        <v>551</v>
      </c>
      <c r="C9" s="24" t="s">
        <v>552</v>
      </c>
      <c r="D9" s="12">
        <v>1</v>
      </c>
      <c r="E9" s="12">
        <f>IF(ISBLANK(C9),"",SUMIF('SAÍDA DE VENDAS'!$G$6:$G$500, C9, 'SAÍDA DE VENDAS'!$H$6:$H$500))</f>
        <v>0</v>
      </c>
      <c r="F9" s="20">
        <f t="shared" si="0"/>
        <v>1</v>
      </c>
      <c r="G9" s="21">
        <v>79.900000000000006</v>
      </c>
      <c r="H9" s="21">
        <f t="shared" si="1"/>
        <v>79.900000000000006</v>
      </c>
      <c r="I9" s="22">
        <v>0</v>
      </c>
      <c r="J9" s="23">
        <f t="shared" si="2"/>
        <v>79.900000000000006</v>
      </c>
    </row>
    <row r="10" spans="2:10" ht="16.8" customHeight="1" x14ac:dyDescent="0.35">
      <c r="B10" s="6" t="s">
        <v>553</v>
      </c>
      <c r="C10" s="24" t="s">
        <v>554</v>
      </c>
      <c r="D10" s="11">
        <v>19</v>
      </c>
      <c r="E10" s="11">
        <f>IF(ISBLANK(C10),"",SUMIF('SAÍDA DE VENDAS'!$G$6:$G$500, C10, 'SAÍDA DE VENDAS'!$H$6:$H$500))</f>
        <v>0</v>
      </c>
      <c r="F10" s="16">
        <f t="shared" si="0"/>
        <v>19</v>
      </c>
      <c r="G10" s="17">
        <v>59.9</v>
      </c>
      <c r="H10" s="17">
        <f t="shared" si="1"/>
        <v>1138.0999999999999</v>
      </c>
      <c r="I10" s="22">
        <v>0</v>
      </c>
      <c r="J10" s="19">
        <f t="shared" si="2"/>
        <v>59.9</v>
      </c>
    </row>
    <row r="11" spans="2:10" ht="16.8" customHeight="1" x14ac:dyDescent="0.35">
      <c r="B11" s="6" t="s">
        <v>555</v>
      </c>
      <c r="C11" s="24" t="s">
        <v>556</v>
      </c>
      <c r="D11" s="12">
        <v>3</v>
      </c>
      <c r="E11" s="12">
        <f>IF(ISBLANK(C11),"",SUMIF('SAÍDA DE VENDAS'!$G$6:$G$500, C11, 'SAÍDA DE VENDAS'!$H$6:$H$500))</f>
        <v>0</v>
      </c>
      <c r="F11" s="20">
        <f t="shared" si="0"/>
        <v>3</v>
      </c>
      <c r="G11" s="21">
        <v>49.9</v>
      </c>
      <c r="H11" s="21">
        <f t="shared" si="1"/>
        <v>149.69999999999999</v>
      </c>
      <c r="I11" s="22">
        <v>0</v>
      </c>
      <c r="J11" s="23">
        <f t="shared" si="2"/>
        <v>49.9</v>
      </c>
    </row>
    <row r="12" spans="2:10" ht="16.8" customHeight="1" x14ac:dyDescent="0.35">
      <c r="B12" s="6" t="s">
        <v>557</v>
      </c>
      <c r="C12" s="24" t="s">
        <v>558</v>
      </c>
      <c r="D12" s="11">
        <v>4</v>
      </c>
      <c r="E12" s="11">
        <f>IF(ISBLANK(C12),"",SUMIF('SAÍDA DE VENDAS'!$G$6:$G$500, C12, 'SAÍDA DE VENDAS'!$H$6:$H$500))</f>
        <v>0</v>
      </c>
      <c r="F12" s="16">
        <f t="shared" si="0"/>
        <v>4</v>
      </c>
      <c r="G12" s="17">
        <v>109.9</v>
      </c>
      <c r="H12" s="17">
        <f t="shared" si="1"/>
        <v>439.6</v>
      </c>
      <c r="I12" s="22">
        <v>0</v>
      </c>
      <c r="J12" s="19">
        <f t="shared" si="2"/>
        <v>109.9</v>
      </c>
    </row>
    <row r="13" spans="2:10" ht="16.8" customHeight="1" x14ac:dyDescent="0.35">
      <c r="B13" s="6" t="s">
        <v>559</v>
      </c>
      <c r="C13" s="24" t="s">
        <v>560</v>
      </c>
      <c r="D13" s="12">
        <v>9</v>
      </c>
      <c r="E13" s="12">
        <f>IF(ISBLANK(C13),"",SUMIF('SAÍDA DE VENDAS'!$G$6:$G$500, C13, 'SAÍDA DE VENDAS'!$H$6:$H$500))</f>
        <v>0</v>
      </c>
      <c r="F13" s="20">
        <f t="shared" si="0"/>
        <v>9</v>
      </c>
      <c r="G13" s="17">
        <v>49.9</v>
      </c>
      <c r="H13" s="21">
        <f t="shared" si="1"/>
        <v>449.09999999999997</v>
      </c>
      <c r="I13" s="22">
        <v>0</v>
      </c>
      <c r="J13" s="23">
        <f t="shared" si="2"/>
        <v>49.9</v>
      </c>
    </row>
    <row r="14" spans="2:10" ht="16.8" customHeight="1" x14ac:dyDescent="0.35">
      <c r="B14" s="6" t="s">
        <v>561</v>
      </c>
      <c r="C14" s="24" t="s">
        <v>562</v>
      </c>
      <c r="D14" s="11">
        <v>11</v>
      </c>
      <c r="E14" s="11">
        <f>IF(ISBLANK(C14),"",SUMIF('SAÍDA DE VENDAS'!$G$6:$G$500, C14, 'SAÍDA DE VENDAS'!$H$6:$H$500))</f>
        <v>0</v>
      </c>
      <c r="F14" s="16">
        <f t="shared" si="0"/>
        <v>11</v>
      </c>
      <c r="G14" s="17">
        <v>129.9</v>
      </c>
      <c r="H14" s="17">
        <f t="shared" si="1"/>
        <v>1428.9</v>
      </c>
      <c r="I14" s="22">
        <v>0</v>
      </c>
      <c r="J14" s="19">
        <f t="shared" si="2"/>
        <v>129.9</v>
      </c>
    </row>
    <row r="15" spans="2:10" ht="16.8" customHeight="1" x14ac:dyDescent="0.35">
      <c r="B15" s="6" t="s">
        <v>563</v>
      </c>
      <c r="C15" s="24" t="s">
        <v>564</v>
      </c>
      <c r="D15" s="12">
        <v>2</v>
      </c>
      <c r="E15" s="12">
        <f>IF(ISBLANK(C15),"",SUMIF('SAÍDA DE VENDAS'!$G$6:$G$500, C15, 'SAÍDA DE VENDAS'!$H$6:$H$500))</f>
        <v>0</v>
      </c>
      <c r="F15" s="20">
        <f t="shared" si="0"/>
        <v>2</v>
      </c>
      <c r="G15" s="17">
        <v>89.9</v>
      </c>
      <c r="H15" s="21">
        <f t="shared" si="1"/>
        <v>179.8</v>
      </c>
      <c r="I15" s="22">
        <v>0</v>
      </c>
      <c r="J15" s="23">
        <f t="shared" si="2"/>
        <v>89.9</v>
      </c>
    </row>
    <row r="16" spans="2:10" ht="16.8" customHeight="1" x14ac:dyDescent="0.35">
      <c r="B16" s="6" t="s">
        <v>565</v>
      </c>
      <c r="C16" s="24" t="s">
        <v>566</v>
      </c>
      <c r="D16" s="11">
        <v>1</v>
      </c>
      <c r="E16" s="11">
        <f>IF(ISBLANK(C16),"",SUMIF('SAÍDA DE VENDAS'!$G$6:$G$500, C16, 'SAÍDA DE VENDAS'!$H$6:$H$500))</f>
        <v>0</v>
      </c>
      <c r="F16" s="16">
        <f t="shared" si="0"/>
        <v>1</v>
      </c>
      <c r="G16" s="17">
        <v>89.9</v>
      </c>
      <c r="H16" s="17">
        <f t="shared" si="1"/>
        <v>89.9</v>
      </c>
      <c r="I16" s="22">
        <v>0</v>
      </c>
      <c r="J16" s="19">
        <f t="shared" si="2"/>
        <v>89.9</v>
      </c>
    </row>
    <row r="17" spans="2:10" ht="16.8" customHeight="1" x14ac:dyDescent="0.35">
      <c r="B17" s="6" t="s">
        <v>567</v>
      </c>
      <c r="C17" s="24" t="s">
        <v>568</v>
      </c>
      <c r="D17" s="12">
        <v>2</v>
      </c>
      <c r="E17" s="12">
        <f>IF(ISBLANK(C17),"",SUMIF('SAÍDA DE VENDAS'!$G$6:$G$500, C17, 'SAÍDA DE VENDAS'!$H$6:$H$500))</f>
        <v>0</v>
      </c>
      <c r="F17" s="20">
        <f t="shared" si="0"/>
        <v>2</v>
      </c>
      <c r="G17" s="21">
        <v>109.9</v>
      </c>
      <c r="H17" s="21">
        <f t="shared" si="1"/>
        <v>219.8</v>
      </c>
      <c r="I17" s="22">
        <v>0</v>
      </c>
      <c r="J17" s="23">
        <f t="shared" si="2"/>
        <v>109.9</v>
      </c>
    </row>
    <row r="18" spans="2:10" ht="16.8" customHeight="1" x14ac:dyDescent="0.35">
      <c r="B18" s="6" t="s">
        <v>569</v>
      </c>
      <c r="C18" s="25" t="s">
        <v>570</v>
      </c>
      <c r="D18" s="11">
        <v>16</v>
      </c>
      <c r="E18" s="11">
        <f>IF(ISBLANK(C18),"",SUMIF('SAÍDA DE VENDAS'!$G$6:$G$500, C18, 'SAÍDA DE VENDAS'!$H$6:$H$500))</f>
        <v>0</v>
      </c>
      <c r="F18" s="16">
        <f t="shared" si="0"/>
        <v>16</v>
      </c>
      <c r="G18" s="17">
        <v>13.9</v>
      </c>
      <c r="H18" s="17">
        <f t="shared" si="1"/>
        <v>222.4</v>
      </c>
      <c r="I18" s="22">
        <v>0</v>
      </c>
      <c r="J18" s="19">
        <f t="shared" si="2"/>
        <v>13.9</v>
      </c>
    </row>
    <row r="19" spans="2:10" ht="16.8" customHeight="1" x14ac:dyDescent="0.35">
      <c r="B19" s="6" t="s">
        <v>571</v>
      </c>
      <c r="C19" s="24" t="s">
        <v>572</v>
      </c>
      <c r="D19" s="12">
        <v>1</v>
      </c>
      <c r="E19" s="12">
        <f>IF(ISBLANK(C19),"",SUMIF('SAÍDA DE VENDAS'!$G$6:$G$500, C19, 'SAÍDA DE VENDAS'!$H$6:$H$500))</f>
        <v>0</v>
      </c>
      <c r="F19" s="20">
        <f t="shared" si="0"/>
        <v>1</v>
      </c>
      <c r="G19" s="21">
        <v>109.09</v>
      </c>
      <c r="H19" s="21">
        <f t="shared" si="1"/>
        <v>109.09</v>
      </c>
      <c r="I19" s="22">
        <v>0</v>
      </c>
      <c r="J19" s="23">
        <f t="shared" si="2"/>
        <v>109.09</v>
      </c>
    </row>
    <row r="20" spans="2:10" ht="16.8" customHeight="1" x14ac:dyDescent="0.35">
      <c r="B20" s="6" t="s">
        <v>573</v>
      </c>
      <c r="C20" s="25" t="s">
        <v>570</v>
      </c>
      <c r="D20" s="11">
        <v>14</v>
      </c>
      <c r="E20" s="11">
        <f>IF(ISBLANK(C20),"",SUMIF('SAÍDA DE VENDAS'!$G$6:$G$500, C20, 'SAÍDA DE VENDAS'!$H$6:$H$500))</f>
        <v>0</v>
      </c>
      <c r="F20" s="16">
        <f t="shared" si="0"/>
        <v>14</v>
      </c>
      <c r="G20" s="17">
        <v>9.9</v>
      </c>
      <c r="H20" s="17">
        <f t="shared" si="1"/>
        <v>138.6</v>
      </c>
      <c r="I20" s="22">
        <v>0</v>
      </c>
      <c r="J20" s="19">
        <f t="shared" si="2"/>
        <v>9.9</v>
      </c>
    </row>
    <row r="21" spans="2:10" ht="16.8" customHeight="1" x14ac:dyDescent="0.35">
      <c r="B21" s="6" t="s">
        <v>574</v>
      </c>
      <c r="C21" s="24" t="s">
        <v>575</v>
      </c>
      <c r="D21" s="12">
        <v>4</v>
      </c>
      <c r="E21" s="12">
        <f>IF(ISBLANK(C21),"",SUMIF('SAÍDA DE VENDAS'!$G$6:$G$500, C21, 'SAÍDA DE VENDAS'!$H$6:$H$500))</f>
        <v>0</v>
      </c>
      <c r="F21" s="20">
        <f t="shared" si="0"/>
        <v>4</v>
      </c>
      <c r="G21" s="21">
        <v>18.899999999999999</v>
      </c>
      <c r="H21" s="21">
        <f t="shared" si="1"/>
        <v>75.599999999999994</v>
      </c>
      <c r="I21" s="22">
        <v>0</v>
      </c>
      <c r="J21" s="23">
        <f t="shared" si="2"/>
        <v>18.899999999999999</v>
      </c>
    </row>
    <row r="22" spans="2:10" ht="16.8" customHeight="1" x14ac:dyDescent="0.35">
      <c r="B22" s="6" t="s">
        <v>576</v>
      </c>
      <c r="C22" s="25" t="s">
        <v>577</v>
      </c>
      <c r="D22" s="11">
        <v>1</v>
      </c>
      <c r="E22" s="11">
        <f>IF(ISBLANK(C22),"",SUMIF('SAÍDA DE VENDAS'!$G$6:$G$500, C22, 'SAÍDA DE VENDAS'!$H$6:$H$500))</f>
        <v>0</v>
      </c>
      <c r="F22" s="16">
        <f t="shared" si="0"/>
        <v>1</v>
      </c>
      <c r="G22" s="17">
        <v>29.9</v>
      </c>
      <c r="H22" s="17">
        <f t="shared" si="1"/>
        <v>29.9</v>
      </c>
      <c r="I22" s="22">
        <v>0</v>
      </c>
      <c r="J22" s="19">
        <f t="shared" si="2"/>
        <v>29.9</v>
      </c>
    </row>
    <row r="23" spans="2:10" ht="16.8" customHeight="1" x14ac:dyDescent="0.35">
      <c r="B23" s="6" t="s">
        <v>578</v>
      </c>
      <c r="C23" s="24" t="s">
        <v>579</v>
      </c>
      <c r="D23" s="12">
        <v>8</v>
      </c>
      <c r="E23" s="12">
        <f>IF(ISBLANK(C23),"",SUMIF('SAÍDA DE VENDAS'!$G$6:$G$500, C23, 'SAÍDA DE VENDAS'!$H$6:$H$500))</f>
        <v>0</v>
      </c>
      <c r="F23" s="20">
        <f t="shared" si="0"/>
        <v>8</v>
      </c>
      <c r="G23" s="21">
        <v>19.899999999999999</v>
      </c>
      <c r="H23" s="21">
        <f t="shared" si="1"/>
        <v>159.19999999999999</v>
      </c>
      <c r="I23" s="22">
        <v>0</v>
      </c>
      <c r="J23" s="23">
        <f t="shared" si="2"/>
        <v>19.899999999999999</v>
      </c>
    </row>
    <row r="24" spans="2:10" ht="16.8" customHeight="1" x14ac:dyDescent="0.35">
      <c r="B24" s="6" t="s">
        <v>580</v>
      </c>
      <c r="C24" s="25" t="s">
        <v>581</v>
      </c>
      <c r="D24" s="11">
        <v>32</v>
      </c>
      <c r="E24" s="11">
        <f>IF(ISBLANK(C24),"",SUMIF('SAÍDA DE VENDAS'!$G$6:$G$500, C24, 'SAÍDA DE VENDAS'!$H$6:$H$500))</f>
        <v>0</v>
      </c>
      <c r="F24" s="16">
        <f t="shared" si="0"/>
        <v>32</v>
      </c>
      <c r="G24" s="17">
        <v>7.9</v>
      </c>
      <c r="H24" s="17">
        <f t="shared" si="1"/>
        <v>252.8</v>
      </c>
      <c r="I24" s="22">
        <v>0</v>
      </c>
      <c r="J24" s="19">
        <f t="shared" si="2"/>
        <v>7.9</v>
      </c>
    </row>
    <row r="25" spans="2:10" ht="16.8" customHeight="1" x14ac:dyDescent="0.35">
      <c r="B25" s="6" t="s">
        <v>582</v>
      </c>
      <c r="C25" s="24" t="s">
        <v>583</v>
      </c>
      <c r="D25" s="12">
        <v>1</v>
      </c>
      <c r="E25" s="12">
        <f>IF(ISBLANK(C25),"",SUMIF('SAÍDA DE VENDAS'!$G$6:$G$500, C25, 'SAÍDA DE VENDAS'!$H$6:$H$500))</f>
        <v>0</v>
      </c>
      <c r="F25" s="20">
        <f t="shared" si="0"/>
        <v>1</v>
      </c>
      <c r="G25" s="21">
        <v>38</v>
      </c>
      <c r="H25" s="21">
        <f t="shared" si="1"/>
        <v>38</v>
      </c>
      <c r="I25" s="22">
        <v>0</v>
      </c>
      <c r="J25" s="23">
        <f t="shared" si="2"/>
        <v>38</v>
      </c>
    </row>
    <row r="26" spans="2:10" ht="16.8" customHeight="1" x14ac:dyDescent="0.35">
      <c r="B26" s="6" t="s">
        <v>584</v>
      </c>
      <c r="C26" s="25" t="s">
        <v>585</v>
      </c>
      <c r="D26" s="11">
        <v>2</v>
      </c>
      <c r="E26" s="11">
        <f>IF(ISBLANK(C26),"",SUMIF('SAÍDA DE VENDAS'!$G$6:$G$500, C26, 'SAÍDA DE VENDAS'!$H$6:$H$500))</f>
        <v>0</v>
      </c>
      <c r="F26" s="16">
        <f t="shared" si="0"/>
        <v>2</v>
      </c>
      <c r="G26" s="17">
        <v>179.9</v>
      </c>
      <c r="H26" s="17">
        <f t="shared" si="1"/>
        <v>359.8</v>
      </c>
      <c r="I26" s="22">
        <v>0</v>
      </c>
      <c r="J26" s="19">
        <f t="shared" si="2"/>
        <v>179.9</v>
      </c>
    </row>
    <row r="27" spans="2:10" ht="16.8" customHeight="1" x14ac:dyDescent="0.35">
      <c r="B27" s="6" t="s">
        <v>586</v>
      </c>
      <c r="C27" s="24" t="s">
        <v>587</v>
      </c>
      <c r="D27" s="12">
        <v>1</v>
      </c>
      <c r="E27" s="12">
        <f>IF(ISBLANK(C27),"",SUMIF('SAÍDA DE VENDAS'!$G$6:$G$500, C27, 'SAÍDA DE VENDAS'!$H$6:$H$500))</f>
        <v>0</v>
      </c>
      <c r="F27" s="20">
        <f t="shared" si="0"/>
        <v>1</v>
      </c>
      <c r="G27" s="21">
        <v>199.9</v>
      </c>
      <c r="H27" s="21">
        <f t="shared" si="1"/>
        <v>199.9</v>
      </c>
      <c r="I27" s="22">
        <v>0</v>
      </c>
      <c r="J27" s="23">
        <f t="shared" si="2"/>
        <v>199.9</v>
      </c>
    </row>
    <row r="28" spans="2:10" ht="16.8" customHeight="1" x14ac:dyDescent="0.35">
      <c r="B28" s="6" t="s">
        <v>588</v>
      </c>
      <c r="C28" s="25" t="s">
        <v>589</v>
      </c>
      <c r="D28" s="11">
        <v>2</v>
      </c>
      <c r="E28" s="11">
        <f>IF(ISBLANK(C28),"",SUMIF('SAÍDA DE VENDAS'!$G$6:$G$500, C28, 'SAÍDA DE VENDAS'!$H$6:$H$500))</f>
        <v>0</v>
      </c>
      <c r="F28" s="16">
        <f t="shared" si="0"/>
        <v>2</v>
      </c>
      <c r="G28" s="17">
        <v>139.9</v>
      </c>
      <c r="H28" s="17">
        <f t="shared" si="1"/>
        <v>279.8</v>
      </c>
      <c r="I28" s="22">
        <v>0</v>
      </c>
      <c r="J28" s="19">
        <f t="shared" si="2"/>
        <v>139.9</v>
      </c>
    </row>
    <row r="29" spans="2:10" ht="16.8" customHeight="1" x14ac:dyDescent="0.35">
      <c r="B29" s="6" t="s">
        <v>590</v>
      </c>
      <c r="C29" s="24" t="s">
        <v>591</v>
      </c>
      <c r="D29" s="12">
        <v>2</v>
      </c>
      <c r="E29" s="12">
        <f>IF(ISBLANK(C29),"",SUMIF('SAÍDA DE VENDAS'!$G$6:$G$500, C29, 'SAÍDA DE VENDAS'!$H$6:$H$500))</f>
        <v>0</v>
      </c>
      <c r="F29" s="20">
        <f t="shared" si="0"/>
        <v>2</v>
      </c>
      <c r="G29" s="21">
        <v>129.9</v>
      </c>
      <c r="H29" s="21">
        <f t="shared" si="1"/>
        <v>259.8</v>
      </c>
      <c r="I29" s="22">
        <v>0</v>
      </c>
      <c r="J29" s="23">
        <f t="shared" si="2"/>
        <v>129.9</v>
      </c>
    </row>
    <row r="30" spans="2:10" ht="16.8" customHeight="1" x14ac:dyDescent="0.35">
      <c r="B30" s="6" t="s">
        <v>592</v>
      </c>
      <c r="C30" s="24" t="s">
        <v>593</v>
      </c>
      <c r="D30" s="11">
        <v>2</v>
      </c>
      <c r="E30" s="11">
        <f>IF(ISBLANK(C30),"",SUMIF('SAÍDA DE VENDAS'!$G$6:$G$500, C30, 'SAÍDA DE VENDAS'!$H$6:$H$500))</f>
        <v>0</v>
      </c>
      <c r="F30" s="16">
        <f t="shared" si="0"/>
        <v>2</v>
      </c>
      <c r="G30" s="17">
        <v>159.9</v>
      </c>
      <c r="H30" s="17">
        <f t="shared" si="1"/>
        <v>319.8</v>
      </c>
      <c r="I30" s="22">
        <v>0</v>
      </c>
      <c r="J30" s="19">
        <f t="shared" si="2"/>
        <v>159.9</v>
      </c>
    </row>
    <row r="31" spans="2:10" ht="16.8" customHeight="1" x14ac:dyDescent="0.35">
      <c r="B31" s="6" t="s">
        <v>594</v>
      </c>
      <c r="C31" s="24" t="s">
        <v>595</v>
      </c>
      <c r="D31" s="12">
        <v>4</v>
      </c>
      <c r="E31" s="12">
        <f>IF(ISBLANK(C31),"",SUMIF('SAÍDA DE VENDAS'!$G$6:$G$500, C31, 'SAÍDA DE VENDAS'!$H$6:$H$500))</f>
        <v>0</v>
      </c>
      <c r="F31" s="20">
        <f t="shared" si="0"/>
        <v>4</v>
      </c>
      <c r="G31" s="21">
        <v>119.9</v>
      </c>
      <c r="H31" s="21">
        <f t="shared" si="1"/>
        <v>479.6</v>
      </c>
      <c r="I31" s="22">
        <v>0</v>
      </c>
      <c r="J31" s="23">
        <f t="shared" si="2"/>
        <v>119.9</v>
      </c>
    </row>
    <row r="32" spans="2:10" ht="16.8" customHeight="1" x14ac:dyDescent="0.35">
      <c r="B32" s="6" t="s">
        <v>596</v>
      </c>
      <c r="C32" s="25" t="s">
        <v>597</v>
      </c>
      <c r="D32" s="11">
        <v>4</v>
      </c>
      <c r="E32" s="11">
        <f>IF(ISBLANK(C32),"",SUMIF('SAÍDA DE VENDAS'!$G$6:$G$500, C32, 'SAÍDA DE VENDAS'!$H$6:$H$500))</f>
        <v>0</v>
      </c>
      <c r="F32" s="16">
        <f t="shared" si="0"/>
        <v>4</v>
      </c>
      <c r="G32" s="17">
        <v>89.9</v>
      </c>
      <c r="H32" s="17">
        <f t="shared" si="1"/>
        <v>359.6</v>
      </c>
      <c r="I32" s="22">
        <v>0</v>
      </c>
      <c r="J32" s="19">
        <f t="shared" si="2"/>
        <v>89.9</v>
      </c>
    </row>
    <row r="33" spans="2:10" ht="16.8" customHeight="1" x14ac:dyDescent="0.35">
      <c r="B33" s="6" t="s">
        <v>598</v>
      </c>
      <c r="C33" s="24" t="s">
        <v>599</v>
      </c>
      <c r="D33" s="12">
        <v>4</v>
      </c>
      <c r="E33" s="12">
        <f>IF(ISBLANK(C33),"",SUMIF('SAÍDA DE VENDAS'!$G$6:$G$500, C33, 'SAÍDA DE VENDAS'!$H$6:$H$500))</f>
        <v>0</v>
      </c>
      <c r="F33" s="20">
        <f t="shared" si="0"/>
        <v>4</v>
      </c>
      <c r="G33" s="21">
        <v>99.9</v>
      </c>
      <c r="H33" s="21">
        <f t="shared" si="1"/>
        <v>399.6</v>
      </c>
      <c r="I33" s="22">
        <v>0</v>
      </c>
      <c r="J33" s="23">
        <f t="shared" si="2"/>
        <v>99.9</v>
      </c>
    </row>
    <row r="34" spans="2:10" ht="16.8" customHeight="1" x14ac:dyDescent="0.35">
      <c r="B34" s="6" t="s">
        <v>600</v>
      </c>
      <c r="C34" s="25" t="s">
        <v>601</v>
      </c>
      <c r="D34" s="11">
        <v>1</v>
      </c>
      <c r="E34" s="11">
        <f>IF(ISBLANK(C34),"",SUMIF('SAÍDA DE VENDAS'!$G$6:$G$500, C34, 'SAÍDA DE VENDAS'!$H$6:$H$500))</f>
        <v>0</v>
      </c>
      <c r="F34" s="16">
        <f t="shared" si="0"/>
        <v>1</v>
      </c>
      <c r="G34" s="17">
        <v>109.9</v>
      </c>
      <c r="H34" s="17">
        <f t="shared" si="1"/>
        <v>109.9</v>
      </c>
      <c r="I34" s="22">
        <v>0</v>
      </c>
      <c r="J34" s="19">
        <f t="shared" si="2"/>
        <v>109.9</v>
      </c>
    </row>
    <row r="35" spans="2:10" ht="16.8" customHeight="1" x14ac:dyDescent="0.35">
      <c r="B35" s="6" t="s">
        <v>602</v>
      </c>
      <c r="C35" s="24" t="s">
        <v>603</v>
      </c>
      <c r="D35" s="12">
        <v>1</v>
      </c>
      <c r="E35" s="12">
        <f>IF(ISBLANK(C35),"",SUMIF('SAÍDA DE VENDAS'!$G$6:$G$500, C35, 'SAÍDA DE VENDAS'!$H$6:$H$500))</f>
        <v>0</v>
      </c>
      <c r="F35" s="20">
        <f t="shared" si="0"/>
        <v>1</v>
      </c>
      <c r="G35" s="21">
        <v>139.9</v>
      </c>
      <c r="H35" s="21">
        <f t="shared" si="1"/>
        <v>139.9</v>
      </c>
      <c r="I35" s="22">
        <v>0</v>
      </c>
      <c r="J35" s="23">
        <f t="shared" si="2"/>
        <v>139.9</v>
      </c>
    </row>
    <row r="36" spans="2:10" ht="16.8" customHeight="1" x14ac:dyDescent="0.35">
      <c r="B36" s="6" t="s">
        <v>604</v>
      </c>
      <c r="C36" s="25" t="s">
        <v>605</v>
      </c>
      <c r="D36" s="11">
        <v>1</v>
      </c>
      <c r="E36" s="11">
        <f>IF(ISBLANK(C36),"",SUMIF('SAÍDA DE VENDAS'!$G$6:$G$500, C36, 'SAÍDA DE VENDAS'!$H$6:$H$500))</f>
        <v>0</v>
      </c>
      <c r="F36" s="16">
        <f t="shared" si="0"/>
        <v>1</v>
      </c>
      <c r="G36" s="17">
        <v>99.9</v>
      </c>
      <c r="H36" s="17">
        <f t="shared" si="1"/>
        <v>99.9</v>
      </c>
      <c r="I36" s="22">
        <v>0</v>
      </c>
      <c r="J36" s="19">
        <f t="shared" si="2"/>
        <v>99.9</v>
      </c>
    </row>
    <row r="37" spans="2:10" ht="16.8" customHeight="1" x14ac:dyDescent="0.35">
      <c r="B37" s="6" t="s">
        <v>606</v>
      </c>
      <c r="C37" s="24" t="s">
        <v>607</v>
      </c>
      <c r="D37" s="12">
        <v>4</v>
      </c>
      <c r="E37" s="12">
        <f>IF(ISBLANK(C37),"",SUMIF('SAÍDA DE VENDAS'!$G$6:$G$500, C37, 'SAÍDA DE VENDAS'!$H$6:$H$500))</f>
        <v>0</v>
      </c>
      <c r="F37" s="20">
        <f t="shared" si="0"/>
        <v>4</v>
      </c>
      <c r="G37" s="21">
        <v>79.900000000000006</v>
      </c>
      <c r="H37" s="21">
        <f t="shared" si="1"/>
        <v>319.60000000000002</v>
      </c>
      <c r="I37" s="22">
        <v>0</v>
      </c>
      <c r="J37" s="23">
        <f t="shared" si="2"/>
        <v>79.900000000000006</v>
      </c>
    </row>
    <row r="38" spans="2:10" ht="16.8" customHeight="1" x14ac:dyDescent="0.35">
      <c r="B38" s="6" t="s">
        <v>608</v>
      </c>
      <c r="C38" s="25" t="s">
        <v>609</v>
      </c>
      <c r="D38" s="11">
        <v>2</v>
      </c>
      <c r="E38" s="11">
        <f>IF(ISBLANK(C38),"",SUMIF('SAÍDA DE VENDAS'!$G$6:$G$500, C38, 'SAÍDA DE VENDAS'!$H$6:$H$500))</f>
        <v>0</v>
      </c>
      <c r="F38" s="16">
        <f t="shared" si="0"/>
        <v>2</v>
      </c>
      <c r="G38" s="17">
        <v>69.900000000000006</v>
      </c>
      <c r="H38" s="17">
        <f t="shared" si="1"/>
        <v>139.80000000000001</v>
      </c>
      <c r="I38" s="22">
        <v>0</v>
      </c>
      <c r="J38" s="19">
        <f t="shared" si="2"/>
        <v>69.900000000000006</v>
      </c>
    </row>
    <row r="39" spans="2:10" ht="16.8" customHeight="1" x14ac:dyDescent="0.35">
      <c r="B39" s="6" t="s">
        <v>610</v>
      </c>
      <c r="C39" s="24" t="s">
        <v>611</v>
      </c>
      <c r="D39" s="12">
        <v>2</v>
      </c>
      <c r="E39" s="12">
        <f>IF(ISBLANK(C39),"",SUMIF('SAÍDA DE VENDAS'!$G$6:$G$500, C39, 'SAÍDA DE VENDAS'!$H$6:$H$500))</f>
        <v>0</v>
      </c>
      <c r="F39" s="20">
        <f t="shared" si="0"/>
        <v>2</v>
      </c>
      <c r="G39" s="21">
        <v>79.900000000000006</v>
      </c>
      <c r="H39" s="21">
        <f t="shared" si="1"/>
        <v>159.80000000000001</v>
      </c>
      <c r="I39" s="22">
        <v>0</v>
      </c>
      <c r="J39" s="23">
        <f t="shared" si="2"/>
        <v>79.900000000000006</v>
      </c>
    </row>
    <row r="40" spans="2:10" ht="16.8" customHeight="1" x14ac:dyDescent="0.35">
      <c r="B40" s="6" t="s">
        <v>612</v>
      </c>
      <c r="C40" s="25" t="s">
        <v>613</v>
      </c>
      <c r="D40" s="11">
        <v>5</v>
      </c>
      <c r="E40" s="11">
        <f>IF(ISBLANK(C40),"",SUMIF('SAÍDA DE VENDAS'!$G$6:$G$500, C40, 'SAÍDA DE VENDAS'!$H$6:$H$500))</f>
        <v>0</v>
      </c>
      <c r="F40" s="16">
        <f t="shared" si="0"/>
        <v>5</v>
      </c>
      <c r="G40" s="17">
        <v>49.9</v>
      </c>
      <c r="H40" s="17">
        <f t="shared" si="1"/>
        <v>249.5</v>
      </c>
      <c r="I40" s="22">
        <v>0</v>
      </c>
      <c r="J40" s="19">
        <f t="shared" si="2"/>
        <v>49.9</v>
      </c>
    </row>
    <row r="41" spans="2:10" ht="16.8" customHeight="1" x14ac:dyDescent="0.35">
      <c r="B41" s="6" t="s">
        <v>614</v>
      </c>
      <c r="C41" s="24" t="s">
        <v>615</v>
      </c>
      <c r="D41" s="12">
        <v>2</v>
      </c>
      <c r="E41" s="12">
        <f>IF(ISBLANK(C41),"",SUMIF('SAÍDA DE VENDAS'!$G$6:$G$500, C41, 'SAÍDA DE VENDAS'!$H$6:$H$500))</f>
        <v>0</v>
      </c>
      <c r="F41" s="20">
        <f t="shared" si="0"/>
        <v>2</v>
      </c>
      <c r="G41" s="21">
        <v>29.9</v>
      </c>
      <c r="H41" s="21">
        <f t="shared" si="1"/>
        <v>59.8</v>
      </c>
      <c r="I41" s="22">
        <v>0</v>
      </c>
      <c r="J41" s="23">
        <f t="shared" si="2"/>
        <v>29.9</v>
      </c>
    </row>
    <row r="42" spans="2:10" ht="16.8" customHeight="1" x14ac:dyDescent="0.35">
      <c r="B42" s="6" t="s">
        <v>616</v>
      </c>
      <c r="C42" s="25" t="s">
        <v>617</v>
      </c>
      <c r="D42" s="11">
        <v>1</v>
      </c>
      <c r="E42" s="11">
        <f>IF(ISBLANK(C42),"",SUMIF('SAÍDA DE VENDAS'!$G$6:$G$500, C42, 'SAÍDA DE VENDAS'!$H$6:$H$500))</f>
        <v>0</v>
      </c>
      <c r="F42" s="16">
        <f t="shared" si="0"/>
        <v>1</v>
      </c>
      <c r="G42" s="17">
        <v>49.9</v>
      </c>
      <c r="H42" s="17">
        <f t="shared" si="1"/>
        <v>49.9</v>
      </c>
      <c r="I42" s="22">
        <v>0</v>
      </c>
      <c r="J42" s="19">
        <f t="shared" si="2"/>
        <v>49.9</v>
      </c>
    </row>
    <row r="43" spans="2:10" ht="16.8" customHeight="1" x14ac:dyDescent="0.35">
      <c r="B43" s="6" t="s">
        <v>618</v>
      </c>
      <c r="C43" s="24" t="s">
        <v>619</v>
      </c>
      <c r="D43" s="12">
        <v>2</v>
      </c>
      <c r="E43" s="12">
        <f>IF(ISBLANK(C43),"",SUMIF('SAÍDA DE VENDAS'!$G$6:$G$500, C43, 'SAÍDA DE VENDAS'!$H$6:$H$500))</f>
        <v>0</v>
      </c>
      <c r="F43" s="20">
        <f t="shared" si="0"/>
        <v>2</v>
      </c>
      <c r="G43" s="21">
        <v>39.9</v>
      </c>
      <c r="H43" s="21">
        <f t="shared" si="1"/>
        <v>79.8</v>
      </c>
      <c r="I43" s="22">
        <v>0</v>
      </c>
      <c r="J43" s="23">
        <f t="shared" si="2"/>
        <v>39.9</v>
      </c>
    </row>
    <row r="44" spans="2:10" ht="16.8" customHeight="1" x14ac:dyDescent="0.35">
      <c r="B44" s="6" t="s">
        <v>620</v>
      </c>
      <c r="C44" s="25" t="s">
        <v>621</v>
      </c>
      <c r="D44" s="11">
        <v>1</v>
      </c>
      <c r="E44" s="11">
        <f>IF(ISBLANK(C44),"",SUMIF('SAÍDA DE VENDAS'!$G$6:$G$500, C44, 'SAÍDA DE VENDAS'!$H$6:$H$500))</f>
        <v>0</v>
      </c>
      <c r="F44" s="16">
        <f t="shared" si="0"/>
        <v>1</v>
      </c>
      <c r="G44" s="17">
        <v>79.900000000000006</v>
      </c>
      <c r="H44" s="17">
        <f t="shared" si="1"/>
        <v>79.900000000000006</v>
      </c>
      <c r="I44" s="22">
        <v>0</v>
      </c>
      <c r="J44" s="19">
        <f t="shared" si="2"/>
        <v>79.900000000000006</v>
      </c>
    </row>
    <row r="45" spans="2:10" ht="16.8" customHeight="1" x14ac:dyDescent="0.35">
      <c r="B45" s="6" t="s">
        <v>622</v>
      </c>
      <c r="C45" s="24" t="s">
        <v>623</v>
      </c>
      <c r="D45" s="12">
        <v>1</v>
      </c>
      <c r="E45" s="12">
        <f>IF(ISBLANK(C45),"",SUMIF('SAÍDA DE VENDAS'!$G$6:$G$500, C45, 'SAÍDA DE VENDAS'!$H$6:$H$500))</f>
        <v>0</v>
      </c>
      <c r="F45" s="20">
        <f t="shared" si="0"/>
        <v>1</v>
      </c>
      <c r="G45" s="21">
        <v>109.9</v>
      </c>
      <c r="H45" s="21">
        <f t="shared" si="1"/>
        <v>109.9</v>
      </c>
      <c r="I45" s="22">
        <v>0</v>
      </c>
      <c r="J45" s="23">
        <f t="shared" si="2"/>
        <v>109.9</v>
      </c>
    </row>
    <row r="46" spans="2:10" ht="16.8" customHeight="1" x14ac:dyDescent="0.35">
      <c r="B46" s="6" t="s">
        <v>624</v>
      </c>
      <c r="C46" s="25" t="s">
        <v>625</v>
      </c>
      <c r="D46" s="11">
        <v>1</v>
      </c>
      <c r="E46" s="11">
        <f>IF(ISBLANK(C46),"",SUMIF('SAÍDA DE VENDAS'!$G$6:$G$500, C46, 'SAÍDA DE VENDAS'!$H$6:$H$500))</f>
        <v>0</v>
      </c>
      <c r="F46" s="16">
        <f t="shared" si="0"/>
        <v>1</v>
      </c>
      <c r="G46" s="17">
        <v>59.9</v>
      </c>
      <c r="H46" s="17">
        <f t="shared" si="1"/>
        <v>59.9</v>
      </c>
      <c r="I46" s="22">
        <v>0</v>
      </c>
      <c r="J46" s="19">
        <f t="shared" si="2"/>
        <v>59.9</v>
      </c>
    </row>
    <row r="47" spans="2:10" ht="16.8" customHeight="1" x14ac:dyDescent="0.35">
      <c r="B47" s="6" t="s">
        <v>626</v>
      </c>
      <c r="C47" s="24" t="s">
        <v>627</v>
      </c>
      <c r="D47" s="12">
        <v>1</v>
      </c>
      <c r="E47" s="12">
        <f>IF(ISBLANK(C47),"",SUMIF('SAÍDA DE VENDAS'!$G$6:$G$500, C47, 'SAÍDA DE VENDAS'!$H$6:$H$500))</f>
        <v>0</v>
      </c>
      <c r="F47" s="20">
        <f t="shared" si="0"/>
        <v>1</v>
      </c>
      <c r="G47" s="21">
        <v>49.9</v>
      </c>
      <c r="H47" s="21">
        <f t="shared" si="1"/>
        <v>49.9</v>
      </c>
      <c r="I47" s="22">
        <v>0</v>
      </c>
      <c r="J47" s="23">
        <f t="shared" si="2"/>
        <v>49.9</v>
      </c>
    </row>
    <row r="48" spans="2:10" ht="16.8" customHeight="1" x14ac:dyDescent="0.35">
      <c r="B48" s="6" t="s">
        <v>628</v>
      </c>
      <c r="C48" s="24" t="s">
        <v>629</v>
      </c>
      <c r="D48" s="11">
        <v>3</v>
      </c>
      <c r="E48" s="11">
        <f>IF(ISBLANK(C48),"",SUMIF('SAÍDA DE VENDAS'!$G$6:$G$500, C48, 'SAÍDA DE VENDAS'!$H$6:$H$500))</f>
        <v>0</v>
      </c>
      <c r="F48" s="16">
        <f t="shared" si="0"/>
        <v>3</v>
      </c>
      <c r="G48" s="17">
        <v>59.9</v>
      </c>
      <c r="H48" s="17">
        <f t="shared" si="1"/>
        <v>179.7</v>
      </c>
      <c r="I48" s="22">
        <v>0</v>
      </c>
      <c r="J48" s="19">
        <f t="shared" si="2"/>
        <v>59.9</v>
      </c>
    </row>
    <row r="49" spans="2:10" ht="16.8" customHeight="1" x14ac:dyDescent="0.35">
      <c r="B49" s="6" t="s">
        <v>630</v>
      </c>
      <c r="C49" s="24" t="s">
        <v>631</v>
      </c>
      <c r="D49" s="12">
        <v>1</v>
      </c>
      <c r="E49" s="12">
        <f>IF(ISBLANK(C49),"",SUMIF('SAÍDA DE VENDAS'!$G$6:$G$500, C49, 'SAÍDA DE VENDAS'!$H$6:$H$500))</f>
        <v>0</v>
      </c>
      <c r="F49" s="20">
        <f t="shared" si="0"/>
        <v>1</v>
      </c>
      <c r="G49" s="21">
        <v>39.9</v>
      </c>
      <c r="H49" s="21">
        <f t="shared" si="1"/>
        <v>39.9</v>
      </c>
      <c r="I49" s="22">
        <v>0</v>
      </c>
      <c r="J49" s="23">
        <f t="shared" si="2"/>
        <v>39.9</v>
      </c>
    </row>
    <row r="50" spans="2:10" ht="16.8" customHeight="1" x14ac:dyDescent="0.35">
      <c r="B50" s="6" t="s">
        <v>632</v>
      </c>
      <c r="C50" s="25" t="s">
        <v>633</v>
      </c>
      <c r="D50" s="11">
        <v>3</v>
      </c>
      <c r="E50" s="11">
        <f>IF(ISBLANK(C50),"",SUMIF('SAÍDA DE VENDAS'!$G$6:$G$500, C50, 'SAÍDA DE VENDAS'!$H$6:$H$500))</f>
        <v>1</v>
      </c>
      <c r="F50" s="16">
        <f t="shared" si="0"/>
        <v>2</v>
      </c>
      <c r="G50" s="17">
        <v>49.9</v>
      </c>
      <c r="H50" s="17">
        <f t="shared" si="1"/>
        <v>99.8</v>
      </c>
      <c r="I50" s="22">
        <v>0</v>
      </c>
      <c r="J50" s="19">
        <f t="shared" si="2"/>
        <v>49.9</v>
      </c>
    </row>
    <row r="51" spans="2:10" ht="16.8" customHeight="1" x14ac:dyDescent="0.35">
      <c r="B51" s="6" t="s">
        <v>634</v>
      </c>
      <c r="C51" s="24" t="s">
        <v>635</v>
      </c>
      <c r="D51" s="12">
        <v>2</v>
      </c>
      <c r="E51" s="12">
        <f>IF(ISBLANK(C51),"",SUMIF('SAÍDA DE VENDAS'!$G$6:$G$500, C51, 'SAÍDA DE VENDAS'!$H$6:$H$500))</f>
        <v>0</v>
      </c>
      <c r="F51" s="20">
        <f t="shared" si="0"/>
        <v>2</v>
      </c>
      <c r="G51" s="21">
        <v>69.900000000000006</v>
      </c>
      <c r="H51" s="21">
        <f t="shared" si="1"/>
        <v>139.80000000000001</v>
      </c>
      <c r="I51" s="22">
        <v>0</v>
      </c>
      <c r="J51" s="23">
        <f t="shared" si="2"/>
        <v>69.900000000000006</v>
      </c>
    </row>
    <row r="52" spans="2:10" ht="16.8" customHeight="1" x14ac:dyDescent="0.35">
      <c r="B52" s="6" t="s">
        <v>636</v>
      </c>
      <c r="C52" s="25" t="s">
        <v>637</v>
      </c>
      <c r="D52" s="11">
        <v>2</v>
      </c>
      <c r="E52" s="11">
        <f>IF(ISBLANK(C52),"",SUMIF('SAÍDA DE VENDAS'!$G$6:$G$500, C52, 'SAÍDA DE VENDAS'!$H$6:$H$500))</f>
        <v>1</v>
      </c>
      <c r="F52" s="16">
        <f t="shared" si="0"/>
        <v>1</v>
      </c>
      <c r="G52" s="17">
        <v>89.9</v>
      </c>
      <c r="H52" s="17">
        <f t="shared" si="1"/>
        <v>89.9</v>
      </c>
      <c r="I52" s="22">
        <v>0</v>
      </c>
      <c r="J52" s="19">
        <f t="shared" si="2"/>
        <v>89.9</v>
      </c>
    </row>
    <row r="53" spans="2:10" ht="16.8" customHeight="1" x14ac:dyDescent="0.35">
      <c r="B53" s="6" t="s">
        <v>638</v>
      </c>
      <c r="C53" s="24" t="s">
        <v>639</v>
      </c>
      <c r="D53" s="12">
        <v>17</v>
      </c>
      <c r="E53" s="12">
        <f>IF(ISBLANK(C53),"",SUMIF('SAÍDA DE VENDAS'!$G$6:$G$500, C53, 'SAÍDA DE VENDAS'!$H$6:$H$500))</f>
        <v>0</v>
      </c>
      <c r="F53" s="20">
        <f t="shared" si="0"/>
        <v>17</v>
      </c>
      <c r="G53" s="21">
        <v>39.9</v>
      </c>
      <c r="H53" s="21">
        <f t="shared" si="1"/>
        <v>678.3</v>
      </c>
      <c r="I53" s="22">
        <v>0</v>
      </c>
      <c r="J53" s="23">
        <f t="shared" si="2"/>
        <v>39.9</v>
      </c>
    </row>
    <row r="54" spans="2:10" ht="16.8" customHeight="1" x14ac:dyDescent="0.35">
      <c r="B54" s="6" t="s">
        <v>640</v>
      </c>
      <c r="C54" s="25" t="s">
        <v>641</v>
      </c>
      <c r="D54" s="11">
        <v>2</v>
      </c>
      <c r="E54" s="11">
        <f>IF(ISBLANK(C54),"",SUMIF('SAÍDA DE VENDAS'!$G$6:$G$500, C54, 'SAÍDA DE VENDAS'!$H$6:$H$500))</f>
        <v>0</v>
      </c>
      <c r="F54" s="16">
        <f t="shared" si="0"/>
        <v>2</v>
      </c>
      <c r="G54" s="17">
        <v>39.9</v>
      </c>
      <c r="H54" s="17">
        <f t="shared" si="1"/>
        <v>79.8</v>
      </c>
      <c r="I54" s="22">
        <v>0</v>
      </c>
      <c r="J54" s="19">
        <f t="shared" si="2"/>
        <v>39.9</v>
      </c>
    </row>
    <row r="55" spans="2:10" ht="16.8" customHeight="1" x14ac:dyDescent="0.35">
      <c r="B55" s="6" t="s">
        <v>642</v>
      </c>
      <c r="C55" s="24" t="s">
        <v>641</v>
      </c>
      <c r="D55" s="12">
        <v>1</v>
      </c>
      <c r="E55" s="12">
        <f>IF(ISBLANK(C55),"",SUMIF('SAÍDA DE VENDAS'!$G$6:$G$500, C55, 'SAÍDA DE VENDAS'!$H$6:$H$500))</f>
        <v>0</v>
      </c>
      <c r="F55" s="20">
        <f t="shared" si="0"/>
        <v>1</v>
      </c>
      <c r="G55" s="21">
        <v>59.9</v>
      </c>
      <c r="H55" s="21">
        <f t="shared" si="1"/>
        <v>59.9</v>
      </c>
      <c r="I55" s="22">
        <v>0</v>
      </c>
      <c r="J55" s="23">
        <f t="shared" si="2"/>
        <v>59.9</v>
      </c>
    </row>
    <row r="56" spans="2:10" ht="16.8" customHeight="1" x14ac:dyDescent="0.35">
      <c r="B56" s="6" t="s">
        <v>643</v>
      </c>
      <c r="C56" s="25" t="s">
        <v>641</v>
      </c>
      <c r="D56" s="11">
        <v>1</v>
      </c>
      <c r="E56" s="11">
        <f>IF(ISBLANK(C56),"",SUMIF('SAÍDA DE VENDAS'!$G$6:$G$500, C56, 'SAÍDA DE VENDAS'!$H$6:$H$500))</f>
        <v>0</v>
      </c>
      <c r="F56" s="16">
        <f t="shared" si="0"/>
        <v>1</v>
      </c>
      <c r="G56" s="17">
        <v>55.9</v>
      </c>
      <c r="H56" s="17">
        <f t="shared" si="1"/>
        <v>55.9</v>
      </c>
      <c r="I56" s="22">
        <v>0</v>
      </c>
      <c r="J56" s="19">
        <f t="shared" si="2"/>
        <v>55.9</v>
      </c>
    </row>
    <row r="57" spans="2:10" ht="16.8" customHeight="1" x14ac:dyDescent="0.35">
      <c r="B57" s="6" t="s">
        <v>644</v>
      </c>
      <c r="C57" s="24" t="s">
        <v>645</v>
      </c>
      <c r="D57" s="12">
        <v>4</v>
      </c>
      <c r="E57" s="12">
        <f>IF(ISBLANK(C57),"",SUMIF('SAÍDA DE VENDAS'!$G$6:$G$500, C57, 'SAÍDA DE VENDAS'!$H$6:$H$500))</f>
        <v>0</v>
      </c>
      <c r="F57" s="20">
        <f t="shared" si="0"/>
        <v>4</v>
      </c>
      <c r="G57" s="21">
        <v>16.899999999999999</v>
      </c>
      <c r="H57" s="21">
        <f t="shared" si="1"/>
        <v>67.599999999999994</v>
      </c>
      <c r="I57" s="22">
        <v>0</v>
      </c>
      <c r="J57" s="23">
        <f t="shared" si="2"/>
        <v>16.899999999999999</v>
      </c>
    </row>
    <row r="58" spans="2:10" ht="16.8" customHeight="1" x14ac:dyDescent="0.35">
      <c r="B58" s="6" t="s">
        <v>646</v>
      </c>
      <c r="C58" s="25" t="s">
        <v>647</v>
      </c>
      <c r="D58" s="11">
        <v>10</v>
      </c>
      <c r="E58" s="11">
        <f>IF(ISBLANK(C58),"",SUMIF('SAÍDA DE VENDAS'!$G$6:$G$500, C58, 'SAÍDA DE VENDAS'!$H$6:$H$500))</f>
        <v>0</v>
      </c>
      <c r="F58" s="16">
        <f t="shared" si="0"/>
        <v>10</v>
      </c>
      <c r="G58" s="17">
        <v>49.9</v>
      </c>
      <c r="H58" s="17">
        <f t="shared" si="1"/>
        <v>499</v>
      </c>
      <c r="I58" s="22">
        <v>0</v>
      </c>
      <c r="J58" s="19">
        <f t="shared" si="2"/>
        <v>49.9</v>
      </c>
    </row>
    <row r="59" spans="2:10" ht="16.8" customHeight="1" x14ac:dyDescent="0.35">
      <c r="B59" s="6" t="s">
        <v>648</v>
      </c>
      <c r="C59" s="24" t="s">
        <v>649</v>
      </c>
      <c r="D59" s="12">
        <v>1</v>
      </c>
      <c r="E59" s="12">
        <f>IF(ISBLANK(C59),"",SUMIF('SAÍDA DE VENDAS'!$G$6:$G$500, C59, 'SAÍDA DE VENDAS'!$H$6:$H$500))</f>
        <v>0</v>
      </c>
      <c r="F59" s="20">
        <f t="shared" si="0"/>
        <v>1</v>
      </c>
      <c r="G59" s="21">
        <v>99.9</v>
      </c>
      <c r="H59" s="21">
        <f t="shared" si="1"/>
        <v>99.9</v>
      </c>
      <c r="I59" s="22">
        <v>0</v>
      </c>
      <c r="J59" s="23">
        <f t="shared" si="2"/>
        <v>99.9</v>
      </c>
    </row>
    <row r="60" spans="2:10" ht="16.8" customHeight="1" x14ac:dyDescent="0.35">
      <c r="B60" s="6" t="s">
        <v>650</v>
      </c>
      <c r="C60" s="25" t="s">
        <v>651</v>
      </c>
      <c r="D60" s="11">
        <v>1</v>
      </c>
      <c r="E60" s="11">
        <f>IF(ISBLANK(C60),"",SUMIF('SAÍDA DE VENDAS'!$G$6:$G$500, C60, 'SAÍDA DE VENDAS'!$H$6:$H$500))</f>
        <v>0</v>
      </c>
      <c r="F60" s="16">
        <f t="shared" si="0"/>
        <v>1</v>
      </c>
      <c r="G60" s="17">
        <v>59.9</v>
      </c>
      <c r="H60" s="17">
        <f t="shared" si="1"/>
        <v>59.9</v>
      </c>
      <c r="I60" s="22">
        <v>0</v>
      </c>
      <c r="J60" s="19">
        <f t="shared" si="2"/>
        <v>59.9</v>
      </c>
    </row>
    <row r="61" spans="2:10" ht="16.8" customHeight="1" x14ac:dyDescent="0.35">
      <c r="B61" s="6" t="s">
        <v>652</v>
      </c>
      <c r="C61" s="24" t="s">
        <v>653</v>
      </c>
      <c r="D61" s="12">
        <v>1</v>
      </c>
      <c r="E61" s="12">
        <f>IF(ISBLANK(C61),"",SUMIF('SAÍDA DE VENDAS'!$G$6:$G$500, C61, 'SAÍDA DE VENDAS'!$H$6:$H$500))</f>
        <v>0</v>
      </c>
      <c r="F61" s="20">
        <f t="shared" si="0"/>
        <v>1</v>
      </c>
      <c r="G61" s="21">
        <v>129.9</v>
      </c>
      <c r="H61" s="21">
        <f t="shared" si="1"/>
        <v>129.9</v>
      </c>
      <c r="I61" s="22">
        <v>0</v>
      </c>
      <c r="J61" s="23">
        <f t="shared" si="2"/>
        <v>129.9</v>
      </c>
    </row>
    <row r="62" spans="2:10" ht="16.8" customHeight="1" x14ac:dyDescent="0.35">
      <c r="B62" s="6" t="s">
        <v>654</v>
      </c>
      <c r="C62" s="25" t="s">
        <v>655</v>
      </c>
      <c r="D62" s="11">
        <v>2</v>
      </c>
      <c r="E62" s="11">
        <f>IF(ISBLANK(C62),"",SUMIF('SAÍDA DE VENDAS'!$G$6:$G$500, C62, 'SAÍDA DE VENDAS'!$H$6:$H$500))</f>
        <v>0</v>
      </c>
      <c r="F62" s="16">
        <f t="shared" si="0"/>
        <v>2</v>
      </c>
      <c r="G62" s="17">
        <v>179.9</v>
      </c>
      <c r="H62" s="17">
        <f t="shared" si="1"/>
        <v>359.8</v>
      </c>
      <c r="I62" s="22">
        <v>0</v>
      </c>
      <c r="J62" s="19">
        <f t="shared" si="2"/>
        <v>179.9</v>
      </c>
    </row>
    <row r="63" spans="2:10" ht="16.8" customHeight="1" x14ac:dyDescent="0.35">
      <c r="B63" s="6" t="s">
        <v>656</v>
      </c>
      <c r="C63" s="24" t="s">
        <v>657</v>
      </c>
      <c r="D63" s="12">
        <v>6</v>
      </c>
      <c r="E63" s="12">
        <f>IF(ISBLANK(C63),"",SUMIF('SAÍDA DE VENDAS'!$G$6:$G$500, C63, 'SAÍDA DE VENDAS'!$H$6:$H$500))</f>
        <v>0</v>
      </c>
      <c r="F63" s="20">
        <f t="shared" si="0"/>
        <v>6</v>
      </c>
      <c r="G63" s="21">
        <v>59.9</v>
      </c>
      <c r="H63" s="21">
        <f t="shared" si="1"/>
        <v>359.4</v>
      </c>
      <c r="I63" s="22">
        <v>0</v>
      </c>
      <c r="J63" s="23">
        <f t="shared" si="2"/>
        <v>59.9</v>
      </c>
    </row>
    <row r="64" spans="2:10" ht="16.8" customHeight="1" x14ac:dyDescent="0.35">
      <c r="B64" s="6" t="s">
        <v>658</v>
      </c>
      <c r="C64" s="25" t="s">
        <v>659</v>
      </c>
      <c r="D64" s="11">
        <f>9+8</f>
        <v>17</v>
      </c>
      <c r="E64" s="11">
        <f>IF(ISBLANK(C64),"",SUMIF('SAÍDA DE VENDAS'!$G$6:$G$500, C64, 'SAÍDA DE VENDAS'!$H$6:$H$500))</f>
        <v>0</v>
      </c>
      <c r="F64" s="16">
        <f t="shared" si="0"/>
        <v>17</v>
      </c>
      <c r="G64" s="17">
        <v>25</v>
      </c>
      <c r="H64" s="17">
        <f t="shared" si="1"/>
        <v>425</v>
      </c>
      <c r="I64" s="22">
        <v>0</v>
      </c>
      <c r="J64" s="19">
        <f t="shared" si="2"/>
        <v>25</v>
      </c>
    </row>
    <row r="65" spans="2:10" ht="16.8" customHeight="1" x14ac:dyDescent="0.35">
      <c r="B65" s="6" t="s">
        <v>660</v>
      </c>
      <c r="C65" s="24" t="s">
        <v>661</v>
      </c>
      <c r="D65" s="12">
        <v>1</v>
      </c>
      <c r="E65" s="12">
        <f>IF(ISBLANK(C65),"",SUMIF('SAÍDA DE VENDAS'!$G$6:$G$500, C65, 'SAÍDA DE VENDAS'!$H$6:$H$500))</f>
        <v>0</v>
      </c>
      <c r="F65" s="20">
        <f t="shared" si="0"/>
        <v>1</v>
      </c>
      <c r="G65" s="21">
        <v>589.9</v>
      </c>
      <c r="H65" s="21">
        <f t="shared" si="1"/>
        <v>589.9</v>
      </c>
      <c r="I65" s="22">
        <v>0</v>
      </c>
      <c r="J65" s="23">
        <f t="shared" si="2"/>
        <v>589.9</v>
      </c>
    </row>
    <row r="66" spans="2:10" ht="16.8" customHeight="1" x14ac:dyDescent="0.35">
      <c r="B66" s="6" t="s">
        <v>662</v>
      </c>
      <c r="C66" s="25" t="s">
        <v>663</v>
      </c>
      <c r="D66" s="11">
        <v>9</v>
      </c>
      <c r="E66" s="11">
        <f>IF(ISBLANK(C66),"",SUMIF('SAÍDA DE VENDAS'!$G$6:$G$500, C66, 'SAÍDA DE VENDAS'!$H$6:$H$500))</f>
        <v>0</v>
      </c>
      <c r="F66" s="16">
        <f t="shared" si="0"/>
        <v>9</v>
      </c>
      <c r="G66" s="17">
        <v>209.9</v>
      </c>
      <c r="H66" s="17">
        <f t="shared" si="1"/>
        <v>1889.1000000000001</v>
      </c>
      <c r="I66" s="22">
        <v>0</v>
      </c>
      <c r="J66" s="19">
        <f t="shared" si="2"/>
        <v>209.9</v>
      </c>
    </row>
    <row r="67" spans="2:10" ht="16.8" customHeight="1" x14ac:dyDescent="0.35">
      <c r="B67" s="6" t="s">
        <v>664</v>
      </c>
      <c r="C67" s="24" t="s">
        <v>665</v>
      </c>
      <c r="D67" s="12">
        <v>2</v>
      </c>
      <c r="E67" s="12">
        <f>IF(ISBLANK(C67),"",SUMIF('SAÍDA DE VENDAS'!$G$6:$G$500, C67, 'SAÍDA DE VENDAS'!$H$6:$H$500))</f>
        <v>0</v>
      </c>
      <c r="F67" s="20">
        <f t="shared" si="0"/>
        <v>2</v>
      </c>
      <c r="G67" s="21">
        <v>259.89999999999998</v>
      </c>
      <c r="H67" s="21">
        <f t="shared" si="1"/>
        <v>519.79999999999995</v>
      </c>
      <c r="I67" s="22">
        <v>0</v>
      </c>
      <c r="J67" s="23">
        <f t="shared" si="2"/>
        <v>259.89999999999998</v>
      </c>
    </row>
    <row r="68" spans="2:10" ht="16.8" customHeight="1" x14ac:dyDescent="0.35">
      <c r="B68" s="6" t="s">
        <v>666</v>
      </c>
      <c r="C68" s="25" t="s">
        <v>667</v>
      </c>
      <c r="D68" s="11">
        <v>1</v>
      </c>
      <c r="E68" s="11">
        <f>IF(ISBLANK(C68),"",SUMIF('SAÍDA DE VENDAS'!$G$6:$G$500, C68, 'SAÍDA DE VENDAS'!$H$6:$H$500))</f>
        <v>0</v>
      </c>
      <c r="F68" s="16">
        <f t="shared" si="0"/>
        <v>1</v>
      </c>
      <c r="G68" s="17">
        <v>239.9</v>
      </c>
      <c r="H68" s="17">
        <f t="shared" si="1"/>
        <v>239.9</v>
      </c>
      <c r="I68" s="22">
        <v>0</v>
      </c>
      <c r="J68" s="19">
        <f t="shared" si="2"/>
        <v>239.9</v>
      </c>
    </row>
    <row r="69" spans="2:10" ht="16.8" customHeight="1" x14ac:dyDescent="0.35">
      <c r="B69" s="6" t="s">
        <v>668</v>
      </c>
      <c r="C69" s="24" t="s">
        <v>669</v>
      </c>
      <c r="D69" s="12">
        <v>1</v>
      </c>
      <c r="E69" s="12">
        <f>IF(ISBLANK(C69),"",SUMIF('SAÍDA DE VENDAS'!$G$6:$G$500, C69, 'SAÍDA DE VENDAS'!$H$6:$H$500))</f>
        <v>0</v>
      </c>
      <c r="F69" s="20">
        <f t="shared" si="0"/>
        <v>1</v>
      </c>
      <c r="G69" s="21">
        <v>299.89999999999998</v>
      </c>
      <c r="H69" s="21">
        <f t="shared" si="1"/>
        <v>299.89999999999998</v>
      </c>
      <c r="I69" s="22">
        <v>0</v>
      </c>
      <c r="J69" s="23">
        <f t="shared" si="2"/>
        <v>299.89999999999998</v>
      </c>
    </row>
    <row r="70" spans="2:10" ht="16.8" customHeight="1" x14ac:dyDescent="0.35">
      <c r="B70" s="6" t="s">
        <v>670</v>
      </c>
      <c r="C70" s="25" t="s">
        <v>671</v>
      </c>
      <c r="D70" s="11">
        <v>1</v>
      </c>
      <c r="E70" s="11">
        <f>IF(ISBLANK(C70),"",SUMIF('SAÍDA DE VENDAS'!$G$6:$G$500, C70, 'SAÍDA DE VENDAS'!$H$6:$H$500))</f>
        <v>0</v>
      </c>
      <c r="F70" s="16">
        <f t="shared" ref="F70:F133" si="3">IF(ISBLANK(C70),"", D70-E70)</f>
        <v>1</v>
      </c>
      <c r="G70" s="17">
        <v>289.89999999999998</v>
      </c>
      <c r="H70" s="17">
        <f t="shared" ref="H70:H133" si="4">IF(OR(ISBLANK(F70),ISBLANK(G70)), "", F70*G70)</f>
        <v>289.89999999999998</v>
      </c>
      <c r="I70" s="22">
        <v>0</v>
      </c>
      <c r="J70" s="19">
        <f t="shared" ref="J70:J133" si="5">IF(OR(ISBLANK(G70),ISBLANK(I70)), "", G70*(1+I70))</f>
        <v>289.89999999999998</v>
      </c>
    </row>
    <row r="71" spans="2:10" ht="16.8" customHeight="1" x14ac:dyDescent="0.35">
      <c r="B71" s="6" t="s">
        <v>672</v>
      </c>
      <c r="C71" s="24" t="s">
        <v>673</v>
      </c>
      <c r="D71" s="12">
        <v>1</v>
      </c>
      <c r="E71" s="12">
        <f>IF(ISBLANK(C71),"",SUMIF('SAÍDA DE VENDAS'!$G$6:$G$500, C71, 'SAÍDA DE VENDAS'!$H$6:$H$500))</f>
        <v>0</v>
      </c>
      <c r="F71" s="20">
        <f t="shared" si="3"/>
        <v>1</v>
      </c>
      <c r="G71" s="21">
        <v>259.89999999999998</v>
      </c>
      <c r="H71" s="21">
        <f t="shared" si="4"/>
        <v>259.89999999999998</v>
      </c>
      <c r="I71" s="22">
        <v>0</v>
      </c>
      <c r="J71" s="23">
        <f t="shared" si="5"/>
        <v>259.89999999999998</v>
      </c>
    </row>
    <row r="72" spans="2:10" ht="16.8" customHeight="1" x14ac:dyDescent="0.35">
      <c r="B72" s="6" t="s">
        <v>674</v>
      </c>
      <c r="C72" s="25" t="s">
        <v>675</v>
      </c>
      <c r="D72" s="11">
        <v>1</v>
      </c>
      <c r="E72" s="11">
        <f>IF(ISBLANK(C72),"",SUMIF('SAÍDA DE VENDAS'!$G$6:$G$500, C72, 'SAÍDA DE VENDAS'!$H$6:$H$500))</f>
        <v>0</v>
      </c>
      <c r="F72" s="16">
        <f t="shared" si="3"/>
        <v>1</v>
      </c>
      <c r="G72" s="17">
        <v>189.9</v>
      </c>
      <c r="H72" s="17">
        <f t="shared" si="4"/>
        <v>189.9</v>
      </c>
      <c r="I72" s="22">
        <v>0</v>
      </c>
      <c r="J72" s="19">
        <f t="shared" si="5"/>
        <v>189.9</v>
      </c>
    </row>
    <row r="73" spans="2:10" ht="16.8" customHeight="1" x14ac:dyDescent="0.35">
      <c r="B73" s="6" t="s">
        <v>676</v>
      </c>
      <c r="C73" s="24" t="s">
        <v>677</v>
      </c>
      <c r="D73" s="12">
        <v>2</v>
      </c>
      <c r="E73" s="12">
        <f>IF(ISBLANK(C73),"",SUMIF('SAÍDA DE VENDAS'!$G$6:$G$500, C73, 'SAÍDA DE VENDAS'!$H$6:$H$500))</f>
        <v>0</v>
      </c>
      <c r="F73" s="20">
        <f t="shared" si="3"/>
        <v>2</v>
      </c>
      <c r="G73" s="21">
        <v>329.9</v>
      </c>
      <c r="H73" s="21">
        <f t="shared" si="4"/>
        <v>659.8</v>
      </c>
      <c r="I73" s="22">
        <v>0</v>
      </c>
      <c r="J73" s="23">
        <f t="shared" si="5"/>
        <v>329.9</v>
      </c>
    </row>
    <row r="74" spans="2:10" ht="16.8" customHeight="1" x14ac:dyDescent="0.35">
      <c r="B74" s="6" t="s">
        <v>678</v>
      </c>
      <c r="C74" s="25" t="s">
        <v>679</v>
      </c>
      <c r="D74" s="11">
        <v>4</v>
      </c>
      <c r="E74" s="11">
        <f>IF(ISBLANK(C74),"",SUMIF('SAÍDA DE VENDAS'!$G$6:$G$500, C74, 'SAÍDA DE VENDAS'!$H$6:$H$500))</f>
        <v>0</v>
      </c>
      <c r="F74" s="16">
        <f t="shared" si="3"/>
        <v>4</v>
      </c>
      <c r="G74" s="17">
        <v>69.900000000000006</v>
      </c>
      <c r="H74" s="17">
        <f t="shared" si="4"/>
        <v>279.60000000000002</v>
      </c>
      <c r="I74" s="22">
        <v>0</v>
      </c>
      <c r="J74" s="19">
        <f t="shared" si="5"/>
        <v>69.900000000000006</v>
      </c>
    </row>
    <row r="75" spans="2:10" ht="16.8" customHeight="1" x14ac:dyDescent="0.35">
      <c r="B75" s="6" t="s">
        <v>680</v>
      </c>
      <c r="C75" s="24" t="s">
        <v>681</v>
      </c>
      <c r="D75" s="12">
        <v>2</v>
      </c>
      <c r="E75" s="12">
        <f>IF(ISBLANK(C75),"",SUMIF('SAÍDA DE VENDAS'!$G$6:$G$500, C75, 'SAÍDA DE VENDAS'!$H$6:$H$500))</f>
        <v>0</v>
      </c>
      <c r="F75" s="20">
        <f t="shared" si="3"/>
        <v>2</v>
      </c>
      <c r="G75" s="21">
        <v>159.9</v>
      </c>
      <c r="H75" s="21">
        <f t="shared" si="4"/>
        <v>319.8</v>
      </c>
      <c r="I75" s="22">
        <v>0</v>
      </c>
      <c r="J75" s="23">
        <f t="shared" si="5"/>
        <v>159.9</v>
      </c>
    </row>
    <row r="76" spans="2:10" ht="16.8" customHeight="1" x14ac:dyDescent="0.35">
      <c r="B76" s="6" t="s">
        <v>682</v>
      </c>
      <c r="C76" s="25" t="s">
        <v>683</v>
      </c>
      <c r="D76" s="11">
        <v>4</v>
      </c>
      <c r="E76" s="11">
        <f>IF(ISBLANK(C76),"",SUMIF('SAÍDA DE VENDAS'!$G$6:$G$500, C76, 'SAÍDA DE VENDAS'!$H$6:$H$500))</f>
        <v>0</v>
      </c>
      <c r="F76" s="16">
        <f t="shared" si="3"/>
        <v>4</v>
      </c>
      <c r="G76" s="17">
        <v>119.9</v>
      </c>
      <c r="H76" s="17">
        <f t="shared" si="4"/>
        <v>479.6</v>
      </c>
      <c r="I76" s="22">
        <v>0</v>
      </c>
      <c r="J76" s="19">
        <f t="shared" si="5"/>
        <v>119.9</v>
      </c>
    </row>
    <row r="77" spans="2:10" ht="16.8" customHeight="1" x14ac:dyDescent="0.35">
      <c r="B77" s="6" t="s">
        <v>684</v>
      </c>
      <c r="C77" s="24" t="s">
        <v>685</v>
      </c>
      <c r="D77" s="12">
        <v>1</v>
      </c>
      <c r="E77" s="12">
        <f>IF(ISBLANK(C77),"",SUMIF('SAÍDA DE VENDAS'!$G$6:$G$500, C77, 'SAÍDA DE VENDAS'!$H$6:$H$500))</f>
        <v>0</v>
      </c>
      <c r="F77" s="20">
        <f t="shared" si="3"/>
        <v>1</v>
      </c>
      <c r="G77" s="21">
        <v>169.9</v>
      </c>
      <c r="H77" s="21">
        <f t="shared" si="4"/>
        <v>169.9</v>
      </c>
      <c r="I77" s="22">
        <v>0</v>
      </c>
      <c r="J77" s="23">
        <f t="shared" si="5"/>
        <v>169.9</v>
      </c>
    </row>
    <row r="78" spans="2:10" ht="16.8" customHeight="1" x14ac:dyDescent="0.35">
      <c r="B78" s="6" t="s">
        <v>686</v>
      </c>
      <c r="C78" s="25" t="s">
        <v>687</v>
      </c>
      <c r="D78" s="11">
        <v>1</v>
      </c>
      <c r="E78" s="11">
        <f>IF(ISBLANK(C78),"",SUMIF('SAÍDA DE VENDAS'!$G$6:$G$500, C78, 'SAÍDA DE VENDAS'!$H$6:$H$500))</f>
        <v>0</v>
      </c>
      <c r="F78" s="16">
        <f t="shared" si="3"/>
        <v>1</v>
      </c>
      <c r="G78" s="17">
        <v>109.9</v>
      </c>
      <c r="H78" s="17">
        <f t="shared" si="4"/>
        <v>109.9</v>
      </c>
      <c r="I78" s="22">
        <v>0</v>
      </c>
      <c r="J78" s="19">
        <f t="shared" si="5"/>
        <v>109.9</v>
      </c>
    </row>
    <row r="79" spans="2:10" ht="16.8" customHeight="1" x14ac:dyDescent="0.35">
      <c r="B79" s="6" t="s">
        <v>688</v>
      </c>
      <c r="C79" s="24" t="s">
        <v>689</v>
      </c>
      <c r="D79" s="12">
        <v>1</v>
      </c>
      <c r="E79" s="12">
        <f>IF(ISBLANK(C79),"",SUMIF('SAÍDA DE VENDAS'!$G$6:$G$500, C79, 'SAÍDA DE VENDAS'!$H$6:$H$500))</f>
        <v>0</v>
      </c>
      <c r="F79" s="20">
        <f t="shared" si="3"/>
        <v>1</v>
      </c>
      <c r="G79" s="21">
        <v>109.9</v>
      </c>
      <c r="H79" s="21">
        <f t="shared" si="4"/>
        <v>109.9</v>
      </c>
      <c r="I79" s="22">
        <v>0</v>
      </c>
      <c r="J79" s="23">
        <f t="shared" si="5"/>
        <v>109.9</v>
      </c>
    </row>
    <row r="80" spans="2:10" ht="16.8" customHeight="1" x14ac:dyDescent="0.35">
      <c r="B80" s="6" t="s">
        <v>690</v>
      </c>
      <c r="C80" s="25" t="s">
        <v>691</v>
      </c>
      <c r="D80" s="11">
        <v>1</v>
      </c>
      <c r="E80" s="11">
        <f>IF(ISBLANK(C80),"",SUMIF('SAÍDA DE VENDAS'!$G$6:$G$500, C80, 'SAÍDA DE VENDAS'!$H$6:$H$500))</f>
        <v>0</v>
      </c>
      <c r="F80" s="16">
        <f t="shared" si="3"/>
        <v>1</v>
      </c>
      <c r="G80" s="17">
        <v>159.9</v>
      </c>
      <c r="H80" s="17">
        <f t="shared" si="4"/>
        <v>159.9</v>
      </c>
      <c r="I80" s="22">
        <v>0</v>
      </c>
      <c r="J80" s="19">
        <f t="shared" si="5"/>
        <v>159.9</v>
      </c>
    </row>
    <row r="81" spans="2:10" ht="16.8" customHeight="1" x14ac:dyDescent="0.35">
      <c r="B81" s="6" t="s">
        <v>692</v>
      </c>
      <c r="C81" s="24" t="s">
        <v>45</v>
      </c>
      <c r="D81" s="12">
        <v>1</v>
      </c>
      <c r="E81" s="12">
        <f>IF(ISBLANK(C81),"",SUMIF('SAÍDA DE VENDAS'!$G$6:$G$500, C81, 'SAÍDA DE VENDAS'!$H$6:$H$500))</f>
        <v>1</v>
      </c>
      <c r="F81" s="20">
        <f t="shared" si="3"/>
        <v>0</v>
      </c>
      <c r="G81" s="21">
        <v>159.9</v>
      </c>
      <c r="H81" s="21">
        <f t="shared" si="4"/>
        <v>0</v>
      </c>
      <c r="I81" s="22">
        <v>0</v>
      </c>
      <c r="J81" s="23">
        <f t="shared" si="5"/>
        <v>159.9</v>
      </c>
    </row>
    <row r="82" spans="2:10" ht="16.8" customHeight="1" x14ac:dyDescent="0.35">
      <c r="B82" s="6" t="s">
        <v>693</v>
      </c>
      <c r="C82" s="25" t="s">
        <v>21</v>
      </c>
      <c r="D82" s="11">
        <v>2</v>
      </c>
      <c r="E82" s="11">
        <f>IF(ISBLANK(C82),"",SUMIF('SAÍDA DE VENDAS'!$G$6:$G$500, C82, 'SAÍDA DE VENDAS'!$H$6:$H$500))</f>
        <v>1</v>
      </c>
      <c r="F82" s="16">
        <f t="shared" si="3"/>
        <v>1</v>
      </c>
      <c r="G82" s="17">
        <v>139.9</v>
      </c>
      <c r="H82" s="17">
        <f t="shared" si="4"/>
        <v>139.9</v>
      </c>
      <c r="I82" s="22">
        <v>0</v>
      </c>
      <c r="J82" s="19">
        <f t="shared" si="5"/>
        <v>139.9</v>
      </c>
    </row>
    <row r="83" spans="2:10" ht="16.8" customHeight="1" x14ac:dyDescent="0.35">
      <c r="B83" s="6" t="s">
        <v>694</v>
      </c>
      <c r="C83" s="25" t="s">
        <v>695</v>
      </c>
      <c r="D83" s="12">
        <v>2</v>
      </c>
      <c r="E83" s="12">
        <f>IF(ISBLANK(C83),"",SUMIF('SAÍDA DE VENDAS'!$G$6:$G$500, C83, 'SAÍDA DE VENDAS'!$H$6:$H$500))</f>
        <v>0</v>
      </c>
      <c r="F83" s="20">
        <f t="shared" si="3"/>
        <v>2</v>
      </c>
      <c r="G83" s="21">
        <v>139.9</v>
      </c>
      <c r="H83" s="21">
        <f t="shared" si="4"/>
        <v>279.8</v>
      </c>
      <c r="I83" s="22">
        <v>0</v>
      </c>
      <c r="J83" s="23">
        <f t="shared" si="5"/>
        <v>139.9</v>
      </c>
    </row>
    <row r="84" spans="2:10" ht="16.8" customHeight="1" x14ac:dyDescent="0.35">
      <c r="B84" s="6" t="s">
        <v>696</v>
      </c>
      <c r="C84" s="25" t="s">
        <v>697</v>
      </c>
      <c r="D84" s="11">
        <v>1</v>
      </c>
      <c r="E84" s="11">
        <f>IF(ISBLANK(C84),"",SUMIF('SAÍDA DE VENDAS'!$G$6:$G$500, C84, 'SAÍDA DE VENDAS'!$H$6:$H$500))</f>
        <v>0</v>
      </c>
      <c r="F84" s="16">
        <f t="shared" si="3"/>
        <v>1</v>
      </c>
      <c r="G84" s="17">
        <v>289.89999999999998</v>
      </c>
      <c r="H84" s="17">
        <f t="shared" si="4"/>
        <v>289.89999999999998</v>
      </c>
      <c r="I84" s="22">
        <v>0</v>
      </c>
      <c r="J84" s="19">
        <f t="shared" si="5"/>
        <v>289.89999999999998</v>
      </c>
    </row>
    <row r="85" spans="2:10" ht="16.8" customHeight="1" x14ac:dyDescent="0.35">
      <c r="B85" s="6" t="s">
        <v>698</v>
      </c>
      <c r="C85" s="24" t="s">
        <v>699</v>
      </c>
      <c r="D85" s="12">
        <v>3</v>
      </c>
      <c r="E85" s="12">
        <f>IF(ISBLANK(C85),"",SUMIF('SAÍDA DE VENDAS'!$G$6:$G$500, C85, 'SAÍDA DE VENDAS'!$H$6:$H$500))</f>
        <v>0</v>
      </c>
      <c r="F85" s="20">
        <f t="shared" si="3"/>
        <v>3</v>
      </c>
      <c r="G85" s="21">
        <v>159.9</v>
      </c>
      <c r="H85" s="21">
        <f t="shared" si="4"/>
        <v>479.70000000000005</v>
      </c>
      <c r="I85" s="22">
        <v>0</v>
      </c>
      <c r="J85" s="23">
        <f t="shared" si="5"/>
        <v>159.9</v>
      </c>
    </row>
    <row r="86" spans="2:10" ht="16.8" customHeight="1" x14ac:dyDescent="0.35">
      <c r="B86" s="6" t="s">
        <v>700</v>
      </c>
      <c r="C86" s="25" t="s">
        <v>701</v>
      </c>
      <c r="D86" s="11">
        <v>1</v>
      </c>
      <c r="E86" s="11">
        <f>IF(ISBLANK(C86),"",SUMIF('SAÍDA DE VENDAS'!$G$6:$G$500, C86, 'SAÍDA DE VENDAS'!$H$6:$H$500))</f>
        <v>0</v>
      </c>
      <c r="F86" s="16">
        <f t="shared" si="3"/>
        <v>1</v>
      </c>
      <c r="G86" s="17">
        <v>319.89999999999998</v>
      </c>
      <c r="H86" s="17">
        <f t="shared" si="4"/>
        <v>319.89999999999998</v>
      </c>
      <c r="I86" s="22">
        <v>0</v>
      </c>
      <c r="J86" s="19">
        <f t="shared" si="5"/>
        <v>319.89999999999998</v>
      </c>
    </row>
    <row r="87" spans="2:10" ht="16.8" customHeight="1" x14ac:dyDescent="0.35">
      <c r="B87" s="6" t="s">
        <v>702</v>
      </c>
      <c r="C87" s="24" t="s">
        <v>703</v>
      </c>
      <c r="D87" s="12">
        <v>17</v>
      </c>
      <c r="E87" s="12">
        <f>IF(ISBLANK(C87),"",SUMIF('SAÍDA DE VENDAS'!$G$6:$G$500, C87, 'SAÍDA DE VENDAS'!$H$6:$H$500))</f>
        <v>0</v>
      </c>
      <c r="F87" s="20">
        <f t="shared" si="3"/>
        <v>17</v>
      </c>
      <c r="G87" s="21">
        <v>129.9</v>
      </c>
      <c r="H87" s="21">
        <f t="shared" si="4"/>
        <v>2208.3000000000002</v>
      </c>
      <c r="I87" s="22">
        <v>0</v>
      </c>
      <c r="J87" s="23">
        <f t="shared" si="5"/>
        <v>129.9</v>
      </c>
    </row>
    <row r="88" spans="2:10" ht="16.8" customHeight="1" x14ac:dyDescent="0.35">
      <c r="B88" s="6" t="s">
        <v>704</v>
      </c>
      <c r="C88" s="25" t="s">
        <v>705</v>
      </c>
      <c r="D88" s="11">
        <v>2</v>
      </c>
      <c r="E88" s="11">
        <f>IF(ISBLANK(C88),"",SUMIF('SAÍDA DE VENDAS'!$G$6:$G$500, C88, 'SAÍDA DE VENDAS'!$H$6:$H$500))</f>
        <v>0</v>
      </c>
      <c r="F88" s="16">
        <f t="shared" si="3"/>
        <v>2</v>
      </c>
      <c r="G88" s="17">
        <v>109.9</v>
      </c>
      <c r="H88" s="17">
        <f t="shared" si="4"/>
        <v>219.8</v>
      </c>
      <c r="I88" s="22">
        <v>0</v>
      </c>
      <c r="J88" s="19">
        <f t="shared" si="5"/>
        <v>109.9</v>
      </c>
    </row>
    <row r="89" spans="2:10" ht="16.8" customHeight="1" x14ac:dyDescent="0.35">
      <c r="B89" s="6" t="s">
        <v>706</v>
      </c>
      <c r="C89" s="24" t="s">
        <v>707</v>
      </c>
      <c r="D89" s="12">
        <v>3</v>
      </c>
      <c r="E89" s="12">
        <f>IF(ISBLANK(C89),"",SUMIF('SAÍDA DE VENDAS'!$G$6:$G$500, C89, 'SAÍDA DE VENDAS'!$H$6:$H$500))</f>
        <v>0</v>
      </c>
      <c r="F89" s="20">
        <f t="shared" si="3"/>
        <v>3</v>
      </c>
      <c r="G89" s="21">
        <v>89.9</v>
      </c>
      <c r="H89" s="21">
        <f t="shared" si="4"/>
        <v>269.70000000000005</v>
      </c>
      <c r="I89" s="22">
        <v>0</v>
      </c>
      <c r="J89" s="23">
        <f t="shared" si="5"/>
        <v>89.9</v>
      </c>
    </row>
    <row r="90" spans="2:10" ht="16.8" customHeight="1" x14ac:dyDescent="0.35">
      <c r="B90" s="6" t="s">
        <v>708</v>
      </c>
      <c r="C90" s="25" t="s">
        <v>709</v>
      </c>
      <c r="D90" s="11">
        <v>1</v>
      </c>
      <c r="E90" s="11">
        <f>IF(ISBLANK(C90),"",SUMIF('SAÍDA DE VENDAS'!$G$6:$G$500, C90, 'SAÍDA DE VENDAS'!$H$6:$H$500))</f>
        <v>0</v>
      </c>
      <c r="F90" s="16">
        <f t="shared" si="3"/>
        <v>1</v>
      </c>
      <c r="G90" s="17">
        <v>79.900000000000006</v>
      </c>
      <c r="H90" s="17">
        <f t="shared" si="4"/>
        <v>79.900000000000006</v>
      </c>
      <c r="I90" s="22">
        <v>0</v>
      </c>
      <c r="J90" s="19">
        <f t="shared" si="5"/>
        <v>79.900000000000006</v>
      </c>
    </row>
    <row r="91" spans="2:10" ht="16.8" customHeight="1" x14ac:dyDescent="0.35">
      <c r="B91" s="6" t="s">
        <v>710</v>
      </c>
      <c r="C91" s="24" t="s">
        <v>711</v>
      </c>
      <c r="D91" s="12">
        <v>1</v>
      </c>
      <c r="E91" s="12">
        <f>IF(ISBLANK(C91),"",SUMIF('SAÍDA DE VENDAS'!$G$6:$G$500, C91, 'SAÍDA DE VENDAS'!$H$6:$H$500))</f>
        <v>0</v>
      </c>
      <c r="F91" s="20">
        <f t="shared" si="3"/>
        <v>1</v>
      </c>
      <c r="G91" s="21">
        <v>129.9</v>
      </c>
      <c r="H91" s="21">
        <f t="shared" si="4"/>
        <v>129.9</v>
      </c>
      <c r="I91" s="22">
        <v>0</v>
      </c>
      <c r="J91" s="23">
        <f t="shared" si="5"/>
        <v>129.9</v>
      </c>
    </row>
    <row r="92" spans="2:10" ht="16.8" customHeight="1" x14ac:dyDescent="0.35">
      <c r="B92" s="6" t="s">
        <v>712</v>
      </c>
      <c r="C92" s="25" t="s">
        <v>713</v>
      </c>
      <c r="D92" s="11">
        <v>1</v>
      </c>
      <c r="E92" s="11">
        <f>IF(ISBLANK(C92),"",SUMIF('SAÍDA DE VENDAS'!$G$6:$G$500, C92, 'SAÍDA DE VENDAS'!$H$6:$H$500))</f>
        <v>0</v>
      </c>
      <c r="F92" s="16">
        <f t="shared" si="3"/>
        <v>1</v>
      </c>
      <c r="G92" s="17">
        <v>129.9</v>
      </c>
      <c r="H92" s="17">
        <f t="shared" si="4"/>
        <v>129.9</v>
      </c>
      <c r="I92" s="22">
        <v>0</v>
      </c>
      <c r="J92" s="19">
        <f t="shared" si="5"/>
        <v>129.9</v>
      </c>
    </row>
    <row r="93" spans="2:10" ht="16.8" customHeight="1" x14ac:dyDescent="0.35">
      <c r="B93" s="6" t="s">
        <v>714</v>
      </c>
      <c r="C93" s="24" t="s">
        <v>715</v>
      </c>
      <c r="D93" s="12">
        <v>1</v>
      </c>
      <c r="E93" s="12">
        <f>IF(ISBLANK(C93),"",SUMIF('SAÍDA DE VENDAS'!$G$6:$G$500, C93, 'SAÍDA DE VENDAS'!$H$6:$H$500))</f>
        <v>0</v>
      </c>
      <c r="F93" s="20">
        <f t="shared" si="3"/>
        <v>1</v>
      </c>
      <c r="G93" s="21">
        <v>109.9</v>
      </c>
      <c r="H93" s="21">
        <f t="shared" si="4"/>
        <v>109.9</v>
      </c>
      <c r="I93" s="22">
        <v>0</v>
      </c>
      <c r="J93" s="23">
        <f t="shared" si="5"/>
        <v>109.9</v>
      </c>
    </row>
    <row r="94" spans="2:10" ht="16.8" customHeight="1" x14ac:dyDescent="0.35">
      <c r="B94" s="6" t="s">
        <v>716</v>
      </c>
      <c r="C94" s="25" t="s">
        <v>717</v>
      </c>
      <c r="D94" s="11">
        <v>1</v>
      </c>
      <c r="E94" s="11">
        <f>IF(ISBLANK(C94),"",SUMIF('SAÍDA DE VENDAS'!$G$6:$G$500, C94, 'SAÍDA DE VENDAS'!$H$6:$H$500))</f>
        <v>0</v>
      </c>
      <c r="F94" s="16">
        <f t="shared" si="3"/>
        <v>1</v>
      </c>
      <c r="G94" s="17">
        <v>139.9</v>
      </c>
      <c r="H94" s="17">
        <f t="shared" si="4"/>
        <v>139.9</v>
      </c>
      <c r="I94" s="22">
        <v>0</v>
      </c>
      <c r="J94" s="19">
        <f t="shared" si="5"/>
        <v>139.9</v>
      </c>
    </row>
    <row r="95" spans="2:10" ht="16.8" customHeight="1" x14ac:dyDescent="0.35">
      <c r="B95" s="6" t="s">
        <v>718</v>
      </c>
      <c r="C95" s="24" t="s">
        <v>719</v>
      </c>
      <c r="D95" s="12">
        <v>3</v>
      </c>
      <c r="E95" s="12">
        <f>IF(ISBLANK(C95),"",SUMIF('SAÍDA DE VENDAS'!$G$6:$G$500, C95, 'SAÍDA DE VENDAS'!$H$6:$H$500))</f>
        <v>0</v>
      </c>
      <c r="F95" s="20">
        <f t="shared" si="3"/>
        <v>3</v>
      </c>
      <c r="G95" s="21">
        <v>249.9</v>
      </c>
      <c r="H95" s="21">
        <f t="shared" si="4"/>
        <v>749.7</v>
      </c>
      <c r="I95" s="22">
        <v>0</v>
      </c>
      <c r="J95" s="23">
        <f t="shared" si="5"/>
        <v>249.9</v>
      </c>
    </row>
    <row r="96" spans="2:10" ht="16.8" customHeight="1" x14ac:dyDescent="0.35">
      <c r="B96" s="6" t="s">
        <v>720</v>
      </c>
      <c r="C96" s="25" t="s">
        <v>721</v>
      </c>
      <c r="D96" s="11">
        <v>1</v>
      </c>
      <c r="E96" s="11">
        <f>IF(ISBLANK(C96),"",SUMIF('SAÍDA DE VENDAS'!$G$6:$G$500, C96, 'SAÍDA DE VENDAS'!$H$6:$H$500))</f>
        <v>0</v>
      </c>
      <c r="F96" s="16">
        <f t="shared" si="3"/>
        <v>1</v>
      </c>
      <c r="G96" s="17">
        <v>129.9</v>
      </c>
      <c r="H96" s="17">
        <f t="shared" si="4"/>
        <v>129.9</v>
      </c>
      <c r="I96" s="22">
        <v>0</v>
      </c>
      <c r="J96" s="19">
        <f t="shared" si="5"/>
        <v>129.9</v>
      </c>
    </row>
    <row r="97" spans="2:10" ht="16.8" customHeight="1" x14ac:dyDescent="0.35">
      <c r="B97" s="6" t="s">
        <v>722</v>
      </c>
      <c r="C97" s="24" t="s">
        <v>723</v>
      </c>
      <c r="D97" s="12">
        <v>1</v>
      </c>
      <c r="E97" s="12">
        <f>IF(ISBLANK(C97),"",SUMIF('SAÍDA DE VENDAS'!$G$6:$G$500, C97, 'SAÍDA DE VENDAS'!$H$6:$H$500))</f>
        <v>0</v>
      </c>
      <c r="F97" s="20">
        <f t="shared" si="3"/>
        <v>1</v>
      </c>
      <c r="G97" s="21">
        <v>139.9</v>
      </c>
      <c r="H97" s="21">
        <f t="shared" si="4"/>
        <v>139.9</v>
      </c>
      <c r="I97" s="22">
        <v>0</v>
      </c>
      <c r="J97" s="23">
        <f t="shared" si="5"/>
        <v>139.9</v>
      </c>
    </row>
    <row r="98" spans="2:10" ht="16.8" customHeight="1" x14ac:dyDescent="0.35">
      <c r="B98" s="6" t="s">
        <v>724</v>
      </c>
      <c r="C98" s="25" t="s">
        <v>725</v>
      </c>
      <c r="D98" s="11">
        <v>2</v>
      </c>
      <c r="E98" s="11">
        <f>IF(ISBLANK(C98),"",SUMIF('SAÍDA DE VENDAS'!$G$6:$G$500, C98, 'SAÍDA DE VENDAS'!$H$6:$H$500))</f>
        <v>0</v>
      </c>
      <c r="F98" s="16">
        <f t="shared" si="3"/>
        <v>2</v>
      </c>
      <c r="G98" s="17">
        <v>169.9</v>
      </c>
      <c r="H98" s="17">
        <f t="shared" si="4"/>
        <v>339.8</v>
      </c>
      <c r="I98" s="22">
        <v>0</v>
      </c>
      <c r="J98" s="19">
        <f t="shared" si="5"/>
        <v>169.9</v>
      </c>
    </row>
    <row r="99" spans="2:10" ht="16.8" customHeight="1" x14ac:dyDescent="0.35">
      <c r="B99" s="6" t="s">
        <v>726</v>
      </c>
      <c r="C99" s="24" t="s">
        <v>727</v>
      </c>
      <c r="D99" s="12">
        <v>1</v>
      </c>
      <c r="E99" s="12">
        <f>IF(ISBLANK(C99),"",SUMIF('SAÍDA DE VENDAS'!$G$6:$G$500, C99, 'SAÍDA DE VENDAS'!$H$6:$H$500))</f>
        <v>0</v>
      </c>
      <c r="F99" s="20">
        <f t="shared" si="3"/>
        <v>1</v>
      </c>
      <c r="G99" s="21">
        <v>169.9</v>
      </c>
      <c r="H99" s="21">
        <f t="shared" si="4"/>
        <v>169.9</v>
      </c>
      <c r="I99" s="22">
        <v>0</v>
      </c>
      <c r="J99" s="23">
        <f t="shared" si="5"/>
        <v>169.9</v>
      </c>
    </row>
    <row r="100" spans="2:10" ht="16.8" customHeight="1" x14ac:dyDescent="0.35">
      <c r="B100" s="6" t="s">
        <v>728</v>
      </c>
      <c r="C100" s="25" t="s">
        <v>729</v>
      </c>
      <c r="D100" s="11">
        <v>3</v>
      </c>
      <c r="E100" s="11">
        <f>IF(ISBLANK(C100),"",SUMIF('SAÍDA DE VENDAS'!$G$6:$G$500, C100, 'SAÍDA DE VENDAS'!$H$6:$H$500))</f>
        <v>0</v>
      </c>
      <c r="F100" s="16">
        <f t="shared" si="3"/>
        <v>3</v>
      </c>
      <c r="G100" s="17">
        <v>229.9</v>
      </c>
      <c r="H100" s="17">
        <f t="shared" si="4"/>
        <v>689.7</v>
      </c>
      <c r="I100" s="22">
        <v>0</v>
      </c>
      <c r="J100" s="19">
        <f t="shared" si="5"/>
        <v>229.9</v>
      </c>
    </row>
    <row r="101" spans="2:10" ht="16.8" customHeight="1" x14ac:dyDescent="0.35">
      <c r="B101" s="6" t="s">
        <v>730</v>
      </c>
      <c r="C101" s="24" t="s">
        <v>731</v>
      </c>
      <c r="D101" s="12">
        <v>1</v>
      </c>
      <c r="E101" s="12">
        <f>IF(ISBLANK(C101),"",SUMIF('SAÍDA DE VENDAS'!$G$6:$G$500, C101, 'SAÍDA DE VENDAS'!$H$6:$H$500))</f>
        <v>0</v>
      </c>
      <c r="F101" s="20">
        <f t="shared" si="3"/>
        <v>1</v>
      </c>
      <c r="G101" s="21">
        <v>349.9</v>
      </c>
      <c r="H101" s="21">
        <f t="shared" si="4"/>
        <v>349.9</v>
      </c>
      <c r="I101" s="22">
        <v>0</v>
      </c>
      <c r="J101" s="23">
        <f t="shared" si="5"/>
        <v>349.9</v>
      </c>
    </row>
    <row r="102" spans="2:10" ht="16.8" customHeight="1" x14ac:dyDescent="0.35">
      <c r="B102" s="6" t="s">
        <v>732</v>
      </c>
      <c r="C102" s="25" t="s">
        <v>733</v>
      </c>
      <c r="D102" s="11">
        <v>1</v>
      </c>
      <c r="E102" s="11">
        <f>IF(ISBLANK(C102),"",SUMIF('SAÍDA DE VENDAS'!$G$6:$G$500, C102, 'SAÍDA DE VENDAS'!$H$6:$H$500))</f>
        <v>0</v>
      </c>
      <c r="F102" s="16">
        <f t="shared" si="3"/>
        <v>1</v>
      </c>
      <c r="G102" s="17">
        <v>189.9</v>
      </c>
      <c r="H102" s="17">
        <f t="shared" si="4"/>
        <v>189.9</v>
      </c>
      <c r="I102" s="22">
        <v>0</v>
      </c>
      <c r="J102" s="19">
        <f t="shared" si="5"/>
        <v>189.9</v>
      </c>
    </row>
    <row r="103" spans="2:10" ht="16.8" customHeight="1" x14ac:dyDescent="0.35">
      <c r="B103" s="6" t="s">
        <v>734</v>
      </c>
      <c r="C103" s="24" t="s">
        <v>735</v>
      </c>
      <c r="D103" s="12">
        <v>3</v>
      </c>
      <c r="E103" s="12">
        <f>IF(ISBLANK(C103),"",SUMIF('SAÍDA DE VENDAS'!$G$6:$G$500, C103, 'SAÍDA DE VENDAS'!$H$6:$H$500))</f>
        <v>0</v>
      </c>
      <c r="F103" s="20">
        <f t="shared" si="3"/>
        <v>3</v>
      </c>
      <c r="G103" s="21">
        <v>369.9</v>
      </c>
      <c r="H103" s="21">
        <f t="shared" si="4"/>
        <v>1109.6999999999998</v>
      </c>
      <c r="I103" s="22">
        <v>0</v>
      </c>
      <c r="J103" s="23">
        <f t="shared" si="5"/>
        <v>369.9</v>
      </c>
    </row>
    <row r="104" spans="2:10" ht="16.8" customHeight="1" x14ac:dyDescent="0.35">
      <c r="B104" s="6" t="s">
        <v>736</v>
      </c>
      <c r="C104" s="25" t="s">
        <v>737</v>
      </c>
      <c r="D104" s="11">
        <v>1</v>
      </c>
      <c r="E104" s="11">
        <f>IF(ISBLANK(C104),"",SUMIF('SAÍDA DE VENDAS'!$G$6:$G$500, C104, 'SAÍDA DE VENDAS'!$H$6:$H$500))</f>
        <v>0</v>
      </c>
      <c r="F104" s="16">
        <f t="shared" si="3"/>
        <v>1</v>
      </c>
      <c r="G104" s="17">
        <v>249.9</v>
      </c>
      <c r="H104" s="17">
        <f t="shared" si="4"/>
        <v>249.9</v>
      </c>
      <c r="I104" s="22">
        <v>0</v>
      </c>
      <c r="J104" s="19">
        <f t="shared" si="5"/>
        <v>249.9</v>
      </c>
    </row>
    <row r="105" spans="2:10" ht="16.8" customHeight="1" x14ac:dyDescent="0.35">
      <c r="B105" s="6" t="s">
        <v>738</v>
      </c>
      <c r="C105" s="24" t="s">
        <v>739</v>
      </c>
      <c r="D105" s="12">
        <v>1</v>
      </c>
      <c r="E105" s="12">
        <f>IF(ISBLANK(C105),"",SUMIF('SAÍDA DE VENDAS'!$G$6:$G$500, C105, 'SAÍDA DE VENDAS'!$H$6:$H$500))</f>
        <v>0</v>
      </c>
      <c r="F105" s="20">
        <f t="shared" si="3"/>
        <v>1</v>
      </c>
      <c r="G105" s="21">
        <v>79.900000000000006</v>
      </c>
      <c r="H105" s="21">
        <f t="shared" si="4"/>
        <v>79.900000000000006</v>
      </c>
      <c r="I105" s="22">
        <v>0</v>
      </c>
      <c r="J105" s="23">
        <f t="shared" si="5"/>
        <v>79.900000000000006</v>
      </c>
    </row>
    <row r="106" spans="2:10" ht="16.8" customHeight="1" x14ac:dyDescent="0.35">
      <c r="B106" s="6" t="s">
        <v>740</v>
      </c>
      <c r="C106" s="25" t="s">
        <v>741</v>
      </c>
      <c r="D106" s="11">
        <v>3</v>
      </c>
      <c r="E106" s="11">
        <f>IF(ISBLANK(C106),"",SUMIF('SAÍDA DE VENDAS'!$G$6:$G$500, C106, 'SAÍDA DE VENDAS'!$H$6:$H$500))</f>
        <v>0</v>
      </c>
      <c r="F106" s="16">
        <f t="shared" si="3"/>
        <v>3</v>
      </c>
      <c r="G106" s="17">
        <v>55.9</v>
      </c>
      <c r="H106" s="17">
        <f t="shared" si="4"/>
        <v>167.7</v>
      </c>
      <c r="I106" s="22">
        <v>0</v>
      </c>
      <c r="J106" s="19">
        <f t="shared" si="5"/>
        <v>55.9</v>
      </c>
    </row>
    <row r="107" spans="2:10" ht="16.8" customHeight="1" x14ac:dyDescent="0.35">
      <c r="B107" s="6" t="s">
        <v>742</v>
      </c>
      <c r="C107" s="24" t="s">
        <v>743</v>
      </c>
      <c r="D107" s="12">
        <v>4</v>
      </c>
      <c r="E107" s="12">
        <f>IF(ISBLANK(C107),"",SUMIF('SAÍDA DE VENDAS'!$G$6:$G$500, C107, 'SAÍDA DE VENDAS'!$H$6:$H$500))</f>
        <v>0</v>
      </c>
      <c r="F107" s="20">
        <f t="shared" si="3"/>
        <v>4</v>
      </c>
      <c r="G107" s="21">
        <v>89.9</v>
      </c>
      <c r="H107" s="21">
        <f t="shared" si="4"/>
        <v>359.6</v>
      </c>
      <c r="I107" s="22">
        <v>0</v>
      </c>
      <c r="J107" s="23">
        <f t="shared" si="5"/>
        <v>89.9</v>
      </c>
    </row>
    <row r="108" spans="2:10" ht="16.8" customHeight="1" x14ac:dyDescent="0.35">
      <c r="B108" s="6" t="s">
        <v>744</v>
      </c>
      <c r="C108" s="25" t="s">
        <v>745</v>
      </c>
      <c r="D108" s="11">
        <v>2</v>
      </c>
      <c r="E108" s="11">
        <f>IF(ISBLANK(C108),"",SUMIF('SAÍDA DE VENDAS'!$G$6:$G$500, C108, 'SAÍDA DE VENDAS'!$H$6:$H$500))</f>
        <v>0</v>
      </c>
      <c r="F108" s="16">
        <f t="shared" si="3"/>
        <v>2</v>
      </c>
      <c r="G108" s="17">
        <v>44.9</v>
      </c>
      <c r="H108" s="17">
        <f t="shared" si="4"/>
        <v>89.8</v>
      </c>
      <c r="I108" s="22">
        <v>0</v>
      </c>
      <c r="J108" s="19">
        <f t="shared" si="5"/>
        <v>44.9</v>
      </c>
    </row>
    <row r="109" spans="2:10" ht="16.8" customHeight="1" x14ac:dyDescent="0.35">
      <c r="B109" s="6" t="s">
        <v>746</v>
      </c>
      <c r="C109" s="24" t="s">
        <v>747</v>
      </c>
      <c r="D109" s="12">
        <v>5</v>
      </c>
      <c r="E109" s="12">
        <f>IF(ISBLANK(C109),"",SUMIF('SAÍDA DE VENDAS'!$G$6:$G$500, C109, 'SAÍDA DE VENDAS'!$H$6:$H$500))</f>
        <v>0</v>
      </c>
      <c r="F109" s="20">
        <f t="shared" si="3"/>
        <v>5</v>
      </c>
      <c r="G109" s="21">
        <v>109.9</v>
      </c>
      <c r="H109" s="21">
        <f t="shared" si="4"/>
        <v>549.5</v>
      </c>
      <c r="I109" s="22">
        <v>0</v>
      </c>
      <c r="J109" s="23">
        <f t="shared" si="5"/>
        <v>109.9</v>
      </c>
    </row>
    <row r="110" spans="2:10" ht="16.8" customHeight="1" x14ac:dyDescent="0.35">
      <c r="B110" s="6" t="s">
        <v>748</v>
      </c>
      <c r="C110" s="25" t="s">
        <v>749</v>
      </c>
      <c r="D110" s="11">
        <v>1</v>
      </c>
      <c r="E110" s="11">
        <f>IF(ISBLANK(C110),"",SUMIF('SAÍDA DE VENDAS'!$G$6:$G$500, C110, 'SAÍDA DE VENDAS'!$H$6:$H$500))</f>
        <v>0</v>
      </c>
      <c r="F110" s="16">
        <f t="shared" si="3"/>
        <v>1</v>
      </c>
      <c r="G110" s="17">
        <v>229.9</v>
      </c>
      <c r="H110" s="17">
        <f t="shared" si="4"/>
        <v>229.9</v>
      </c>
      <c r="I110" s="22">
        <v>0</v>
      </c>
      <c r="J110" s="19">
        <f t="shared" si="5"/>
        <v>229.9</v>
      </c>
    </row>
    <row r="111" spans="2:10" ht="16.8" customHeight="1" x14ac:dyDescent="0.35">
      <c r="B111" s="6" t="s">
        <v>750</v>
      </c>
      <c r="C111" s="24" t="s">
        <v>751</v>
      </c>
      <c r="D111" s="12">
        <v>1</v>
      </c>
      <c r="E111" s="12">
        <f>IF(ISBLANK(C111),"",SUMIF('SAÍDA DE VENDAS'!$G$6:$G$500, C111, 'SAÍDA DE VENDAS'!$H$6:$H$500))</f>
        <v>0</v>
      </c>
      <c r="F111" s="20">
        <f t="shared" si="3"/>
        <v>1</v>
      </c>
      <c r="G111" s="21">
        <v>229.9</v>
      </c>
      <c r="H111" s="21">
        <f t="shared" si="4"/>
        <v>229.9</v>
      </c>
      <c r="I111" s="22">
        <v>0</v>
      </c>
      <c r="J111" s="23">
        <f t="shared" si="5"/>
        <v>229.9</v>
      </c>
    </row>
    <row r="112" spans="2:10" ht="16.8" customHeight="1" x14ac:dyDescent="0.35">
      <c r="B112" s="6" t="s">
        <v>752</v>
      </c>
      <c r="C112" s="25" t="s">
        <v>47</v>
      </c>
      <c r="D112" s="11">
        <v>30</v>
      </c>
      <c r="E112" s="11">
        <f>IF(ISBLANK(C112),"",SUMIF('SAÍDA DE VENDAS'!$G$6:$G$500, C112, 'SAÍDA DE VENDAS'!$H$6:$H$500))</f>
        <v>2</v>
      </c>
      <c r="F112" s="16">
        <f t="shared" si="3"/>
        <v>28</v>
      </c>
      <c r="G112" s="17">
        <v>99.9</v>
      </c>
      <c r="H112" s="17">
        <f t="shared" si="4"/>
        <v>2797.2000000000003</v>
      </c>
      <c r="I112" s="22">
        <v>0</v>
      </c>
      <c r="J112" s="19">
        <f t="shared" si="5"/>
        <v>99.9</v>
      </c>
    </row>
    <row r="113" spans="2:10" ht="16.8" customHeight="1" x14ac:dyDescent="0.35">
      <c r="B113" s="6" t="s">
        <v>753</v>
      </c>
      <c r="C113" s="24" t="s">
        <v>754</v>
      </c>
      <c r="D113" s="12">
        <v>3</v>
      </c>
      <c r="E113" s="12">
        <f>IF(ISBLANK(C113),"",SUMIF('SAÍDA DE VENDAS'!$G$6:$G$500, C113, 'SAÍDA DE VENDAS'!$H$6:$H$500))</f>
        <v>0</v>
      </c>
      <c r="F113" s="20">
        <f t="shared" si="3"/>
        <v>3</v>
      </c>
      <c r="G113" s="21">
        <v>139.9</v>
      </c>
      <c r="H113" s="21">
        <f t="shared" si="4"/>
        <v>419.70000000000005</v>
      </c>
      <c r="I113" s="22">
        <v>0</v>
      </c>
      <c r="J113" s="23">
        <f t="shared" si="5"/>
        <v>139.9</v>
      </c>
    </row>
    <row r="114" spans="2:10" ht="16.8" customHeight="1" x14ac:dyDescent="0.35">
      <c r="B114" s="6" t="s">
        <v>755</v>
      </c>
      <c r="C114" s="25" t="s">
        <v>756</v>
      </c>
      <c r="D114" s="11">
        <v>2</v>
      </c>
      <c r="E114" s="11">
        <f>IF(ISBLANK(C114),"",SUMIF('SAÍDA DE VENDAS'!$G$6:$G$500, C114, 'SAÍDA DE VENDAS'!$H$6:$H$500))</f>
        <v>0</v>
      </c>
      <c r="F114" s="16">
        <f t="shared" si="3"/>
        <v>2</v>
      </c>
      <c r="G114" s="17">
        <v>109.9</v>
      </c>
      <c r="H114" s="17">
        <f t="shared" si="4"/>
        <v>219.8</v>
      </c>
      <c r="I114" s="22">
        <v>0</v>
      </c>
      <c r="J114" s="19">
        <f t="shared" si="5"/>
        <v>109.9</v>
      </c>
    </row>
    <row r="115" spans="2:10" ht="16.8" customHeight="1" x14ac:dyDescent="0.35">
      <c r="B115" s="6" t="s">
        <v>757</v>
      </c>
      <c r="C115" s="24" t="s">
        <v>758</v>
      </c>
      <c r="D115" s="12">
        <v>2</v>
      </c>
      <c r="E115" s="12">
        <f>IF(ISBLANK(C115),"",SUMIF('SAÍDA DE VENDAS'!$G$6:$G$500, C115, 'SAÍDA DE VENDAS'!$H$6:$H$500))</f>
        <v>0</v>
      </c>
      <c r="F115" s="20">
        <f t="shared" si="3"/>
        <v>2</v>
      </c>
      <c r="G115" s="21">
        <v>189.9</v>
      </c>
      <c r="H115" s="21">
        <f t="shared" si="4"/>
        <v>379.8</v>
      </c>
      <c r="I115" s="22">
        <v>0</v>
      </c>
      <c r="J115" s="23">
        <f t="shared" si="5"/>
        <v>189.9</v>
      </c>
    </row>
    <row r="116" spans="2:10" ht="16.8" customHeight="1" x14ac:dyDescent="0.35">
      <c r="B116" s="6" t="s">
        <v>759</v>
      </c>
      <c r="C116" s="25" t="s">
        <v>760</v>
      </c>
      <c r="D116" s="11">
        <v>1</v>
      </c>
      <c r="E116" s="11">
        <f>IF(ISBLANK(C116),"",SUMIF('SAÍDA DE VENDAS'!$G$6:$G$500, C116, 'SAÍDA DE VENDAS'!$H$6:$H$500))</f>
        <v>0</v>
      </c>
      <c r="F116" s="16">
        <f t="shared" si="3"/>
        <v>1</v>
      </c>
      <c r="G116" s="17">
        <v>139.9</v>
      </c>
      <c r="H116" s="17">
        <f t="shared" si="4"/>
        <v>139.9</v>
      </c>
      <c r="I116" s="22">
        <v>0</v>
      </c>
      <c r="J116" s="19">
        <f t="shared" si="5"/>
        <v>139.9</v>
      </c>
    </row>
    <row r="117" spans="2:10" ht="16.8" customHeight="1" x14ac:dyDescent="0.35">
      <c r="B117" s="6" t="s">
        <v>761</v>
      </c>
      <c r="C117" s="24" t="s">
        <v>762</v>
      </c>
      <c r="D117" s="12">
        <v>3</v>
      </c>
      <c r="E117" s="12">
        <f>IF(ISBLANK(C117),"",SUMIF('SAÍDA DE VENDAS'!$G$6:$G$500, C117, 'SAÍDA DE VENDAS'!$H$6:$H$500))</f>
        <v>0</v>
      </c>
      <c r="F117" s="20">
        <f t="shared" si="3"/>
        <v>3</v>
      </c>
      <c r="G117" s="21">
        <v>129.9</v>
      </c>
      <c r="H117" s="21">
        <f t="shared" si="4"/>
        <v>389.70000000000005</v>
      </c>
      <c r="I117" s="22">
        <v>0</v>
      </c>
      <c r="J117" s="23">
        <f t="shared" si="5"/>
        <v>129.9</v>
      </c>
    </row>
    <row r="118" spans="2:10" ht="16.8" customHeight="1" x14ac:dyDescent="0.35">
      <c r="B118" s="6" t="s">
        <v>763</v>
      </c>
      <c r="C118" s="25" t="s">
        <v>764</v>
      </c>
      <c r="D118" s="11">
        <v>1</v>
      </c>
      <c r="E118" s="11">
        <f>IF(ISBLANK(C118),"",SUMIF('SAÍDA DE VENDAS'!$G$6:$G$500, C118, 'SAÍDA DE VENDAS'!$H$6:$H$500))</f>
        <v>0</v>
      </c>
      <c r="F118" s="16">
        <f t="shared" si="3"/>
        <v>1</v>
      </c>
      <c r="G118" s="17">
        <v>129.9</v>
      </c>
      <c r="H118" s="17">
        <f t="shared" si="4"/>
        <v>129.9</v>
      </c>
      <c r="I118" s="22">
        <v>0</v>
      </c>
      <c r="J118" s="19">
        <f t="shared" si="5"/>
        <v>129.9</v>
      </c>
    </row>
    <row r="119" spans="2:10" ht="16.8" customHeight="1" x14ac:dyDescent="0.35">
      <c r="B119" s="6" t="s">
        <v>765</v>
      </c>
      <c r="C119" s="25" t="s">
        <v>766</v>
      </c>
      <c r="D119" s="12">
        <v>1</v>
      </c>
      <c r="E119" s="12">
        <f>IF(ISBLANK(C119),"",SUMIF('SAÍDA DE VENDAS'!$G$6:$G$500, C119, 'SAÍDA DE VENDAS'!$H$6:$H$500))</f>
        <v>1</v>
      </c>
      <c r="F119" s="20">
        <f t="shared" si="3"/>
        <v>0</v>
      </c>
      <c r="G119" s="21">
        <v>129.9</v>
      </c>
      <c r="H119" s="21">
        <f t="shared" si="4"/>
        <v>0</v>
      </c>
      <c r="I119" s="22">
        <v>0</v>
      </c>
      <c r="J119" s="23">
        <f t="shared" si="5"/>
        <v>129.9</v>
      </c>
    </row>
    <row r="120" spans="2:10" ht="16.8" customHeight="1" x14ac:dyDescent="0.35">
      <c r="B120" s="6" t="s">
        <v>767</v>
      </c>
      <c r="C120" s="25" t="s">
        <v>768</v>
      </c>
      <c r="D120" s="11">
        <v>1</v>
      </c>
      <c r="E120" s="11">
        <f>IF(ISBLANK(C120),"",SUMIF('SAÍDA DE VENDAS'!$G$6:$G$500, C120, 'SAÍDA DE VENDAS'!$H$6:$H$500))</f>
        <v>0</v>
      </c>
      <c r="F120" s="16">
        <f t="shared" si="3"/>
        <v>1</v>
      </c>
      <c r="G120" s="17">
        <v>119.9</v>
      </c>
      <c r="H120" s="17">
        <f t="shared" si="4"/>
        <v>119.9</v>
      </c>
      <c r="I120" s="22">
        <v>0</v>
      </c>
      <c r="J120" s="19">
        <f t="shared" si="5"/>
        <v>119.9</v>
      </c>
    </row>
    <row r="121" spans="2:10" ht="16.8" customHeight="1" x14ac:dyDescent="0.35">
      <c r="B121" s="6" t="s">
        <v>769</v>
      </c>
      <c r="C121" s="24" t="s">
        <v>770</v>
      </c>
      <c r="D121" s="12">
        <v>8</v>
      </c>
      <c r="E121" s="12">
        <f>IF(ISBLANK(C121),"",SUMIF('SAÍDA DE VENDAS'!$G$6:$G$500, C121, 'SAÍDA DE VENDAS'!$H$6:$H$500))</f>
        <v>0</v>
      </c>
      <c r="F121" s="20">
        <f t="shared" si="3"/>
        <v>8</v>
      </c>
      <c r="G121" s="21">
        <v>69.900000000000006</v>
      </c>
      <c r="H121" s="21">
        <f t="shared" si="4"/>
        <v>559.20000000000005</v>
      </c>
      <c r="I121" s="22">
        <v>0</v>
      </c>
      <c r="J121" s="23">
        <f t="shared" si="5"/>
        <v>69.900000000000006</v>
      </c>
    </row>
    <row r="122" spans="2:10" ht="16.8" customHeight="1" x14ac:dyDescent="0.35">
      <c r="B122" s="6" t="s">
        <v>771</v>
      </c>
      <c r="C122" s="25" t="s">
        <v>772</v>
      </c>
      <c r="D122" s="11">
        <v>7</v>
      </c>
      <c r="E122" s="11">
        <f>IF(ISBLANK(C122),"",SUMIF('SAÍDA DE VENDAS'!$G$6:$G$500, C122, 'SAÍDA DE VENDAS'!$H$6:$H$500))</f>
        <v>0</v>
      </c>
      <c r="F122" s="16">
        <f t="shared" si="3"/>
        <v>7</v>
      </c>
      <c r="G122" s="17">
        <v>39.9</v>
      </c>
      <c r="H122" s="17">
        <f t="shared" si="4"/>
        <v>279.3</v>
      </c>
      <c r="I122" s="22">
        <v>0</v>
      </c>
      <c r="J122" s="19">
        <f t="shared" si="5"/>
        <v>39.9</v>
      </c>
    </row>
    <row r="123" spans="2:10" ht="16.8" customHeight="1" x14ac:dyDescent="0.35">
      <c r="B123" s="6" t="s">
        <v>773</v>
      </c>
      <c r="C123" s="24" t="s">
        <v>774</v>
      </c>
      <c r="D123" s="12">
        <f>25</f>
        <v>25</v>
      </c>
      <c r="E123" s="12">
        <f>IF(ISBLANK(C123),"",SUMIF('SAÍDA DE VENDAS'!$G$6:$G$500, C123, 'SAÍDA DE VENDAS'!$H$6:$H$500))</f>
        <v>2</v>
      </c>
      <c r="F123" s="20">
        <f t="shared" si="3"/>
        <v>23</v>
      </c>
      <c r="G123" s="21">
        <v>49.9</v>
      </c>
      <c r="H123" s="21">
        <f t="shared" si="4"/>
        <v>1147.7</v>
      </c>
      <c r="I123" s="22">
        <v>0</v>
      </c>
      <c r="J123" s="23">
        <f t="shared" si="5"/>
        <v>49.9</v>
      </c>
    </row>
    <row r="124" spans="2:10" ht="16.8" customHeight="1" x14ac:dyDescent="0.35">
      <c r="B124" s="6" t="s">
        <v>775</v>
      </c>
      <c r="C124" s="25" t="s">
        <v>776</v>
      </c>
      <c r="D124" s="11">
        <v>2</v>
      </c>
      <c r="E124" s="11">
        <f>IF(ISBLANK(C124),"",SUMIF('SAÍDA DE VENDAS'!$G$6:$G$500, C124, 'SAÍDA DE VENDAS'!$H$6:$H$500))</f>
        <v>0</v>
      </c>
      <c r="F124" s="16">
        <f t="shared" si="3"/>
        <v>2</v>
      </c>
      <c r="G124" s="17">
        <v>116</v>
      </c>
      <c r="H124" s="17">
        <f t="shared" si="4"/>
        <v>232</v>
      </c>
      <c r="I124" s="22">
        <v>0</v>
      </c>
      <c r="J124" s="19">
        <f t="shared" si="5"/>
        <v>116</v>
      </c>
    </row>
    <row r="125" spans="2:10" ht="16.8" customHeight="1" x14ac:dyDescent="0.35">
      <c r="B125" s="6" t="s">
        <v>777</v>
      </c>
      <c r="C125" s="24" t="s">
        <v>778</v>
      </c>
      <c r="D125" s="12">
        <v>1</v>
      </c>
      <c r="E125" s="12">
        <f>IF(ISBLANK(C125),"",SUMIF('SAÍDA DE VENDAS'!$G$6:$G$500, C125, 'SAÍDA DE VENDAS'!$H$6:$H$500))</f>
        <v>0</v>
      </c>
      <c r="F125" s="20">
        <f t="shared" si="3"/>
        <v>1</v>
      </c>
      <c r="G125" s="21">
        <v>59.9</v>
      </c>
      <c r="H125" s="21">
        <f t="shared" si="4"/>
        <v>59.9</v>
      </c>
      <c r="I125" s="22">
        <v>0</v>
      </c>
      <c r="J125" s="23">
        <f t="shared" si="5"/>
        <v>59.9</v>
      </c>
    </row>
    <row r="126" spans="2:10" ht="16.8" customHeight="1" x14ac:dyDescent="0.35">
      <c r="B126" s="6" t="s">
        <v>779</v>
      </c>
      <c r="C126" s="25" t="s">
        <v>780</v>
      </c>
      <c r="D126" s="11">
        <v>31</v>
      </c>
      <c r="E126" s="11">
        <f>IF(ISBLANK(C126),"",SUMIF('SAÍDA DE VENDAS'!$G$6:$G$500, C126, 'SAÍDA DE VENDAS'!$H$6:$H$500))</f>
        <v>0</v>
      </c>
      <c r="F126" s="16">
        <f t="shared" si="3"/>
        <v>31</v>
      </c>
      <c r="G126" s="17">
        <v>15.5</v>
      </c>
      <c r="H126" s="17">
        <f t="shared" si="4"/>
        <v>480.5</v>
      </c>
      <c r="I126" s="22">
        <v>0</v>
      </c>
      <c r="J126" s="19">
        <f t="shared" si="5"/>
        <v>15.5</v>
      </c>
    </row>
    <row r="127" spans="2:10" ht="16.8" customHeight="1" x14ac:dyDescent="0.35">
      <c r="B127" s="6" t="s">
        <v>781</v>
      </c>
      <c r="C127" s="24" t="s">
        <v>782</v>
      </c>
      <c r="D127" s="12">
        <v>8</v>
      </c>
      <c r="E127" s="12">
        <f>IF(ISBLANK(C127),"",SUMIF('SAÍDA DE VENDAS'!$G$6:$G$500, C127, 'SAÍDA DE VENDAS'!$H$6:$H$500))</f>
        <v>0</v>
      </c>
      <c r="F127" s="20">
        <f t="shared" si="3"/>
        <v>8</v>
      </c>
      <c r="G127" s="21">
        <v>69.900000000000006</v>
      </c>
      <c r="H127" s="21">
        <f t="shared" si="4"/>
        <v>559.20000000000005</v>
      </c>
      <c r="I127" s="22">
        <v>0</v>
      </c>
      <c r="J127" s="23">
        <f t="shared" si="5"/>
        <v>69.900000000000006</v>
      </c>
    </row>
    <row r="128" spans="2:10" ht="16.8" customHeight="1" x14ac:dyDescent="0.35">
      <c r="B128" s="6" t="s">
        <v>783</v>
      </c>
      <c r="C128" s="25" t="s">
        <v>784</v>
      </c>
      <c r="D128" s="11">
        <v>16</v>
      </c>
      <c r="E128" s="11">
        <f>IF(ISBLANK(C128),"",SUMIF('SAÍDA DE VENDAS'!$G$6:$G$500, C128, 'SAÍDA DE VENDAS'!$H$6:$H$500))</f>
        <v>0</v>
      </c>
      <c r="F128" s="16">
        <f t="shared" si="3"/>
        <v>16</v>
      </c>
      <c r="G128" s="17">
        <v>59.9</v>
      </c>
      <c r="H128" s="17">
        <f t="shared" si="4"/>
        <v>958.4</v>
      </c>
      <c r="I128" s="22">
        <v>0</v>
      </c>
      <c r="J128" s="19">
        <f t="shared" si="5"/>
        <v>59.9</v>
      </c>
    </row>
    <row r="129" spans="2:10" ht="16.8" customHeight="1" x14ac:dyDescent="0.35">
      <c r="B129" s="6" t="s">
        <v>785</v>
      </c>
      <c r="C129" s="24" t="s">
        <v>786</v>
      </c>
      <c r="D129" s="12">
        <v>32</v>
      </c>
      <c r="E129" s="12">
        <f>IF(ISBLANK(C129),"",SUMIF('SAÍDA DE VENDAS'!$G$6:$G$500, C129, 'SAÍDA DE VENDAS'!$H$6:$H$500))</f>
        <v>0</v>
      </c>
      <c r="F129" s="20">
        <f t="shared" si="3"/>
        <v>32</v>
      </c>
      <c r="G129" s="21">
        <v>25</v>
      </c>
      <c r="H129" s="21">
        <f t="shared" si="4"/>
        <v>800</v>
      </c>
      <c r="I129" s="22">
        <v>0</v>
      </c>
      <c r="J129" s="23">
        <f t="shared" si="5"/>
        <v>25</v>
      </c>
    </row>
    <row r="130" spans="2:10" ht="16.8" customHeight="1" x14ac:dyDescent="0.35">
      <c r="B130" s="6" t="s">
        <v>787</v>
      </c>
      <c r="C130" s="25" t="s">
        <v>788</v>
      </c>
      <c r="D130" s="11">
        <v>13</v>
      </c>
      <c r="E130" s="11">
        <f>IF(ISBLANK(C130),"",SUMIF('SAÍDA DE VENDAS'!$G$6:$G$500, C130, 'SAÍDA DE VENDAS'!$H$6:$H$500))</f>
        <v>0</v>
      </c>
      <c r="F130" s="16">
        <f t="shared" si="3"/>
        <v>13</v>
      </c>
      <c r="G130" s="17">
        <v>89.9</v>
      </c>
      <c r="H130" s="17">
        <f t="shared" si="4"/>
        <v>1168.7</v>
      </c>
      <c r="I130" s="22">
        <v>0</v>
      </c>
      <c r="J130" s="19">
        <f t="shared" si="5"/>
        <v>89.9</v>
      </c>
    </row>
    <row r="131" spans="2:10" ht="16.8" customHeight="1" x14ac:dyDescent="0.35">
      <c r="B131" s="6" t="s">
        <v>789</v>
      </c>
      <c r="C131" s="25" t="s">
        <v>790</v>
      </c>
      <c r="D131" s="12">
        <v>3</v>
      </c>
      <c r="E131" s="12">
        <f>IF(ISBLANK(C131),"",SUMIF('SAÍDA DE VENDAS'!$G$6:$G$500, C131, 'SAÍDA DE VENDAS'!$H$6:$H$500))</f>
        <v>0</v>
      </c>
      <c r="F131" s="20">
        <f t="shared" si="3"/>
        <v>3</v>
      </c>
      <c r="G131" s="21">
        <v>49.9</v>
      </c>
      <c r="H131" s="21">
        <f t="shared" si="4"/>
        <v>149.69999999999999</v>
      </c>
      <c r="I131" s="22">
        <v>0</v>
      </c>
      <c r="J131" s="23">
        <f t="shared" si="5"/>
        <v>49.9</v>
      </c>
    </row>
    <row r="132" spans="2:10" ht="16.8" customHeight="1" x14ac:dyDescent="0.35">
      <c r="B132" s="6" t="s">
        <v>791</v>
      </c>
      <c r="C132" s="25" t="s">
        <v>792</v>
      </c>
      <c r="D132" s="11">
        <v>2</v>
      </c>
      <c r="E132" s="11">
        <f>IF(ISBLANK(C132),"",SUMIF('SAÍDA DE VENDAS'!$G$6:$G$500, C132, 'SAÍDA DE VENDAS'!$H$6:$H$500))</f>
        <v>0</v>
      </c>
      <c r="F132" s="16">
        <f t="shared" si="3"/>
        <v>2</v>
      </c>
      <c r="G132" s="17">
        <v>59.9</v>
      </c>
      <c r="H132" s="17">
        <f t="shared" si="4"/>
        <v>119.8</v>
      </c>
      <c r="I132" s="22">
        <v>0</v>
      </c>
      <c r="J132" s="19">
        <f t="shared" si="5"/>
        <v>59.9</v>
      </c>
    </row>
    <row r="133" spans="2:10" ht="16.8" customHeight="1" x14ac:dyDescent="0.35">
      <c r="B133" s="6" t="s">
        <v>793</v>
      </c>
      <c r="C133" s="25" t="s">
        <v>794</v>
      </c>
      <c r="D133" s="12">
        <v>5</v>
      </c>
      <c r="E133" s="12">
        <f>IF(ISBLANK(C133),"",SUMIF('SAÍDA DE VENDAS'!$G$6:$G$500, C133, 'SAÍDA DE VENDAS'!$H$6:$H$500))</f>
        <v>0</v>
      </c>
      <c r="F133" s="20">
        <f t="shared" si="3"/>
        <v>5</v>
      </c>
      <c r="G133" s="21">
        <v>59.9</v>
      </c>
      <c r="H133" s="21">
        <f t="shared" si="4"/>
        <v>299.5</v>
      </c>
      <c r="I133" s="22">
        <v>0</v>
      </c>
      <c r="J133" s="23">
        <f t="shared" si="5"/>
        <v>59.9</v>
      </c>
    </row>
    <row r="134" spans="2:10" ht="16.8" customHeight="1" x14ac:dyDescent="0.35">
      <c r="B134" s="6" t="s">
        <v>795</v>
      </c>
      <c r="C134" s="25" t="s">
        <v>796</v>
      </c>
      <c r="D134" s="11">
        <v>3</v>
      </c>
      <c r="E134" s="11">
        <f>IF(ISBLANK(C134),"",SUMIF('SAÍDA DE VENDAS'!$G$6:$G$500, C134, 'SAÍDA DE VENDAS'!$H$6:$H$500))</f>
        <v>0</v>
      </c>
      <c r="F134" s="16">
        <f t="shared" ref="F134:F197" si="6">IF(ISBLANK(C134),"", D134-E134)</f>
        <v>3</v>
      </c>
      <c r="G134" s="17">
        <v>49.9</v>
      </c>
      <c r="H134" s="17">
        <f t="shared" ref="H134:H197" si="7">IF(OR(ISBLANK(F134),ISBLANK(G134)), "", F134*G134)</f>
        <v>149.69999999999999</v>
      </c>
      <c r="I134" s="22">
        <v>0</v>
      </c>
      <c r="J134" s="19">
        <f t="shared" ref="J134:J197" si="8">IF(OR(ISBLANK(G134),ISBLANK(I134)), "", G134*(1+I134))</f>
        <v>49.9</v>
      </c>
    </row>
    <row r="135" spans="2:10" ht="16.8" customHeight="1" x14ac:dyDescent="0.35">
      <c r="B135" s="6" t="s">
        <v>797</v>
      </c>
      <c r="C135" s="25" t="s">
        <v>798</v>
      </c>
      <c r="D135" s="12">
        <v>3</v>
      </c>
      <c r="E135" s="12">
        <f>IF(ISBLANK(C135),"",SUMIF('SAÍDA DE VENDAS'!$G$6:$G$500, C135, 'SAÍDA DE VENDAS'!$H$6:$H$500))</f>
        <v>0</v>
      </c>
      <c r="F135" s="20">
        <f t="shared" si="6"/>
        <v>3</v>
      </c>
      <c r="G135" s="21">
        <v>44.9</v>
      </c>
      <c r="H135" s="21">
        <f t="shared" si="7"/>
        <v>134.69999999999999</v>
      </c>
      <c r="I135" s="22">
        <v>0</v>
      </c>
      <c r="J135" s="23">
        <f t="shared" si="8"/>
        <v>44.9</v>
      </c>
    </row>
    <row r="136" spans="2:10" ht="16.8" customHeight="1" x14ac:dyDescent="0.35">
      <c r="B136" s="6" t="s">
        <v>799</v>
      </c>
      <c r="C136" s="25" t="s">
        <v>800</v>
      </c>
      <c r="D136" s="11">
        <v>2</v>
      </c>
      <c r="E136" s="11">
        <f>IF(ISBLANK(C136),"",SUMIF('SAÍDA DE VENDAS'!$G$6:$G$500, C136, 'SAÍDA DE VENDAS'!$H$6:$H$500))</f>
        <v>0</v>
      </c>
      <c r="F136" s="16">
        <f t="shared" si="6"/>
        <v>2</v>
      </c>
      <c r="G136" s="17">
        <v>39.9</v>
      </c>
      <c r="H136" s="17">
        <f t="shared" si="7"/>
        <v>79.8</v>
      </c>
      <c r="I136" s="22">
        <v>0</v>
      </c>
      <c r="J136" s="19">
        <f t="shared" si="8"/>
        <v>39.9</v>
      </c>
    </row>
    <row r="137" spans="2:10" ht="16.8" customHeight="1" x14ac:dyDescent="0.35">
      <c r="B137" s="6" t="s">
        <v>801</v>
      </c>
      <c r="C137" s="25" t="s">
        <v>802</v>
      </c>
      <c r="D137" s="12">
        <v>5</v>
      </c>
      <c r="E137" s="12">
        <f>IF(ISBLANK(C137),"",SUMIF('SAÍDA DE VENDAS'!$G$6:$G$500, C137, 'SAÍDA DE VENDAS'!$H$6:$H$500))</f>
        <v>0</v>
      </c>
      <c r="F137" s="20">
        <f t="shared" si="6"/>
        <v>5</v>
      </c>
      <c r="G137" s="21">
        <v>39.9</v>
      </c>
      <c r="H137" s="21">
        <f t="shared" si="7"/>
        <v>199.5</v>
      </c>
      <c r="I137" s="22">
        <v>0</v>
      </c>
      <c r="J137" s="23">
        <f t="shared" si="8"/>
        <v>39.9</v>
      </c>
    </row>
    <row r="138" spans="2:10" ht="16.8" customHeight="1" x14ac:dyDescent="0.35">
      <c r="B138" s="6" t="s">
        <v>803</v>
      </c>
      <c r="C138" s="25" t="s">
        <v>804</v>
      </c>
      <c r="D138" s="11">
        <v>3</v>
      </c>
      <c r="E138" s="11">
        <f>IF(ISBLANK(C138),"",SUMIF('SAÍDA DE VENDAS'!$G$6:$G$500, C138, 'SAÍDA DE VENDAS'!$H$6:$H$500))</f>
        <v>0</v>
      </c>
      <c r="F138" s="16">
        <f t="shared" si="6"/>
        <v>3</v>
      </c>
      <c r="G138" s="17">
        <v>59.9</v>
      </c>
      <c r="H138" s="17">
        <f t="shared" si="7"/>
        <v>179.7</v>
      </c>
      <c r="I138" s="22">
        <v>0</v>
      </c>
      <c r="J138" s="19">
        <f t="shared" si="8"/>
        <v>59.9</v>
      </c>
    </row>
    <row r="139" spans="2:10" ht="16.8" customHeight="1" x14ac:dyDescent="0.35">
      <c r="B139" s="6" t="s">
        <v>805</v>
      </c>
      <c r="C139" s="25" t="s">
        <v>806</v>
      </c>
      <c r="D139" s="12">
        <v>6</v>
      </c>
      <c r="E139" s="12">
        <f>IF(ISBLANK(C139),"",SUMIF('SAÍDA DE VENDAS'!$G$6:$G$500, C139, 'SAÍDA DE VENDAS'!$H$6:$H$500))</f>
        <v>0</v>
      </c>
      <c r="F139" s="20">
        <f t="shared" si="6"/>
        <v>6</v>
      </c>
      <c r="G139" s="21">
        <v>29.9</v>
      </c>
      <c r="H139" s="21">
        <f t="shared" si="7"/>
        <v>179.39999999999998</v>
      </c>
      <c r="I139" s="22">
        <v>0</v>
      </c>
      <c r="J139" s="23">
        <f t="shared" si="8"/>
        <v>29.9</v>
      </c>
    </row>
    <row r="140" spans="2:10" ht="16.8" customHeight="1" x14ac:dyDescent="0.35">
      <c r="B140" s="6" t="s">
        <v>807</v>
      </c>
      <c r="C140" s="25" t="s">
        <v>808</v>
      </c>
      <c r="D140" s="11">
        <v>2</v>
      </c>
      <c r="E140" s="11">
        <f>IF(ISBLANK(C140),"",SUMIF('SAÍDA DE VENDAS'!$G$6:$G$500, C140, 'SAÍDA DE VENDAS'!$H$6:$H$500))</f>
        <v>0</v>
      </c>
      <c r="F140" s="16">
        <f t="shared" si="6"/>
        <v>2</v>
      </c>
      <c r="G140" s="17">
        <v>59.9</v>
      </c>
      <c r="H140" s="17">
        <f t="shared" si="7"/>
        <v>119.8</v>
      </c>
      <c r="I140" s="22">
        <v>0</v>
      </c>
      <c r="J140" s="19">
        <f t="shared" si="8"/>
        <v>59.9</v>
      </c>
    </row>
    <row r="141" spans="2:10" ht="16.8" customHeight="1" x14ac:dyDescent="0.35">
      <c r="B141" s="6" t="s">
        <v>809</v>
      </c>
      <c r="C141" s="25" t="s">
        <v>810</v>
      </c>
      <c r="D141" s="12">
        <v>1</v>
      </c>
      <c r="E141" s="12">
        <f>IF(ISBLANK(C141),"",SUMIF('SAÍDA DE VENDAS'!$G$6:$G$500, C141, 'SAÍDA DE VENDAS'!$H$6:$H$500))</f>
        <v>0</v>
      </c>
      <c r="F141" s="20">
        <f t="shared" si="6"/>
        <v>1</v>
      </c>
      <c r="G141" s="21">
        <v>139.9</v>
      </c>
      <c r="H141" s="21">
        <f t="shared" si="7"/>
        <v>139.9</v>
      </c>
      <c r="I141" s="22">
        <v>0</v>
      </c>
      <c r="J141" s="23">
        <f t="shared" si="8"/>
        <v>139.9</v>
      </c>
    </row>
    <row r="142" spans="2:10" ht="16.8" customHeight="1" x14ac:dyDescent="0.35">
      <c r="B142" s="6" t="s">
        <v>811</v>
      </c>
      <c r="C142" s="25" t="s">
        <v>812</v>
      </c>
      <c r="D142" s="11">
        <v>1</v>
      </c>
      <c r="E142" s="11">
        <f>IF(ISBLANK(C142),"",SUMIF('SAÍDA DE VENDAS'!$G$6:$G$500, C142, 'SAÍDA DE VENDAS'!$H$6:$H$500))</f>
        <v>0</v>
      </c>
      <c r="F142" s="16">
        <f t="shared" si="6"/>
        <v>1</v>
      </c>
      <c r="G142" s="26">
        <v>98.9</v>
      </c>
      <c r="H142" s="17">
        <f t="shared" si="7"/>
        <v>98.9</v>
      </c>
      <c r="I142" s="22">
        <v>0</v>
      </c>
      <c r="J142" s="19">
        <f t="shared" si="8"/>
        <v>98.9</v>
      </c>
    </row>
    <row r="143" spans="2:10" ht="16.8" customHeight="1" x14ac:dyDescent="0.35">
      <c r="B143" s="6" t="s">
        <v>813</v>
      </c>
      <c r="C143" s="25" t="s">
        <v>814</v>
      </c>
      <c r="D143" s="12">
        <v>1</v>
      </c>
      <c r="E143" s="12">
        <f>IF(ISBLANK(C143),"",SUMIF('SAÍDA DE VENDAS'!$G$6:$G$500, C143, 'SAÍDA DE VENDAS'!$H$6:$H$500))</f>
        <v>0</v>
      </c>
      <c r="F143" s="20">
        <f t="shared" si="6"/>
        <v>1</v>
      </c>
      <c r="G143" s="21">
        <v>79.900000000000006</v>
      </c>
      <c r="H143" s="21">
        <f t="shared" si="7"/>
        <v>79.900000000000006</v>
      </c>
      <c r="I143" s="22">
        <v>0</v>
      </c>
      <c r="J143" s="23">
        <f t="shared" si="8"/>
        <v>79.900000000000006</v>
      </c>
    </row>
    <row r="144" spans="2:10" ht="16.8" customHeight="1" x14ac:dyDescent="0.35">
      <c r="B144" s="6" t="s">
        <v>815</v>
      </c>
      <c r="C144" s="25" t="s">
        <v>816</v>
      </c>
      <c r="D144" s="11">
        <v>1</v>
      </c>
      <c r="E144" s="11">
        <f>IF(ISBLANK(C144),"",SUMIF('SAÍDA DE VENDAS'!$G$6:$G$500, C144, 'SAÍDA DE VENDAS'!$H$6:$H$500))</f>
        <v>0</v>
      </c>
      <c r="F144" s="16">
        <f t="shared" si="6"/>
        <v>1</v>
      </c>
      <c r="G144" s="17">
        <v>98.9</v>
      </c>
      <c r="H144" s="17">
        <f t="shared" si="7"/>
        <v>98.9</v>
      </c>
      <c r="I144" s="22">
        <v>0</v>
      </c>
      <c r="J144" s="19">
        <f t="shared" si="8"/>
        <v>98.9</v>
      </c>
    </row>
    <row r="145" spans="2:10" ht="16.8" customHeight="1" x14ac:dyDescent="0.35">
      <c r="B145" s="6" t="s">
        <v>817</v>
      </c>
      <c r="C145" s="25" t="s">
        <v>818</v>
      </c>
      <c r="D145" s="12">
        <v>29</v>
      </c>
      <c r="E145" s="12">
        <f>IF(ISBLANK(C145),"",SUMIF('SAÍDA DE VENDAS'!$G$6:$G$500, C145, 'SAÍDA DE VENDAS'!$H$6:$H$500))</f>
        <v>0</v>
      </c>
      <c r="F145" s="20">
        <f t="shared" si="6"/>
        <v>29</v>
      </c>
      <c r="G145" s="21">
        <v>49.9</v>
      </c>
      <c r="H145" s="21">
        <f t="shared" si="7"/>
        <v>1447.1</v>
      </c>
      <c r="I145" s="22">
        <v>0</v>
      </c>
      <c r="J145" s="23">
        <f t="shared" si="8"/>
        <v>49.9</v>
      </c>
    </row>
    <row r="146" spans="2:10" ht="16.8" customHeight="1" x14ac:dyDescent="0.35">
      <c r="B146" s="6" t="s">
        <v>819</v>
      </c>
      <c r="C146" s="25" t="s">
        <v>820</v>
      </c>
      <c r="D146" s="11">
        <v>1</v>
      </c>
      <c r="E146" s="11">
        <f>IF(ISBLANK(C146),"",SUMIF('SAÍDA DE VENDAS'!$G$6:$G$500, C146, 'SAÍDA DE VENDAS'!$H$6:$H$500))</f>
        <v>0</v>
      </c>
      <c r="F146" s="16">
        <f t="shared" si="6"/>
        <v>1</v>
      </c>
      <c r="G146" s="17">
        <v>79.900000000000006</v>
      </c>
      <c r="H146" s="17">
        <f t="shared" si="7"/>
        <v>79.900000000000006</v>
      </c>
      <c r="I146" s="22">
        <v>0</v>
      </c>
      <c r="J146" s="19">
        <f t="shared" si="8"/>
        <v>79.900000000000006</v>
      </c>
    </row>
    <row r="147" spans="2:10" ht="16.8" customHeight="1" x14ac:dyDescent="0.35">
      <c r="B147" s="6" t="s">
        <v>821</v>
      </c>
      <c r="C147" s="25" t="s">
        <v>822</v>
      </c>
      <c r="D147" s="12">
        <v>2</v>
      </c>
      <c r="E147" s="12">
        <f>IF(ISBLANK(C147),"",SUMIF('SAÍDA DE VENDAS'!$G$6:$G$500, C147, 'SAÍDA DE VENDAS'!$H$6:$H$500))</f>
        <v>0</v>
      </c>
      <c r="F147" s="20">
        <f t="shared" si="6"/>
        <v>2</v>
      </c>
      <c r="G147" s="21">
        <v>39.9</v>
      </c>
      <c r="H147" s="21">
        <f t="shared" si="7"/>
        <v>79.8</v>
      </c>
      <c r="I147" s="22">
        <v>0</v>
      </c>
      <c r="J147" s="23">
        <f t="shared" si="8"/>
        <v>39.9</v>
      </c>
    </row>
    <row r="148" spans="2:10" ht="16.8" customHeight="1" x14ac:dyDescent="0.35">
      <c r="B148" s="6" t="s">
        <v>823</v>
      </c>
      <c r="C148" s="25" t="s">
        <v>824</v>
      </c>
      <c r="D148" s="11">
        <v>15</v>
      </c>
      <c r="E148" s="11">
        <f>IF(ISBLANK(C148),"",SUMIF('SAÍDA DE VENDAS'!$G$6:$G$500, C148, 'SAÍDA DE VENDAS'!$H$6:$H$500))</f>
        <v>0</v>
      </c>
      <c r="F148" s="16">
        <f t="shared" si="6"/>
        <v>15</v>
      </c>
      <c r="G148" s="17">
        <v>59.9</v>
      </c>
      <c r="H148" s="17">
        <f t="shared" si="7"/>
        <v>898.5</v>
      </c>
      <c r="I148" s="22">
        <v>0</v>
      </c>
      <c r="J148" s="19">
        <f t="shared" si="8"/>
        <v>59.9</v>
      </c>
    </row>
    <row r="149" spans="2:10" ht="16.8" customHeight="1" x14ac:dyDescent="0.35">
      <c r="B149" s="6" t="s">
        <v>825</v>
      </c>
      <c r="C149" s="24" t="s">
        <v>826</v>
      </c>
      <c r="D149" s="12">
        <v>2</v>
      </c>
      <c r="E149" s="12">
        <f>IF(ISBLANK(C149),"",SUMIF('SAÍDA DE VENDAS'!$G$6:$G$500, C149, 'SAÍDA DE VENDAS'!$H$6:$H$500))</f>
        <v>0</v>
      </c>
      <c r="F149" s="20">
        <f t="shared" si="6"/>
        <v>2</v>
      </c>
      <c r="G149" s="21">
        <v>59.9</v>
      </c>
      <c r="H149" s="21">
        <f t="shared" si="7"/>
        <v>119.8</v>
      </c>
      <c r="I149" s="22">
        <v>0</v>
      </c>
      <c r="J149" s="23">
        <f t="shared" si="8"/>
        <v>59.9</v>
      </c>
    </row>
    <row r="150" spans="2:10" ht="16.8" customHeight="1" x14ac:dyDescent="0.35">
      <c r="B150" s="6" t="s">
        <v>827</v>
      </c>
      <c r="C150" s="25" t="s">
        <v>828</v>
      </c>
      <c r="D150" s="11">
        <v>6</v>
      </c>
      <c r="E150" s="11">
        <f>IF(ISBLANK(C150),"",SUMIF('SAÍDA DE VENDAS'!$G$6:$G$500, C150, 'SAÍDA DE VENDAS'!$H$6:$H$500))</f>
        <v>0</v>
      </c>
      <c r="F150" s="16">
        <f t="shared" si="6"/>
        <v>6</v>
      </c>
      <c r="G150" s="17">
        <v>20</v>
      </c>
      <c r="H150" s="17">
        <f t="shared" si="7"/>
        <v>120</v>
      </c>
      <c r="I150" s="22">
        <v>0</v>
      </c>
      <c r="J150" s="19">
        <f t="shared" si="8"/>
        <v>20</v>
      </c>
    </row>
    <row r="151" spans="2:10" ht="16.8" customHeight="1" x14ac:dyDescent="0.35">
      <c r="B151" s="6" t="s">
        <v>829</v>
      </c>
      <c r="C151" s="24" t="s">
        <v>830</v>
      </c>
      <c r="D151" s="12">
        <v>2</v>
      </c>
      <c r="E151" s="12">
        <f>IF(ISBLANK(C151),"",SUMIF('SAÍDA DE VENDAS'!$G$6:$G$500, C151, 'SAÍDA DE VENDAS'!$H$6:$H$500))</f>
        <v>0</v>
      </c>
      <c r="F151" s="20">
        <f t="shared" si="6"/>
        <v>2</v>
      </c>
      <c r="G151" s="21">
        <v>49.9</v>
      </c>
      <c r="H151" s="21">
        <f t="shared" si="7"/>
        <v>99.8</v>
      </c>
      <c r="I151" s="22">
        <v>0</v>
      </c>
      <c r="J151" s="23">
        <f t="shared" si="8"/>
        <v>49.9</v>
      </c>
    </row>
    <row r="152" spans="2:10" ht="16.8" customHeight="1" x14ac:dyDescent="0.35">
      <c r="B152" s="6" t="s">
        <v>831</v>
      </c>
      <c r="C152" s="25" t="s">
        <v>832</v>
      </c>
      <c r="D152" s="11">
        <v>1</v>
      </c>
      <c r="E152" s="11">
        <f>IF(ISBLANK(C152),"",SUMIF('SAÍDA DE VENDAS'!$G$6:$G$500, C152, 'SAÍDA DE VENDAS'!$H$6:$H$500))</f>
        <v>0</v>
      </c>
      <c r="F152" s="16">
        <f t="shared" si="6"/>
        <v>1</v>
      </c>
      <c r="G152" s="17">
        <v>49.9</v>
      </c>
      <c r="H152" s="17">
        <f t="shared" si="7"/>
        <v>49.9</v>
      </c>
      <c r="I152" s="22">
        <v>0</v>
      </c>
      <c r="J152" s="19">
        <f t="shared" si="8"/>
        <v>49.9</v>
      </c>
    </row>
    <row r="153" spans="2:10" ht="16.8" customHeight="1" x14ac:dyDescent="0.35">
      <c r="B153" s="6" t="s">
        <v>833</v>
      </c>
      <c r="C153" s="24" t="s">
        <v>834</v>
      </c>
      <c r="D153" s="12">
        <v>1</v>
      </c>
      <c r="E153" s="12">
        <f>IF(ISBLANK(C153),"",SUMIF('SAÍDA DE VENDAS'!$G$6:$G$500, C153, 'SAÍDA DE VENDAS'!$H$6:$H$500))</f>
        <v>0</v>
      </c>
      <c r="F153" s="20">
        <f t="shared" si="6"/>
        <v>1</v>
      </c>
      <c r="G153" s="21">
        <v>39.9</v>
      </c>
      <c r="H153" s="21">
        <f t="shared" si="7"/>
        <v>39.9</v>
      </c>
      <c r="I153" s="22">
        <v>0</v>
      </c>
      <c r="J153" s="23">
        <f t="shared" si="8"/>
        <v>39.9</v>
      </c>
    </row>
    <row r="154" spans="2:10" ht="16.8" customHeight="1" x14ac:dyDescent="0.35">
      <c r="B154" s="6" t="s">
        <v>835</v>
      </c>
      <c r="C154" s="25" t="s">
        <v>836</v>
      </c>
      <c r="D154" s="11">
        <v>5</v>
      </c>
      <c r="E154" s="11">
        <f>IF(ISBLANK(C154),"",SUMIF('SAÍDA DE VENDAS'!$G$6:$G$500, C154, 'SAÍDA DE VENDAS'!$H$6:$H$500))</f>
        <v>0</v>
      </c>
      <c r="F154" s="16">
        <f t="shared" si="6"/>
        <v>5</v>
      </c>
      <c r="G154" s="17">
        <v>89.9</v>
      </c>
      <c r="H154" s="17">
        <f t="shared" si="7"/>
        <v>449.5</v>
      </c>
      <c r="I154" s="22">
        <v>0</v>
      </c>
      <c r="J154" s="19">
        <f t="shared" si="8"/>
        <v>89.9</v>
      </c>
    </row>
    <row r="155" spans="2:10" ht="16.8" customHeight="1" x14ac:dyDescent="0.35">
      <c r="B155" s="6" t="s">
        <v>837</v>
      </c>
      <c r="C155" s="24" t="s">
        <v>838</v>
      </c>
      <c r="D155" s="12">
        <v>2</v>
      </c>
      <c r="E155" s="12">
        <f>IF(ISBLANK(C155),"",SUMIF('SAÍDA DE VENDAS'!$G$6:$G$500, C155, 'SAÍDA DE VENDAS'!$H$6:$H$500))</f>
        <v>0</v>
      </c>
      <c r="F155" s="20">
        <f t="shared" si="6"/>
        <v>2</v>
      </c>
      <c r="G155" s="21">
        <v>89.9</v>
      </c>
      <c r="H155" s="21">
        <f t="shared" si="7"/>
        <v>179.8</v>
      </c>
      <c r="I155" s="22">
        <v>0</v>
      </c>
      <c r="J155" s="23">
        <f t="shared" si="8"/>
        <v>89.9</v>
      </c>
    </row>
    <row r="156" spans="2:10" ht="16.8" customHeight="1" x14ac:dyDescent="0.35">
      <c r="B156" s="6" t="s">
        <v>839</v>
      </c>
      <c r="C156" s="25" t="s">
        <v>840</v>
      </c>
      <c r="D156" s="11">
        <v>1</v>
      </c>
      <c r="E156" s="11">
        <f>IF(ISBLANK(C156),"",SUMIF('SAÍDA DE VENDAS'!$G$6:$G$500, C156, 'SAÍDA DE VENDAS'!$H$6:$H$500))</f>
        <v>0</v>
      </c>
      <c r="F156" s="16">
        <f t="shared" si="6"/>
        <v>1</v>
      </c>
      <c r="G156" s="17">
        <v>59.9</v>
      </c>
      <c r="H156" s="17">
        <f t="shared" si="7"/>
        <v>59.9</v>
      </c>
      <c r="I156" s="22">
        <v>0</v>
      </c>
      <c r="J156" s="19">
        <f t="shared" si="8"/>
        <v>59.9</v>
      </c>
    </row>
    <row r="157" spans="2:10" ht="16.8" customHeight="1" x14ac:dyDescent="0.35">
      <c r="B157" s="6" t="s">
        <v>841</v>
      </c>
      <c r="C157" s="24" t="s">
        <v>842</v>
      </c>
      <c r="D157" s="12">
        <v>2</v>
      </c>
      <c r="E157" s="12">
        <f>IF(ISBLANK(C157),"",SUMIF('SAÍDA DE VENDAS'!$G$6:$G$500, C157, 'SAÍDA DE VENDAS'!$H$6:$H$500))</f>
        <v>0</v>
      </c>
      <c r="F157" s="20">
        <f t="shared" si="6"/>
        <v>2</v>
      </c>
      <c r="G157" s="21">
        <v>49.9</v>
      </c>
      <c r="H157" s="21">
        <f t="shared" si="7"/>
        <v>99.8</v>
      </c>
      <c r="I157" s="22">
        <v>0</v>
      </c>
      <c r="J157" s="23">
        <f t="shared" si="8"/>
        <v>49.9</v>
      </c>
    </row>
    <row r="158" spans="2:10" ht="16.8" customHeight="1" x14ac:dyDescent="0.35">
      <c r="B158" s="6" t="s">
        <v>843</v>
      </c>
      <c r="C158" s="25" t="s">
        <v>844</v>
      </c>
      <c r="D158" s="11">
        <v>1</v>
      </c>
      <c r="E158" s="11">
        <f>IF(ISBLANK(C158),"",SUMIF('SAÍDA DE VENDAS'!$G$6:$G$500, C158, 'SAÍDA DE VENDAS'!$H$6:$H$500))</f>
        <v>0</v>
      </c>
      <c r="F158" s="16">
        <f t="shared" si="6"/>
        <v>1</v>
      </c>
      <c r="G158" s="17">
        <v>179.9</v>
      </c>
      <c r="H158" s="17">
        <f t="shared" si="7"/>
        <v>179.9</v>
      </c>
      <c r="I158" s="22">
        <v>0</v>
      </c>
      <c r="J158" s="19">
        <f t="shared" si="8"/>
        <v>179.9</v>
      </c>
    </row>
    <row r="159" spans="2:10" ht="16.8" customHeight="1" x14ac:dyDescent="0.35">
      <c r="B159" s="6" t="s">
        <v>845</v>
      </c>
      <c r="C159" s="24" t="s">
        <v>846</v>
      </c>
      <c r="D159" s="12">
        <v>1</v>
      </c>
      <c r="E159" s="12">
        <f>IF(ISBLANK(C159),"",SUMIF('SAÍDA DE VENDAS'!$G$6:$G$500, C159, 'SAÍDA DE VENDAS'!$H$6:$H$500))</f>
        <v>0</v>
      </c>
      <c r="F159" s="20">
        <f t="shared" si="6"/>
        <v>1</v>
      </c>
      <c r="G159" s="21">
        <v>89.9</v>
      </c>
      <c r="H159" s="21">
        <f t="shared" si="7"/>
        <v>89.9</v>
      </c>
      <c r="I159" s="22">
        <v>0</v>
      </c>
      <c r="J159" s="23">
        <f t="shared" si="8"/>
        <v>89.9</v>
      </c>
    </row>
    <row r="160" spans="2:10" ht="16.8" customHeight="1" x14ac:dyDescent="0.35">
      <c r="B160" s="6" t="s">
        <v>847</v>
      </c>
      <c r="C160" s="25" t="s">
        <v>848</v>
      </c>
      <c r="D160" s="11">
        <v>3</v>
      </c>
      <c r="E160" s="11">
        <f>IF(ISBLANK(C160),"",SUMIF('SAÍDA DE VENDAS'!$G$6:$G$500, C160, 'SAÍDA DE VENDAS'!$H$6:$H$500))</f>
        <v>0</v>
      </c>
      <c r="F160" s="16">
        <f t="shared" si="6"/>
        <v>3</v>
      </c>
      <c r="G160" s="17">
        <v>40</v>
      </c>
      <c r="H160" s="17">
        <f t="shared" si="7"/>
        <v>120</v>
      </c>
      <c r="I160" s="22">
        <v>0</v>
      </c>
      <c r="J160" s="19">
        <f t="shared" si="8"/>
        <v>40</v>
      </c>
    </row>
    <row r="161" spans="2:10" ht="16.8" customHeight="1" x14ac:dyDescent="0.35">
      <c r="B161" s="6" t="s">
        <v>849</v>
      </c>
      <c r="C161" s="24" t="s">
        <v>850</v>
      </c>
      <c r="D161" s="12">
        <v>12</v>
      </c>
      <c r="E161" s="12">
        <f>IF(ISBLANK(C161),"",SUMIF('SAÍDA DE VENDAS'!$G$6:$G$500, C161, 'SAÍDA DE VENDAS'!$H$6:$H$500))</f>
        <v>0</v>
      </c>
      <c r="F161" s="20">
        <f t="shared" si="6"/>
        <v>12</v>
      </c>
      <c r="G161" s="21">
        <v>69.900000000000006</v>
      </c>
      <c r="H161" s="21">
        <f t="shared" si="7"/>
        <v>838.80000000000007</v>
      </c>
      <c r="I161" s="22">
        <v>0</v>
      </c>
      <c r="J161" s="23">
        <f t="shared" si="8"/>
        <v>69.900000000000006</v>
      </c>
    </row>
    <row r="162" spans="2:10" ht="16.8" customHeight="1" x14ac:dyDescent="0.35">
      <c r="B162" s="6" t="s">
        <v>851</v>
      </c>
      <c r="C162" s="25" t="s">
        <v>852</v>
      </c>
      <c r="D162" s="11">
        <v>16</v>
      </c>
      <c r="E162" s="11">
        <f>IF(ISBLANK(C162),"",SUMIF('SAÍDA DE VENDAS'!$G$6:$G$500, C162, 'SAÍDA DE VENDAS'!$H$6:$H$500))</f>
        <v>0</v>
      </c>
      <c r="F162" s="16">
        <f t="shared" si="6"/>
        <v>16</v>
      </c>
      <c r="G162" s="17">
        <v>89.9</v>
      </c>
      <c r="H162" s="17">
        <f t="shared" si="7"/>
        <v>1438.4</v>
      </c>
      <c r="I162" s="22">
        <v>0</v>
      </c>
      <c r="J162" s="19">
        <f t="shared" si="8"/>
        <v>89.9</v>
      </c>
    </row>
    <row r="163" spans="2:10" ht="16.8" customHeight="1" x14ac:dyDescent="0.35">
      <c r="B163" s="6" t="s">
        <v>853</v>
      </c>
      <c r="C163" s="24" t="s">
        <v>50</v>
      </c>
      <c r="D163" s="12">
        <v>20</v>
      </c>
      <c r="E163" s="12">
        <f>IF(ISBLANK(C163),"",SUMIF('SAÍDA DE VENDAS'!$G$6:$G$500, C163, 'SAÍDA DE VENDAS'!$H$6:$H$500))</f>
        <v>1</v>
      </c>
      <c r="F163" s="20">
        <f t="shared" si="6"/>
        <v>19</v>
      </c>
      <c r="G163" s="21">
        <v>119.9</v>
      </c>
      <c r="H163" s="21">
        <f t="shared" si="7"/>
        <v>2278.1</v>
      </c>
      <c r="I163" s="22">
        <v>0</v>
      </c>
      <c r="J163" s="23">
        <f t="shared" si="8"/>
        <v>119.9</v>
      </c>
    </row>
    <row r="164" spans="2:10" ht="16.8" customHeight="1" x14ac:dyDescent="0.35">
      <c r="B164" s="6" t="s">
        <v>854</v>
      </c>
      <c r="C164" s="25" t="s">
        <v>25</v>
      </c>
      <c r="D164" s="11">
        <v>14</v>
      </c>
      <c r="E164" s="11">
        <f>IF(ISBLANK(C164),"",SUMIF('SAÍDA DE VENDAS'!$G$6:$G$500, C164, 'SAÍDA DE VENDAS'!$H$6:$H$500))</f>
        <v>1</v>
      </c>
      <c r="F164" s="16">
        <f t="shared" si="6"/>
        <v>13</v>
      </c>
      <c r="G164" s="17">
        <v>139.9</v>
      </c>
      <c r="H164" s="17">
        <f t="shared" si="7"/>
        <v>1818.7</v>
      </c>
      <c r="I164" s="22">
        <v>0</v>
      </c>
      <c r="J164" s="19">
        <f t="shared" si="8"/>
        <v>139.9</v>
      </c>
    </row>
    <row r="165" spans="2:10" ht="16.8" customHeight="1" x14ac:dyDescent="0.35">
      <c r="B165" s="6" t="s">
        <v>855</v>
      </c>
      <c r="C165" s="24" t="s">
        <v>856</v>
      </c>
      <c r="D165" s="12">
        <v>2</v>
      </c>
      <c r="E165" s="12">
        <f>IF(ISBLANK(C165),"",SUMIF('SAÍDA DE VENDAS'!$G$6:$G$500, C165, 'SAÍDA DE VENDAS'!$H$6:$H$500))</f>
        <v>0</v>
      </c>
      <c r="F165" s="20">
        <f t="shared" si="6"/>
        <v>2</v>
      </c>
      <c r="G165" s="21">
        <v>69.900000000000006</v>
      </c>
      <c r="H165" s="21">
        <f t="shared" si="7"/>
        <v>139.80000000000001</v>
      </c>
      <c r="I165" s="22">
        <v>0</v>
      </c>
      <c r="J165" s="23">
        <f t="shared" si="8"/>
        <v>69.900000000000006</v>
      </c>
    </row>
    <row r="166" spans="2:10" ht="16.8" customHeight="1" x14ac:dyDescent="0.35">
      <c r="B166" s="6" t="s">
        <v>857</v>
      </c>
      <c r="C166" s="25" t="s">
        <v>858</v>
      </c>
      <c r="D166" s="11">
        <v>2</v>
      </c>
      <c r="E166" s="11">
        <f>IF(ISBLANK(C166),"",SUMIF('SAÍDA DE VENDAS'!$G$6:$G$500, C166, 'SAÍDA DE VENDAS'!$H$6:$H$500))</f>
        <v>0</v>
      </c>
      <c r="F166" s="16">
        <f t="shared" si="6"/>
        <v>2</v>
      </c>
      <c r="G166" s="17">
        <v>59.9</v>
      </c>
      <c r="H166" s="17">
        <f t="shared" si="7"/>
        <v>119.8</v>
      </c>
      <c r="I166" s="22">
        <v>0</v>
      </c>
      <c r="J166" s="19">
        <f t="shared" si="8"/>
        <v>59.9</v>
      </c>
    </row>
    <row r="167" spans="2:10" ht="16.8" customHeight="1" x14ac:dyDescent="0.35">
      <c r="B167" s="6" t="s">
        <v>859</v>
      </c>
      <c r="C167" s="24" t="s">
        <v>860</v>
      </c>
      <c r="D167" s="12">
        <v>2</v>
      </c>
      <c r="E167" s="12">
        <f>IF(ISBLANK(C167),"",SUMIF('SAÍDA DE VENDAS'!$G$6:$G$500, C167, 'SAÍDA DE VENDAS'!$H$6:$H$500))</f>
        <v>0</v>
      </c>
      <c r="F167" s="20">
        <f t="shared" si="6"/>
        <v>2</v>
      </c>
      <c r="G167" s="21">
        <v>59.9</v>
      </c>
      <c r="H167" s="21">
        <f t="shared" si="7"/>
        <v>119.8</v>
      </c>
      <c r="I167" s="22">
        <v>0</v>
      </c>
      <c r="J167" s="23">
        <f t="shared" si="8"/>
        <v>59.9</v>
      </c>
    </row>
    <row r="168" spans="2:10" ht="16.8" customHeight="1" x14ac:dyDescent="0.35">
      <c r="B168" s="6" t="s">
        <v>861</v>
      </c>
      <c r="C168" s="25" t="s">
        <v>862</v>
      </c>
      <c r="D168" s="11">
        <v>23</v>
      </c>
      <c r="E168" s="11">
        <f>IF(ISBLANK(C168),"",SUMIF('SAÍDA DE VENDAS'!$G$6:$G$500, C168, 'SAÍDA DE VENDAS'!$H$6:$H$500))</f>
        <v>2</v>
      </c>
      <c r="F168" s="16">
        <f t="shared" si="6"/>
        <v>21</v>
      </c>
      <c r="G168" s="17">
        <v>45.9</v>
      </c>
      <c r="H168" s="17">
        <f t="shared" si="7"/>
        <v>963.9</v>
      </c>
      <c r="I168" s="22">
        <v>0</v>
      </c>
      <c r="J168" s="19">
        <f t="shared" si="8"/>
        <v>45.9</v>
      </c>
    </row>
    <row r="169" spans="2:10" ht="16.8" customHeight="1" x14ac:dyDescent="0.35">
      <c r="B169" s="6" t="s">
        <v>863</v>
      </c>
      <c r="C169" s="24" t="s">
        <v>864</v>
      </c>
      <c r="D169" s="12">
        <v>1</v>
      </c>
      <c r="E169" s="12">
        <f>IF(ISBLANK(C169),"",SUMIF('SAÍDA DE VENDAS'!$G$6:$G$500, C169, 'SAÍDA DE VENDAS'!$H$6:$H$500))</f>
        <v>0</v>
      </c>
      <c r="F169" s="20">
        <f t="shared" si="6"/>
        <v>1</v>
      </c>
      <c r="G169" s="21">
        <v>49.9</v>
      </c>
      <c r="H169" s="21">
        <f t="shared" si="7"/>
        <v>49.9</v>
      </c>
      <c r="I169" s="22">
        <v>0</v>
      </c>
      <c r="J169" s="23">
        <f t="shared" si="8"/>
        <v>49.9</v>
      </c>
    </row>
    <row r="170" spans="2:10" ht="16.8" customHeight="1" x14ac:dyDescent="0.35">
      <c r="B170" s="6" t="s">
        <v>865</v>
      </c>
      <c r="C170" s="25" t="s">
        <v>866</v>
      </c>
      <c r="D170" s="11">
        <v>1</v>
      </c>
      <c r="E170" s="11">
        <f>IF(ISBLANK(C170),"",SUMIF('SAÍDA DE VENDAS'!$G$6:$G$500, C170, 'SAÍDA DE VENDAS'!$H$6:$H$500))</f>
        <v>0</v>
      </c>
      <c r="F170" s="16">
        <f t="shared" si="6"/>
        <v>1</v>
      </c>
      <c r="G170" s="17">
        <v>89.9</v>
      </c>
      <c r="H170" s="17">
        <f t="shared" si="7"/>
        <v>89.9</v>
      </c>
      <c r="I170" s="22">
        <v>0</v>
      </c>
      <c r="J170" s="19">
        <f t="shared" si="8"/>
        <v>89.9</v>
      </c>
    </row>
    <row r="171" spans="2:10" ht="16.8" customHeight="1" x14ac:dyDescent="0.35">
      <c r="B171" s="6" t="s">
        <v>867</v>
      </c>
      <c r="C171" s="24" t="s">
        <v>868</v>
      </c>
      <c r="D171" s="12">
        <v>3</v>
      </c>
      <c r="E171" s="12">
        <f>IF(ISBLANK(C171),"",SUMIF('SAÍDA DE VENDAS'!$G$6:$G$500, C171, 'SAÍDA DE VENDAS'!$H$6:$H$500))</f>
        <v>0</v>
      </c>
      <c r="F171" s="20">
        <f t="shared" si="6"/>
        <v>3</v>
      </c>
      <c r="G171" s="21">
        <v>69.900000000000006</v>
      </c>
      <c r="H171" s="21">
        <f t="shared" si="7"/>
        <v>209.70000000000002</v>
      </c>
      <c r="I171" s="22">
        <v>0</v>
      </c>
      <c r="J171" s="23">
        <f t="shared" si="8"/>
        <v>69.900000000000006</v>
      </c>
    </row>
    <row r="172" spans="2:10" ht="16.8" customHeight="1" x14ac:dyDescent="0.35">
      <c r="B172" s="6" t="s">
        <v>869</v>
      </c>
      <c r="C172" s="25" t="s">
        <v>870</v>
      </c>
      <c r="D172" s="11">
        <v>3</v>
      </c>
      <c r="E172" s="11">
        <f>IF(ISBLANK(C172),"",SUMIF('SAÍDA DE VENDAS'!$G$6:$G$500, C172, 'SAÍDA DE VENDAS'!$H$6:$H$500))</f>
        <v>0</v>
      </c>
      <c r="F172" s="16">
        <f t="shared" si="6"/>
        <v>3</v>
      </c>
      <c r="G172" s="17">
        <v>59.9</v>
      </c>
      <c r="H172" s="17">
        <f t="shared" si="7"/>
        <v>179.7</v>
      </c>
      <c r="I172" s="22">
        <v>0</v>
      </c>
      <c r="J172" s="19">
        <f t="shared" si="8"/>
        <v>59.9</v>
      </c>
    </row>
    <row r="173" spans="2:10" ht="16.8" customHeight="1" x14ac:dyDescent="0.35">
      <c r="B173" s="6" t="s">
        <v>871</v>
      </c>
      <c r="C173" s="24" t="s">
        <v>872</v>
      </c>
      <c r="D173" s="12">
        <v>4</v>
      </c>
      <c r="E173" s="12">
        <f>IF(ISBLANK(C173),"",SUMIF('SAÍDA DE VENDAS'!$G$6:$G$500, C173, 'SAÍDA DE VENDAS'!$H$6:$H$500))</f>
        <v>0</v>
      </c>
      <c r="F173" s="20">
        <f t="shared" si="6"/>
        <v>4</v>
      </c>
      <c r="G173" s="21">
        <v>79.900000000000006</v>
      </c>
      <c r="H173" s="21">
        <f t="shared" si="7"/>
        <v>319.60000000000002</v>
      </c>
      <c r="I173" s="22">
        <v>0</v>
      </c>
      <c r="J173" s="23">
        <f t="shared" si="8"/>
        <v>79.900000000000006</v>
      </c>
    </row>
    <row r="174" spans="2:10" ht="16.8" customHeight="1" x14ac:dyDescent="0.35">
      <c r="B174" s="6" t="s">
        <v>873</v>
      </c>
      <c r="C174" s="25" t="s">
        <v>874</v>
      </c>
      <c r="D174" s="11">
        <v>2</v>
      </c>
      <c r="E174" s="11">
        <f>IF(ISBLANK(C174),"",SUMIF('SAÍDA DE VENDAS'!$G$6:$G$500, C174, 'SAÍDA DE VENDAS'!$H$6:$H$500))</f>
        <v>0</v>
      </c>
      <c r="F174" s="16">
        <f t="shared" si="6"/>
        <v>2</v>
      </c>
      <c r="G174" s="17">
        <v>59.9</v>
      </c>
      <c r="H174" s="17">
        <f t="shared" si="7"/>
        <v>119.8</v>
      </c>
      <c r="I174" s="22">
        <v>0</v>
      </c>
      <c r="J174" s="19">
        <f t="shared" si="8"/>
        <v>59.9</v>
      </c>
    </row>
    <row r="175" spans="2:10" ht="16.8" customHeight="1" x14ac:dyDescent="0.35">
      <c r="B175" s="6" t="s">
        <v>875</v>
      </c>
      <c r="C175" s="24" t="s">
        <v>876</v>
      </c>
      <c r="D175" s="12">
        <v>4</v>
      </c>
      <c r="E175" s="12">
        <f>IF(ISBLANK(C175),"",SUMIF('SAÍDA DE VENDAS'!$G$6:$G$500, C175, 'SAÍDA DE VENDAS'!$H$6:$H$500))</f>
        <v>0</v>
      </c>
      <c r="F175" s="20">
        <f t="shared" si="6"/>
        <v>4</v>
      </c>
      <c r="G175" s="21">
        <v>69.900000000000006</v>
      </c>
      <c r="H175" s="21">
        <f t="shared" si="7"/>
        <v>279.60000000000002</v>
      </c>
      <c r="I175" s="22">
        <v>0</v>
      </c>
      <c r="J175" s="23">
        <f t="shared" si="8"/>
        <v>69.900000000000006</v>
      </c>
    </row>
    <row r="176" spans="2:10" ht="16.8" customHeight="1" x14ac:dyDescent="0.35">
      <c r="B176" s="6" t="s">
        <v>877</v>
      </c>
      <c r="C176" s="25" t="s">
        <v>878</v>
      </c>
      <c r="D176" s="11">
        <v>2</v>
      </c>
      <c r="E176" s="11">
        <f>IF(ISBLANK(C176),"",SUMIF('SAÍDA DE VENDAS'!$G$6:$G$500, C176, 'SAÍDA DE VENDAS'!$H$6:$H$500))</f>
        <v>0</v>
      </c>
      <c r="F176" s="16">
        <f t="shared" si="6"/>
        <v>2</v>
      </c>
      <c r="G176" s="17">
        <v>49.9</v>
      </c>
      <c r="H176" s="17">
        <f t="shared" si="7"/>
        <v>99.8</v>
      </c>
      <c r="I176" s="22">
        <v>0</v>
      </c>
      <c r="J176" s="19">
        <f t="shared" si="8"/>
        <v>49.9</v>
      </c>
    </row>
    <row r="177" spans="2:10" ht="16.8" customHeight="1" x14ac:dyDescent="0.35">
      <c r="B177" s="6" t="s">
        <v>879</v>
      </c>
      <c r="C177" s="24" t="s">
        <v>880</v>
      </c>
      <c r="D177" s="12">
        <v>1</v>
      </c>
      <c r="E177" s="12">
        <f>IF(ISBLANK(C177),"",SUMIF('SAÍDA DE VENDAS'!$G$6:$G$500, C177, 'SAÍDA DE VENDAS'!$H$6:$H$500))</f>
        <v>0</v>
      </c>
      <c r="F177" s="20">
        <f t="shared" si="6"/>
        <v>1</v>
      </c>
      <c r="G177" s="21">
        <v>59.9</v>
      </c>
      <c r="H177" s="21">
        <f t="shared" si="7"/>
        <v>59.9</v>
      </c>
      <c r="I177" s="22">
        <v>0</v>
      </c>
      <c r="J177" s="23">
        <f t="shared" si="8"/>
        <v>59.9</v>
      </c>
    </row>
    <row r="178" spans="2:10" ht="16.8" customHeight="1" x14ac:dyDescent="0.35">
      <c r="B178" s="6" t="s">
        <v>881</v>
      </c>
      <c r="C178" s="25" t="s">
        <v>882</v>
      </c>
      <c r="D178" s="11">
        <v>3</v>
      </c>
      <c r="E178" s="11">
        <f>IF(ISBLANK(C178),"",SUMIF('SAÍDA DE VENDAS'!$G$6:$G$500, C178, 'SAÍDA DE VENDAS'!$H$6:$H$500))</f>
        <v>0</v>
      </c>
      <c r="F178" s="16">
        <f t="shared" si="6"/>
        <v>3</v>
      </c>
      <c r="G178" s="17">
        <v>25.9</v>
      </c>
      <c r="H178" s="17">
        <f t="shared" si="7"/>
        <v>77.699999999999989</v>
      </c>
      <c r="I178" s="22">
        <v>0</v>
      </c>
      <c r="J178" s="19">
        <f t="shared" si="8"/>
        <v>25.9</v>
      </c>
    </row>
    <row r="179" spans="2:10" ht="16.8" customHeight="1" x14ac:dyDescent="0.35">
      <c r="B179" s="6" t="s">
        <v>883</v>
      </c>
      <c r="C179" s="24" t="s">
        <v>884</v>
      </c>
      <c r="D179" s="12">
        <v>2</v>
      </c>
      <c r="E179" s="12">
        <f>IF(ISBLANK(C179),"",SUMIF('SAÍDA DE VENDAS'!$G$6:$G$500, C179, 'SAÍDA DE VENDAS'!$H$6:$H$500))</f>
        <v>0</v>
      </c>
      <c r="F179" s="20">
        <f t="shared" si="6"/>
        <v>2</v>
      </c>
      <c r="G179" s="21">
        <v>29.9</v>
      </c>
      <c r="H179" s="21">
        <f t="shared" si="7"/>
        <v>59.8</v>
      </c>
      <c r="I179" s="22">
        <v>0</v>
      </c>
      <c r="J179" s="23">
        <f t="shared" si="8"/>
        <v>29.9</v>
      </c>
    </row>
    <row r="180" spans="2:10" ht="16.8" customHeight="1" x14ac:dyDescent="0.35">
      <c r="B180" s="6" t="s">
        <v>885</v>
      </c>
      <c r="C180" s="25" t="s">
        <v>886</v>
      </c>
      <c r="D180" s="11">
        <v>1</v>
      </c>
      <c r="E180" s="11">
        <f>IF(ISBLANK(C180),"",SUMIF('SAÍDA DE VENDAS'!$G$6:$G$500, C180, 'SAÍDA DE VENDAS'!$H$6:$H$500))</f>
        <v>0</v>
      </c>
      <c r="F180" s="16">
        <f t="shared" si="6"/>
        <v>1</v>
      </c>
      <c r="G180" s="17">
        <v>39.9</v>
      </c>
      <c r="H180" s="17">
        <f t="shared" si="7"/>
        <v>39.9</v>
      </c>
      <c r="I180" s="22">
        <v>0</v>
      </c>
      <c r="J180" s="19">
        <f t="shared" si="8"/>
        <v>39.9</v>
      </c>
    </row>
    <row r="181" spans="2:10" ht="16.8" customHeight="1" x14ac:dyDescent="0.35">
      <c r="B181" s="6" t="s">
        <v>887</v>
      </c>
      <c r="C181" s="24" t="s">
        <v>888</v>
      </c>
      <c r="D181" s="12">
        <v>2</v>
      </c>
      <c r="E181" s="12">
        <f>IF(ISBLANK(C181),"",SUMIF('SAÍDA DE VENDAS'!$G$6:$G$500, C181, 'SAÍDA DE VENDAS'!$H$6:$H$500))</f>
        <v>0</v>
      </c>
      <c r="F181" s="20">
        <f t="shared" si="6"/>
        <v>2</v>
      </c>
      <c r="G181" s="21">
        <v>14.9</v>
      </c>
      <c r="H181" s="21">
        <f t="shared" si="7"/>
        <v>29.8</v>
      </c>
      <c r="I181" s="22">
        <v>0</v>
      </c>
      <c r="J181" s="23">
        <f t="shared" si="8"/>
        <v>14.9</v>
      </c>
    </row>
    <row r="182" spans="2:10" ht="16.8" customHeight="1" x14ac:dyDescent="0.35">
      <c r="B182" s="6" t="s">
        <v>889</v>
      </c>
      <c r="C182" s="25" t="s">
        <v>890</v>
      </c>
      <c r="D182" s="11">
        <v>3</v>
      </c>
      <c r="E182" s="11">
        <f>IF(ISBLANK(C182),"",SUMIF('SAÍDA DE VENDAS'!$G$6:$G$500, C182, 'SAÍDA DE VENDAS'!$H$6:$H$500))</f>
        <v>0</v>
      </c>
      <c r="F182" s="16">
        <f t="shared" si="6"/>
        <v>3</v>
      </c>
      <c r="G182" s="17">
        <v>59.9</v>
      </c>
      <c r="H182" s="17">
        <f t="shared" si="7"/>
        <v>179.7</v>
      </c>
      <c r="I182" s="22">
        <v>0</v>
      </c>
      <c r="J182" s="19">
        <f t="shared" si="8"/>
        <v>59.9</v>
      </c>
    </row>
    <row r="183" spans="2:10" ht="16.8" customHeight="1" x14ac:dyDescent="0.35">
      <c r="B183" s="6" t="s">
        <v>891</v>
      </c>
      <c r="C183" s="24" t="s">
        <v>892</v>
      </c>
      <c r="D183" s="12">
        <v>2</v>
      </c>
      <c r="E183" s="12">
        <f>IF(ISBLANK(C183),"",SUMIF('SAÍDA DE VENDAS'!$G$6:$G$500, C183, 'SAÍDA DE VENDAS'!$H$6:$H$500))</f>
        <v>0</v>
      </c>
      <c r="F183" s="20">
        <f t="shared" si="6"/>
        <v>2</v>
      </c>
      <c r="G183" s="21">
        <v>39.9</v>
      </c>
      <c r="H183" s="21">
        <f t="shared" si="7"/>
        <v>79.8</v>
      </c>
      <c r="I183" s="22">
        <v>0</v>
      </c>
      <c r="J183" s="23">
        <f t="shared" si="8"/>
        <v>39.9</v>
      </c>
    </row>
    <row r="184" spans="2:10" ht="16.8" customHeight="1" x14ac:dyDescent="0.35">
      <c r="B184" s="6" t="s">
        <v>893</v>
      </c>
      <c r="C184" s="25" t="s">
        <v>894</v>
      </c>
      <c r="D184" s="11">
        <v>4</v>
      </c>
      <c r="E184" s="11">
        <f>IF(ISBLANK(C184),"",SUMIF('SAÍDA DE VENDAS'!$G$6:$G$500, C184, 'SAÍDA DE VENDAS'!$H$6:$H$500))</f>
        <v>1</v>
      </c>
      <c r="F184" s="16">
        <f t="shared" si="6"/>
        <v>3</v>
      </c>
      <c r="G184" s="17">
        <v>39.9</v>
      </c>
      <c r="H184" s="17">
        <f t="shared" si="7"/>
        <v>119.69999999999999</v>
      </c>
      <c r="I184" s="22">
        <v>0</v>
      </c>
      <c r="J184" s="19">
        <f t="shared" si="8"/>
        <v>39.9</v>
      </c>
    </row>
    <row r="185" spans="2:10" ht="16.8" customHeight="1" x14ac:dyDescent="0.35">
      <c r="B185" s="6" t="s">
        <v>895</v>
      </c>
      <c r="C185" s="24" t="s">
        <v>896</v>
      </c>
      <c r="D185" s="12">
        <v>2</v>
      </c>
      <c r="E185" s="12">
        <f>IF(ISBLANK(C185),"",SUMIF('SAÍDA DE VENDAS'!$G$6:$G$500, C185, 'SAÍDA DE VENDAS'!$H$6:$H$500))</f>
        <v>0</v>
      </c>
      <c r="F185" s="20">
        <f t="shared" si="6"/>
        <v>2</v>
      </c>
      <c r="G185" s="21">
        <v>49.9</v>
      </c>
      <c r="H185" s="21">
        <f t="shared" si="7"/>
        <v>99.8</v>
      </c>
      <c r="I185" s="22">
        <v>0</v>
      </c>
      <c r="J185" s="23">
        <f t="shared" si="8"/>
        <v>49.9</v>
      </c>
    </row>
    <row r="186" spans="2:10" ht="16.8" customHeight="1" x14ac:dyDescent="0.35">
      <c r="B186" s="6" t="s">
        <v>897</v>
      </c>
      <c r="C186" s="25" t="s">
        <v>898</v>
      </c>
      <c r="D186" s="11">
        <v>1</v>
      </c>
      <c r="E186" s="11">
        <f>IF(ISBLANK(C186),"",SUMIF('SAÍDA DE VENDAS'!$G$6:$G$500, C186, 'SAÍDA DE VENDAS'!$H$6:$H$500))</f>
        <v>0</v>
      </c>
      <c r="F186" s="16">
        <f t="shared" si="6"/>
        <v>1</v>
      </c>
      <c r="G186" s="17">
        <v>59.9</v>
      </c>
      <c r="H186" s="17">
        <f t="shared" si="7"/>
        <v>59.9</v>
      </c>
      <c r="I186" s="22">
        <v>0</v>
      </c>
      <c r="J186" s="19">
        <f t="shared" si="8"/>
        <v>59.9</v>
      </c>
    </row>
    <row r="187" spans="2:10" ht="16.8" customHeight="1" x14ac:dyDescent="0.35">
      <c r="B187" s="6" t="s">
        <v>899</v>
      </c>
      <c r="C187" s="24" t="s">
        <v>900</v>
      </c>
      <c r="D187" s="12">
        <v>1</v>
      </c>
      <c r="E187" s="12">
        <f>IF(ISBLANK(C187),"",SUMIF('SAÍDA DE VENDAS'!$G$6:$G$500, C187, 'SAÍDA DE VENDAS'!$H$6:$H$500))</f>
        <v>0</v>
      </c>
      <c r="F187" s="20">
        <f t="shared" si="6"/>
        <v>1</v>
      </c>
      <c r="G187" s="21">
        <v>209.9</v>
      </c>
      <c r="H187" s="21">
        <f t="shared" si="7"/>
        <v>209.9</v>
      </c>
      <c r="I187" s="22">
        <v>0</v>
      </c>
      <c r="J187" s="23">
        <f t="shared" si="8"/>
        <v>209.9</v>
      </c>
    </row>
    <row r="188" spans="2:10" ht="16.8" customHeight="1" x14ac:dyDescent="0.35">
      <c r="B188" s="6" t="s">
        <v>901</v>
      </c>
      <c r="C188" s="25" t="s">
        <v>902</v>
      </c>
      <c r="D188" s="11">
        <v>5</v>
      </c>
      <c r="E188" s="11">
        <f>IF(ISBLANK(C188),"",SUMIF('SAÍDA DE VENDAS'!$G$6:$G$500, C188, 'SAÍDA DE VENDAS'!$H$6:$H$500))</f>
        <v>0</v>
      </c>
      <c r="F188" s="16">
        <f t="shared" si="6"/>
        <v>5</v>
      </c>
      <c r="G188" s="17">
        <v>239.9</v>
      </c>
      <c r="H188" s="17">
        <f t="shared" si="7"/>
        <v>1199.5</v>
      </c>
      <c r="I188" s="22">
        <v>0</v>
      </c>
      <c r="J188" s="19">
        <f t="shared" si="8"/>
        <v>239.9</v>
      </c>
    </row>
    <row r="189" spans="2:10" ht="16.8" customHeight="1" x14ac:dyDescent="0.35">
      <c r="B189" s="6" t="s">
        <v>903</v>
      </c>
      <c r="C189" s="24" t="s">
        <v>904</v>
      </c>
      <c r="D189" s="12">
        <v>3</v>
      </c>
      <c r="E189" s="12">
        <f>IF(ISBLANK(C189),"",SUMIF('SAÍDA DE VENDAS'!$G$6:$G$500, C189, 'SAÍDA DE VENDAS'!$H$6:$H$500))</f>
        <v>0</v>
      </c>
      <c r="F189" s="20">
        <f t="shared" si="6"/>
        <v>3</v>
      </c>
      <c r="G189" s="21">
        <v>159.9</v>
      </c>
      <c r="H189" s="21">
        <f t="shared" si="7"/>
        <v>479.70000000000005</v>
      </c>
      <c r="I189" s="22">
        <v>0</v>
      </c>
      <c r="J189" s="23">
        <f t="shared" si="8"/>
        <v>159.9</v>
      </c>
    </row>
    <row r="190" spans="2:10" ht="16.8" customHeight="1" x14ac:dyDescent="0.35">
      <c r="B190" s="6" t="s">
        <v>905</v>
      </c>
      <c r="C190" s="25" t="s">
        <v>906</v>
      </c>
      <c r="D190" s="11">
        <v>4</v>
      </c>
      <c r="E190" s="11">
        <f>IF(ISBLANK(C190),"",SUMIF('SAÍDA DE VENDAS'!$G$6:$G$500, C190, 'SAÍDA DE VENDAS'!$H$6:$H$500))</f>
        <v>0</v>
      </c>
      <c r="F190" s="16">
        <f t="shared" si="6"/>
        <v>4</v>
      </c>
      <c r="G190" s="17">
        <v>89.9</v>
      </c>
      <c r="H190" s="17">
        <f t="shared" si="7"/>
        <v>359.6</v>
      </c>
      <c r="I190" s="22">
        <v>0</v>
      </c>
      <c r="J190" s="19">
        <f t="shared" si="8"/>
        <v>89.9</v>
      </c>
    </row>
    <row r="191" spans="2:10" ht="16.8" customHeight="1" x14ac:dyDescent="0.35">
      <c r="B191" s="6" t="s">
        <v>907</v>
      </c>
      <c r="C191" s="24" t="s">
        <v>908</v>
      </c>
      <c r="D191" s="12">
        <v>1</v>
      </c>
      <c r="E191" s="12">
        <f>IF(ISBLANK(C191),"",SUMIF('SAÍDA DE VENDAS'!$G$6:$G$500, C191, 'SAÍDA DE VENDAS'!$H$6:$H$500))</f>
        <v>0</v>
      </c>
      <c r="F191" s="20">
        <f t="shared" si="6"/>
        <v>1</v>
      </c>
      <c r="G191" s="21">
        <v>89.9</v>
      </c>
      <c r="H191" s="21">
        <f t="shared" si="7"/>
        <v>89.9</v>
      </c>
      <c r="I191" s="22">
        <v>0</v>
      </c>
      <c r="J191" s="23">
        <f t="shared" si="8"/>
        <v>89.9</v>
      </c>
    </row>
    <row r="192" spans="2:10" ht="16.8" customHeight="1" x14ac:dyDescent="0.35">
      <c r="B192" s="6" t="s">
        <v>909</v>
      </c>
      <c r="C192" s="25" t="s">
        <v>910</v>
      </c>
      <c r="D192" s="11">
        <v>1</v>
      </c>
      <c r="E192" s="11">
        <f>IF(ISBLANK(C192),"",SUMIF('SAÍDA DE VENDAS'!$G$6:$G$500, C192, 'SAÍDA DE VENDAS'!$H$6:$H$500))</f>
        <v>0</v>
      </c>
      <c r="F192" s="16">
        <f t="shared" si="6"/>
        <v>1</v>
      </c>
      <c r="G192" s="17">
        <v>109.9</v>
      </c>
      <c r="H192" s="17">
        <f t="shared" si="7"/>
        <v>109.9</v>
      </c>
      <c r="I192" s="22">
        <v>0</v>
      </c>
      <c r="J192" s="19">
        <f t="shared" si="8"/>
        <v>109.9</v>
      </c>
    </row>
    <row r="193" spans="2:10" ht="16.8" customHeight="1" x14ac:dyDescent="0.35">
      <c r="B193" s="6" t="s">
        <v>911</v>
      </c>
      <c r="C193" s="24" t="s">
        <v>912</v>
      </c>
      <c r="D193" s="12">
        <v>1</v>
      </c>
      <c r="E193" s="12">
        <f>IF(ISBLANK(C193),"",SUMIF('SAÍDA DE VENDAS'!$G$6:$G$500, C193, 'SAÍDA DE VENDAS'!$H$6:$H$500))</f>
        <v>0</v>
      </c>
      <c r="F193" s="20">
        <f t="shared" si="6"/>
        <v>1</v>
      </c>
      <c r="G193" s="21">
        <v>129.9</v>
      </c>
      <c r="H193" s="21">
        <f t="shared" si="7"/>
        <v>129.9</v>
      </c>
      <c r="I193" s="22">
        <v>0</v>
      </c>
      <c r="J193" s="23">
        <f t="shared" si="8"/>
        <v>129.9</v>
      </c>
    </row>
    <row r="194" spans="2:10" ht="16.8" customHeight="1" x14ac:dyDescent="0.35">
      <c r="B194" s="6" t="s">
        <v>913</v>
      </c>
      <c r="C194" s="25" t="s">
        <v>914</v>
      </c>
      <c r="D194" s="11">
        <v>2</v>
      </c>
      <c r="E194" s="11">
        <f>IF(ISBLANK(C194),"",SUMIF('SAÍDA DE VENDAS'!$G$6:$G$500, C194, 'SAÍDA DE VENDAS'!$H$6:$H$500))</f>
        <v>0</v>
      </c>
      <c r="F194" s="16">
        <f t="shared" si="6"/>
        <v>2</v>
      </c>
      <c r="G194" s="17">
        <v>69.900000000000006</v>
      </c>
      <c r="H194" s="17">
        <f t="shared" si="7"/>
        <v>139.80000000000001</v>
      </c>
      <c r="I194" s="22">
        <v>0</v>
      </c>
      <c r="J194" s="19">
        <f t="shared" si="8"/>
        <v>69.900000000000006</v>
      </c>
    </row>
    <row r="195" spans="2:10" ht="16.8" customHeight="1" x14ac:dyDescent="0.35">
      <c r="B195" s="6" t="s">
        <v>915</v>
      </c>
      <c r="C195" s="24" t="s">
        <v>916</v>
      </c>
      <c r="D195" s="12">
        <v>1</v>
      </c>
      <c r="E195" s="12">
        <f>IF(ISBLANK(C195),"",SUMIF('SAÍDA DE VENDAS'!$G$6:$G$500, C195, 'SAÍDA DE VENDAS'!$H$6:$H$500))</f>
        <v>1</v>
      </c>
      <c r="F195" s="20">
        <f t="shared" si="6"/>
        <v>0</v>
      </c>
      <c r="G195" s="21">
        <v>139.9</v>
      </c>
      <c r="H195" s="21">
        <f t="shared" si="7"/>
        <v>0</v>
      </c>
      <c r="I195" s="22">
        <v>0</v>
      </c>
      <c r="J195" s="23">
        <f t="shared" si="8"/>
        <v>139.9</v>
      </c>
    </row>
    <row r="196" spans="2:10" ht="16.8" customHeight="1" x14ac:dyDescent="0.35">
      <c r="B196" s="6" t="s">
        <v>917</v>
      </c>
      <c r="C196" s="25" t="s">
        <v>918</v>
      </c>
      <c r="D196" s="11">
        <v>2</v>
      </c>
      <c r="E196" s="11">
        <f>IF(ISBLANK(C196),"",SUMIF('SAÍDA DE VENDAS'!$G$6:$G$500, C196, 'SAÍDA DE VENDAS'!$H$6:$H$500))</f>
        <v>0</v>
      </c>
      <c r="F196" s="16">
        <f t="shared" si="6"/>
        <v>2</v>
      </c>
      <c r="G196" s="17">
        <v>139.9</v>
      </c>
      <c r="H196" s="17">
        <f t="shared" si="7"/>
        <v>279.8</v>
      </c>
      <c r="I196" s="22">
        <v>0</v>
      </c>
      <c r="J196" s="19">
        <f t="shared" si="8"/>
        <v>139.9</v>
      </c>
    </row>
    <row r="197" spans="2:10" ht="16.8" customHeight="1" x14ac:dyDescent="0.35">
      <c r="B197" s="6" t="s">
        <v>919</v>
      </c>
      <c r="C197" s="24" t="s">
        <v>920</v>
      </c>
      <c r="D197" s="12">
        <v>1</v>
      </c>
      <c r="E197" s="12">
        <f>IF(ISBLANK(C197),"",SUMIF('SAÍDA DE VENDAS'!$G$6:$G$500, C197, 'SAÍDA DE VENDAS'!$H$6:$H$500))</f>
        <v>0</v>
      </c>
      <c r="F197" s="20">
        <f t="shared" si="6"/>
        <v>1</v>
      </c>
      <c r="G197" s="21">
        <v>109.9</v>
      </c>
      <c r="H197" s="21">
        <f t="shared" si="7"/>
        <v>109.9</v>
      </c>
      <c r="I197" s="22">
        <v>0</v>
      </c>
      <c r="J197" s="23">
        <f t="shared" si="8"/>
        <v>109.9</v>
      </c>
    </row>
    <row r="198" spans="2:10" ht="16.8" customHeight="1" x14ac:dyDescent="0.35">
      <c r="B198" s="6" t="s">
        <v>921</v>
      </c>
      <c r="C198" s="25" t="s">
        <v>28</v>
      </c>
      <c r="D198" s="11">
        <v>1</v>
      </c>
      <c r="E198" s="11">
        <f>IF(ISBLANK(C198),"",SUMIF('SAÍDA DE VENDAS'!$G$6:$G$500, C198, 'SAÍDA DE VENDAS'!$H$6:$H$500))</f>
        <v>1</v>
      </c>
      <c r="F198" s="16">
        <f t="shared" ref="F198:F261" si="9">IF(ISBLANK(C198),"", D198-E198)</f>
        <v>0</v>
      </c>
      <c r="G198" s="17">
        <v>149.9</v>
      </c>
      <c r="H198" s="17">
        <f t="shared" ref="H198:H261" si="10">IF(OR(ISBLANK(F198),ISBLANK(G198)), "", F198*G198)</f>
        <v>0</v>
      </c>
      <c r="I198" s="22">
        <v>0</v>
      </c>
      <c r="J198" s="19">
        <f t="shared" ref="J198:J261" si="11">IF(OR(ISBLANK(G198),ISBLANK(I198)), "", G198*(1+I198))</f>
        <v>149.9</v>
      </c>
    </row>
    <row r="199" spans="2:10" ht="16.8" customHeight="1" x14ac:dyDescent="0.35">
      <c r="B199" s="6" t="s">
        <v>922</v>
      </c>
      <c r="C199" s="24" t="s">
        <v>923</v>
      </c>
      <c r="D199" s="12">
        <v>5</v>
      </c>
      <c r="E199" s="12">
        <f>IF(ISBLANK(C199),"",SUMIF('SAÍDA DE VENDAS'!$G$6:$G$500, C199, 'SAÍDA DE VENDAS'!$H$6:$H$500))</f>
        <v>0</v>
      </c>
      <c r="F199" s="20">
        <f t="shared" si="9"/>
        <v>5</v>
      </c>
      <c r="G199" s="21">
        <v>129.9</v>
      </c>
      <c r="H199" s="21">
        <f t="shared" si="10"/>
        <v>649.5</v>
      </c>
      <c r="I199" s="22">
        <v>0</v>
      </c>
      <c r="J199" s="23">
        <f t="shared" si="11"/>
        <v>129.9</v>
      </c>
    </row>
    <row r="200" spans="2:10" ht="16.8" customHeight="1" x14ac:dyDescent="0.35">
      <c r="B200" s="6" t="s">
        <v>924</v>
      </c>
      <c r="C200" s="25" t="s">
        <v>925</v>
      </c>
      <c r="D200" s="11">
        <v>1</v>
      </c>
      <c r="E200" s="11">
        <f>IF(ISBLANK(C200),"",SUMIF('SAÍDA DE VENDAS'!$G$6:$G$500, C200, 'SAÍDA DE VENDAS'!$H$6:$H$500))</f>
        <v>0</v>
      </c>
      <c r="F200" s="16">
        <f t="shared" si="9"/>
        <v>1</v>
      </c>
      <c r="G200" s="17">
        <v>129.9</v>
      </c>
      <c r="H200" s="17">
        <f t="shared" si="10"/>
        <v>129.9</v>
      </c>
      <c r="I200" s="22">
        <v>0</v>
      </c>
      <c r="J200" s="19">
        <f t="shared" si="11"/>
        <v>129.9</v>
      </c>
    </row>
    <row r="201" spans="2:10" ht="16.8" customHeight="1" x14ac:dyDescent="0.35">
      <c r="B201" s="6" t="s">
        <v>926</v>
      </c>
      <c r="C201" s="24" t="s">
        <v>927</v>
      </c>
      <c r="D201" s="12">
        <v>2</v>
      </c>
      <c r="E201" s="12">
        <f>IF(ISBLANK(C201),"",SUMIF('SAÍDA DE VENDAS'!$G$6:$G$500, C201, 'SAÍDA DE VENDAS'!$H$6:$H$500))</f>
        <v>0</v>
      </c>
      <c r="F201" s="20">
        <f t="shared" si="9"/>
        <v>2</v>
      </c>
      <c r="G201" s="21">
        <v>239.9</v>
      </c>
      <c r="H201" s="21">
        <f t="shared" si="10"/>
        <v>479.8</v>
      </c>
      <c r="I201" s="22">
        <v>0</v>
      </c>
      <c r="J201" s="23">
        <f t="shared" si="11"/>
        <v>239.9</v>
      </c>
    </row>
    <row r="202" spans="2:10" ht="16.8" customHeight="1" x14ac:dyDescent="0.35">
      <c r="B202" s="6" t="s">
        <v>928</v>
      </c>
      <c r="C202" s="25" t="s">
        <v>929</v>
      </c>
      <c r="D202" s="11">
        <v>6</v>
      </c>
      <c r="E202" s="11">
        <f>IF(ISBLANK(C202),"",SUMIF('SAÍDA DE VENDAS'!$G$6:$G$500, C202, 'SAÍDA DE VENDAS'!$H$6:$H$500))</f>
        <v>6</v>
      </c>
      <c r="F202" s="16">
        <f t="shared" si="9"/>
        <v>0</v>
      </c>
      <c r="G202" s="17">
        <v>69.900000000000006</v>
      </c>
      <c r="H202" s="17">
        <f t="shared" si="10"/>
        <v>0</v>
      </c>
      <c r="I202" s="22">
        <v>0</v>
      </c>
      <c r="J202" s="19">
        <f t="shared" si="11"/>
        <v>69.900000000000006</v>
      </c>
    </row>
    <row r="203" spans="2:10" ht="16.8" customHeight="1" x14ac:dyDescent="0.35">
      <c r="B203" s="6" t="s">
        <v>930</v>
      </c>
      <c r="C203" s="24" t="s">
        <v>931</v>
      </c>
      <c r="D203" s="12">
        <v>7</v>
      </c>
      <c r="E203" s="12">
        <f>IF(ISBLANK(C203),"",SUMIF('SAÍDA DE VENDAS'!$G$6:$G$500, C203, 'SAÍDA DE VENDAS'!$H$6:$H$500))</f>
        <v>0</v>
      </c>
      <c r="F203" s="20">
        <f t="shared" si="9"/>
        <v>7</v>
      </c>
      <c r="G203" s="21">
        <v>149.9</v>
      </c>
      <c r="H203" s="21">
        <f t="shared" si="10"/>
        <v>1049.3</v>
      </c>
      <c r="I203" s="22">
        <v>0</v>
      </c>
      <c r="J203" s="23">
        <f t="shared" si="11"/>
        <v>149.9</v>
      </c>
    </row>
    <row r="204" spans="2:10" ht="16.8" customHeight="1" x14ac:dyDescent="0.35">
      <c r="B204" s="6" t="s">
        <v>932</v>
      </c>
      <c r="C204" s="25" t="s">
        <v>933</v>
      </c>
      <c r="D204" s="11">
        <v>14</v>
      </c>
      <c r="E204" s="11">
        <f>IF(ISBLANK(C204),"",SUMIF('SAÍDA DE VENDAS'!$G$6:$G$500, C204, 'SAÍDA DE VENDAS'!$H$6:$H$500))</f>
        <v>0</v>
      </c>
      <c r="F204" s="16">
        <f t="shared" si="9"/>
        <v>14</v>
      </c>
      <c r="G204" s="17">
        <v>129.9</v>
      </c>
      <c r="H204" s="17">
        <f t="shared" si="10"/>
        <v>1818.6000000000001</v>
      </c>
      <c r="I204" s="22">
        <v>0</v>
      </c>
      <c r="J204" s="19">
        <f t="shared" si="11"/>
        <v>129.9</v>
      </c>
    </row>
    <row r="205" spans="2:10" ht="16.8" customHeight="1" x14ac:dyDescent="0.35">
      <c r="B205" s="6" t="s">
        <v>934</v>
      </c>
      <c r="C205" s="24" t="s">
        <v>935</v>
      </c>
      <c r="D205" s="12">
        <v>2</v>
      </c>
      <c r="E205" s="12">
        <f>IF(ISBLANK(C205),"",SUMIF('SAÍDA DE VENDAS'!$G$6:$G$500, C205, 'SAÍDA DE VENDAS'!$H$6:$H$500))</f>
        <v>0</v>
      </c>
      <c r="F205" s="20">
        <f t="shared" si="9"/>
        <v>2</v>
      </c>
      <c r="G205" s="21">
        <v>169.9</v>
      </c>
      <c r="H205" s="21">
        <f t="shared" si="10"/>
        <v>339.8</v>
      </c>
      <c r="I205" s="22">
        <v>0</v>
      </c>
      <c r="J205" s="23">
        <f t="shared" si="11"/>
        <v>169.9</v>
      </c>
    </row>
    <row r="206" spans="2:10" ht="16.8" customHeight="1" x14ac:dyDescent="0.35">
      <c r="B206" s="6" t="s">
        <v>936</v>
      </c>
      <c r="C206" s="24" t="s">
        <v>937</v>
      </c>
      <c r="D206" s="11">
        <v>2</v>
      </c>
      <c r="E206" s="11">
        <f>IF(ISBLANK(C206),"",SUMIF('SAÍDA DE VENDAS'!$G$6:$G$500, C206, 'SAÍDA DE VENDAS'!$H$6:$H$500))</f>
        <v>0</v>
      </c>
      <c r="F206" s="16">
        <f t="shared" si="9"/>
        <v>2</v>
      </c>
      <c r="G206" s="17">
        <v>169.9</v>
      </c>
      <c r="H206" s="17">
        <f t="shared" si="10"/>
        <v>339.8</v>
      </c>
      <c r="I206" s="22">
        <v>0</v>
      </c>
      <c r="J206" s="19">
        <f t="shared" si="11"/>
        <v>169.9</v>
      </c>
    </row>
    <row r="207" spans="2:10" ht="16.8" customHeight="1" x14ac:dyDescent="0.35">
      <c r="B207" s="6" t="s">
        <v>938</v>
      </c>
      <c r="C207" s="24" t="s">
        <v>939</v>
      </c>
      <c r="D207" s="12">
        <v>1</v>
      </c>
      <c r="E207" s="12">
        <f>IF(ISBLANK(C207),"",SUMIF('SAÍDA DE VENDAS'!$G$6:$G$500, C207, 'SAÍDA DE VENDAS'!$H$6:$H$500))</f>
        <v>0</v>
      </c>
      <c r="F207" s="20">
        <f t="shared" si="9"/>
        <v>1</v>
      </c>
      <c r="G207" s="21">
        <v>169.9</v>
      </c>
      <c r="H207" s="21">
        <f t="shared" si="10"/>
        <v>169.9</v>
      </c>
      <c r="I207" s="22">
        <v>0</v>
      </c>
      <c r="J207" s="23">
        <f t="shared" si="11"/>
        <v>169.9</v>
      </c>
    </row>
    <row r="208" spans="2:10" ht="16.8" customHeight="1" x14ac:dyDescent="0.35">
      <c r="B208" s="6" t="s">
        <v>940</v>
      </c>
      <c r="C208" s="25" t="s">
        <v>941</v>
      </c>
      <c r="D208" s="11">
        <v>4</v>
      </c>
      <c r="E208" s="11">
        <f>IF(ISBLANK(C208),"",SUMIF('SAÍDA DE VENDAS'!$G$6:$G$500, C208, 'SAÍDA DE VENDAS'!$H$6:$H$500))</f>
        <v>0</v>
      </c>
      <c r="F208" s="16">
        <f t="shared" si="9"/>
        <v>4</v>
      </c>
      <c r="G208" s="17">
        <v>49.9</v>
      </c>
      <c r="H208" s="17">
        <f t="shared" si="10"/>
        <v>199.6</v>
      </c>
      <c r="I208" s="22">
        <v>0</v>
      </c>
      <c r="J208" s="19">
        <f t="shared" si="11"/>
        <v>49.9</v>
      </c>
    </row>
    <row r="209" spans="2:10" ht="16.8" customHeight="1" x14ac:dyDescent="0.35">
      <c r="B209" s="6" t="s">
        <v>942</v>
      </c>
      <c r="C209" s="24" t="s">
        <v>943</v>
      </c>
      <c r="D209" s="12">
        <v>2</v>
      </c>
      <c r="E209" s="12">
        <f>IF(ISBLANK(C209),"",SUMIF('SAÍDA DE VENDAS'!$G$6:$G$500, C209, 'SAÍDA DE VENDAS'!$H$6:$H$500))</f>
        <v>0</v>
      </c>
      <c r="F209" s="20">
        <f t="shared" si="9"/>
        <v>2</v>
      </c>
      <c r="G209" s="21">
        <v>49.9</v>
      </c>
      <c r="H209" s="21">
        <f t="shared" si="10"/>
        <v>99.8</v>
      </c>
      <c r="I209" s="22">
        <v>0</v>
      </c>
      <c r="J209" s="23">
        <f t="shared" si="11"/>
        <v>49.9</v>
      </c>
    </row>
    <row r="210" spans="2:10" ht="16.8" customHeight="1" x14ac:dyDescent="0.35">
      <c r="B210" s="6" t="s">
        <v>944</v>
      </c>
      <c r="C210" s="25" t="s">
        <v>945</v>
      </c>
      <c r="D210" s="11">
        <v>5</v>
      </c>
      <c r="E210" s="11">
        <f>IF(ISBLANK(C210),"",SUMIF('SAÍDA DE VENDAS'!$G$6:$G$500, C210, 'SAÍDA DE VENDAS'!$H$6:$H$500))</f>
        <v>0</v>
      </c>
      <c r="F210" s="16">
        <f t="shared" si="9"/>
        <v>5</v>
      </c>
      <c r="G210" s="17">
        <v>49.9</v>
      </c>
      <c r="H210" s="17">
        <f t="shared" si="10"/>
        <v>249.5</v>
      </c>
      <c r="I210" s="22">
        <v>0</v>
      </c>
      <c r="J210" s="19">
        <f t="shared" si="11"/>
        <v>49.9</v>
      </c>
    </row>
    <row r="211" spans="2:10" ht="16.8" customHeight="1" x14ac:dyDescent="0.35">
      <c r="B211" s="6" t="s">
        <v>946</v>
      </c>
      <c r="C211" s="24" t="s">
        <v>947</v>
      </c>
      <c r="D211" s="12">
        <v>14</v>
      </c>
      <c r="E211" s="12">
        <f>IF(ISBLANK(C211),"",SUMIF('SAÍDA DE VENDAS'!$G$6:$G$500, C211, 'SAÍDA DE VENDAS'!$H$6:$H$500))</f>
        <v>1</v>
      </c>
      <c r="F211" s="20">
        <f t="shared" si="9"/>
        <v>13</v>
      </c>
      <c r="G211" s="21">
        <v>39.9</v>
      </c>
      <c r="H211" s="21">
        <f t="shared" si="10"/>
        <v>518.69999999999993</v>
      </c>
      <c r="I211" s="22">
        <v>0</v>
      </c>
      <c r="J211" s="23">
        <f t="shared" si="11"/>
        <v>39.9</v>
      </c>
    </row>
    <row r="212" spans="2:10" ht="16.8" customHeight="1" x14ac:dyDescent="0.35">
      <c r="B212" s="6" t="s">
        <v>948</v>
      </c>
      <c r="C212" s="25" t="s">
        <v>949</v>
      </c>
      <c r="D212" s="11">
        <v>1</v>
      </c>
      <c r="E212" s="11">
        <f>IF(ISBLANK(C212),"",SUMIF('SAÍDA DE VENDAS'!$G$6:$G$500, C212, 'SAÍDA DE VENDAS'!$H$6:$H$500))</f>
        <v>0</v>
      </c>
      <c r="F212" s="16">
        <f t="shared" si="9"/>
        <v>1</v>
      </c>
      <c r="G212" s="17">
        <v>589.9</v>
      </c>
      <c r="H212" s="17">
        <f t="shared" si="10"/>
        <v>589.9</v>
      </c>
      <c r="I212" s="22">
        <v>0</v>
      </c>
      <c r="J212" s="19">
        <f t="shared" si="11"/>
        <v>589.9</v>
      </c>
    </row>
    <row r="213" spans="2:10" ht="16.8" customHeight="1" x14ac:dyDescent="0.35">
      <c r="B213" s="6" t="s">
        <v>950</v>
      </c>
      <c r="C213" s="24" t="s">
        <v>951</v>
      </c>
      <c r="D213" s="12">
        <v>9</v>
      </c>
      <c r="E213" s="12">
        <f>IF(ISBLANK(C213),"",SUMIF('SAÍDA DE VENDAS'!$G$6:$G$500, C213, 'SAÍDA DE VENDAS'!$H$6:$H$500))</f>
        <v>0</v>
      </c>
      <c r="F213" s="20">
        <f t="shared" si="9"/>
        <v>9</v>
      </c>
      <c r="G213" s="21">
        <v>59.9</v>
      </c>
      <c r="H213" s="21">
        <f t="shared" si="10"/>
        <v>539.1</v>
      </c>
      <c r="I213" s="22">
        <v>0</v>
      </c>
      <c r="J213" s="23">
        <f t="shared" si="11"/>
        <v>59.9</v>
      </c>
    </row>
    <row r="214" spans="2:10" ht="16.8" customHeight="1" x14ac:dyDescent="0.35">
      <c r="B214" s="6" t="s">
        <v>952</v>
      </c>
      <c r="C214" s="25" t="s">
        <v>953</v>
      </c>
      <c r="D214" s="11">
        <v>3</v>
      </c>
      <c r="E214" s="11">
        <f>IF(ISBLANK(C214),"",SUMIF('SAÍDA DE VENDAS'!$G$6:$G$500, C214, 'SAÍDA DE VENDAS'!$H$6:$H$500))</f>
        <v>0</v>
      </c>
      <c r="F214" s="16">
        <f t="shared" si="9"/>
        <v>3</v>
      </c>
      <c r="G214" s="17">
        <v>129.9</v>
      </c>
      <c r="H214" s="17">
        <f t="shared" si="10"/>
        <v>389.70000000000005</v>
      </c>
      <c r="I214" s="22">
        <v>0</v>
      </c>
      <c r="J214" s="19">
        <f t="shared" si="11"/>
        <v>129.9</v>
      </c>
    </row>
    <row r="215" spans="2:10" ht="16.8" customHeight="1" x14ac:dyDescent="0.35">
      <c r="B215" s="6" t="s">
        <v>954</v>
      </c>
      <c r="C215" s="24" t="s">
        <v>955</v>
      </c>
      <c r="D215" s="12">
        <v>1</v>
      </c>
      <c r="E215" s="12">
        <f>IF(ISBLANK(C215),"",SUMIF('SAÍDA DE VENDAS'!$G$6:$G$500, C215, 'SAÍDA DE VENDAS'!$H$6:$H$500))</f>
        <v>0</v>
      </c>
      <c r="F215" s="20">
        <f t="shared" si="9"/>
        <v>1</v>
      </c>
      <c r="G215" s="21">
        <v>159.9</v>
      </c>
      <c r="H215" s="21">
        <f t="shared" si="10"/>
        <v>159.9</v>
      </c>
      <c r="I215" s="22">
        <v>0</v>
      </c>
      <c r="J215" s="23">
        <f t="shared" si="11"/>
        <v>159.9</v>
      </c>
    </row>
    <row r="216" spans="2:10" ht="16.8" customHeight="1" x14ac:dyDescent="0.35">
      <c r="B216" s="6" t="s">
        <v>956</v>
      </c>
      <c r="C216" s="25" t="s">
        <v>860</v>
      </c>
      <c r="D216" s="11">
        <v>2</v>
      </c>
      <c r="E216" s="11">
        <f>IF(ISBLANK(C216),"",SUMIF('SAÍDA DE VENDAS'!$G$6:$G$500, C216, 'SAÍDA DE VENDAS'!$H$6:$H$500))</f>
        <v>0</v>
      </c>
      <c r="F216" s="16">
        <f t="shared" si="9"/>
        <v>2</v>
      </c>
      <c r="G216" s="17"/>
      <c r="H216" s="17" t="str">
        <f t="shared" si="10"/>
        <v/>
      </c>
      <c r="I216" s="22">
        <v>0</v>
      </c>
      <c r="J216" s="19" t="str">
        <f t="shared" si="11"/>
        <v/>
      </c>
    </row>
    <row r="217" spans="2:10" ht="16.8" customHeight="1" x14ac:dyDescent="0.35">
      <c r="B217" s="6" t="s">
        <v>957</v>
      </c>
      <c r="C217" s="24" t="s">
        <v>958</v>
      </c>
      <c r="D217" s="12">
        <v>8</v>
      </c>
      <c r="E217" s="12">
        <f>IF(ISBLANK(C217),"",SUMIF('SAÍDA DE VENDAS'!$G$6:$G$500, C217, 'SAÍDA DE VENDAS'!$H$6:$H$500))</f>
        <v>0</v>
      </c>
      <c r="F217" s="20">
        <f t="shared" si="9"/>
        <v>8</v>
      </c>
      <c r="G217" s="21">
        <v>59.9</v>
      </c>
      <c r="H217" s="21">
        <f t="shared" si="10"/>
        <v>479.2</v>
      </c>
      <c r="I217" s="22">
        <v>0</v>
      </c>
      <c r="J217" s="23">
        <f t="shared" si="11"/>
        <v>59.9</v>
      </c>
    </row>
    <row r="218" spans="2:10" ht="16.8" customHeight="1" x14ac:dyDescent="0.35">
      <c r="B218" s="6" t="s">
        <v>959</v>
      </c>
      <c r="C218" s="25" t="s">
        <v>960</v>
      </c>
      <c r="D218" s="11">
        <v>4</v>
      </c>
      <c r="E218" s="11">
        <f>IF(ISBLANK(C218),"",SUMIF('SAÍDA DE VENDAS'!$G$6:$G$500, C218, 'SAÍDA DE VENDAS'!$H$6:$H$500))</f>
        <v>0</v>
      </c>
      <c r="F218" s="16">
        <f t="shared" si="9"/>
        <v>4</v>
      </c>
      <c r="G218" s="17">
        <v>349.9</v>
      </c>
      <c r="H218" s="17">
        <f t="shared" si="10"/>
        <v>1399.6</v>
      </c>
      <c r="I218" s="22">
        <v>0</v>
      </c>
      <c r="J218" s="19">
        <f t="shared" si="11"/>
        <v>349.9</v>
      </c>
    </row>
    <row r="219" spans="2:10" ht="16.8" customHeight="1" x14ac:dyDescent="0.35">
      <c r="B219" s="6" t="s">
        <v>961</v>
      </c>
      <c r="C219" s="24" t="s">
        <v>38</v>
      </c>
      <c r="D219" s="12">
        <v>5</v>
      </c>
      <c r="E219" s="12">
        <f>IF(ISBLANK(C219),"",SUMIF('SAÍDA DE VENDAS'!$G$6:$G$500, C219, 'SAÍDA DE VENDAS'!$H$6:$H$500))</f>
        <v>1</v>
      </c>
      <c r="F219" s="20">
        <f t="shared" si="9"/>
        <v>4</v>
      </c>
      <c r="G219" s="21">
        <v>239.9</v>
      </c>
      <c r="H219" s="21">
        <f t="shared" si="10"/>
        <v>959.6</v>
      </c>
      <c r="I219" s="22">
        <v>0</v>
      </c>
      <c r="J219" s="23">
        <f t="shared" si="11"/>
        <v>239.9</v>
      </c>
    </row>
    <row r="220" spans="2:10" ht="16.8" customHeight="1" x14ac:dyDescent="0.35">
      <c r="B220" s="6" t="s">
        <v>962</v>
      </c>
      <c r="C220" s="25" t="s">
        <v>963</v>
      </c>
      <c r="D220" s="11">
        <v>3</v>
      </c>
      <c r="E220" s="11">
        <f>IF(ISBLANK(C220),"",SUMIF('SAÍDA DE VENDAS'!$G$6:$G$500, C220, 'SAÍDA DE VENDAS'!$H$6:$H$500))</f>
        <v>0</v>
      </c>
      <c r="F220" s="16">
        <f t="shared" si="9"/>
        <v>3</v>
      </c>
      <c r="G220" s="17">
        <v>35</v>
      </c>
      <c r="H220" s="17">
        <f t="shared" si="10"/>
        <v>105</v>
      </c>
      <c r="I220" s="22">
        <v>0</v>
      </c>
      <c r="J220" s="19">
        <f t="shared" si="11"/>
        <v>35</v>
      </c>
    </row>
    <row r="221" spans="2:10" ht="16.8" customHeight="1" x14ac:dyDescent="0.35">
      <c r="B221" s="6" t="s">
        <v>964</v>
      </c>
      <c r="C221" s="24" t="s">
        <v>703</v>
      </c>
      <c r="D221" s="12">
        <v>8</v>
      </c>
      <c r="E221" s="12">
        <f>IF(ISBLANK(C221),"",SUMIF('SAÍDA DE VENDAS'!$G$6:$G$500, C221, 'SAÍDA DE VENDAS'!$H$6:$H$500))</f>
        <v>0</v>
      </c>
      <c r="F221" s="20">
        <f t="shared" si="9"/>
        <v>8</v>
      </c>
      <c r="G221" s="21">
        <v>129.9</v>
      </c>
      <c r="H221" s="21">
        <f t="shared" si="10"/>
        <v>1039.2</v>
      </c>
      <c r="I221" s="22">
        <v>0</v>
      </c>
      <c r="J221" s="23">
        <f t="shared" si="11"/>
        <v>129.9</v>
      </c>
    </row>
    <row r="222" spans="2:10" ht="16.8" customHeight="1" x14ac:dyDescent="0.35">
      <c r="B222" s="6" t="s">
        <v>965</v>
      </c>
      <c r="C222" s="25" t="s">
        <v>966</v>
      </c>
      <c r="D222" s="11">
        <v>2</v>
      </c>
      <c r="E222" s="11">
        <f>IF(ISBLANK(C222),"",SUMIF('SAÍDA DE VENDAS'!$G$6:$G$500, C222, 'SAÍDA DE VENDAS'!$H$6:$H$500))</f>
        <v>0</v>
      </c>
      <c r="F222" s="16">
        <f t="shared" si="9"/>
        <v>2</v>
      </c>
      <c r="G222" s="17">
        <v>169.9</v>
      </c>
      <c r="H222" s="17">
        <f t="shared" si="10"/>
        <v>339.8</v>
      </c>
      <c r="I222" s="22">
        <v>0</v>
      </c>
      <c r="J222" s="19">
        <f t="shared" si="11"/>
        <v>169.9</v>
      </c>
    </row>
    <row r="223" spans="2:10" ht="16.8" customHeight="1" x14ac:dyDescent="0.35">
      <c r="B223" s="6" t="s">
        <v>967</v>
      </c>
      <c r="C223" s="24" t="s">
        <v>968</v>
      </c>
      <c r="D223" s="12">
        <v>2</v>
      </c>
      <c r="E223" s="12">
        <f>IF(ISBLANK(C223),"",SUMIF('SAÍDA DE VENDAS'!$G$6:$G$500, C223, 'SAÍDA DE VENDAS'!$H$6:$H$500))</f>
        <v>0</v>
      </c>
      <c r="F223" s="20">
        <f t="shared" si="9"/>
        <v>2</v>
      </c>
      <c r="G223" s="21">
        <v>69.900000000000006</v>
      </c>
      <c r="H223" s="21">
        <f t="shared" si="10"/>
        <v>139.80000000000001</v>
      </c>
      <c r="I223" s="22">
        <v>0</v>
      </c>
      <c r="J223" s="23">
        <f t="shared" si="11"/>
        <v>69.900000000000006</v>
      </c>
    </row>
    <row r="224" spans="2:10" ht="16.8" customHeight="1" x14ac:dyDescent="0.35">
      <c r="B224" s="6" t="s">
        <v>969</v>
      </c>
      <c r="C224" s="25" t="s">
        <v>970</v>
      </c>
      <c r="D224" s="11">
        <v>1</v>
      </c>
      <c r="E224" s="11">
        <f>IF(ISBLANK(C224),"",SUMIF('SAÍDA DE VENDAS'!$G$6:$G$500, C224, 'SAÍDA DE VENDAS'!$H$6:$H$500))</f>
        <v>0</v>
      </c>
      <c r="F224" s="16">
        <f t="shared" si="9"/>
        <v>1</v>
      </c>
      <c r="G224" s="17">
        <v>89.9</v>
      </c>
      <c r="H224" s="17">
        <f t="shared" si="10"/>
        <v>89.9</v>
      </c>
      <c r="I224" s="22">
        <v>0</v>
      </c>
      <c r="J224" s="19">
        <f t="shared" si="11"/>
        <v>89.9</v>
      </c>
    </row>
    <row r="225" spans="2:10" ht="16.8" customHeight="1" x14ac:dyDescent="0.35">
      <c r="B225" s="6" t="s">
        <v>971</v>
      </c>
      <c r="C225" s="24" t="s">
        <v>972</v>
      </c>
      <c r="D225" s="12">
        <v>2</v>
      </c>
      <c r="E225" s="12">
        <f>IF(ISBLANK(C225),"",SUMIF('SAÍDA DE VENDAS'!$G$6:$G$500, C225, 'SAÍDA DE VENDAS'!$H$6:$H$500))</f>
        <v>0</v>
      </c>
      <c r="F225" s="20">
        <f t="shared" si="9"/>
        <v>2</v>
      </c>
      <c r="G225" s="21">
        <v>189.9</v>
      </c>
      <c r="H225" s="21">
        <f t="shared" si="10"/>
        <v>379.8</v>
      </c>
      <c r="I225" s="22">
        <v>0</v>
      </c>
      <c r="J225" s="23">
        <f t="shared" si="11"/>
        <v>189.9</v>
      </c>
    </row>
    <row r="226" spans="2:10" ht="16.8" customHeight="1" x14ac:dyDescent="0.35">
      <c r="B226" s="6" t="s">
        <v>973</v>
      </c>
      <c r="C226" s="25" t="s">
        <v>974</v>
      </c>
      <c r="D226" s="11">
        <v>4</v>
      </c>
      <c r="E226" s="11">
        <f>IF(ISBLANK(C226),"",SUMIF('SAÍDA DE VENDAS'!$G$6:$G$500, C226, 'SAÍDA DE VENDAS'!$H$6:$H$500))</f>
        <v>0</v>
      </c>
      <c r="F226" s="16">
        <f t="shared" si="9"/>
        <v>4</v>
      </c>
      <c r="G226" s="17">
        <v>49.9</v>
      </c>
      <c r="H226" s="17">
        <f t="shared" si="10"/>
        <v>199.6</v>
      </c>
      <c r="I226" s="22">
        <v>0</v>
      </c>
      <c r="J226" s="19">
        <f t="shared" si="11"/>
        <v>49.9</v>
      </c>
    </row>
    <row r="227" spans="2:10" ht="16.8" customHeight="1" x14ac:dyDescent="0.35">
      <c r="B227" s="6" t="s">
        <v>975</v>
      </c>
      <c r="C227" s="24" t="s">
        <v>976</v>
      </c>
      <c r="D227" s="12">
        <v>20</v>
      </c>
      <c r="E227" s="12">
        <f>IF(ISBLANK(C227),"",SUMIF('SAÍDA DE VENDAS'!$G$6:$G$500, C227, 'SAÍDA DE VENDAS'!$H$6:$H$500))</f>
        <v>0</v>
      </c>
      <c r="F227" s="20">
        <f t="shared" si="9"/>
        <v>20</v>
      </c>
      <c r="G227" s="21">
        <v>39.9</v>
      </c>
      <c r="H227" s="21">
        <f t="shared" si="10"/>
        <v>798</v>
      </c>
      <c r="I227" s="22">
        <v>0</v>
      </c>
      <c r="J227" s="23">
        <f t="shared" si="11"/>
        <v>39.9</v>
      </c>
    </row>
    <row r="228" spans="2:10" ht="16.8" customHeight="1" x14ac:dyDescent="0.35">
      <c r="B228" s="6" t="s">
        <v>977</v>
      </c>
      <c r="C228" s="25" t="s">
        <v>978</v>
      </c>
      <c r="D228" s="11">
        <v>4</v>
      </c>
      <c r="E228" s="11">
        <f>IF(ISBLANK(C228),"",SUMIF('SAÍDA DE VENDAS'!$G$6:$G$500, C228, 'SAÍDA DE VENDAS'!$H$6:$H$500))</f>
        <v>0</v>
      </c>
      <c r="F228" s="16">
        <f t="shared" si="9"/>
        <v>4</v>
      </c>
      <c r="G228" s="17">
        <v>39.9</v>
      </c>
      <c r="H228" s="17">
        <f t="shared" si="10"/>
        <v>159.6</v>
      </c>
      <c r="I228" s="22">
        <v>0</v>
      </c>
      <c r="J228" s="19">
        <f t="shared" si="11"/>
        <v>39.9</v>
      </c>
    </row>
    <row r="229" spans="2:10" ht="16.8" customHeight="1" x14ac:dyDescent="0.35">
      <c r="B229" s="6" t="s">
        <v>979</v>
      </c>
      <c r="C229" s="24" t="s">
        <v>980</v>
      </c>
      <c r="D229" s="12">
        <v>2</v>
      </c>
      <c r="E229" s="12">
        <f>IF(ISBLANK(C229),"",SUMIF('SAÍDA DE VENDAS'!$G$6:$G$500, C229, 'SAÍDA DE VENDAS'!$H$6:$H$500))</f>
        <v>0</v>
      </c>
      <c r="F229" s="20">
        <f t="shared" si="9"/>
        <v>2</v>
      </c>
      <c r="G229" s="21">
        <v>29.9</v>
      </c>
      <c r="H229" s="21">
        <f t="shared" si="10"/>
        <v>59.8</v>
      </c>
      <c r="I229" s="22">
        <v>0</v>
      </c>
      <c r="J229" s="23">
        <f t="shared" si="11"/>
        <v>29.9</v>
      </c>
    </row>
    <row r="230" spans="2:10" ht="16.8" customHeight="1" x14ac:dyDescent="0.35">
      <c r="B230" s="6" t="s">
        <v>981</v>
      </c>
      <c r="C230" s="25" t="s">
        <v>982</v>
      </c>
      <c r="D230" s="11">
        <v>8</v>
      </c>
      <c r="E230" s="11">
        <f>IF(ISBLANK(C230),"",SUMIF('SAÍDA DE VENDAS'!$G$6:$G$500, C230, 'SAÍDA DE VENDAS'!$H$6:$H$500))</f>
        <v>0</v>
      </c>
      <c r="F230" s="16">
        <f t="shared" si="9"/>
        <v>8</v>
      </c>
      <c r="G230" s="17">
        <v>39.9</v>
      </c>
      <c r="H230" s="17">
        <f t="shared" si="10"/>
        <v>319.2</v>
      </c>
      <c r="I230" s="22">
        <v>0</v>
      </c>
      <c r="J230" s="19">
        <f t="shared" si="11"/>
        <v>39.9</v>
      </c>
    </row>
    <row r="231" spans="2:10" ht="16.8" customHeight="1" x14ac:dyDescent="0.35">
      <c r="B231" s="6" t="s">
        <v>983</v>
      </c>
      <c r="C231" s="24" t="s">
        <v>984</v>
      </c>
      <c r="D231" s="12">
        <v>1</v>
      </c>
      <c r="E231" s="12">
        <f>IF(ISBLANK(C231),"",SUMIF('SAÍDA DE VENDAS'!$G$6:$G$500, C231, 'SAÍDA DE VENDAS'!$H$6:$H$500))</f>
        <v>0</v>
      </c>
      <c r="F231" s="20">
        <f t="shared" si="9"/>
        <v>1</v>
      </c>
      <c r="G231" s="21">
        <v>69.900000000000006</v>
      </c>
      <c r="H231" s="21">
        <f t="shared" si="10"/>
        <v>69.900000000000006</v>
      </c>
      <c r="I231" s="22">
        <v>0</v>
      </c>
      <c r="J231" s="23">
        <f t="shared" si="11"/>
        <v>69.900000000000006</v>
      </c>
    </row>
    <row r="232" spans="2:10" ht="16.8" customHeight="1" x14ac:dyDescent="0.35">
      <c r="B232" s="6" t="s">
        <v>985</v>
      </c>
      <c r="C232" s="25" t="s">
        <v>986</v>
      </c>
      <c r="D232" s="11">
        <v>1</v>
      </c>
      <c r="E232" s="11">
        <f>IF(ISBLANK(C232),"",SUMIF('SAÍDA DE VENDAS'!$G$6:$G$500, C232, 'SAÍDA DE VENDAS'!$H$6:$H$500))</f>
        <v>0</v>
      </c>
      <c r="F232" s="16">
        <f t="shared" si="9"/>
        <v>1</v>
      </c>
      <c r="G232" s="17">
        <v>69.900000000000006</v>
      </c>
      <c r="H232" s="17">
        <f t="shared" si="10"/>
        <v>69.900000000000006</v>
      </c>
      <c r="I232" s="22">
        <v>0</v>
      </c>
      <c r="J232" s="19">
        <f t="shared" si="11"/>
        <v>69.900000000000006</v>
      </c>
    </row>
    <row r="233" spans="2:10" ht="16.8" customHeight="1" x14ac:dyDescent="0.35">
      <c r="B233" s="6" t="s">
        <v>987</v>
      </c>
      <c r="C233" s="24" t="s">
        <v>988</v>
      </c>
      <c r="D233" s="12">
        <v>4</v>
      </c>
      <c r="E233" s="12">
        <f>IF(ISBLANK(C233),"",SUMIF('SAÍDA DE VENDAS'!$G$6:$G$500, C233, 'SAÍDA DE VENDAS'!$H$6:$H$500))</f>
        <v>0</v>
      </c>
      <c r="F233" s="20">
        <f t="shared" si="9"/>
        <v>4</v>
      </c>
      <c r="G233" s="21">
        <v>89.9</v>
      </c>
      <c r="H233" s="21">
        <f t="shared" si="10"/>
        <v>359.6</v>
      </c>
      <c r="I233" s="22">
        <v>0</v>
      </c>
      <c r="J233" s="23">
        <f t="shared" si="11"/>
        <v>89.9</v>
      </c>
    </row>
    <row r="234" spans="2:10" ht="16.8" customHeight="1" x14ac:dyDescent="0.35">
      <c r="B234" s="6" t="s">
        <v>989</v>
      </c>
      <c r="C234" s="25" t="s">
        <v>970</v>
      </c>
      <c r="D234" s="11">
        <v>4</v>
      </c>
      <c r="E234" s="11">
        <f>IF(ISBLANK(C234),"",SUMIF('SAÍDA DE VENDAS'!$G$6:$G$500, C234, 'SAÍDA DE VENDAS'!$H$6:$H$500))</f>
        <v>0</v>
      </c>
      <c r="F234" s="16">
        <f t="shared" si="9"/>
        <v>4</v>
      </c>
      <c r="G234" s="17">
        <v>69.900000000000006</v>
      </c>
      <c r="H234" s="17">
        <f t="shared" si="10"/>
        <v>279.60000000000002</v>
      </c>
      <c r="I234" s="22">
        <v>0</v>
      </c>
      <c r="J234" s="19">
        <f t="shared" si="11"/>
        <v>69.900000000000006</v>
      </c>
    </row>
    <row r="235" spans="2:10" ht="16.8" customHeight="1" x14ac:dyDescent="0.35">
      <c r="B235" s="6" t="s">
        <v>990</v>
      </c>
      <c r="C235" s="24" t="s">
        <v>976</v>
      </c>
      <c r="D235" s="12">
        <v>20</v>
      </c>
      <c r="E235" s="12">
        <f>IF(ISBLANK(C235),"",SUMIF('SAÍDA DE VENDAS'!$G$6:$G$500, C235, 'SAÍDA DE VENDAS'!$H$6:$H$500))</f>
        <v>0</v>
      </c>
      <c r="F235" s="20">
        <f t="shared" si="9"/>
        <v>20</v>
      </c>
      <c r="G235" s="21">
        <v>39.9</v>
      </c>
      <c r="H235" s="21">
        <f t="shared" si="10"/>
        <v>798</v>
      </c>
      <c r="I235" s="22">
        <v>0</v>
      </c>
      <c r="J235" s="23">
        <f t="shared" si="11"/>
        <v>39.9</v>
      </c>
    </row>
    <row r="236" spans="2:10" ht="16.8" customHeight="1" x14ac:dyDescent="0.35">
      <c r="B236" s="6" t="s">
        <v>991</v>
      </c>
      <c r="C236" s="25" t="s">
        <v>886</v>
      </c>
      <c r="D236" s="11">
        <v>7</v>
      </c>
      <c r="E236" s="11">
        <f>IF(ISBLANK(C236),"",SUMIF('SAÍDA DE VENDAS'!$G$6:$G$500, C236, 'SAÍDA DE VENDAS'!$H$6:$H$500))</f>
        <v>0</v>
      </c>
      <c r="F236" s="16">
        <f t="shared" si="9"/>
        <v>7</v>
      </c>
      <c r="G236" s="17">
        <v>39.9</v>
      </c>
      <c r="H236" s="17">
        <f t="shared" si="10"/>
        <v>279.3</v>
      </c>
      <c r="I236" s="22">
        <v>0</v>
      </c>
      <c r="J236" s="19">
        <f t="shared" si="11"/>
        <v>39.9</v>
      </c>
    </row>
    <row r="237" spans="2:10" ht="16.8" customHeight="1" x14ac:dyDescent="0.35">
      <c r="B237" s="6" t="s">
        <v>992</v>
      </c>
      <c r="C237" s="24" t="s">
        <v>780</v>
      </c>
      <c r="D237" s="12">
        <v>3</v>
      </c>
      <c r="E237" s="12">
        <f>IF(ISBLANK(C237),"",SUMIF('SAÍDA DE VENDAS'!$G$6:$G$500, C237, 'SAÍDA DE VENDAS'!$H$6:$H$500))</f>
        <v>0</v>
      </c>
      <c r="F237" s="20">
        <f t="shared" si="9"/>
        <v>3</v>
      </c>
      <c r="G237" s="21">
        <v>15.5</v>
      </c>
      <c r="H237" s="21">
        <f t="shared" si="10"/>
        <v>46.5</v>
      </c>
      <c r="I237" s="22">
        <v>0</v>
      </c>
      <c r="J237" s="23">
        <f t="shared" si="11"/>
        <v>15.5</v>
      </c>
    </row>
    <row r="238" spans="2:10" ht="16.8" customHeight="1" x14ac:dyDescent="0.35">
      <c r="B238" s="6" t="s">
        <v>993</v>
      </c>
      <c r="C238" s="25" t="s">
        <v>994</v>
      </c>
      <c r="D238" s="11">
        <v>2</v>
      </c>
      <c r="E238" s="11">
        <f>IF(ISBLANK(C238),"",SUMIF('SAÍDA DE VENDAS'!$G$6:$G$500, C238, 'SAÍDA DE VENDAS'!$H$6:$H$500))</f>
        <v>0</v>
      </c>
      <c r="F238" s="16">
        <f t="shared" si="9"/>
        <v>2</v>
      </c>
      <c r="G238" s="17">
        <v>89.9</v>
      </c>
      <c r="H238" s="17">
        <f t="shared" si="10"/>
        <v>179.8</v>
      </c>
      <c r="I238" s="22">
        <v>0</v>
      </c>
      <c r="J238" s="19">
        <f t="shared" si="11"/>
        <v>89.9</v>
      </c>
    </row>
    <row r="239" spans="2:10" ht="16.8" customHeight="1" x14ac:dyDescent="0.35">
      <c r="B239" s="6" t="s">
        <v>995</v>
      </c>
      <c r="C239" s="24" t="s">
        <v>996</v>
      </c>
      <c r="D239" s="12">
        <v>4</v>
      </c>
      <c r="E239" s="12">
        <f>IF(ISBLANK(C239),"",SUMIF('SAÍDA DE VENDAS'!$G$6:$G$500, C239, 'SAÍDA DE VENDAS'!$H$6:$H$500))</f>
        <v>0</v>
      </c>
      <c r="F239" s="20">
        <f t="shared" si="9"/>
        <v>4</v>
      </c>
      <c r="G239" s="21">
        <v>49.9</v>
      </c>
      <c r="H239" s="21">
        <f t="shared" si="10"/>
        <v>199.6</v>
      </c>
      <c r="I239" s="22">
        <v>0</v>
      </c>
      <c r="J239" s="23">
        <f t="shared" si="11"/>
        <v>49.9</v>
      </c>
    </row>
    <row r="240" spans="2:10" ht="16.8" customHeight="1" x14ac:dyDescent="0.35">
      <c r="B240" s="6" t="s">
        <v>997</v>
      </c>
      <c r="C240" s="25" t="s">
        <v>998</v>
      </c>
      <c r="D240" s="11">
        <v>7</v>
      </c>
      <c r="E240" s="11">
        <f>IF(ISBLANK(C240),"",SUMIF('SAÍDA DE VENDAS'!$G$6:$G$500, C240, 'SAÍDA DE VENDAS'!$H$6:$H$500))</f>
        <v>0</v>
      </c>
      <c r="F240" s="16">
        <f t="shared" si="9"/>
        <v>7</v>
      </c>
      <c r="G240" s="17">
        <v>49.9</v>
      </c>
      <c r="H240" s="17">
        <f t="shared" si="10"/>
        <v>349.3</v>
      </c>
      <c r="I240" s="22">
        <v>0</v>
      </c>
      <c r="J240" s="19">
        <f t="shared" si="11"/>
        <v>49.9</v>
      </c>
    </row>
    <row r="241" spans="2:10" ht="16.8" customHeight="1" x14ac:dyDescent="0.35">
      <c r="B241" s="6" t="s">
        <v>999</v>
      </c>
      <c r="C241" s="24" t="s">
        <v>41</v>
      </c>
      <c r="D241" s="12">
        <v>7</v>
      </c>
      <c r="E241" s="12">
        <f>IF(ISBLANK(C241),"",SUMIF('SAÍDA DE VENDAS'!$G$6:$G$500, C241, 'SAÍDA DE VENDAS'!$H$6:$H$500))</f>
        <v>1</v>
      </c>
      <c r="F241" s="20">
        <f t="shared" si="9"/>
        <v>6</v>
      </c>
      <c r="G241" s="21">
        <v>39.9</v>
      </c>
      <c r="H241" s="21">
        <f t="shared" si="10"/>
        <v>239.39999999999998</v>
      </c>
      <c r="I241" s="22">
        <v>0</v>
      </c>
      <c r="J241" s="23">
        <f t="shared" si="11"/>
        <v>39.9</v>
      </c>
    </row>
    <row r="242" spans="2:10" ht="16.8" customHeight="1" x14ac:dyDescent="0.35">
      <c r="B242" s="6" t="s">
        <v>1000</v>
      </c>
      <c r="C242" s="25" t="s">
        <v>984</v>
      </c>
      <c r="D242" s="11">
        <v>8</v>
      </c>
      <c r="E242" s="11">
        <f>IF(ISBLANK(C242),"",SUMIF('SAÍDA DE VENDAS'!$G$6:$G$500, C242, 'SAÍDA DE VENDAS'!$H$6:$H$500))</f>
        <v>0</v>
      </c>
      <c r="F242" s="16">
        <f t="shared" si="9"/>
        <v>8</v>
      </c>
      <c r="G242" s="17">
        <v>69.959999999999994</v>
      </c>
      <c r="H242" s="17">
        <f t="shared" si="10"/>
        <v>559.67999999999995</v>
      </c>
      <c r="I242" s="22">
        <v>0</v>
      </c>
      <c r="J242" s="19">
        <f t="shared" si="11"/>
        <v>69.959999999999994</v>
      </c>
    </row>
    <row r="243" spans="2:10" ht="16.8" customHeight="1" x14ac:dyDescent="0.35">
      <c r="B243" s="6" t="s">
        <v>1001</v>
      </c>
      <c r="C243" s="24" t="s">
        <v>1002</v>
      </c>
      <c r="D243" s="12">
        <v>7</v>
      </c>
      <c r="E243" s="12">
        <f>IF(ISBLANK(C243),"",SUMIF('SAÍDA DE VENDAS'!$G$6:$G$500, C243, 'SAÍDA DE VENDAS'!$H$6:$H$500))</f>
        <v>0</v>
      </c>
      <c r="F243" s="20">
        <f t="shared" si="9"/>
        <v>7</v>
      </c>
      <c r="G243" s="21">
        <v>69.900000000000006</v>
      </c>
      <c r="H243" s="21">
        <f t="shared" si="10"/>
        <v>489.30000000000007</v>
      </c>
      <c r="I243" s="22">
        <v>0</v>
      </c>
      <c r="J243" s="23">
        <f t="shared" si="11"/>
        <v>69.900000000000006</v>
      </c>
    </row>
    <row r="244" spans="2:10" ht="16.8" customHeight="1" x14ac:dyDescent="0.35">
      <c r="B244" s="6" t="s">
        <v>1003</v>
      </c>
      <c r="C244" s="25" t="s">
        <v>1004</v>
      </c>
      <c r="D244" s="11">
        <v>1</v>
      </c>
      <c r="E244" s="11">
        <f>IF(ISBLANK(C244),"",SUMIF('SAÍDA DE VENDAS'!$G$6:$G$500, C244, 'SAÍDA DE VENDAS'!$H$6:$H$500))</f>
        <v>0</v>
      </c>
      <c r="F244" s="16">
        <f t="shared" si="9"/>
        <v>1</v>
      </c>
      <c r="G244" s="17">
        <v>89.9</v>
      </c>
      <c r="H244" s="17">
        <f t="shared" si="10"/>
        <v>89.9</v>
      </c>
      <c r="I244" s="22">
        <v>0</v>
      </c>
      <c r="J244" s="19">
        <f t="shared" si="11"/>
        <v>89.9</v>
      </c>
    </row>
    <row r="245" spans="2:10" ht="16.8" customHeight="1" x14ac:dyDescent="0.35">
      <c r="B245" s="6" t="s">
        <v>1005</v>
      </c>
      <c r="C245" s="24" t="s">
        <v>1006</v>
      </c>
      <c r="D245" s="12">
        <f>4+6+6+3</f>
        <v>19</v>
      </c>
      <c r="E245" s="12">
        <f>IF(ISBLANK(C245),"",SUMIF('SAÍDA DE VENDAS'!$G$6:$G$500, C245, 'SAÍDA DE VENDAS'!$H$6:$H$500))</f>
        <v>0</v>
      </c>
      <c r="F245" s="20">
        <f t="shared" si="9"/>
        <v>19</v>
      </c>
      <c r="G245" s="21">
        <v>39.9</v>
      </c>
      <c r="H245" s="21">
        <f t="shared" si="10"/>
        <v>758.1</v>
      </c>
      <c r="I245" s="22">
        <v>0</v>
      </c>
      <c r="J245" s="23">
        <f t="shared" si="11"/>
        <v>39.9</v>
      </c>
    </row>
    <row r="246" spans="2:10" ht="16.8" customHeight="1" x14ac:dyDescent="0.35">
      <c r="B246" s="6" t="s">
        <v>1007</v>
      </c>
      <c r="C246" s="25" t="s">
        <v>1008</v>
      </c>
      <c r="D246" s="11">
        <v>1</v>
      </c>
      <c r="E246" s="11">
        <f>IF(ISBLANK(C246),"",SUMIF('SAÍDA DE VENDAS'!$G$6:$G$500, C246, 'SAÍDA DE VENDAS'!$H$6:$H$500))</f>
        <v>0</v>
      </c>
      <c r="F246" s="16">
        <f t="shared" si="9"/>
        <v>1</v>
      </c>
      <c r="G246" s="17">
        <v>89.9</v>
      </c>
      <c r="H246" s="17">
        <f t="shared" si="10"/>
        <v>89.9</v>
      </c>
      <c r="I246" s="22">
        <v>0</v>
      </c>
      <c r="J246" s="19">
        <f t="shared" si="11"/>
        <v>89.9</v>
      </c>
    </row>
    <row r="247" spans="2:10" ht="16.8" customHeight="1" x14ac:dyDescent="0.35">
      <c r="B247" s="6" t="s">
        <v>1009</v>
      </c>
      <c r="C247" s="12" t="s">
        <v>31</v>
      </c>
      <c r="D247" s="12">
        <v>40</v>
      </c>
      <c r="E247" s="12">
        <f>IF(ISBLANK(C247),"",SUMIF('SAÍDA DE VENDAS'!$G$6:$G$500, C247, 'SAÍDA DE VENDAS'!$H$6:$H$500))</f>
        <v>6</v>
      </c>
      <c r="F247" s="20">
        <f t="shared" si="9"/>
        <v>34</v>
      </c>
      <c r="G247" s="21">
        <v>39.9</v>
      </c>
      <c r="H247" s="21">
        <f t="shared" si="10"/>
        <v>1356.6</v>
      </c>
      <c r="I247" s="22">
        <v>0</v>
      </c>
      <c r="J247" s="23">
        <f t="shared" si="11"/>
        <v>39.9</v>
      </c>
    </row>
    <row r="248" spans="2:10" ht="16.8" customHeight="1" x14ac:dyDescent="0.35">
      <c r="B248" s="6" t="s">
        <v>1010</v>
      </c>
      <c r="C248" s="11"/>
      <c r="D248" s="11"/>
      <c r="E248" s="11" t="str">
        <f>IF(ISBLANK(C248),"",SUMIF('SAÍDA DE VENDAS'!$G$6:$G$500, C248, 'SAÍDA DE VENDAS'!$H$6:$H$500))</f>
        <v/>
      </c>
      <c r="F248" s="16" t="str">
        <f t="shared" si="9"/>
        <v/>
      </c>
      <c r="G248" s="17"/>
      <c r="H248" s="17" t="str">
        <f t="shared" si="10"/>
        <v/>
      </c>
      <c r="I248" s="22">
        <v>0</v>
      </c>
      <c r="J248" s="19" t="str">
        <f t="shared" si="11"/>
        <v/>
      </c>
    </row>
    <row r="249" spans="2:10" ht="16.8" customHeight="1" x14ac:dyDescent="0.35">
      <c r="B249" s="6" t="s">
        <v>1011</v>
      </c>
      <c r="C249" s="12"/>
      <c r="D249" s="12"/>
      <c r="E249" s="12" t="str">
        <f>IF(ISBLANK(C249),"",SUMIF('SAÍDA DE VENDAS'!$G$6:$G$500, C249, 'SAÍDA DE VENDAS'!$H$6:$H$500))</f>
        <v/>
      </c>
      <c r="F249" s="20" t="str">
        <f t="shared" si="9"/>
        <v/>
      </c>
      <c r="G249" s="21"/>
      <c r="H249" s="21" t="str">
        <f t="shared" si="10"/>
        <v/>
      </c>
      <c r="I249" s="22">
        <v>0</v>
      </c>
      <c r="J249" s="23" t="str">
        <f t="shared" si="11"/>
        <v/>
      </c>
    </row>
    <row r="250" spans="2:10" ht="16.8" customHeight="1" x14ac:dyDescent="0.35">
      <c r="B250" s="6" t="s">
        <v>1012</v>
      </c>
      <c r="C250" s="11"/>
      <c r="D250" s="11"/>
      <c r="E250" s="11" t="str">
        <f>IF(ISBLANK(C250),"",SUMIF('SAÍDA DE VENDAS'!$G$6:$G$500, C250, 'SAÍDA DE VENDAS'!$H$6:$H$500))</f>
        <v/>
      </c>
      <c r="F250" s="16" t="str">
        <f t="shared" si="9"/>
        <v/>
      </c>
      <c r="G250" s="17"/>
      <c r="H250" s="17" t="str">
        <f t="shared" si="10"/>
        <v/>
      </c>
      <c r="I250" s="22">
        <v>0</v>
      </c>
      <c r="J250" s="19" t="str">
        <f t="shared" si="11"/>
        <v/>
      </c>
    </row>
    <row r="251" spans="2:10" ht="16.8" customHeight="1" x14ac:dyDescent="0.35">
      <c r="B251" s="6" t="s">
        <v>1013</v>
      </c>
      <c r="C251" s="12"/>
      <c r="D251" s="12"/>
      <c r="E251" s="12" t="str">
        <f>IF(ISBLANK(C251),"",SUMIF('SAÍDA DE VENDAS'!$G$6:$G$500, C251, 'SAÍDA DE VENDAS'!$H$6:$H$500))</f>
        <v/>
      </c>
      <c r="F251" s="20" t="str">
        <f t="shared" si="9"/>
        <v/>
      </c>
      <c r="G251" s="21"/>
      <c r="H251" s="21" t="str">
        <f t="shared" si="10"/>
        <v/>
      </c>
      <c r="I251" s="22">
        <v>0</v>
      </c>
      <c r="J251" s="23" t="str">
        <f t="shared" si="11"/>
        <v/>
      </c>
    </row>
    <row r="252" spans="2:10" ht="16.8" customHeight="1" x14ac:dyDescent="0.35">
      <c r="B252" s="6" t="s">
        <v>1014</v>
      </c>
      <c r="C252" s="11"/>
      <c r="D252" s="11"/>
      <c r="E252" s="11" t="str">
        <f>IF(ISBLANK(C252),"",SUMIF('SAÍDA DE VENDAS'!$G$6:$G$500, C252, 'SAÍDA DE VENDAS'!$H$6:$H$500))</f>
        <v/>
      </c>
      <c r="F252" s="16" t="str">
        <f t="shared" si="9"/>
        <v/>
      </c>
      <c r="G252" s="17"/>
      <c r="H252" s="17" t="str">
        <f t="shared" si="10"/>
        <v/>
      </c>
      <c r="I252" s="22">
        <v>0</v>
      </c>
      <c r="J252" s="19" t="str">
        <f t="shared" si="11"/>
        <v/>
      </c>
    </row>
    <row r="253" spans="2:10" ht="16.8" customHeight="1" x14ac:dyDescent="0.35">
      <c r="B253" s="6" t="s">
        <v>1015</v>
      </c>
      <c r="C253" s="12"/>
      <c r="D253" s="12"/>
      <c r="E253" s="12" t="str">
        <f>IF(ISBLANK(C253),"",SUMIF('SAÍDA DE VENDAS'!$G$6:$G$500, C253, 'SAÍDA DE VENDAS'!$H$6:$H$500))</f>
        <v/>
      </c>
      <c r="F253" s="20" t="str">
        <f t="shared" si="9"/>
        <v/>
      </c>
      <c r="G253" s="21"/>
      <c r="H253" s="21" t="str">
        <f t="shared" si="10"/>
        <v/>
      </c>
      <c r="I253" s="22">
        <v>0</v>
      </c>
      <c r="J253" s="23" t="str">
        <f t="shared" si="11"/>
        <v/>
      </c>
    </row>
    <row r="254" spans="2:10" ht="16.8" customHeight="1" x14ac:dyDescent="0.35">
      <c r="B254" s="6" t="s">
        <v>1016</v>
      </c>
      <c r="C254" s="11"/>
      <c r="D254" s="11"/>
      <c r="E254" s="11" t="str">
        <f>IF(ISBLANK(C254),"",SUMIF('SAÍDA DE VENDAS'!$G$6:$G$500, C254, 'SAÍDA DE VENDAS'!$H$6:$H$500))</f>
        <v/>
      </c>
      <c r="F254" s="16" t="str">
        <f t="shared" si="9"/>
        <v/>
      </c>
      <c r="G254" s="17"/>
      <c r="H254" s="17" t="str">
        <f t="shared" si="10"/>
        <v/>
      </c>
      <c r="I254" s="22">
        <v>0</v>
      </c>
      <c r="J254" s="19" t="str">
        <f t="shared" si="11"/>
        <v/>
      </c>
    </row>
    <row r="255" spans="2:10" ht="16.8" customHeight="1" x14ac:dyDescent="0.35">
      <c r="B255" s="6" t="s">
        <v>1017</v>
      </c>
      <c r="C255" s="12"/>
      <c r="D255" s="12"/>
      <c r="E255" s="12" t="str">
        <f>IF(ISBLANK(C255),"",SUMIF('SAÍDA DE VENDAS'!$G$6:$G$500, C255, 'SAÍDA DE VENDAS'!$H$6:$H$500))</f>
        <v/>
      </c>
      <c r="F255" s="20" t="str">
        <f t="shared" si="9"/>
        <v/>
      </c>
      <c r="G255" s="21"/>
      <c r="H255" s="21" t="str">
        <f t="shared" si="10"/>
        <v/>
      </c>
      <c r="I255" s="22">
        <v>0</v>
      </c>
      <c r="J255" s="23" t="str">
        <f t="shared" si="11"/>
        <v/>
      </c>
    </row>
    <row r="256" spans="2:10" ht="16.8" customHeight="1" x14ac:dyDescent="0.35">
      <c r="B256" s="6" t="s">
        <v>1018</v>
      </c>
      <c r="C256" s="11"/>
      <c r="D256" s="11"/>
      <c r="E256" s="11" t="str">
        <f>IF(ISBLANK(C256),"",SUMIF('SAÍDA DE VENDAS'!$G$6:$G$500, C256, 'SAÍDA DE VENDAS'!$H$6:$H$500))</f>
        <v/>
      </c>
      <c r="F256" s="16" t="str">
        <f t="shared" si="9"/>
        <v/>
      </c>
      <c r="G256" s="17"/>
      <c r="H256" s="17" t="str">
        <f t="shared" si="10"/>
        <v/>
      </c>
      <c r="I256" s="22">
        <v>0</v>
      </c>
      <c r="J256" s="19" t="str">
        <f t="shared" si="11"/>
        <v/>
      </c>
    </row>
    <row r="257" spans="2:10" ht="16.8" customHeight="1" x14ac:dyDescent="0.35">
      <c r="B257" s="6" t="s">
        <v>1019</v>
      </c>
      <c r="C257" s="12"/>
      <c r="D257" s="12"/>
      <c r="E257" s="12" t="str">
        <f>IF(ISBLANK(C257),"",SUMIF('SAÍDA DE VENDAS'!$G$6:$G$500, C257, 'SAÍDA DE VENDAS'!$H$6:$H$500))</f>
        <v/>
      </c>
      <c r="F257" s="20" t="str">
        <f t="shared" si="9"/>
        <v/>
      </c>
      <c r="G257" s="21"/>
      <c r="H257" s="21" t="str">
        <f t="shared" si="10"/>
        <v/>
      </c>
      <c r="I257" s="22">
        <v>0</v>
      </c>
      <c r="J257" s="23" t="str">
        <f t="shared" si="11"/>
        <v/>
      </c>
    </row>
    <row r="258" spans="2:10" ht="16.8" customHeight="1" x14ac:dyDescent="0.35">
      <c r="B258" s="6" t="s">
        <v>1020</v>
      </c>
      <c r="C258" s="11"/>
      <c r="D258" s="11"/>
      <c r="E258" s="11" t="str">
        <f>IF(ISBLANK(C258),"",SUMIF('SAÍDA DE VENDAS'!$G$6:$G$500, C258, 'SAÍDA DE VENDAS'!$H$6:$H$500))</f>
        <v/>
      </c>
      <c r="F258" s="16" t="str">
        <f t="shared" si="9"/>
        <v/>
      </c>
      <c r="G258" s="17"/>
      <c r="H258" s="17" t="str">
        <f t="shared" si="10"/>
        <v/>
      </c>
      <c r="I258" s="22">
        <v>0</v>
      </c>
      <c r="J258" s="19" t="str">
        <f t="shared" si="11"/>
        <v/>
      </c>
    </row>
    <row r="259" spans="2:10" ht="16.8" customHeight="1" x14ac:dyDescent="0.35">
      <c r="B259" s="6" t="s">
        <v>1021</v>
      </c>
      <c r="C259" s="12"/>
      <c r="D259" s="12"/>
      <c r="E259" s="12" t="str">
        <f>IF(ISBLANK(C259),"",SUMIF('SAÍDA DE VENDAS'!$G$6:$G$500, C259, 'SAÍDA DE VENDAS'!$H$6:$H$500))</f>
        <v/>
      </c>
      <c r="F259" s="20" t="str">
        <f t="shared" si="9"/>
        <v/>
      </c>
      <c r="G259" s="21"/>
      <c r="H259" s="21" t="str">
        <f t="shared" si="10"/>
        <v/>
      </c>
      <c r="I259" s="22">
        <v>0</v>
      </c>
      <c r="J259" s="23" t="str">
        <f t="shared" si="11"/>
        <v/>
      </c>
    </row>
    <row r="260" spans="2:10" ht="16.8" customHeight="1" x14ac:dyDescent="0.35">
      <c r="B260" s="6" t="s">
        <v>1022</v>
      </c>
      <c r="C260" s="11"/>
      <c r="D260" s="11"/>
      <c r="E260" s="11" t="str">
        <f>IF(ISBLANK(C260),"",SUMIF('SAÍDA DE VENDAS'!$G$6:$G$500, C260, 'SAÍDA DE VENDAS'!$H$6:$H$500))</f>
        <v/>
      </c>
      <c r="F260" s="16" t="str">
        <f t="shared" si="9"/>
        <v/>
      </c>
      <c r="G260" s="17"/>
      <c r="H260" s="17" t="str">
        <f t="shared" si="10"/>
        <v/>
      </c>
      <c r="I260" s="22">
        <v>0</v>
      </c>
      <c r="J260" s="19" t="str">
        <f t="shared" si="11"/>
        <v/>
      </c>
    </row>
    <row r="261" spans="2:10" ht="16.8" customHeight="1" x14ac:dyDescent="0.35">
      <c r="B261" s="6" t="s">
        <v>1023</v>
      </c>
      <c r="C261" s="12"/>
      <c r="D261" s="12"/>
      <c r="E261" s="12" t="str">
        <f>IF(ISBLANK(C261),"",SUMIF('SAÍDA DE VENDAS'!$G$6:$G$500, C261, 'SAÍDA DE VENDAS'!$H$6:$H$500))</f>
        <v/>
      </c>
      <c r="F261" s="20" t="str">
        <f t="shared" si="9"/>
        <v/>
      </c>
      <c r="G261" s="21"/>
      <c r="H261" s="21" t="str">
        <f t="shared" si="10"/>
        <v/>
      </c>
      <c r="I261" s="22">
        <v>0</v>
      </c>
      <c r="J261" s="23" t="str">
        <f t="shared" si="11"/>
        <v/>
      </c>
    </row>
    <row r="262" spans="2:10" ht="16.8" customHeight="1" x14ac:dyDescent="0.35">
      <c r="B262" s="6" t="s">
        <v>1024</v>
      </c>
      <c r="C262" s="11"/>
      <c r="D262" s="11"/>
      <c r="E262" s="11" t="str">
        <f>IF(ISBLANK(C262),"",SUMIF('SAÍDA DE VENDAS'!$G$6:$G$500, C262, 'SAÍDA DE VENDAS'!$H$6:$H$500))</f>
        <v/>
      </c>
      <c r="F262" s="16" t="str">
        <f t="shared" ref="F262:F325" si="12">IF(ISBLANK(C262),"", D262-E262)</f>
        <v/>
      </c>
      <c r="G262" s="17"/>
      <c r="H262" s="17" t="str">
        <f t="shared" ref="H262:H325" si="13">IF(OR(ISBLANK(F262),ISBLANK(G262)), "", F262*G262)</f>
        <v/>
      </c>
      <c r="I262" s="22">
        <v>0</v>
      </c>
      <c r="J262" s="19" t="str">
        <f t="shared" ref="J262:J325" si="14">IF(OR(ISBLANK(G262),ISBLANK(I262)), "", G262*(1+I262))</f>
        <v/>
      </c>
    </row>
    <row r="263" spans="2:10" ht="16.8" customHeight="1" x14ac:dyDescent="0.35">
      <c r="B263" s="6" t="s">
        <v>1025</v>
      </c>
      <c r="C263" s="12"/>
      <c r="D263" s="12"/>
      <c r="E263" s="12" t="str">
        <f>IF(ISBLANK(C263),"",SUMIF('SAÍDA DE VENDAS'!$G$6:$G$500, C263, 'SAÍDA DE VENDAS'!$H$6:$H$500))</f>
        <v/>
      </c>
      <c r="F263" s="20" t="str">
        <f t="shared" si="12"/>
        <v/>
      </c>
      <c r="G263" s="21"/>
      <c r="H263" s="21" t="str">
        <f t="shared" si="13"/>
        <v/>
      </c>
      <c r="I263" s="22">
        <v>0</v>
      </c>
      <c r="J263" s="23" t="str">
        <f t="shared" si="14"/>
        <v/>
      </c>
    </row>
    <row r="264" spans="2:10" ht="16.8" customHeight="1" x14ac:dyDescent="0.35">
      <c r="B264" s="6" t="s">
        <v>1026</v>
      </c>
      <c r="C264" s="11"/>
      <c r="D264" s="11"/>
      <c r="E264" s="11" t="str">
        <f>IF(ISBLANK(C264),"",SUMIF('SAÍDA DE VENDAS'!$G$6:$G$500, C264, 'SAÍDA DE VENDAS'!$H$6:$H$500))</f>
        <v/>
      </c>
      <c r="F264" s="16" t="str">
        <f t="shared" si="12"/>
        <v/>
      </c>
      <c r="G264" s="17"/>
      <c r="H264" s="17" t="str">
        <f t="shared" si="13"/>
        <v/>
      </c>
      <c r="I264" s="22">
        <v>0</v>
      </c>
      <c r="J264" s="19" t="str">
        <f t="shared" si="14"/>
        <v/>
      </c>
    </row>
    <row r="265" spans="2:10" ht="16.8" customHeight="1" x14ac:dyDescent="0.35">
      <c r="B265" s="6" t="s">
        <v>1027</v>
      </c>
      <c r="C265" s="12"/>
      <c r="D265" s="12"/>
      <c r="E265" s="12" t="str">
        <f>IF(ISBLANK(C265),"",SUMIF('SAÍDA DE VENDAS'!$G$6:$G$500, C265, 'SAÍDA DE VENDAS'!$H$6:$H$500))</f>
        <v/>
      </c>
      <c r="F265" s="20" t="str">
        <f t="shared" si="12"/>
        <v/>
      </c>
      <c r="G265" s="21"/>
      <c r="H265" s="21" t="str">
        <f t="shared" si="13"/>
        <v/>
      </c>
      <c r="I265" s="22">
        <v>0</v>
      </c>
      <c r="J265" s="23" t="str">
        <f t="shared" si="14"/>
        <v/>
      </c>
    </row>
    <row r="266" spans="2:10" ht="16.8" customHeight="1" x14ac:dyDescent="0.35">
      <c r="B266" s="6" t="s">
        <v>1028</v>
      </c>
      <c r="C266" s="11"/>
      <c r="D266" s="11"/>
      <c r="E266" s="11" t="str">
        <f>IF(ISBLANK(C266),"",SUMIF('SAÍDA DE VENDAS'!$G$6:$G$500, C266, 'SAÍDA DE VENDAS'!$H$6:$H$500))</f>
        <v/>
      </c>
      <c r="F266" s="16" t="str">
        <f t="shared" si="12"/>
        <v/>
      </c>
      <c r="G266" s="17"/>
      <c r="H266" s="17" t="str">
        <f t="shared" si="13"/>
        <v/>
      </c>
      <c r="I266" s="22">
        <v>0</v>
      </c>
      <c r="J266" s="19" t="str">
        <f t="shared" si="14"/>
        <v/>
      </c>
    </row>
    <row r="267" spans="2:10" ht="16.8" customHeight="1" x14ac:dyDescent="0.35">
      <c r="B267" s="6" t="s">
        <v>1029</v>
      </c>
      <c r="C267" s="12"/>
      <c r="D267" s="12"/>
      <c r="E267" s="12" t="str">
        <f>IF(ISBLANK(C267),"",SUMIF('SAÍDA DE VENDAS'!$G$6:$G$500, C267, 'SAÍDA DE VENDAS'!$H$6:$H$500))</f>
        <v/>
      </c>
      <c r="F267" s="20" t="str">
        <f t="shared" si="12"/>
        <v/>
      </c>
      <c r="G267" s="21"/>
      <c r="H267" s="21" t="str">
        <f t="shared" si="13"/>
        <v/>
      </c>
      <c r="I267" s="22">
        <v>0</v>
      </c>
      <c r="J267" s="23" t="str">
        <f t="shared" si="14"/>
        <v/>
      </c>
    </row>
    <row r="268" spans="2:10" ht="16.8" customHeight="1" x14ac:dyDescent="0.35">
      <c r="B268" s="6" t="s">
        <v>1030</v>
      </c>
      <c r="C268" s="11"/>
      <c r="D268" s="11"/>
      <c r="E268" s="11" t="str">
        <f>IF(ISBLANK(C268),"",SUMIF('SAÍDA DE VENDAS'!$G$6:$G$500, C268, 'SAÍDA DE VENDAS'!$H$6:$H$500))</f>
        <v/>
      </c>
      <c r="F268" s="16" t="str">
        <f t="shared" si="12"/>
        <v/>
      </c>
      <c r="G268" s="17"/>
      <c r="H268" s="17" t="str">
        <f t="shared" si="13"/>
        <v/>
      </c>
      <c r="I268" s="22">
        <v>0</v>
      </c>
      <c r="J268" s="19" t="str">
        <f t="shared" si="14"/>
        <v/>
      </c>
    </row>
    <row r="269" spans="2:10" ht="16.8" customHeight="1" x14ac:dyDescent="0.35">
      <c r="B269" s="6" t="s">
        <v>1031</v>
      </c>
      <c r="C269" s="12"/>
      <c r="D269" s="12"/>
      <c r="E269" s="12" t="str">
        <f>IF(ISBLANK(C269),"",SUMIF('SAÍDA DE VENDAS'!$G$6:$G$500, C269, 'SAÍDA DE VENDAS'!$H$6:$H$500))</f>
        <v/>
      </c>
      <c r="F269" s="20" t="str">
        <f t="shared" si="12"/>
        <v/>
      </c>
      <c r="G269" s="21"/>
      <c r="H269" s="21" t="str">
        <f t="shared" si="13"/>
        <v/>
      </c>
      <c r="I269" s="22">
        <v>0</v>
      </c>
      <c r="J269" s="23" t="str">
        <f t="shared" si="14"/>
        <v/>
      </c>
    </row>
    <row r="270" spans="2:10" ht="16.8" customHeight="1" x14ac:dyDescent="0.35">
      <c r="B270" s="6" t="s">
        <v>1032</v>
      </c>
      <c r="C270" s="11"/>
      <c r="D270" s="11"/>
      <c r="E270" s="11" t="str">
        <f>IF(ISBLANK(C270),"",SUMIF('SAÍDA DE VENDAS'!$G$6:$G$500, C270, 'SAÍDA DE VENDAS'!$H$6:$H$500))</f>
        <v/>
      </c>
      <c r="F270" s="16" t="str">
        <f t="shared" si="12"/>
        <v/>
      </c>
      <c r="G270" s="17"/>
      <c r="H270" s="17" t="str">
        <f t="shared" si="13"/>
        <v/>
      </c>
      <c r="I270" s="22">
        <v>0</v>
      </c>
      <c r="J270" s="19" t="str">
        <f t="shared" si="14"/>
        <v/>
      </c>
    </row>
    <row r="271" spans="2:10" ht="16.8" customHeight="1" x14ac:dyDescent="0.35">
      <c r="B271" s="6" t="s">
        <v>1033</v>
      </c>
      <c r="C271" s="12"/>
      <c r="D271" s="12"/>
      <c r="E271" s="12" t="str">
        <f>IF(ISBLANK(C271),"",SUMIF('SAÍDA DE VENDAS'!$G$6:$G$500, C271, 'SAÍDA DE VENDAS'!$H$6:$H$500))</f>
        <v/>
      </c>
      <c r="F271" s="20" t="str">
        <f t="shared" si="12"/>
        <v/>
      </c>
      <c r="G271" s="21"/>
      <c r="H271" s="21" t="str">
        <f t="shared" si="13"/>
        <v/>
      </c>
      <c r="I271" s="22">
        <v>0</v>
      </c>
      <c r="J271" s="23" t="str">
        <f t="shared" si="14"/>
        <v/>
      </c>
    </row>
    <row r="272" spans="2:10" ht="16.8" customHeight="1" x14ac:dyDescent="0.35">
      <c r="B272" s="6" t="s">
        <v>1034</v>
      </c>
      <c r="C272" s="11"/>
      <c r="D272" s="11"/>
      <c r="E272" s="11" t="str">
        <f>IF(ISBLANK(C272),"",SUMIF('SAÍDA DE VENDAS'!$G$6:$G$500, C272, 'SAÍDA DE VENDAS'!$H$6:$H$500))</f>
        <v/>
      </c>
      <c r="F272" s="16" t="str">
        <f t="shared" si="12"/>
        <v/>
      </c>
      <c r="G272" s="17"/>
      <c r="H272" s="17" t="str">
        <f t="shared" si="13"/>
        <v/>
      </c>
      <c r="I272" s="22">
        <v>0</v>
      </c>
      <c r="J272" s="19" t="str">
        <f t="shared" si="14"/>
        <v/>
      </c>
    </row>
    <row r="273" spans="2:10" ht="16.8" customHeight="1" x14ac:dyDescent="0.35">
      <c r="B273" s="6" t="s">
        <v>1035</v>
      </c>
      <c r="C273" s="12"/>
      <c r="D273" s="12"/>
      <c r="E273" s="12" t="str">
        <f>IF(ISBLANK(C273),"",SUMIF('SAÍDA DE VENDAS'!$G$6:$G$500, C273, 'SAÍDA DE VENDAS'!$H$6:$H$500))</f>
        <v/>
      </c>
      <c r="F273" s="20" t="str">
        <f t="shared" si="12"/>
        <v/>
      </c>
      <c r="G273" s="21"/>
      <c r="H273" s="21" t="str">
        <f t="shared" si="13"/>
        <v/>
      </c>
      <c r="I273" s="22">
        <v>0</v>
      </c>
      <c r="J273" s="23" t="str">
        <f t="shared" si="14"/>
        <v/>
      </c>
    </row>
    <row r="274" spans="2:10" ht="16.8" customHeight="1" x14ac:dyDescent="0.35">
      <c r="B274" s="6" t="s">
        <v>1036</v>
      </c>
      <c r="C274" s="11"/>
      <c r="D274" s="11"/>
      <c r="E274" s="11" t="str">
        <f>IF(ISBLANK(C274),"",SUMIF('SAÍDA DE VENDAS'!$G$6:$G$500, C274, 'SAÍDA DE VENDAS'!$H$6:$H$500))</f>
        <v/>
      </c>
      <c r="F274" s="16" t="str">
        <f t="shared" si="12"/>
        <v/>
      </c>
      <c r="G274" s="17"/>
      <c r="H274" s="17" t="str">
        <f t="shared" si="13"/>
        <v/>
      </c>
      <c r="I274" s="22">
        <v>0</v>
      </c>
      <c r="J274" s="19" t="str">
        <f t="shared" si="14"/>
        <v/>
      </c>
    </row>
    <row r="275" spans="2:10" ht="16.8" customHeight="1" x14ac:dyDescent="0.35">
      <c r="B275" s="6" t="s">
        <v>1037</v>
      </c>
      <c r="C275" s="12"/>
      <c r="D275" s="12"/>
      <c r="E275" s="12" t="str">
        <f>IF(ISBLANK(C275),"",SUMIF('SAÍDA DE VENDAS'!$G$6:$G$500, C275, 'SAÍDA DE VENDAS'!$H$6:$H$500))</f>
        <v/>
      </c>
      <c r="F275" s="20" t="str">
        <f t="shared" si="12"/>
        <v/>
      </c>
      <c r="G275" s="21"/>
      <c r="H275" s="21" t="str">
        <f t="shared" si="13"/>
        <v/>
      </c>
      <c r="I275" s="22">
        <v>0</v>
      </c>
      <c r="J275" s="23" t="str">
        <f t="shared" si="14"/>
        <v/>
      </c>
    </row>
    <row r="276" spans="2:10" ht="16.8" customHeight="1" x14ac:dyDescent="0.35">
      <c r="B276" s="6" t="s">
        <v>1038</v>
      </c>
      <c r="C276" s="11"/>
      <c r="D276" s="11"/>
      <c r="E276" s="11" t="str">
        <f>IF(ISBLANK(C276),"",SUMIF('SAÍDA DE VENDAS'!$G$6:$G$500, C276, 'SAÍDA DE VENDAS'!$H$6:$H$500))</f>
        <v/>
      </c>
      <c r="F276" s="16" t="str">
        <f t="shared" si="12"/>
        <v/>
      </c>
      <c r="G276" s="17"/>
      <c r="H276" s="17" t="str">
        <f t="shared" si="13"/>
        <v/>
      </c>
      <c r="I276" s="22">
        <v>0</v>
      </c>
      <c r="J276" s="19" t="str">
        <f t="shared" si="14"/>
        <v/>
      </c>
    </row>
    <row r="277" spans="2:10" ht="16.8" customHeight="1" x14ac:dyDescent="0.35">
      <c r="B277" s="6" t="s">
        <v>1039</v>
      </c>
      <c r="C277" s="12"/>
      <c r="D277" s="12"/>
      <c r="E277" s="12" t="str">
        <f>IF(ISBLANK(C277),"",SUMIF('SAÍDA DE VENDAS'!$G$6:$G$500, C277, 'SAÍDA DE VENDAS'!$H$6:$H$500))</f>
        <v/>
      </c>
      <c r="F277" s="20" t="str">
        <f t="shared" si="12"/>
        <v/>
      </c>
      <c r="G277" s="21"/>
      <c r="H277" s="21" t="str">
        <f t="shared" si="13"/>
        <v/>
      </c>
      <c r="I277" s="22">
        <v>0</v>
      </c>
      <c r="J277" s="23" t="str">
        <f t="shared" si="14"/>
        <v/>
      </c>
    </row>
    <row r="278" spans="2:10" ht="16.8" customHeight="1" x14ac:dyDescent="0.35">
      <c r="B278" s="6" t="s">
        <v>1040</v>
      </c>
      <c r="C278" s="11"/>
      <c r="D278" s="11"/>
      <c r="E278" s="11" t="str">
        <f>IF(ISBLANK(C278),"",SUMIF('SAÍDA DE VENDAS'!$G$6:$G$500, C278, 'SAÍDA DE VENDAS'!$H$6:$H$500))</f>
        <v/>
      </c>
      <c r="F278" s="16" t="str">
        <f t="shared" si="12"/>
        <v/>
      </c>
      <c r="G278" s="17"/>
      <c r="H278" s="17" t="str">
        <f t="shared" si="13"/>
        <v/>
      </c>
      <c r="I278" s="22">
        <v>0</v>
      </c>
      <c r="J278" s="19" t="str">
        <f t="shared" si="14"/>
        <v/>
      </c>
    </row>
    <row r="279" spans="2:10" ht="16.8" customHeight="1" x14ac:dyDescent="0.35">
      <c r="B279" s="6" t="s">
        <v>1041</v>
      </c>
      <c r="C279" s="12"/>
      <c r="D279" s="12"/>
      <c r="E279" s="12" t="str">
        <f>IF(ISBLANK(C279),"",SUMIF('SAÍDA DE VENDAS'!$G$6:$G$500, C279, 'SAÍDA DE VENDAS'!$H$6:$H$500))</f>
        <v/>
      </c>
      <c r="F279" s="20" t="str">
        <f t="shared" si="12"/>
        <v/>
      </c>
      <c r="G279" s="21"/>
      <c r="H279" s="21" t="str">
        <f t="shared" si="13"/>
        <v/>
      </c>
      <c r="I279" s="22">
        <v>0</v>
      </c>
      <c r="J279" s="23" t="str">
        <f t="shared" si="14"/>
        <v/>
      </c>
    </row>
    <row r="280" spans="2:10" ht="16.8" customHeight="1" x14ac:dyDescent="0.35">
      <c r="B280" s="6" t="s">
        <v>1042</v>
      </c>
      <c r="C280" s="11"/>
      <c r="D280" s="11"/>
      <c r="E280" s="11" t="str">
        <f>IF(ISBLANK(C280),"",SUMIF('SAÍDA DE VENDAS'!$G$6:$G$500, C280, 'SAÍDA DE VENDAS'!$H$6:$H$500))</f>
        <v/>
      </c>
      <c r="F280" s="16" t="str">
        <f t="shared" si="12"/>
        <v/>
      </c>
      <c r="G280" s="17"/>
      <c r="H280" s="17" t="str">
        <f t="shared" si="13"/>
        <v/>
      </c>
      <c r="I280" s="22">
        <v>0</v>
      </c>
      <c r="J280" s="19" t="str">
        <f t="shared" si="14"/>
        <v/>
      </c>
    </row>
    <row r="281" spans="2:10" ht="16.8" customHeight="1" x14ac:dyDescent="0.35">
      <c r="B281" s="6" t="s">
        <v>1043</v>
      </c>
      <c r="C281" s="12"/>
      <c r="D281" s="12"/>
      <c r="E281" s="12" t="str">
        <f>IF(ISBLANK(C281),"",SUMIF('SAÍDA DE VENDAS'!$G$6:$G$500, C281, 'SAÍDA DE VENDAS'!$H$6:$H$500))</f>
        <v/>
      </c>
      <c r="F281" s="20" t="str">
        <f t="shared" si="12"/>
        <v/>
      </c>
      <c r="G281" s="21"/>
      <c r="H281" s="21" t="str">
        <f t="shared" si="13"/>
        <v/>
      </c>
      <c r="I281" s="22">
        <v>0</v>
      </c>
      <c r="J281" s="23" t="str">
        <f t="shared" si="14"/>
        <v/>
      </c>
    </row>
    <row r="282" spans="2:10" ht="16.8" customHeight="1" x14ac:dyDescent="0.35">
      <c r="B282" s="6" t="s">
        <v>1044</v>
      </c>
      <c r="C282" s="11"/>
      <c r="D282" s="11"/>
      <c r="E282" s="11" t="str">
        <f>IF(ISBLANK(C282),"",SUMIF('SAÍDA DE VENDAS'!$G$6:$G$500, C282, 'SAÍDA DE VENDAS'!$H$6:$H$500))</f>
        <v/>
      </c>
      <c r="F282" s="16" t="str">
        <f t="shared" si="12"/>
        <v/>
      </c>
      <c r="G282" s="17"/>
      <c r="H282" s="17" t="str">
        <f t="shared" si="13"/>
        <v/>
      </c>
      <c r="I282" s="22">
        <v>0</v>
      </c>
      <c r="J282" s="19" t="str">
        <f t="shared" si="14"/>
        <v/>
      </c>
    </row>
    <row r="283" spans="2:10" ht="16.8" customHeight="1" x14ac:dyDescent="0.35">
      <c r="B283" s="6" t="s">
        <v>1045</v>
      </c>
      <c r="C283" s="12"/>
      <c r="D283" s="12"/>
      <c r="E283" s="12" t="str">
        <f>IF(ISBLANK(C283),"",SUMIF('SAÍDA DE VENDAS'!$G$6:$G$500, C283, 'SAÍDA DE VENDAS'!$H$6:$H$500))</f>
        <v/>
      </c>
      <c r="F283" s="20" t="str">
        <f t="shared" si="12"/>
        <v/>
      </c>
      <c r="G283" s="21"/>
      <c r="H283" s="21" t="str">
        <f t="shared" si="13"/>
        <v/>
      </c>
      <c r="I283" s="22">
        <v>0</v>
      </c>
      <c r="J283" s="23" t="str">
        <f t="shared" si="14"/>
        <v/>
      </c>
    </row>
    <row r="284" spans="2:10" ht="16.8" customHeight="1" x14ac:dyDescent="0.35">
      <c r="B284" s="6" t="s">
        <v>1046</v>
      </c>
      <c r="C284" s="11"/>
      <c r="D284" s="11"/>
      <c r="E284" s="11" t="str">
        <f>IF(ISBLANK(C284),"",SUMIF('SAÍDA DE VENDAS'!$G$6:$G$500, C284, 'SAÍDA DE VENDAS'!$H$6:$H$500))</f>
        <v/>
      </c>
      <c r="F284" s="16" t="str">
        <f t="shared" si="12"/>
        <v/>
      </c>
      <c r="G284" s="17"/>
      <c r="H284" s="17" t="str">
        <f t="shared" si="13"/>
        <v/>
      </c>
      <c r="I284" s="22">
        <v>0</v>
      </c>
      <c r="J284" s="19" t="str">
        <f t="shared" si="14"/>
        <v/>
      </c>
    </row>
    <row r="285" spans="2:10" ht="16.8" customHeight="1" x14ac:dyDescent="0.35">
      <c r="B285" s="6" t="s">
        <v>1047</v>
      </c>
      <c r="C285" s="12"/>
      <c r="D285" s="12"/>
      <c r="E285" s="12" t="str">
        <f>IF(ISBLANK(C285),"",SUMIF('SAÍDA DE VENDAS'!$G$6:$G$500, C285, 'SAÍDA DE VENDAS'!$H$6:$H$500))</f>
        <v/>
      </c>
      <c r="F285" s="20" t="str">
        <f t="shared" si="12"/>
        <v/>
      </c>
      <c r="G285" s="21"/>
      <c r="H285" s="21" t="str">
        <f t="shared" si="13"/>
        <v/>
      </c>
      <c r="I285" s="22">
        <v>0</v>
      </c>
      <c r="J285" s="23" t="str">
        <f t="shared" si="14"/>
        <v/>
      </c>
    </row>
    <row r="286" spans="2:10" ht="16.8" customHeight="1" x14ac:dyDescent="0.35">
      <c r="B286" s="6" t="s">
        <v>1048</v>
      </c>
      <c r="C286" s="11"/>
      <c r="D286" s="11"/>
      <c r="E286" s="11" t="str">
        <f>IF(ISBLANK(C286),"",SUMIF('SAÍDA DE VENDAS'!$G$6:$G$500, C286, 'SAÍDA DE VENDAS'!$H$6:$H$500))</f>
        <v/>
      </c>
      <c r="F286" s="16" t="str">
        <f t="shared" si="12"/>
        <v/>
      </c>
      <c r="G286" s="17"/>
      <c r="H286" s="17" t="str">
        <f t="shared" si="13"/>
        <v/>
      </c>
      <c r="I286" s="22">
        <v>0</v>
      </c>
      <c r="J286" s="19" t="str">
        <f t="shared" si="14"/>
        <v/>
      </c>
    </row>
    <row r="287" spans="2:10" ht="16.8" customHeight="1" x14ac:dyDescent="0.35">
      <c r="B287" s="6" t="s">
        <v>1049</v>
      </c>
      <c r="C287" s="12"/>
      <c r="D287" s="12"/>
      <c r="E287" s="12" t="str">
        <f>IF(ISBLANK(C287),"",SUMIF('SAÍDA DE VENDAS'!$G$6:$G$500, C287, 'SAÍDA DE VENDAS'!$H$6:$H$500))</f>
        <v/>
      </c>
      <c r="F287" s="20" t="str">
        <f t="shared" si="12"/>
        <v/>
      </c>
      <c r="G287" s="21"/>
      <c r="H287" s="21" t="str">
        <f t="shared" si="13"/>
        <v/>
      </c>
      <c r="I287" s="22">
        <v>0</v>
      </c>
      <c r="J287" s="23" t="str">
        <f t="shared" si="14"/>
        <v/>
      </c>
    </row>
    <row r="288" spans="2:10" ht="16.8" customHeight="1" x14ac:dyDescent="0.35">
      <c r="B288" s="6" t="s">
        <v>1050</v>
      </c>
      <c r="C288" s="11"/>
      <c r="D288" s="11"/>
      <c r="E288" s="11" t="str">
        <f>IF(ISBLANK(C288),"",SUMIF('SAÍDA DE VENDAS'!$G$6:$G$500, C288, 'SAÍDA DE VENDAS'!$H$6:$H$500))</f>
        <v/>
      </c>
      <c r="F288" s="16" t="str">
        <f t="shared" si="12"/>
        <v/>
      </c>
      <c r="G288" s="17"/>
      <c r="H288" s="17" t="str">
        <f t="shared" si="13"/>
        <v/>
      </c>
      <c r="I288" s="22">
        <v>0</v>
      </c>
      <c r="J288" s="19" t="str">
        <f t="shared" si="14"/>
        <v/>
      </c>
    </row>
    <row r="289" spans="2:10" ht="16.8" customHeight="1" x14ac:dyDescent="0.35">
      <c r="B289" s="6" t="s">
        <v>1051</v>
      </c>
      <c r="C289" s="12"/>
      <c r="D289" s="12"/>
      <c r="E289" s="12" t="str">
        <f>IF(ISBLANK(C289),"",SUMIF('SAÍDA DE VENDAS'!$G$6:$G$500, C289, 'SAÍDA DE VENDAS'!$H$6:$H$500))</f>
        <v/>
      </c>
      <c r="F289" s="20" t="str">
        <f t="shared" si="12"/>
        <v/>
      </c>
      <c r="G289" s="21"/>
      <c r="H289" s="21" t="str">
        <f t="shared" si="13"/>
        <v/>
      </c>
      <c r="I289" s="22">
        <v>0</v>
      </c>
      <c r="J289" s="23" t="str">
        <f t="shared" si="14"/>
        <v/>
      </c>
    </row>
    <row r="290" spans="2:10" ht="16.8" customHeight="1" x14ac:dyDescent="0.35">
      <c r="B290" s="6" t="s">
        <v>1052</v>
      </c>
      <c r="C290" s="11"/>
      <c r="D290" s="11"/>
      <c r="E290" s="11" t="str">
        <f>IF(ISBLANK(C290),"",SUMIF('SAÍDA DE VENDAS'!$G$6:$G$500, C290, 'SAÍDA DE VENDAS'!$H$6:$H$500))</f>
        <v/>
      </c>
      <c r="F290" s="16" t="str">
        <f t="shared" si="12"/>
        <v/>
      </c>
      <c r="G290" s="17"/>
      <c r="H290" s="17" t="str">
        <f t="shared" si="13"/>
        <v/>
      </c>
      <c r="I290" s="22">
        <v>0</v>
      </c>
      <c r="J290" s="19" t="str">
        <f t="shared" si="14"/>
        <v/>
      </c>
    </row>
    <row r="291" spans="2:10" ht="16.8" customHeight="1" x14ac:dyDescent="0.35">
      <c r="B291" s="6" t="s">
        <v>1053</v>
      </c>
      <c r="C291" s="12"/>
      <c r="D291" s="12"/>
      <c r="E291" s="12" t="str">
        <f>IF(ISBLANK(C291),"",SUMIF('SAÍDA DE VENDAS'!$G$6:$G$500, C291, 'SAÍDA DE VENDAS'!$H$6:$H$500))</f>
        <v/>
      </c>
      <c r="F291" s="20" t="str">
        <f t="shared" si="12"/>
        <v/>
      </c>
      <c r="G291" s="21"/>
      <c r="H291" s="21" t="str">
        <f t="shared" si="13"/>
        <v/>
      </c>
      <c r="I291" s="22">
        <v>0</v>
      </c>
      <c r="J291" s="23" t="str">
        <f t="shared" si="14"/>
        <v/>
      </c>
    </row>
    <row r="292" spans="2:10" ht="16.8" customHeight="1" x14ac:dyDescent="0.35">
      <c r="B292" s="6" t="s">
        <v>1054</v>
      </c>
      <c r="C292" s="11"/>
      <c r="D292" s="11"/>
      <c r="E292" s="11" t="str">
        <f>IF(ISBLANK(C292),"",SUMIF('SAÍDA DE VENDAS'!$G$6:$G$500, C292, 'SAÍDA DE VENDAS'!$H$6:$H$500))</f>
        <v/>
      </c>
      <c r="F292" s="16" t="str">
        <f t="shared" si="12"/>
        <v/>
      </c>
      <c r="G292" s="17"/>
      <c r="H292" s="17" t="str">
        <f t="shared" si="13"/>
        <v/>
      </c>
      <c r="I292" s="22">
        <v>0</v>
      </c>
      <c r="J292" s="19" t="str">
        <f t="shared" si="14"/>
        <v/>
      </c>
    </row>
    <row r="293" spans="2:10" ht="16.8" customHeight="1" x14ac:dyDescent="0.35">
      <c r="B293" s="6" t="s">
        <v>1055</v>
      </c>
      <c r="C293" s="12"/>
      <c r="D293" s="12"/>
      <c r="E293" s="12" t="str">
        <f>IF(ISBLANK(C293),"",SUMIF('SAÍDA DE VENDAS'!$G$6:$G$500, C293, 'SAÍDA DE VENDAS'!$H$6:$H$500))</f>
        <v/>
      </c>
      <c r="F293" s="20" t="str">
        <f t="shared" si="12"/>
        <v/>
      </c>
      <c r="G293" s="21"/>
      <c r="H293" s="21" t="str">
        <f t="shared" si="13"/>
        <v/>
      </c>
      <c r="I293" s="22">
        <v>0</v>
      </c>
      <c r="J293" s="23" t="str">
        <f t="shared" si="14"/>
        <v/>
      </c>
    </row>
    <row r="294" spans="2:10" ht="16.8" customHeight="1" x14ac:dyDescent="0.35">
      <c r="B294" s="6" t="s">
        <v>1056</v>
      </c>
      <c r="C294" s="11"/>
      <c r="D294" s="11"/>
      <c r="E294" s="11" t="str">
        <f>IF(ISBLANK(C294),"",SUMIF('SAÍDA DE VENDAS'!$G$6:$G$500, C294, 'SAÍDA DE VENDAS'!$H$6:$H$500))</f>
        <v/>
      </c>
      <c r="F294" s="16" t="str">
        <f t="shared" si="12"/>
        <v/>
      </c>
      <c r="G294" s="17"/>
      <c r="H294" s="17" t="str">
        <f t="shared" si="13"/>
        <v/>
      </c>
      <c r="I294" s="22">
        <v>0</v>
      </c>
      <c r="J294" s="19" t="str">
        <f t="shared" si="14"/>
        <v/>
      </c>
    </row>
    <row r="295" spans="2:10" ht="16.8" customHeight="1" x14ac:dyDescent="0.35">
      <c r="B295" s="6" t="s">
        <v>1057</v>
      </c>
      <c r="C295" s="12"/>
      <c r="D295" s="12"/>
      <c r="E295" s="12" t="str">
        <f>IF(ISBLANK(C295),"",SUMIF('SAÍDA DE VENDAS'!$G$6:$G$500, C295, 'SAÍDA DE VENDAS'!$H$6:$H$500))</f>
        <v/>
      </c>
      <c r="F295" s="20" t="str">
        <f t="shared" si="12"/>
        <v/>
      </c>
      <c r="G295" s="21"/>
      <c r="H295" s="21" t="str">
        <f t="shared" si="13"/>
        <v/>
      </c>
      <c r="I295" s="22">
        <v>0</v>
      </c>
      <c r="J295" s="23" t="str">
        <f t="shared" si="14"/>
        <v/>
      </c>
    </row>
    <row r="296" spans="2:10" ht="16.8" customHeight="1" x14ac:dyDescent="0.35">
      <c r="B296" s="6" t="s">
        <v>1058</v>
      </c>
      <c r="C296" s="11"/>
      <c r="D296" s="11"/>
      <c r="E296" s="11" t="str">
        <f>IF(ISBLANK(C296),"",SUMIF('SAÍDA DE VENDAS'!$G$6:$G$500, C296, 'SAÍDA DE VENDAS'!$H$6:$H$500))</f>
        <v/>
      </c>
      <c r="F296" s="16" t="str">
        <f t="shared" si="12"/>
        <v/>
      </c>
      <c r="G296" s="17"/>
      <c r="H296" s="17" t="str">
        <f t="shared" si="13"/>
        <v/>
      </c>
      <c r="I296" s="22">
        <v>0</v>
      </c>
      <c r="J296" s="19" t="str">
        <f t="shared" si="14"/>
        <v/>
      </c>
    </row>
    <row r="297" spans="2:10" ht="16.8" customHeight="1" x14ac:dyDescent="0.35">
      <c r="B297" s="6" t="s">
        <v>1059</v>
      </c>
      <c r="C297" s="12"/>
      <c r="D297" s="12"/>
      <c r="E297" s="12" t="str">
        <f>IF(ISBLANK(C297),"",SUMIF('SAÍDA DE VENDAS'!$G$6:$G$500, C297, 'SAÍDA DE VENDAS'!$H$6:$H$500))</f>
        <v/>
      </c>
      <c r="F297" s="20" t="str">
        <f t="shared" si="12"/>
        <v/>
      </c>
      <c r="G297" s="21"/>
      <c r="H297" s="21" t="str">
        <f t="shared" si="13"/>
        <v/>
      </c>
      <c r="I297" s="22">
        <v>0</v>
      </c>
      <c r="J297" s="23" t="str">
        <f t="shared" si="14"/>
        <v/>
      </c>
    </row>
    <row r="298" spans="2:10" ht="16.8" customHeight="1" x14ac:dyDescent="0.35">
      <c r="B298" s="6" t="s">
        <v>1060</v>
      </c>
      <c r="C298" s="11"/>
      <c r="D298" s="11"/>
      <c r="E298" s="11" t="str">
        <f>IF(ISBLANK(C298),"",SUMIF('SAÍDA DE VENDAS'!$G$6:$G$500, C298, 'SAÍDA DE VENDAS'!$H$6:$H$500))</f>
        <v/>
      </c>
      <c r="F298" s="16" t="str">
        <f t="shared" si="12"/>
        <v/>
      </c>
      <c r="G298" s="17"/>
      <c r="H298" s="17" t="str">
        <f t="shared" si="13"/>
        <v/>
      </c>
      <c r="I298" s="22">
        <v>0</v>
      </c>
      <c r="J298" s="19" t="str">
        <f t="shared" si="14"/>
        <v/>
      </c>
    </row>
    <row r="299" spans="2:10" ht="16.8" customHeight="1" x14ac:dyDescent="0.35">
      <c r="B299" s="6" t="s">
        <v>1061</v>
      </c>
      <c r="C299" s="12"/>
      <c r="D299" s="12"/>
      <c r="E299" s="12" t="str">
        <f>IF(ISBLANK(C299),"",SUMIF('SAÍDA DE VENDAS'!$G$6:$G$500, C299, 'SAÍDA DE VENDAS'!$H$6:$H$500))</f>
        <v/>
      </c>
      <c r="F299" s="20" t="str">
        <f t="shared" si="12"/>
        <v/>
      </c>
      <c r="G299" s="21"/>
      <c r="H299" s="21" t="str">
        <f t="shared" si="13"/>
        <v/>
      </c>
      <c r="I299" s="22">
        <v>0</v>
      </c>
      <c r="J299" s="23" t="str">
        <f t="shared" si="14"/>
        <v/>
      </c>
    </row>
    <row r="300" spans="2:10" ht="16.8" customHeight="1" x14ac:dyDescent="0.35">
      <c r="B300" s="6" t="s">
        <v>1062</v>
      </c>
      <c r="C300" s="11"/>
      <c r="D300" s="11"/>
      <c r="E300" s="11" t="str">
        <f>IF(ISBLANK(C300),"",SUMIF('SAÍDA DE VENDAS'!$G$6:$G$500, C300, 'SAÍDA DE VENDAS'!$H$6:$H$500))</f>
        <v/>
      </c>
      <c r="F300" s="16" t="str">
        <f t="shared" si="12"/>
        <v/>
      </c>
      <c r="G300" s="17"/>
      <c r="H300" s="17" t="str">
        <f t="shared" si="13"/>
        <v/>
      </c>
      <c r="I300" s="22">
        <v>0</v>
      </c>
      <c r="J300" s="19" t="str">
        <f t="shared" si="14"/>
        <v/>
      </c>
    </row>
    <row r="301" spans="2:10" ht="16.8" customHeight="1" x14ac:dyDescent="0.35">
      <c r="B301" s="6" t="s">
        <v>1063</v>
      </c>
      <c r="C301" s="12"/>
      <c r="D301" s="12"/>
      <c r="E301" s="12" t="str">
        <f>IF(ISBLANK(C301),"",SUMIF('SAÍDA DE VENDAS'!$G$6:$G$500, C301, 'SAÍDA DE VENDAS'!$H$6:$H$500))</f>
        <v/>
      </c>
      <c r="F301" s="20" t="str">
        <f t="shared" si="12"/>
        <v/>
      </c>
      <c r="G301" s="21"/>
      <c r="H301" s="21" t="str">
        <f t="shared" si="13"/>
        <v/>
      </c>
      <c r="I301" s="22">
        <v>0</v>
      </c>
      <c r="J301" s="23" t="str">
        <f t="shared" si="14"/>
        <v/>
      </c>
    </row>
    <row r="302" spans="2:10" ht="16.8" customHeight="1" x14ac:dyDescent="0.35">
      <c r="B302" s="6" t="s">
        <v>1064</v>
      </c>
      <c r="C302" s="11"/>
      <c r="D302" s="11"/>
      <c r="E302" s="11" t="str">
        <f>IF(ISBLANK(C302),"",SUMIF('SAÍDA DE VENDAS'!$G$6:$G$500, C302, 'SAÍDA DE VENDAS'!$H$6:$H$500))</f>
        <v/>
      </c>
      <c r="F302" s="16" t="str">
        <f t="shared" si="12"/>
        <v/>
      </c>
      <c r="G302" s="17"/>
      <c r="H302" s="17" t="str">
        <f t="shared" si="13"/>
        <v/>
      </c>
      <c r="I302" s="22">
        <v>0</v>
      </c>
      <c r="J302" s="19" t="str">
        <f t="shared" si="14"/>
        <v/>
      </c>
    </row>
    <row r="303" spans="2:10" ht="16.8" customHeight="1" x14ac:dyDescent="0.35">
      <c r="B303" s="6" t="s">
        <v>1065</v>
      </c>
      <c r="C303" s="12"/>
      <c r="D303" s="12"/>
      <c r="E303" s="12" t="str">
        <f>IF(ISBLANK(C303),"",SUMIF('SAÍDA DE VENDAS'!$G$6:$G$500, C303, 'SAÍDA DE VENDAS'!$H$6:$H$500))</f>
        <v/>
      </c>
      <c r="F303" s="20" t="str">
        <f t="shared" si="12"/>
        <v/>
      </c>
      <c r="G303" s="21"/>
      <c r="H303" s="21" t="str">
        <f t="shared" si="13"/>
        <v/>
      </c>
      <c r="I303" s="22">
        <v>0</v>
      </c>
      <c r="J303" s="23" t="str">
        <f t="shared" si="14"/>
        <v/>
      </c>
    </row>
    <row r="304" spans="2:10" ht="16.8" customHeight="1" x14ac:dyDescent="0.35">
      <c r="B304" s="6" t="s">
        <v>1066</v>
      </c>
      <c r="C304" s="11"/>
      <c r="D304" s="11"/>
      <c r="E304" s="11" t="str">
        <f>IF(ISBLANK(C304),"",SUMIF('SAÍDA DE VENDAS'!$G$6:$G$500, C304, 'SAÍDA DE VENDAS'!$H$6:$H$500))</f>
        <v/>
      </c>
      <c r="F304" s="16" t="str">
        <f t="shared" si="12"/>
        <v/>
      </c>
      <c r="G304" s="17"/>
      <c r="H304" s="17" t="str">
        <f t="shared" si="13"/>
        <v/>
      </c>
      <c r="I304" s="22">
        <v>0</v>
      </c>
      <c r="J304" s="19" t="str">
        <f t="shared" si="14"/>
        <v/>
      </c>
    </row>
    <row r="305" spans="2:10" ht="16.8" customHeight="1" x14ac:dyDescent="0.35">
      <c r="B305" s="6" t="s">
        <v>1067</v>
      </c>
      <c r="C305" s="12"/>
      <c r="D305" s="12"/>
      <c r="E305" s="12" t="str">
        <f>IF(ISBLANK(C305),"",SUMIF('SAÍDA DE VENDAS'!$G$6:$G$500, C305, 'SAÍDA DE VENDAS'!$H$6:$H$500))</f>
        <v/>
      </c>
      <c r="F305" s="20" t="str">
        <f t="shared" si="12"/>
        <v/>
      </c>
      <c r="G305" s="21"/>
      <c r="H305" s="21" t="str">
        <f t="shared" si="13"/>
        <v/>
      </c>
      <c r="I305" s="22">
        <v>0</v>
      </c>
      <c r="J305" s="23" t="str">
        <f t="shared" si="14"/>
        <v/>
      </c>
    </row>
    <row r="306" spans="2:10" ht="16.8" customHeight="1" x14ac:dyDescent="0.35">
      <c r="B306" s="6" t="s">
        <v>1068</v>
      </c>
      <c r="C306" s="11"/>
      <c r="D306" s="11"/>
      <c r="E306" s="11" t="str">
        <f>IF(ISBLANK(C306),"",SUMIF('SAÍDA DE VENDAS'!$G$6:$G$500, C306, 'SAÍDA DE VENDAS'!$H$6:$H$500))</f>
        <v/>
      </c>
      <c r="F306" s="16" t="str">
        <f t="shared" si="12"/>
        <v/>
      </c>
      <c r="G306" s="17"/>
      <c r="H306" s="17" t="str">
        <f t="shared" si="13"/>
        <v/>
      </c>
      <c r="I306" s="22">
        <v>0</v>
      </c>
      <c r="J306" s="19" t="str">
        <f t="shared" si="14"/>
        <v/>
      </c>
    </row>
    <row r="307" spans="2:10" ht="16.8" customHeight="1" x14ac:dyDescent="0.35">
      <c r="B307" s="6" t="s">
        <v>1069</v>
      </c>
      <c r="C307" s="12"/>
      <c r="D307" s="12"/>
      <c r="E307" s="12" t="str">
        <f>IF(ISBLANK(C307),"",SUMIF('SAÍDA DE VENDAS'!$G$6:$G$500, C307, 'SAÍDA DE VENDAS'!$H$6:$H$500))</f>
        <v/>
      </c>
      <c r="F307" s="20" t="str">
        <f t="shared" si="12"/>
        <v/>
      </c>
      <c r="G307" s="21"/>
      <c r="H307" s="21" t="str">
        <f t="shared" si="13"/>
        <v/>
      </c>
      <c r="I307" s="22">
        <v>0</v>
      </c>
      <c r="J307" s="23" t="str">
        <f t="shared" si="14"/>
        <v/>
      </c>
    </row>
    <row r="308" spans="2:10" ht="16.8" customHeight="1" x14ac:dyDescent="0.35">
      <c r="B308" s="6" t="s">
        <v>1070</v>
      </c>
      <c r="C308" s="11"/>
      <c r="D308" s="11"/>
      <c r="E308" s="11" t="str">
        <f>IF(ISBLANK(C308),"",SUMIF('SAÍDA DE VENDAS'!$G$6:$G$500, C308, 'SAÍDA DE VENDAS'!$H$6:$H$500))</f>
        <v/>
      </c>
      <c r="F308" s="16" t="str">
        <f t="shared" si="12"/>
        <v/>
      </c>
      <c r="G308" s="17"/>
      <c r="H308" s="17" t="str">
        <f t="shared" si="13"/>
        <v/>
      </c>
      <c r="I308" s="22">
        <v>0</v>
      </c>
      <c r="J308" s="19" t="str">
        <f t="shared" si="14"/>
        <v/>
      </c>
    </row>
    <row r="309" spans="2:10" ht="16.8" customHeight="1" x14ac:dyDescent="0.35">
      <c r="B309" s="6" t="s">
        <v>1071</v>
      </c>
      <c r="C309" s="12"/>
      <c r="D309" s="12"/>
      <c r="E309" s="12" t="str">
        <f>IF(ISBLANK(C309),"",SUMIF('SAÍDA DE VENDAS'!$G$6:$G$500, C309, 'SAÍDA DE VENDAS'!$H$6:$H$500))</f>
        <v/>
      </c>
      <c r="F309" s="20" t="str">
        <f t="shared" si="12"/>
        <v/>
      </c>
      <c r="G309" s="21"/>
      <c r="H309" s="21" t="str">
        <f t="shared" si="13"/>
        <v/>
      </c>
      <c r="I309" s="22">
        <v>0</v>
      </c>
      <c r="J309" s="23" t="str">
        <f t="shared" si="14"/>
        <v/>
      </c>
    </row>
    <row r="310" spans="2:10" ht="16.8" customHeight="1" x14ac:dyDescent="0.35">
      <c r="B310" s="6" t="s">
        <v>1072</v>
      </c>
      <c r="C310" s="11"/>
      <c r="D310" s="11"/>
      <c r="E310" s="11" t="str">
        <f>IF(ISBLANK(C310),"",SUMIF('SAÍDA DE VENDAS'!$G$6:$G$500, C310, 'SAÍDA DE VENDAS'!$H$6:$H$500))</f>
        <v/>
      </c>
      <c r="F310" s="16" t="str">
        <f t="shared" si="12"/>
        <v/>
      </c>
      <c r="G310" s="17"/>
      <c r="H310" s="17" t="str">
        <f t="shared" si="13"/>
        <v/>
      </c>
      <c r="I310" s="22">
        <v>0</v>
      </c>
      <c r="J310" s="19" t="str">
        <f t="shared" si="14"/>
        <v/>
      </c>
    </row>
    <row r="311" spans="2:10" ht="16.8" customHeight="1" x14ac:dyDescent="0.35">
      <c r="B311" s="6" t="s">
        <v>1073</v>
      </c>
      <c r="C311" s="12"/>
      <c r="D311" s="12"/>
      <c r="E311" s="12" t="str">
        <f>IF(ISBLANK(C311),"",SUMIF('SAÍDA DE VENDAS'!$G$6:$G$500, C311, 'SAÍDA DE VENDAS'!$H$6:$H$500))</f>
        <v/>
      </c>
      <c r="F311" s="20" t="str">
        <f t="shared" si="12"/>
        <v/>
      </c>
      <c r="G311" s="21"/>
      <c r="H311" s="21" t="str">
        <f t="shared" si="13"/>
        <v/>
      </c>
      <c r="I311" s="22">
        <v>0</v>
      </c>
      <c r="J311" s="23" t="str">
        <f t="shared" si="14"/>
        <v/>
      </c>
    </row>
    <row r="312" spans="2:10" ht="16.8" customHeight="1" x14ac:dyDescent="0.35">
      <c r="B312" s="6" t="s">
        <v>1074</v>
      </c>
      <c r="C312" s="11"/>
      <c r="D312" s="11"/>
      <c r="E312" s="11" t="str">
        <f>IF(ISBLANK(C312),"",SUMIF('SAÍDA DE VENDAS'!$G$6:$G$500, C312, 'SAÍDA DE VENDAS'!$H$6:$H$500))</f>
        <v/>
      </c>
      <c r="F312" s="16" t="str">
        <f t="shared" si="12"/>
        <v/>
      </c>
      <c r="G312" s="17"/>
      <c r="H312" s="17" t="str">
        <f t="shared" si="13"/>
        <v/>
      </c>
      <c r="I312" s="22">
        <v>0</v>
      </c>
      <c r="J312" s="19" t="str">
        <f t="shared" si="14"/>
        <v/>
      </c>
    </row>
    <row r="313" spans="2:10" ht="16.8" customHeight="1" x14ac:dyDescent="0.35">
      <c r="B313" s="6" t="s">
        <v>1075</v>
      </c>
      <c r="C313" s="12"/>
      <c r="D313" s="12"/>
      <c r="E313" s="12" t="str">
        <f>IF(ISBLANK(C313),"",SUMIF('SAÍDA DE VENDAS'!$G$6:$G$500, C313, 'SAÍDA DE VENDAS'!$H$6:$H$500))</f>
        <v/>
      </c>
      <c r="F313" s="20" t="str">
        <f t="shared" si="12"/>
        <v/>
      </c>
      <c r="G313" s="21"/>
      <c r="H313" s="21" t="str">
        <f t="shared" si="13"/>
        <v/>
      </c>
      <c r="I313" s="22">
        <v>0</v>
      </c>
      <c r="J313" s="23" t="str">
        <f t="shared" si="14"/>
        <v/>
      </c>
    </row>
    <row r="314" spans="2:10" ht="16.8" customHeight="1" x14ac:dyDescent="0.35">
      <c r="B314" s="6" t="s">
        <v>1076</v>
      </c>
      <c r="C314" s="11"/>
      <c r="D314" s="11"/>
      <c r="E314" s="11" t="str">
        <f>IF(ISBLANK(C314),"",SUMIF('SAÍDA DE VENDAS'!$G$6:$G$500, C314, 'SAÍDA DE VENDAS'!$H$6:$H$500))</f>
        <v/>
      </c>
      <c r="F314" s="16" t="str">
        <f t="shared" si="12"/>
        <v/>
      </c>
      <c r="G314" s="17"/>
      <c r="H314" s="17" t="str">
        <f t="shared" si="13"/>
        <v/>
      </c>
      <c r="I314" s="22">
        <v>0</v>
      </c>
      <c r="J314" s="19" t="str">
        <f t="shared" si="14"/>
        <v/>
      </c>
    </row>
    <row r="315" spans="2:10" ht="16.8" customHeight="1" x14ac:dyDescent="0.35">
      <c r="B315" s="6" t="s">
        <v>1077</v>
      </c>
      <c r="C315" s="12"/>
      <c r="D315" s="12"/>
      <c r="E315" s="12" t="str">
        <f>IF(ISBLANK(C315),"",SUMIF('SAÍDA DE VENDAS'!$G$6:$G$500, C315, 'SAÍDA DE VENDAS'!$H$6:$H$500))</f>
        <v/>
      </c>
      <c r="F315" s="20" t="str">
        <f t="shared" si="12"/>
        <v/>
      </c>
      <c r="G315" s="21"/>
      <c r="H315" s="21" t="str">
        <f t="shared" si="13"/>
        <v/>
      </c>
      <c r="I315" s="22">
        <v>0</v>
      </c>
      <c r="J315" s="23" t="str">
        <f t="shared" si="14"/>
        <v/>
      </c>
    </row>
    <row r="316" spans="2:10" ht="16.8" customHeight="1" x14ac:dyDescent="0.35">
      <c r="B316" s="6" t="s">
        <v>1078</v>
      </c>
      <c r="C316" s="11"/>
      <c r="D316" s="11"/>
      <c r="E316" s="11" t="str">
        <f>IF(ISBLANK(C316),"",SUMIF('SAÍDA DE VENDAS'!$G$6:$G$500, C316, 'SAÍDA DE VENDAS'!$H$6:$H$500))</f>
        <v/>
      </c>
      <c r="F316" s="16" t="str">
        <f t="shared" si="12"/>
        <v/>
      </c>
      <c r="G316" s="17"/>
      <c r="H316" s="17" t="str">
        <f t="shared" si="13"/>
        <v/>
      </c>
      <c r="I316" s="22">
        <v>0</v>
      </c>
      <c r="J316" s="19" t="str">
        <f t="shared" si="14"/>
        <v/>
      </c>
    </row>
    <row r="317" spans="2:10" ht="16.8" customHeight="1" x14ac:dyDescent="0.35">
      <c r="B317" s="6" t="s">
        <v>1079</v>
      </c>
      <c r="C317" s="12"/>
      <c r="D317" s="12"/>
      <c r="E317" s="12" t="str">
        <f>IF(ISBLANK(C317),"",SUMIF('SAÍDA DE VENDAS'!$G$6:$G$500, C317, 'SAÍDA DE VENDAS'!$H$6:$H$500))</f>
        <v/>
      </c>
      <c r="F317" s="20" t="str">
        <f t="shared" si="12"/>
        <v/>
      </c>
      <c r="G317" s="21"/>
      <c r="H317" s="21" t="str">
        <f t="shared" si="13"/>
        <v/>
      </c>
      <c r="I317" s="22">
        <v>0</v>
      </c>
      <c r="J317" s="23" t="str">
        <f t="shared" si="14"/>
        <v/>
      </c>
    </row>
    <row r="318" spans="2:10" ht="16.8" customHeight="1" x14ac:dyDescent="0.35">
      <c r="B318" s="6" t="s">
        <v>1080</v>
      </c>
      <c r="C318" s="11"/>
      <c r="D318" s="11"/>
      <c r="E318" s="11" t="str">
        <f>IF(ISBLANK(C318),"",SUMIF('SAÍDA DE VENDAS'!$G$6:$G$500, C318, 'SAÍDA DE VENDAS'!$H$6:$H$500))</f>
        <v/>
      </c>
      <c r="F318" s="16" t="str">
        <f t="shared" si="12"/>
        <v/>
      </c>
      <c r="G318" s="17"/>
      <c r="H318" s="17" t="str">
        <f t="shared" si="13"/>
        <v/>
      </c>
      <c r="I318" s="22">
        <v>0</v>
      </c>
      <c r="J318" s="19" t="str">
        <f t="shared" si="14"/>
        <v/>
      </c>
    </row>
    <row r="319" spans="2:10" ht="16.8" customHeight="1" x14ac:dyDescent="0.35">
      <c r="B319" s="6" t="s">
        <v>1081</v>
      </c>
      <c r="C319" s="12"/>
      <c r="D319" s="12"/>
      <c r="E319" s="12" t="str">
        <f>IF(ISBLANK(C319),"",SUMIF('SAÍDA DE VENDAS'!$G$6:$G$500, C319, 'SAÍDA DE VENDAS'!$H$6:$H$500))</f>
        <v/>
      </c>
      <c r="F319" s="20" t="str">
        <f t="shared" si="12"/>
        <v/>
      </c>
      <c r="G319" s="21"/>
      <c r="H319" s="21" t="str">
        <f t="shared" si="13"/>
        <v/>
      </c>
      <c r="I319" s="22">
        <v>0</v>
      </c>
      <c r="J319" s="23" t="str">
        <f t="shared" si="14"/>
        <v/>
      </c>
    </row>
    <row r="320" spans="2:10" ht="16.8" customHeight="1" x14ac:dyDescent="0.35">
      <c r="B320" s="6" t="s">
        <v>1082</v>
      </c>
      <c r="C320" s="11"/>
      <c r="D320" s="11"/>
      <c r="E320" s="11" t="str">
        <f>IF(ISBLANK(C320),"",SUMIF('SAÍDA DE VENDAS'!$G$6:$G$500, C320, 'SAÍDA DE VENDAS'!$H$6:$H$500))</f>
        <v/>
      </c>
      <c r="F320" s="16" t="str">
        <f t="shared" si="12"/>
        <v/>
      </c>
      <c r="G320" s="17"/>
      <c r="H320" s="17" t="str">
        <f t="shared" si="13"/>
        <v/>
      </c>
      <c r="I320" s="22">
        <v>0</v>
      </c>
      <c r="J320" s="19" t="str">
        <f t="shared" si="14"/>
        <v/>
      </c>
    </row>
    <row r="321" spans="2:10" ht="16.8" customHeight="1" x14ac:dyDescent="0.35">
      <c r="B321" s="6" t="s">
        <v>1083</v>
      </c>
      <c r="C321" s="12"/>
      <c r="D321" s="12"/>
      <c r="E321" s="12" t="str">
        <f>IF(ISBLANK(C321),"",SUMIF('SAÍDA DE VENDAS'!$G$6:$G$500, C321, 'SAÍDA DE VENDAS'!$H$6:$H$500))</f>
        <v/>
      </c>
      <c r="F321" s="20" t="str">
        <f t="shared" si="12"/>
        <v/>
      </c>
      <c r="G321" s="21"/>
      <c r="H321" s="21" t="str">
        <f t="shared" si="13"/>
        <v/>
      </c>
      <c r="I321" s="22">
        <v>0</v>
      </c>
      <c r="J321" s="23" t="str">
        <f t="shared" si="14"/>
        <v/>
      </c>
    </row>
    <row r="322" spans="2:10" ht="16.8" customHeight="1" x14ac:dyDescent="0.35">
      <c r="B322" s="6" t="s">
        <v>1084</v>
      </c>
      <c r="C322" s="11"/>
      <c r="D322" s="11"/>
      <c r="E322" s="11" t="str">
        <f>IF(ISBLANK(C322),"",SUMIF('SAÍDA DE VENDAS'!$G$6:$G$500, C322, 'SAÍDA DE VENDAS'!$H$6:$H$500))</f>
        <v/>
      </c>
      <c r="F322" s="16" t="str">
        <f t="shared" si="12"/>
        <v/>
      </c>
      <c r="G322" s="17"/>
      <c r="H322" s="17" t="str">
        <f t="shared" si="13"/>
        <v/>
      </c>
      <c r="I322" s="22">
        <v>0</v>
      </c>
      <c r="J322" s="19" t="str">
        <f t="shared" si="14"/>
        <v/>
      </c>
    </row>
    <row r="323" spans="2:10" ht="16.8" customHeight="1" x14ac:dyDescent="0.35">
      <c r="B323" s="6" t="s">
        <v>1085</v>
      </c>
      <c r="C323" s="12"/>
      <c r="D323" s="12"/>
      <c r="E323" s="12" t="str">
        <f>IF(ISBLANK(C323),"",SUMIF('SAÍDA DE VENDAS'!$G$6:$G$500, C323, 'SAÍDA DE VENDAS'!$H$6:$H$500))</f>
        <v/>
      </c>
      <c r="F323" s="20" t="str">
        <f t="shared" si="12"/>
        <v/>
      </c>
      <c r="G323" s="21"/>
      <c r="H323" s="21" t="str">
        <f t="shared" si="13"/>
        <v/>
      </c>
      <c r="I323" s="22">
        <v>0</v>
      </c>
      <c r="J323" s="23" t="str">
        <f t="shared" si="14"/>
        <v/>
      </c>
    </row>
    <row r="324" spans="2:10" ht="16.8" customHeight="1" x14ac:dyDescent="0.35">
      <c r="B324" s="6" t="s">
        <v>1086</v>
      </c>
      <c r="C324" s="11"/>
      <c r="D324" s="11"/>
      <c r="E324" s="11" t="str">
        <f>IF(ISBLANK(C324),"",SUMIF('SAÍDA DE VENDAS'!$G$6:$G$500, C324, 'SAÍDA DE VENDAS'!$H$6:$H$500))</f>
        <v/>
      </c>
      <c r="F324" s="16" t="str">
        <f t="shared" si="12"/>
        <v/>
      </c>
      <c r="G324" s="17"/>
      <c r="H324" s="17" t="str">
        <f t="shared" si="13"/>
        <v/>
      </c>
      <c r="I324" s="22">
        <v>0</v>
      </c>
      <c r="J324" s="19" t="str">
        <f t="shared" si="14"/>
        <v/>
      </c>
    </row>
    <row r="325" spans="2:10" ht="16.8" customHeight="1" x14ac:dyDescent="0.35">
      <c r="B325" s="6" t="s">
        <v>1087</v>
      </c>
      <c r="C325" s="12"/>
      <c r="D325" s="12"/>
      <c r="E325" s="12" t="str">
        <f>IF(ISBLANK(C325),"",SUMIF('SAÍDA DE VENDAS'!$G$6:$G$500, C325, 'SAÍDA DE VENDAS'!$H$6:$H$500))</f>
        <v/>
      </c>
      <c r="F325" s="20" t="str">
        <f t="shared" si="12"/>
        <v/>
      </c>
      <c r="G325" s="21"/>
      <c r="H325" s="21" t="str">
        <f t="shared" si="13"/>
        <v/>
      </c>
      <c r="I325" s="22">
        <v>0</v>
      </c>
      <c r="J325" s="23" t="str">
        <f t="shared" si="14"/>
        <v/>
      </c>
    </row>
    <row r="326" spans="2:10" ht="16.8" customHeight="1" x14ac:dyDescent="0.35">
      <c r="B326" s="6" t="s">
        <v>1088</v>
      </c>
      <c r="C326" s="11"/>
      <c r="D326" s="11"/>
      <c r="E326" s="11" t="str">
        <f>IF(ISBLANK(C326),"",SUMIF('SAÍDA DE VENDAS'!$G$6:$G$500, C326, 'SAÍDA DE VENDAS'!$H$6:$H$500))</f>
        <v/>
      </c>
      <c r="F326" s="16" t="str">
        <f t="shared" ref="F326:F389" si="15">IF(ISBLANK(C326),"", D326-E326)</f>
        <v/>
      </c>
      <c r="G326" s="17"/>
      <c r="H326" s="17" t="str">
        <f t="shared" ref="H326:H389" si="16">IF(OR(ISBLANK(F326),ISBLANK(G326)), "", F326*G326)</f>
        <v/>
      </c>
      <c r="I326" s="22">
        <v>0</v>
      </c>
      <c r="J326" s="19" t="str">
        <f t="shared" ref="J326:J389" si="17">IF(OR(ISBLANK(G326),ISBLANK(I326)), "", G326*(1+I326))</f>
        <v/>
      </c>
    </row>
    <row r="327" spans="2:10" ht="16.8" customHeight="1" x14ac:dyDescent="0.35">
      <c r="B327" s="6" t="s">
        <v>1089</v>
      </c>
      <c r="C327" s="12"/>
      <c r="D327" s="12"/>
      <c r="E327" s="12" t="str">
        <f>IF(ISBLANK(C327),"",SUMIF('SAÍDA DE VENDAS'!$G$6:$G$500, C327, 'SAÍDA DE VENDAS'!$H$6:$H$500))</f>
        <v/>
      </c>
      <c r="F327" s="20" t="str">
        <f t="shared" si="15"/>
        <v/>
      </c>
      <c r="G327" s="21"/>
      <c r="H327" s="21" t="str">
        <f t="shared" si="16"/>
        <v/>
      </c>
      <c r="I327" s="22">
        <v>0</v>
      </c>
      <c r="J327" s="23" t="str">
        <f t="shared" si="17"/>
        <v/>
      </c>
    </row>
    <row r="328" spans="2:10" ht="16.8" customHeight="1" x14ac:dyDescent="0.35">
      <c r="B328" s="6" t="s">
        <v>1090</v>
      </c>
      <c r="C328" s="11"/>
      <c r="D328" s="11"/>
      <c r="E328" s="11" t="str">
        <f>IF(ISBLANK(C328),"",SUMIF('SAÍDA DE VENDAS'!$G$6:$G$500, C328, 'SAÍDA DE VENDAS'!$H$6:$H$500))</f>
        <v/>
      </c>
      <c r="F328" s="16" t="str">
        <f t="shared" si="15"/>
        <v/>
      </c>
      <c r="G328" s="17"/>
      <c r="H328" s="17" t="str">
        <f t="shared" si="16"/>
        <v/>
      </c>
      <c r="I328" s="22">
        <v>0</v>
      </c>
      <c r="J328" s="19" t="str">
        <f t="shared" si="17"/>
        <v/>
      </c>
    </row>
    <row r="329" spans="2:10" ht="16.8" customHeight="1" x14ac:dyDescent="0.35">
      <c r="B329" s="6" t="s">
        <v>1091</v>
      </c>
      <c r="C329" s="12"/>
      <c r="D329" s="12"/>
      <c r="E329" s="12" t="str">
        <f>IF(ISBLANK(C329),"",SUMIF('SAÍDA DE VENDAS'!$G$6:$G$500, C329, 'SAÍDA DE VENDAS'!$H$6:$H$500))</f>
        <v/>
      </c>
      <c r="F329" s="20" t="str">
        <f t="shared" si="15"/>
        <v/>
      </c>
      <c r="G329" s="21"/>
      <c r="H329" s="21" t="str">
        <f t="shared" si="16"/>
        <v/>
      </c>
      <c r="I329" s="22">
        <v>0</v>
      </c>
      <c r="J329" s="23" t="str">
        <f t="shared" si="17"/>
        <v/>
      </c>
    </row>
    <row r="330" spans="2:10" ht="16.8" customHeight="1" x14ac:dyDescent="0.35">
      <c r="B330" s="6" t="s">
        <v>1092</v>
      </c>
      <c r="C330" s="11"/>
      <c r="D330" s="11"/>
      <c r="E330" s="11" t="str">
        <f>IF(ISBLANK(C330),"",SUMIF('SAÍDA DE VENDAS'!$G$6:$G$500, C330, 'SAÍDA DE VENDAS'!$H$6:$H$500))</f>
        <v/>
      </c>
      <c r="F330" s="16" t="str">
        <f t="shared" si="15"/>
        <v/>
      </c>
      <c r="G330" s="17"/>
      <c r="H330" s="17" t="str">
        <f t="shared" si="16"/>
        <v/>
      </c>
      <c r="I330" s="22">
        <v>0</v>
      </c>
      <c r="J330" s="19" t="str">
        <f t="shared" si="17"/>
        <v/>
      </c>
    </row>
    <row r="331" spans="2:10" ht="16.8" customHeight="1" x14ac:dyDescent="0.35">
      <c r="B331" s="6" t="s">
        <v>1093</v>
      </c>
      <c r="C331" s="12"/>
      <c r="D331" s="12"/>
      <c r="E331" s="12" t="str">
        <f>IF(ISBLANK(C331),"",SUMIF('SAÍDA DE VENDAS'!$G$6:$G$500, C331, 'SAÍDA DE VENDAS'!$H$6:$H$500))</f>
        <v/>
      </c>
      <c r="F331" s="20" t="str">
        <f t="shared" si="15"/>
        <v/>
      </c>
      <c r="G331" s="21"/>
      <c r="H331" s="21" t="str">
        <f t="shared" si="16"/>
        <v/>
      </c>
      <c r="I331" s="22">
        <v>0</v>
      </c>
      <c r="J331" s="23" t="str">
        <f t="shared" si="17"/>
        <v/>
      </c>
    </row>
    <row r="332" spans="2:10" ht="16.8" customHeight="1" x14ac:dyDescent="0.35">
      <c r="B332" s="6" t="s">
        <v>1094</v>
      </c>
      <c r="C332" s="11"/>
      <c r="D332" s="11"/>
      <c r="E332" s="11" t="str">
        <f>IF(ISBLANK(C332),"",SUMIF('SAÍDA DE VENDAS'!$G$6:$G$500, C332, 'SAÍDA DE VENDAS'!$H$6:$H$500))</f>
        <v/>
      </c>
      <c r="F332" s="16" t="str">
        <f t="shared" si="15"/>
        <v/>
      </c>
      <c r="G332" s="17"/>
      <c r="H332" s="17" t="str">
        <f t="shared" si="16"/>
        <v/>
      </c>
      <c r="I332" s="22">
        <v>0</v>
      </c>
      <c r="J332" s="19" t="str">
        <f t="shared" si="17"/>
        <v/>
      </c>
    </row>
    <row r="333" spans="2:10" ht="16.8" customHeight="1" x14ac:dyDescent="0.35">
      <c r="B333" s="6" t="s">
        <v>1095</v>
      </c>
      <c r="C333" s="12"/>
      <c r="D333" s="12"/>
      <c r="E333" s="12" t="str">
        <f>IF(ISBLANK(C333),"",SUMIF('SAÍDA DE VENDAS'!$G$6:$G$500, C333, 'SAÍDA DE VENDAS'!$H$6:$H$500))</f>
        <v/>
      </c>
      <c r="F333" s="20" t="str">
        <f t="shared" si="15"/>
        <v/>
      </c>
      <c r="G333" s="21"/>
      <c r="H333" s="21" t="str">
        <f t="shared" si="16"/>
        <v/>
      </c>
      <c r="I333" s="22">
        <v>0</v>
      </c>
      <c r="J333" s="23" t="str">
        <f t="shared" si="17"/>
        <v/>
      </c>
    </row>
    <row r="334" spans="2:10" ht="16.8" customHeight="1" x14ac:dyDescent="0.35">
      <c r="B334" s="6" t="s">
        <v>1096</v>
      </c>
      <c r="C334" s="11"/>
      <c r="D334" s="11"/>
      <c r="E334" s="11" t="str">
        <f>IF(ISBLANK(C334),"",SUMIF('SAÍDA DE VENDAS'!$G$6:$G$500, C334, 'SAÍDA DE VENDAS'!$H$6:$H$500))</f>
        <v/>
      </c>
      <c r="F334" s="16" t="str">
        <f t="shared" si="15"/>
        <v/>
      </c>
      <c r="G334" s="17"/>
      <c r="H334" s="17" t="str">
        <f t="shared" si="16"/>
        <v/>
      </c>
      <c r="I334" s="22">
        <v>0</v>
      </c>
      <c r="J334" s="19" t="str">
        <f t="shared" si="17"/>
        <v/>
      </c>
    </row>
    <row r="335" spans="2:10" ht="16.8" customHeight="1" x14ac:dyDescent="0.35">
      <c r="B335" s="6" t="s">
        <v>1097</v>
      </c>
      <c r="C335" s="12"/>
      <c r="D335" s="12"/>
      <c r="E335" s="12" t="str">
        <f>IF(ISBLANK(C335),"",SUMIF('SAÍDA DE VENDAS'!$G$6:$G$500, C335, 'SAÍDA DE VENDAS'!$H$6:$H$500))</f>
        <v/>
      </c>
      <c r="F335" s="20" t="str">
        <f t="shared" si="15"/>
        <v/>
      </c>
      <c r="G335" s="21"/>
      <c r="H335" s="21" t="str">
        <f t="shared" si="16"/>
        <v/>
      </c>
      <c r="I335" s="22">
        <v>0</v>
      </c>
      <c r="J335" s="23" t="str">
        <f t="shared" si="17"/>
        <v/>
      </c>
    </row>
    <row r="336" spans="2:10" ht="16.8" customHeight="1" x14ac:dyDescent="0.35">
      <c r="B336" s="6" t="s">
        <v>1098</v>
      </c>
      <c r="C336" s="11"/>
      <c r="D336" s="11"/>
      <c r="E336" s="11" t="str">
        <f>IF(ISBLANK(C336),"",SUMIF('SAÍDA DE VENDAS'!$G$6:$G$500, C336, 'SAÍDA DE VENDAS'!$H$6:$H$500))</f>
        <v/>
      </c>
      <c r="F336" s="16" t="str">
        <f t="shared" si="15"/>
        <v/>
      </c>
      <c r="G336" s="17"/>
      <c r="H336" s="17" t="str">
        <f t="shared" si="16"/>
        <v/>
      </c>
      <c r="I336" s="22">
        <v>0</v>
      </c>
      <c r="J336" s="19" t="str">
        <f t="shared" si="17"/>
        <v/>
      </c>
    </row>
    <row r="337" spans="2:10" ht="16.8" customHeight="1" x14ac:dyDescent="0.35">
      <c r="B337" s="6" t="s">
        <v>1099</v>
      </c>
      <c r="C337" s="12"/>
      <c r="D337" s="12"/>
      <c r="E337" s="12" t="str">
        <f>IF(ISBLANK(C337),"",SUMIF('SAÍDA DE VENDAS'!$G$6:$G$500, C337, 'SAÍDA DE VENDAS'!$H$6:$H$500))</f>
        <v/>
      </c>
      <c r="F337" s="20" t="str">
        <f t="shared" si="15"/>
        <v/>
      </c>
      <c r="G337" s="21"/>
      <c r="H337" s="21" t="str">
        <f t="shared" si="16"/>
        <v/>
      </c>
      <c r="I337" s="22">
        <v>0</v>
      </c>
      <c r="J337" s="23" t="str">
        <f t="shared" si="17"/>
        <v/>
      </c>
    </row>
    <row r="338" spans="2:10" ht="16.8" customHeight="1" x14ac:dyDescent="0.35">
      <c r="B338" s="6" t="s">
        <v>1100</v>
      </c>
      <c r="C338" s="11"/>
      <c r="D338" s="11"/>
      <c r="E338" s="11" t="str">
        <f>IF(ISBLANK(C338),"",SUMIF('SAÍDA DE VENDAS'!$G$6:$G$500, C338, 'SAÍDA DE VENDAS'!$H$6:$H$500))</f>
        <v/>
      </c>
      <c r="F338" s="16" t="str">
        <f t="shared" si="15"/>
        <v/>
      </c>
      <c r="G338" s="17"/>
      <c r="H338" s="17" t="str">
        <f t="shared" si="16"/>
        <v/>
      </c>
      <c r="I338" s="22">
        <v>0</v>
      </c>
      <c r="J338" s="19" t="str">
        <f t="shared" si="17"/>
        <v/>
      </c>
    </row>
    <row r="339" spans="2:10" ht="16.8" customHeight="1" x14ac:dyDescent="0.35">
      <c r="B339" s="6" t="s">
        <v>1101</v>
      </c>
      <c r="C339" s="12"/>
      <c r="D339" s="12"/>
      <c r="E339" s="12" t="str">
        <f>IF(ISBLANK(C339),"",SUMIF('SAÍDA DE VENDAS'!$G$6:$G$500, C339, 'SAÍDA DE VENDAS'!$H$6:$H$500))</f>
        <v/>
      </c>
      <c r="F339" s="20" t="str">
        <f t="shared" si="15"/>
        <v/>
      </c>
      <c r="G339" s="21"/>
      <c r="H339" s="21" t="str">
        <f t="shared" si="16"/>
        <v/>
      </c>
      <c r="I339" s="22">
        <v>0</v>
      </c>
      <c r="J339" s="23" t="str">
        <f t="shared" si="17"/>
        <v/>
      </c>
    </row>
    <row r="340" spans="2:10" ht="16.8" customHeight="1" x14ac:dyDescent="0.35">
      <c r="B340" s="6" t="s">
        <v>1102</v>
      </c>
      <c r="C340" s="11"/>
      <c r="D340" s="11"/>
      <c r="E340" s="11" t="str">
        <f>IF(ISBLANK(C340),"",SUMIF('SAÍDA DE VENDAS'!$G$6:$G$500, C340, 'SAÍDA DE VENDAS'!$H$6:$H$500))</f>
        <v/>
      </c>
      <c r="F340" s="16" t="str">
        <f t="shared" si="15"/>
        <v/>
      </c>
      <c r="G340" s="17"/>
      <c r="H340" s="17" t="str">
        <f t="shared" si="16"/>
        <v/>
      </c>
      <c r="I340" s="22">
        <v>0</v>
      </c>
      <c r="J340" s="19" t="str">
        <f t="shared" si="17"/>
        <v/>
      </c>
    </row>
    <row r="341" spans="2:10" ht="16.8" customHeight="1" x14ac:dyDescent="0.35">
      <c r="B341" s="6" t="s">
        <v>1103</v>
      </c>
      <c r="C341" s="12"/>
      <c r="D341" s="12"/>
      <c r="E341" s="12" t="str">
        <f>IF(ISBLANK(C341),"",SUMIF('SAÍDA DE VENDAS'!$G$6:$G$500, C341, 'SAÍDA DE VENDAS'!$H$6:$H$500))</f>
        <v/>
      </c>
      <c r="F341" s="20" t="str">
        <f t="shared" si="15"/>
        <v/>
      </c>
      <c r="G341" s="21"/>
      <c r="H341" s="21" t="str">
        <f t="shared" si="16"/>
        <v/>
      </c>
      <c r="I341" s="22">
        <v>0</v>
      </c>
      <c r="J341" s="23" t="str">
        <f t="shared" si="17"/>
        <v/>
      </c>
    </row>
    <row r="342" spans="2:10" ht="16.8" customHeight="1" x14ac:dyDescent="0.35">
      <c r="B342" s="6" t="s">
        <v>1104</v>
      </c>
      <c r="C342" s="11"/>
      <c r="D342" s="11"/>
      <c r="E342" s="11" t="str">
        <f>IF(ISBLANK(C342),"",SUMIF('SAÍDA DE VENDAS'!$G$6:$G$500, C342, 'SAÍDA DE VENDAS'!$H$6:$H$500))</f>
        <v/>
      </c>
      <c r="F342" s="16" t="str">
        <f t="shared" si="15"/>
        <v/>
      </c>
      <c r="G342" s="17"/>
      <c r="H342" s="17" t="str">
        <f t="shared" si="16"/>
        <v/>
      </c>
      <c r="I342" s="22">
        <v>0</v>
      </c>
      <c r="J342" s="19" t="str">
        <f t="shared" si="17"/>
        <v/>
      </c>
    </row>
    <row r="343" spans="2:10" ht="16.8" customHeight="1" x14ac:dyDescent="0.35">
      <c r="B343" s="6" t="s">
        <v>1105</v>
      </c>
      <c r="C343" s="12"/>
      <c r="D343" s="12"/>
      <c r="E343" s="12" t="str">
        <f>IF(ISBLANK(C343),"",SUMIF('SAÍDA DE VENDAS'!$G$6:$G$500, C343, 'SAÍDA DE VENDAS'!$H$6:$H$500))</f>
        <v/>
      </c>
      <c r="F343" s="20" t="str">
        <f t="shared" si="15"/>
        <v/>
      </c>
      <c r="G343" s="21"/>
      <c r="H343" s="21" t="str">
        <f t="shared" si="16"/>
        <v/>
      </c>
      <c r="I343" s="22">
        <v>0</v>
      </c>
      <c r="J343" s="23" t="str">
        <f t="shared" si="17"/>
        <v/>
      </c>
    </row>
    <row r="344" spans="2:10" ht="16.8" customHeight="1" x14ac:dyDescent="0.35">
      <c r="B344" s="6" t="s">
        <v>1106</v>
      </c>
      <c r="C344" s="11"/>
      <c r="D344" s="11"/>
      <c r="E344" s="11" t="str">
        <f>IF(ISBLANK(C344),"",SUMIF('SAÍDA DE VENDAS'!$G$6:$G$500, C344, 'SAÍDA DE VENDAS'!$H$6:$H$500))</f>
        <v/>
      </c>
      <c r="F344" s="16" t="str">
        <f t="shared" si="15"/>
        <v/>
      </c>
      <c r="G344" s="17"/>
      <c r="H344" s="17" t="str">
        <f t="shared" si="16"/>
        <v/>
      </c>
      <c r="I344" s="22">
        <v>0</v>
      </c>
      <c r="J344" s="19" t="str">
        <f t="shared" si="17"/>
        <v/>
      </c>
    </row>
    <row r="345" spans="2:10" ht="16.8" customHeight="1" x14ac:dyDescent="0.35">
      <c r="B345" s="6" t="s">
        <v>1107</v>
      </c>
      <c r="C345" s="12"/>
      <c r="D345" s="12"/>
      <c r="E345" s="12" t="str">
        <f>IF(ISBLANK(C345),"",SUMIF('SAÍDA DE VENDAS'!$G$6:$G$500, C345, 'SAÍDA DE VENDAS'!$H$6:$H$500))</f>
        <v/>
      </c>
      <c r="F345" s="20" t="str">
        <f t="shared" si="15"/>
        <v/>
      </c>
      <c r="G345" s="21"/>
      <c r="H345" s="21" t="str">
        <f t="shared" si="16"/>
        <v/>
      </c>
      <c r="I345" s="22">
        <v>0</v>
      </c>
      <c r="J345" s="23" t="str">
        <f t="shared" si="17"/>
        <v/>
      </c>
    </row>
    <row r="346" spans="2:10" ht="16.8" customHeight="1" x14ac:dyDescent="0.35">
      <c r="B346" s="6" t="s">
        <v>1108</v>
      </c>
      <c r="C346" s="11"/>
      <c r="D346" s="11"/>
      <c r="E346" s="11" t="str">
        <f>IF(ISBLANK(C346),"",SUMIF('SAÍDA DE VENDAS'!$G$6:$G$500, C346, 'SAÍDA DE VENDAS'!$H$6:$H$500))</f>
        <v/>
      </c>
      <c r="F346" s="16" t="str">
        <f t="shared" si="15"/>
        <v/>
      </c>
      <c r="G346" s="17"/>
      <c r="H346" s="17" t="str">
        <f t="shared" si="16"/>
        <v/>
      </c>
      <c r="I346" s="22">
        <v>0</v>
      </c>
      <c r="J346" s="19" t="str">
        <f t="shared" si="17"/>
        <v/>
      </c>
    </row>
    <row r="347" spans="2:10" ht="16.8" customHeight="1" x14ac:dyDescent="0.35">
      <c r="B347" s="6" t="s">
        <v>1109</v>
      </c>
      <c r="C347" s="12"/>
      <c r="D347" s="12"/>
      <c r="E347" s="12" t="str">
        <f>IF(ISBLANK(C347),"",SUMIF('SAÍDA DE VENDAS'!$G$6:$G$500, C347, 'SAÍDA DE VENDAS'!$H$6:$H$500))</f>
        <v/>
      </c>
      <c r="F347" s="20" t="str">
        <f t="shared" si="15"/>
        <v/>
      </c>
      <c r="G347" s="21"/>
      <c r="H347" s="21" t="str">
        <f t="shared" si="16"/>
        <v/>
      </c>
      <c r="I347" s="22">
        <v>0</v>
      </c>
      <c r="J347" s="23" t="str">
        <f t="shared" si="17"/>
        <v/>
      </c>
    </row>
    <row r="348" spans="2:10" ht="16.8" customHeight="1" x14ac:dyDescent="0.35">
      <c r="B348" s="6" t="s">
        <v>1110</v>
      </c>
      <c r="C348" s="11"/>
      <c r="D348" s="11"/>
      <c r="E348" s="11" t="str">
        <f>IF(ISBLANK(C348),"",SUMIF('SAÍDA DE VENDAS'!$G$6:$G$500, C348, 'SAÍDA DE VENDAS'!$H$6:$H$500))</f>
        <v/>
      </c>
      <c r="F348" s="16" t="str">
        <f t="shared" si="15"/>
        <v/>
      </c>
      <c r="G348" s="17"/>
      <c r="H348" s="17" t="str">
        <f t="shared" si="16"/>
        <v/>
      </c>
      <c r="I348" s="22">
        <v>0</v>
      </c>
      <c r="J348" s="19" t="str">
        <f t="shared" si="17"/>
        <v/>
      </c>
    </row>
    <row r="349" spans="2:10" ht="16.8" customHeight="1" x14ac:dyDescent="0.35">
      <c r="B349" s="6" t="s">
        <v>1111</v>
      </c>
      <c r="C349" s="12"/>
      <c r="D349" s="12"/>
      <c r="E349" s="12" t="str">
        <f>IF(ISBLANK(C349),"",SUMIF('SAÍDA DE VENDAS'!$G$6:$G$500, C349, 'SAÍDA DE VENDAS'!$H$6:$H$500))</f>
        <v/>
      </c>
      <c r="F349" s="20" t="str">
        <f t="shared" si="15"/>
        <v/>
      </c>
      <c r="G349" s="21"/>
      <c r="H349" s="21" t="str">
        <f t="shared" si="16"/>
        <v/>
      </c>
      <c r="I349" s="22">
        <v>0</v>
      </c>
      <c r="J349" s="23" t="str">
        <f t="shared" si="17"/>
        <v/>
      </c>
    </row>
    <row r="350" spans="2:10" ht="16.8" customHeight="1" x14ac:dyDescent="0.35">
      <c r="B350" s="6" t="s">
        <v>1112</v>
      </c>
      <c r="C350" s="11"/>
      <c r="D350" s="11"/>
      <c r="E350" s="11" t="str">
        <f>IF(ISBLANK(C350),"",SUMIF('SAÍDA DE VENDAS'!$G$6:$G$500, C350, 'SAÍDA DE VENDAS'!$H$6:$H$500))</f>
        <v/>
      </c>
      <c r="F350" s="16" t="str">
        <f t="shared" si="15"/>
        <v/>
      </c>
      <c r="G350" s="17"/>
      <c r="H350" s="17" t="str">
        <f t="shared" si="16"/>
        <v/>
      </c>
      <c r="I350" s="22">
        <v>0</v>
      </c>
      <c r="J350" s="19" t="str">
        <f t="shared" si="17"/>
        <v/>
      </c>
    </row>
    <row r="351" spans="2:10" ht="16.8" customHeight="1" x14ac:dyDescent="0.35">
      <c r="B351" s="6" t="s">
        <v>1113</v>
      </c>
      <c r="C351" s="12"/>
      <c r="D351" s="12"/>
      <c r="E351" s="12" t="str">
        <f>IF(ISBLANK(C351),"",SUMIF('SAÍDA DE VENDAS'!$G$6:$G$500, C351, 'SAÍDA DE VENDAS'!$H$6:$H$500))</f>
        <v/>
      </c>
      <c r="F351" s="20" t="str">
        <f t="shared" si="15"/>
        <v/>
      </c>
      <c r="G351" s="21"/>
      <c r="H351" s="21" t="str">
        <f t="shared" si="16"/>
        <v/>
      </c>
      <c r="I351" s="22">
        <v>0</v>
      </c>
      <c r="J351" s="23" t="str">
        <f t="shared" si="17"/>
        <v/>
      </c>
    </row>
    <row r="352" spans="2:10" ht="16.8" customHeight="1" x14ac:dyDescent="0.35">
      <c r="B352" s="6" t="s">
        <v>1114</v>
      </c>
      <c r="C352" s="11"/>
      <c r="D352" s="11"/>
      <c r="E352" s="11" t="str">
        <f>IF(ISBLANK(C352),"",SUMIF('SAÍDA DE VENDAS'!$G$6:$G$500, C352, 'SAÍDA DE VENDAS'!$H$6:$H$500))</f>
        <v/>
      </c>
      <c r="F352" s="16" t="str">
        <f t="shared" si="15"/>
        <v/>
      </c>
      <c r="G352" s="17"/>
      <c r="H352" s="17" t="str">
        <f t="shared" si="16"/>
        <v/>
      </c>
      <c r="I352" s="22">
        <v>0</v>
      </c>
      <c r="J352" s="19" t="str">
        <f t="shared" si="17"/>
        <v/>
      </c>
    </row>
    <row r="353" spans="2:10" ht="16.8" customHeight="1" x14ac:dyDescent="0.35">
      <c r="B353" s="6" t="s">
        <v>1115</v>
      </c>
      <c r="C353" s="12"/>
      <c r="D353" s="12"/>
      <c r="E353" s="12" t="str">
        <f>IF(ISBLANK(C353),"",SUMIF('SAÍDA DE VENDAS'!$G$6:$G$500, C353, 'SAÍDA DE VENDAS'!$H$6:$H$500))</f>
        <v/>
      </c>
      <c r="F353" s="20" t="str">
        <f t="shared" si="15"/>
        <v/>
      </c>
      <c r="G353" s="21"/>
      <c r="H353" s="21" t="str">
        <f t="shared" si="16"/>
        <v/>
      </c>
      <c r="I353" s="22">
        <v>0</v>
      </c>
      <c r="J353" s="23" t="str">
        <f t="shared" si="17"/>
        <v/>
      </c>
    </row>
    <row r="354" spans="2:10" ht="16.8" customHeight="1" x14ac:dyDescent="0.35">
      <c r="B354" s="6" t="s">
        <v>1116</v>
      </c>
      <c r="C354" s="11"/>
      <c r="D354" s="11"/>
      <c r="E354" s="11" t="str">
        <f>IF(ISBLANK(C354),"",SUMIF('SAÍDA DE VENDAS'!$G$6:$G$500, C354, 'SAÍDA DE VENDAS'!$H$6:$H$500))</f>
        <v/>
      </c>
      <c r="F354" s="16" t="str">
        <f t="shared" si="15"/>
        <v/>
      </c>
      <c r="G354" s="17"/>
      <c r="H354" s="17" t="str">
        <f t="shared" si="16"/>
        <v/>
      </c>
      <c r="I354" s="22">
        <v>0</v>
      </c>
      <c r="J354" s="19" t="str">
        <f t="shared" si="17"/>
        <v/>
      </c>
    </row>
    <row r="355" spans="2:10" ht="16.8" customHeight="1" x14ac:dyDescent="0.35">
      <c r="B355" s="6" t="s">
        <v>1117</v>
      </c>
      <c r="C355" s="12"/>
      <c r="D355" s="12"/>
      <c r="E355" s="12" t="str">
        <f>IF(ISBLANK(C355),"",SUMIF('SAÍDA DE VENDAS'!$G$6:$G$500, C355, 'SAÍDA DE VENDAS'!$H$6:$H$500))</f>
        <v/>
      </c>
      <c r="F355" s="20" t="str">
        <f t="shared" si="15"/>
        <v/>
      </c>
      <c r="G355" s="21"/>
      <c r="H355" s="21" t="str">
        <f t="shared" si="16"/>
        <v/>
      </c>
      <c r="I355" s="22">
        <v>0</v>
      </c>
      <c r="J355" s="23" t="str">
        <f t="shared" si="17"/>
        <v/>
      </c>
    </row>
    <row r="356" spans="2:10" ht="16.8" customHeight="1" x14ac:dyDescent="0.35">
      <c r="B356" s="6" t="s">
        <v>1118</v>
      </c>
      <c r="C356" s="11"/>
      <c r="D356" s="11"/>
      <c r="E356" s="11" t="str">
        <f>IF(ISBLANK(C356),"",SUMIF('SAÍDA DE VENDAS'!$G$6:$G$500, C356, 'SAÍDA DE VENDAS'!$H$6:$H$500))</f>
        <v/>
      </c>
      <c r="F356" s="16" t="str">
        <f t="shared" si="15"/>
        <v/>
      </c>
      <c r="G356" s="17"/>
      <c r="H356" s="17" t="str">
        <f t="shared" si="16"/>
        <v/>
      </c>
      <c r="I356" s="22">
        <v>0</v>
      </c>
      <c r="J356" s="19" t="str">
        <f t="shared" si="17"/>
        <v/>
      </c>
    </row>
    <row r="357" spans="2:10" ht="16.8" customHeight="1" x14ac:dyDescent="0.35">
      <c r="B357" s="6" t="s">
        <v>1119</v>
      </c>
      <c r="C357" s="12"/>
      <c r="D357" s="12"/>
      <c r="E357" s="12" t="str">
        <f>IF(ISBLANK(C357),"",SUMIF('SAÍDA DE VENDAS'!$G$6:$G$500, C357, 'SAÍDA DE VENDAS'!$H$6:$H$500))</f>
        <v/>
      </c>
      <c r="F357" s="20" t="str">
        <f t="shared" si="15"/>
        <v/>
      </c>
      <c r="G357" s="21"/>
      <c r="H357" s="21" t="str">
        <f t="shared" si="16"/>
        <v/>
      </c>
      <c r="I357" s="22">
        <v>0</v>
      </c>
      <c r="J357" s="23" t="str">
        <f t="shared" si="17"/>
        <v/>
      </c>
    </row>
    <row r="358" spans="2:10" ht="16.8" customHeight="1" x14ac:dyDescent="0.35">
      <c r="B358" s="6" t="s">
        <v>1120</v>
      </c>
      <c r="C358" s="11"/>
      <c r="D358" s="11"/>
      <c r="E358" s="11" t="str">
        <f>IF(ISBLANK(C358),"",SUMIF('SAÍDA DE VENDAS'!$G$6:$G$500, C358, 'SAÍDA DE VENDAS'!$H$6:$H$500))</f>
        <v/>
      </c>
      <c r="F358" s="16" t="str">
        <f t="shared" si="15"/>
        <v/>
      </c>
      <c r="G358" s="17"/>
      <c r="H358" s="17" t="str">
        <f t="shared" si="16"/>
        <v/>
      </c>
      <c r="I358" s="22">
        <v>0</v>
      </c>
      <c r="J358" s="19" t="str">
        <f t="shared" si="17"/>
        <v/>
      </c>
    </row>
    <row r="359" spans="2:10" ht="16.8" customHeight="1" x14ac:dyDescent="0.35">
      <c r="B359" s="6" t="s">
        <v>1121</v>
      </c>
      <c r="C359" s="12"/>
      <c r="D359" s="12"/>
      <c r="E359" s="12" t="str">
        <f>IF(ISBLANK(C359),"",SUMIF('SAÍDA DE VENDAS'!$G$6:$G$500, C359, 'SAÍDA DE VENDAS'!$H$6:$H$500))</f>
        <v/>
      </c>
      <c r="F359" s="20" t="str">
        <f t="shared" si="15"/>
        <v/>
      </c>
      <c r="G359" s="21"/>
      <c r="H359" s="21" t="str">
        <f t="shared" si="16"/>
        <v/>
      </c>
      <c r="I359" s="22">
        <v>0</v>
      </c>
      <c r="J359" s="23" t="str">
        <f t="shared" si="17"/>
        <v/>
      </c>
    </row>
    <row r="360" spans="2:10" ht="16.8" customHeight="1" x14ac:dyDescent="0.35">
      <c r="B360" s="6" t="s">
        <v>1122</v>
      </c>
      <c r="C360" s="11"/>
      <c r="D360" s="11"/>
      <c r="E360" s="11" t="str">
        <f>IF(ISBLANK(C360),"",SUMIF('SAÍDA DE VENDAS'!$G$6:$G$500, C360, 'SAÍDA DE VENDAS'!$H$6:$H$500))</f>
        <v/>
      </c>
      <c r="F360" s="16" t="str">
        <f t="shared" si="15"/>
        <v/>
      </c>
      <c r="G360" s="17"/>
      <c r="H360" s="17" t="str">
        <f t="shared" si="16"/>
        <v/>
      </c>
      <c r="I360" s="22">
        <v>0</v>
      </c>
      <c r="J360" s="19" t="str">
        <f t="shared" si="17"/>
        <v/>
      </c>
    </row>
    <row r="361" spans="2:10" ht="16.8" customHeight="1" x14ac:dyDescent="0.35">
      <c r="B361" s="6" t="s">
        <v>1123</v>
      </c>
      <c r="C361" s="12"/>
      <c r="D361" s="12"/>
      <c r="E361" s="12" t="str">
        <f>IF(ISBLANK(C361),"",SUMIF('SAÍDA DE VENDAS'!$G$6:$G$500, C361, 'SAÍDA DE VENDAS'!$H$6:$H$500))</f>
        <v/>
      </c>
      <c r="F361" s="20" t="str">
        <f t="shared" si="15"/>
        <v/>
      </c>
      <c r="G361" s="21"/>
      <c r="H361" s="21" t="str">
        <f t="shared" si="16"/>
        <v/>
      </c>
      <c r="I361" s="22">
        <v>0</v>
      </c>
      <c r="J361" s="23" t="str">
        <f t="shared" si="17"/>
        <v/>
      </c>
    </row>
    <row r="362" spans="2:10" ht="16.8" customHeight="1" x14ac:dyDescent="0.35">
      <c r="B362" s="6" t="s">
        <v>1124</v>
      </c>
      <c r="C362" s="11"/>
      <c r="D362" s="11"/>
      <c r="E362" s="11" t="str">
        <f>IF(ISBLANK(C362),"",SUMIF('SAÍDA DE VENDAS'!$G$6:$G$500, C362, 'SAÍDA DE VENDAS'!$H$6:$H$500))</f>
        <v/>
      </c>
      <c r="F362" s="16" t="str">
        <f t="shared" si="15"/>
        <v/>
      </c>
      <c r="G362" s="17"/>
      <c r="H362" s="17" t="str">
        <f t="shared" si="16"/>
        <v/>
      </c>
      <c r="I362" s="22">
        <v>0</v>
      </c>
      <c r="J362" s="19" t="str">
        <f t="shared" si="17"/>
        <v/>
      </c>
    </row>
    <row r="363" spans="2:10" ht="16.8" customHeight="1" x14ac:dyDescent="0.35">
      <c r="B363" s="6" t="s">
        <v>1125</v>
      </c>
      <c r="C363" s="12"/>
      <c r="D363" s="12"/>
      <c r="E363" s="12" t="str">
        <f>IF(ISBLANK(C363),"",SUMIF('SAÍDA DE VENDAS'!$G$6:$G$500, C363, 'SAÍDA DE VENDAS'!$H$6:$H$500))</f>
        <v/>
      </c>
      <c r="F363" s="20" t="str">
        <f t="shared" si="15"/>
        <v/>
      </c>
      <c r="G363" s="21"/>
      <c r="H363" s="21" t="str">
        <f t="shared" si="16"/>
        <v/>
      </c>
      <c r="I363" s="22">
        <v>0</v>
      </c>
      <c r="J363" s="23" t="str">
        <f t="shared" si="17"/>
        <v/>
      </c>
    </row>
    <row r="364" spans="2:10" ht="16.8" customHeight="1" x14ac:dyDescent="0.35">
      <c r="B364" s="6" t="s">
        <v>1126</v>
      </c>
      <c r="C364" s="11"/>
      <c r="D364" s="11"/>
      <c r="E364" s="11" t="str">
        <f>IF(ISBLANK(C364),"",SUMIF('SAÍDA DE VENDAS'!$G$6:$G$500, C364, 'SAÍDA DE VENDAS'!$H$6:$H$500))</f>
        <v/>
      </c>
      <c r="F364" s="16" t="str">
        <f t="shared" si="15"/>
        <v/>
      </c>
      <c r="G364" s="17"/>
      <c r="H364" s="17" t="str">
        <f t="shared" si="16"/>
        <v/>
      </c>
      <c r="I364" s="22">
        <v>0</v>
      </c>
      <c r="J364" s="19" t="str">
        <f t="shared" si="17"/>
        <v/>
      </c>
    </row>
    <row r="365" spans="2:10" ht="16.8" customHeight="1" x14ac:dyDescent="0.35">
      <c r="B365" s="6" t="s">
        <v>1127</v>
      </c>
      <c r="C365" s="12"/>
      <c r="D365" s="12"/>
      <c r="E365" s="12" t="str">
        <f>IF(ISBLANK(C365),"",SUMIF('SAÍDA DE VENDAS'!$G$6:$G$500, C365, 'SAÍDA DE VENDAS'!$H$6:$H$500))</f>
        <v/>
      </c>
      <c r="F365" s="20" t="str">
        <f t="shared" si="15"/>
        <v/>
      </c>
      <c r="G365" s="21"/>
      <c r="H365" s="21" t="str">
        <f t="shared" si="16"/>
        <v/>
      </c>
      <c r="I365" s="22">
        <v>0</v>
      </c>
      <c r="J365" s="23" t="str">
        <f t="shared" si="17"/>
        <v/>
      </c>
    </row>
    <row r="366" spans="2:10" ht="16.8" customHeight="1" x14ac:dyDescent="0.35">
      <c r="B366" s="6" t="s">
        <v>1128</v>
      </c>
      <c r="C366" s="11"/>
      <c r="D366" s="11"/>
      <c r="E366" s="11" t="str">
        <f>IF(ISBLANK(C366),"",SUMIF('SAÍDA DE VENDAS'!$G$6:$G$500, C366, 'SAÍDA DE VENDAS'!$H$6:$H$500))</f>
        <v/>
      </c>
      <c r="F366" s="16" t="str">
        <f t="shared" si="15"/>
        <v/>
      </c>
      <c r="G366" s="17"/>
      <c r="H366" s="17" t="str">
        <f t="shared" si="16"/>
        <v/>
      </c>
      <c r="I366" s="22">
        <v>0</v>
      </c>
      <c r="J366" s="19" t="str">
        <f t="shared" si="17"/>
        <v/>
      </c>
    </row>
    <row r="367" spans="2:10" ht="16.8" customHeight="1" x14ac:dyDescent="0.35">
      <c r="B367" s="6" t="s">
        <v>1129</v>
      </c>
      <c r="C367" s="12"/>
      <c r="D367" s="12"/>
      <c r="E367" s="12" t="str">
        <f>IF(ISBLANK(C367),"",SUMIF('SAÍDA DE VENDAS'!$G$6:$G$500, C367, 'SAÍDA DE VENDAS'!$H$6:$H$500))</f>
        <v/>
      </c>
      <c r="F367" s="20" t="str">
        <f t="shared" si="15"/>
        <v/>
      </c>
      <c r="G367" s="21"/>
      <c r="H367" s="21" t="str">
        <f t="shared" si="16"/>
        <v/>
      </c>
      <c r="I367" s="22">
        <v>0</v>
      </c>
      <c r="J367" s="23" t="str">
        <f t="shared" si="17"/>
        <v/>
      </c>
    </row>
    <row r="368" spans="2:10" ht="16.8" customHeight="1" x14ac:dyDescent="0.35">
      <c r="B368" s="6" t="s">
        <v>1130</v>
      </c>
      <c r="C368" s="11"/>
      <c r="D368" s="11"/>
      <c r="E368" s="11" t="str">
        <f>IF(ISBLANK(C368),"",SUMIF('SAÍDA DE VENDAS'!$G$6:$G$500, C368, 'SAÍDA DE VENDAS'!$H$6:$H$500))</f>
        <v/>
      </c>
      <c r="F368" s="16" t="str">
        <f t="shared" si="15"/>
        <v/>
      </c>
      <c r="G368" s="17"/>
      <c r="H368" s="17" t="str">
        <f t="shared" si="16"/>
        <v/>
      </c>
      <c r="I368" s="22">
        <v>0</v>
      </c>
      <c r="J368" s="19" t="str">
        <f t="shared" si="17"/>
        <v/>
      </c>
    </row>
    <row r="369" spans="2:10" ht="16.8" customHeight="1" x14ac:dyDescent="0.35">
      <c r="B369" s="6" t="s">
        <v>1131</v>
      </c>
      <c r="C369" s="12"/>
      <c r="D369" s="12"/>
      <c r="E369" s="12" t="str">
        <f>IF(ISBLANK(C369),"",SUMIF('SAÍDA DE VENDAS'!$G$6:$G$500, C369, 'SAÍDA DE VENDAS'!$H$6:$H$500))</f>
        <v/>
      </c>
      <c r="F369" s="20" t="str">
        <f t="shared" si="15"/>
        <v/>
      </c>
      <c r="G369" s="21"/>
      <c r="H369" s="21" t="str">
        <f t="shared" si="16"/>
        <v/>
      </c>
      <c r="I369" s="22">
        <v>0</v>
      </c>
      <c r="J369" s="23" t="str">
        <f t="shared" si="17"/>
        <v/>
      </c>
    </row>
    <row r="370" spans="2:10" ht="16.8" customHeight="1" x14ac:dyDescent="0.35">
      <c r="B370" s="6" t="s">
        <v>1132</v>
      </c>
      <c r="C370" s="11"/>
      <c r="D370" s="11"/>
      <c r="E370" s="11" t="str">
        <f>IF(ISBLANK(C370),"",SUMIF('SAÍDA DE VENDAS'!$G$6:$G$500, C370, 'SAÍDA DE VENDAS'!$H$6:$H$500))</f>
        <v/>
      </c>
      <c r="F370" s="16" t="str">
        <f t="shared" si="15"/>
        <v/>
      </c>
      <c r="G370" s="17"/>
      <c r="H370" s="17" t="str">
        <f t="shared" si="16"/>
        <v/>
      </c>
      <c r="I370" s="22">
        <v>0</v>
      </c>
      <c r="J370" s="19" t="str">
        <f t="shared" si="17"/>
        <v/>
      </c>
    </row>
    <row r="371" spans="2:10" ht="16.8" customHeight="1" x14ac:dyDescent="0.35">
      <c r="B371" s="6" t="s">
        <v>1133</v>
      </c>
      <c r="C371" s="12"/>
      <c r="D371" s="12"/>
      <c r="E371" s="12" t="str">
        <f>IF(ISBLANK(C371),"",SUMIF('SAÍDA DE VENDAS'!$G$6:$G$500, C371, 'SAÍDA DE VENDAS'!$H$6:$H$500))</f>
        <v/>
      </c>
      <c r="F371" s="20" t="str">
        <f t="shared" si="15"/>
        <v/>
      </c>
      <c r="G371" s="21"/>
      <c r="H371" s="21" t="str">
        <f t="shared" si="16"/>
        <v/>
      </c>
      <c r="I371" s="22">
        <v>0</v>
      </c>
      <c r="J371" s="23" t="str">
        <f t="shared" si="17"/>
        <v/>
      </c>
    </row>
    <row r="372" spans="2:10" ht="16.8" customHeight="1" x14ac:dyDescent="0.35">
      <c r="B372" s="6" t="s">
        <v>1134</v>
      </c>
      <c r="C372" s="11"/>
      <c r="D372" s="11"/>
      <c r="E372" s="11" t="str">
        <f>IF(ISBLANK(C372),"",SUMIF('SAÍDA DE VENDAS'!$G$6:$G$500, C372, 'SAÍDA DE VENDAS'!$H$6:$H$500))</f>
        <v/>
      </c>
      <c r="F372" s="16" t="str">
        <f t="shared" si="15"/>
        <v/>
      </c>
      <c r="G372" s="17"/>
      <c r="H372" s="17" t="str">
        <f t="shared" si="16"/>
        <v/>
      </c>
      <c r="I372" s="22">
        <v>0</v>
      </c>
      <c r="J372" s="19" t="str">
        <f t="shared" si="17"/>
        <v/>
      </c>
    </row>
    <row r="373" spans="2:10" ht="16.8" customHeight="1" x14ac:dyDescent="0.35">
      <c r="B373" s="6" t="s">
        <v>1135</v>
      </c>
      <c r="C373" s="12"/>
      <c r="D373" s="12"/>
      <c r="E373" s="12" t="str">
        <f>IF(ISBLANK(C373),"",SUMIF('SAÍDA DE VENDAS'!$G$6:$G$500, C373, 'SAÍDA DE VENDAS'!$H$6:$H$500))</f>
        <v/>
      </c>
      <c r="F373" s="20" t="str">
        <f t="shared" si="15"/>
        <v/>
      </c>
      <c r="G373" s="21"/>
      <c r="H373" s="21" t="str">
        <f t="shared" si="16"/>
        <v/>
      </c>
      <c r="I373" s="22">
        <v>0</v>
      </c>
      <c r="J373" s="23" t="str">
        <f t="shared" si="17"/>
        <v/>
      </c>
    </row>
    <row r="374" spans="2:10" ht="16.8" customHeight="1" x14ac:dyDescent="0.35">
      <c r="B374" s="6" t="s">
        <v>1136</v>
      </c>
      <c r="C374" s="11"/>
      <c r="D374" s="11"/>
      <c r="E374" s="11" t="str">
        <f>IF(ISBLANK(C374),"",SUMIF('SAÍDA DE VENDAS'!$G$6:$G$500, C374, 'SAÍDA DE VENDAS'!$H$6:$H$500))</f>
        <v/>
      </c>
      <c r="F374" s="16" t="str">
        <f t="shared" si="15"/>
        <v/>
      </c>
      <c r="G374" s="17"/>
      <c r="H374" s="17" t="str">
        <f t="shared" si="16"/>
        <v/>
      </c>
      <c r="I374" s="22">
        <v>0</v>
      </c>
      <c r="J374" s="19" t="str">
        <f t="shared" si="17"/>
        <v/>
      </c>
    </row>
    <row r="375" spans="2:10" ht="16.8" customHeight="1" x14ac:dyDescent="0.35">
      <c r="B375" s="6" t="s">
        <v>1137</v>
      </c>
      <c r="C375" s="12"/>
      <c r="D375" s="12"/>
      <c r="E375" s="12" t="str">
        <f>IF(ISBLANK(C375),"",SUMIF('SAÍDA DE VENDAS'!$G$6:$G$500, C375, 'SAÍDA DE VENDAS'!$H$6:$H$500))</f>
        <v/>
      </c>
      <c r="F375" s="20" t="str">
        <f t="shared" si="15"/>
        <v/>
      </c>
      <c r="G375" s="21"/>
      <c r="H375" s="21" t="str">
        <f t="shared" si="16"/>
        <v/>
      </c>
      <c r="I375" s="22">
        <v>0</v>
      </c>
      <c r="J375" s="23" t="str">
        <f t="shared" si="17"/>
        <v/>
      </c>
    </row>
    <row r="376" spans="2:10" ht="16.8" customHeight="1" x14ac:dyDescent="0.35">
      <c r="B376" s="6" t="s">
        <v>1138</v>
      </c>
      <c r="C376" s="11"/>
      <c r="D376" s="11"/>
      <c r="E376" s="11" t="str">
        <f>IF(ISBLANK(C376),"",SUMIF('SAÍDA DE VENDAS'!$G$6:$G$500, C376, 'SAÍDA DE VENDAS'!$H$6:$H$500))</f>
        <v/>
      </c>
      <c r="F376" s="16" t="str">
        <f t="shared" si="15"/>
        <v/>
      </c>
      <c r="G376" s="17"/>
      <c r="H376" s="17" t="str">
        <f t="shared" si="16"/>
        <v/>
      </c>
      <c r="I376" s="22">
        <v>0</v>
      </c>
      <c r="J376" s="19" t="str">
        <f t="shared" si="17"/>
        <v/>
      </c>
    </row>
    <row r="377" spans="2:10" ht="16.8" customHeight="1" x14ac:dyDescent="0.35">
      <c r="B377" s="6" t="s">
        <v>1139</v>
      </c>
      <c r="C377" s="12"/>
      <c r="D377" s="12"/>
      <c r="E377" s="12" t="str">
        <f>IF(ISBLANK(C377),"",SUMIF('SAÍDA DE VENDAS'!$G$6:$G$500, C377, 'SAÍDA DE VENDAS'!$H$6:$H$500))</f>
        <v/>
      </c>
      <c r="F377" s="20" t="str">
        <f t="shared" si="15"/>
        <v/>
      </c>
      <c r="G377" s="21"/>
      <c r="H377" s="21" t="str">
        <f t="shared" si="16"/>
        <v/>
      </c>
      <c r="I377" s="22">
        <v>0</v>
      </c>
      <c r="J377" s="23" t="str">
        <f t="shared" si="17"/>
        <v/>
      </c>
    </row>
    <row r="378" spans="2:10" ht="16.8" customHeight="1" x14ac:dyDescent="0.35">
      <c r="B378" s="6" t="s">
        <v>1140</v>
      </c>
      <c r="C378" s="11"/>
      <c r="D378" s="11"/>
      <c r="E378" s="11" t="str">
        <f>IF(ISBLANK(C378),"",SUMIF('SAÍDA DE VENDAS'!$G$6:$G$500, C378, 'SAÍDA DE VENDAS'!$H$6:$H$500))</f>
        <v/>
      </c>
      <c r="F378" s="16" t="str">
        <f t="shared" si="15"/>
        <v/>
      </c>
      <c r="G378" s="17"/>
      <c r="H378" s="17" t="str">
        <f t="shared" si="16"/>
        <v/>
      </c>
      <c r="I378" s="22">
        <v>0</v>
      </c>
      <c r="J378" s="19" t="str">
        <f t="shared" si="17"/>
        <v/>
      </c>
    </row>
    <row r="379" spans="2:10" ht="16.8" customHeight="1" x14ac:dyDescent="0.35">
      <c r="B379" s="6" t="s">
        <v>1141</v>
      </c>
      <c r="C379" s="12"/>
      <c r="D379" s="12"/>
      <c r="E379" s="12" t="str">
        <f>IF(ISBLANK(C379),"",SUMIF('SAÍDA DE VENDAS'!$G$6:$G$500, C379, 'SAÍDA DE VENDAS'!$H$6:$H$500))</f>
        <v/>
      </c>
      <c r="F379" s="20" t="str">
        <f t="shared" si="15"/>
        <v/>
      </c>
      <c r="G379" s="21"/>
      <c r="H379" s="21" t="str">
        <f t="shared" si="16"/>
        <v/>
      </c>
      <c r="I379" s="22">
        <v>0</v>
      </c>
      <c r="J379" s="23" t="str">
        <f t="shared" si="17"/>
        <v/>
      </c>
    </row>
    <row r="380" spans="2:10" ht="16.8" customHeight="1" x14ac:dyDescent="0.35">
      <c r="B380" s="6" t="s">
        <v>1142</v>
      </c>
      <c r="C380" s="11"/>
      <c r="D380" s="11"/>
      <c r="E380" s="11" t="str">
        <f>IF(ISBLANK(C380),"",SUMIF('SAÍDA DE VENDAS'!$G$6:$G$500, C380, 'SAÍDA DE VENDAS'!$H$6:$H$500))</f>
        <v/>
      </c>
      <c r="F380" s="16" t="str">
        <f t="shared" si="15"/>
        <v/>
      </c>
      <c r="G380" s="17"/>
      <c r="H380" s="17" t="str">
        <f t="shared" si="16"/>
        <v/>
      </c>
      <c r="I380" s="22">
        <v>0</v>
      </c>
      <c r="J380" s="19" t="str">
        <f t="shared" si="17"/>
        <v/>
      </c>
    </row>
    <row r="381" spans="2:10" ht="16.8" customHeight="1" x14ac:dyDescent="0.35">
      <c r="B381" s="6" t="s">
        <v>1143</v>
      </c>
      <c r="C381" s="12"/>
      <c r="D381" s="12"/>
      <c r="E381" s="12" t="str">
        <f>IF(ISBLANK(C381),"",SUMIF('SAÍDA DE VENDAS'!$G$6:$G$500, C381, 'SAÍDA DE VENDAS'!$H$6:$H$500))</f>
        <v/>
      </c>
      <c r="F381" s="20" t="str">
        <f t="shared" si="15"/>
        <v/>
      </c>
      <c r="G381" s="21"/>
      <c r="H381" s="21" t="str">
        <f t="shared" si="16"/>
        <v/>
      </c>
      <c r="I381" s="22">
        <v>0</v>
      </c>
      <c r="J381" s="23" t="str">
        <f t="shared" si="17"/>
        <v/>
      </c>
    </row>
    <row r="382" spans="2:10" ht="16.8" customHeight="1" x14ac:dyDescent="0.35">
      <c r="B382" s="6" t="s">
        <v>1144</v>
      </c>
      <c r="C382" s="11"/>
      <c r="D382" s="11"/>
      <c r="E382" s="11" t="str">
        <f>IF(ISBLANK(C382),"",SUMIF('SAÍDA DE VENDAS'!$G$6:$G$500, C382, 'SAÍDA DE VENDAS'!$H$6:$H$500))</f>
        <v/>
      </c>
      <c r="F382" s="16" t="str">
        <f t="shared" si="15"/>
        <v/>
      </c>
      <c r="G382" s="17"/>
      <c r="H382" s="17" t="str">
        <f t="shared" si="16"/>
        <v/>
      </c>
      <c r="I382" s="22">
        <v>0</v>
      </c>
      <c r="J382" s="19" t="str">
        <f t="shared" si="17"/>
        <v/>
      </c>
    </row>
    <row r="383" spans="2:10" ht="16.8" customHeight="1" x14ac:dyDescent="0.35">
      <c r="B383" s="6" t="s">
        <v>1145</v>
      </c>
      <c r="C383" s="12"/>
      <c r="D383" s="12"/>
      <c r="E383" s="12" t="str">
        <f>IF(ISBLANK(C383),"",SUMIF('SAÍDA DE VENDAS'!$G$6:$G$500, C383, 'SAÍDA DE VENDAS'!$H$6:$H$500))</f>
        <v/>
      </c>
      <c r="F383" s="20" t="str">
        <f t="shared" si="15"/>
        <v/>
      </c>
      <c r="G383" s="21"/>
      <c r="H383" s="21" t="str">
        <f t="shared" si="16"/>
        <v/>
      </c>
      <c r="I383" s="22">
        <v>0</v>
      </c>
      <c r="J383" s="23" t="str">
        <f t="shared" si="17"/>
        <v/>
      </c>
    </row>
    <row r="384" spans="2:10" ht="16.8" customHeight="1" x14ac:dyDescent="0.35">
      <c r="B384" s="6" t="s">
        <v>1146</v>
      </c>
      <c r="C384" s="11"/>
      <c r="D384" s="11"/>
      <c r="E384" s="11" t="str">
        <f>IF(ISBLANK(C384),"",SUMIF('SAÍDA DE VENDAS'!$G$6:$G$500, C384, 'SAÍDA DE VENDAS'!$H$6:$H$500))</f>
        <v/>
      </c>
      <c r="F384" s="16" t="str">
        <f t="shared" si="15"/>
        <v/>
      </c>
      <c r="G384" s="17"/>
      <c r="H384" s="17" t="str">
        <f t="shared" si="16"/>
        <v/>
      </c>
      <c r="I384" s="22">
        <v>0</v>
      </c>
      <c r="J384" s="19" t="str">
        <f t="shared" si="17"/>
        <v/>
      </c>
    </row>
    <row r="385" spans="2:10" ht="16.8" customHeight="1" x14ac:dyDescent="0.35">
      <c r="B385" s="6" t="s">
        <v>1147</v>
      </c>
      <c r="C385" s="12"/>
      <c r="D385" s="12"/>
      <c r="E385" s="12" t="str">
        <f>IF(ISBLANK(C385),"",SUMIF('SAÍDA DE VENDAS'!$G$6:$G$500, C385, 'SAÍDA DE VENDAS'!$H$6:$H$500))</f>
        <v/>
      </c>
      <c r="F385" s="20" t="str">
        <f t="shared" si="15"/>
        <v/>
      </c>
      <c r="G385" s="21"/>
      <c r="H385" s="21" t="str">
        <f t="shared" si="16"/>
        <v/>
      </c>
      <c r="I385" s="22">
        <v>0</v>
      </c>
      <c r="J385" s="23" t="str">
        <f t="shared" si="17"/>
        <v/>
      </c>
    </row>
    <row r="386" spans="2:10" ht="16.8" customHeight="1" x14ac:dyDescent="0.35">
      <c r="B386" s="6" t="s">
        <v>1148</v>
      </c>
      <c r="C386" s="11"/>
      <c r="D386" s="11"/>
      <c r="E386" s="11" t="str">
        <f>IF(ISBLANK(C386),"",SUMIF('SAÍDA DE VENDAS'!$G$6:$G$500, C386, 'SAÍDA DE VENDAS'!$H$6:$H$500))</f>
        <v/>
      </c>
      <c r="F386" s="16" t="str">
        <f t="shared" si="15"/>
        <v/>
      </c>
      <c r="G386" s="17"/>
      <c r="H386" s="17" t="str">
        <f t="shared" si="16"/>
        <v/>
      </c>
      <c r="I386" s="22">
        <v>0</v>
      </c>
      <c r="J386" s="19" t="str">
        <f t="shared" si="17"/>
        <v/>
      </c>
    </row>
    <row r="387" spans="2:10" ht="16.8" customHeight="1" x14ac:dyDescent="0.35">
      <c r="B387" s="6" t="s">
        <v>1149</v>
      </c>
      <c r="C387" s="12"/>
      <c r="D387" s="12"/>
      <c r="E387" s="12" t="str">
        <f>IF(ISBLANK(C387),"",SUMIF('SAÍDA DE VENDAS'!$G$6:$G$500, C387, 'SAÍDA DE VENDAS'!$H$6:$H$500))</f>
        <v/>
      </c>
      <c r="F387" s="20" t="str">
        <f t="shared" si="15"/>
        <v/>
      </c>
      <c r="G387" s="21"/>
      <c r="H387" s="21" t="str">
        <f t="shared" si="16"/>
        <v/>
      </c>
      <c r="I387" s="22">
        <v>0</v>
      </c>
      <c r="J387" s="23" t="str">
        <f t="shared" si="17"/>
        <v/>
      </c>
    </row>
    <row r="388" spans="2:10" ht="16.8" customHeight="1" x14ac:dyDescent="0.35">
      <c r="B388" s="6" t="s">
        <v>1150</v>
      </c>
      <c r="C388" s="11"/>
      <c r="D388" s="11"/>
      <c r="E388" s="11" t="str">
        <f>IF(ISBLANK(C388),"",SUMIF('SAÍDA DE VENDAS'!$G$6:$G$500, C388, 'SAÍDA DE VENDAS'!$H$6:$H$500))</f>
        <v/>
      </c>
      <c r="F388" s="16" t="str">
        <f t="shared" si="15"/>
        <v/>
      </c>
      <c r="G388" s="17"/>
      <c r="H388" s="17" t="str">
        <f t="shared" si="16"/>
        <v/>
      </c>
      <c r="I388" s="22">
        <v>0</v>
      </c>
      <c r="J388" s="19" t="str">
        <f t="shared" si="17"/>
        <v/>
      </c>
    </row>
    <row r="389" spans="2:10" ht="16.8" customHeight="1" x14ac:dyDescent="0.35">
      <c r="B389" s="6" t="s">
        <v>1151</v>
      </c>
      <c r="C389" s="12"/>
      <c r="D389" s="12"/>
      <c r="E389" s="12" t="str">
        <f>IF(ISBLANK(C389),"",SUMIF('SAÍDA DE VENDAS'!$G$6:$G$500, C389, 'SAÍDA DE VENDAS'!$H$6:$H$500))</f>
        <v/>
      </c>
      <c r="F389" s="20" t="str">
        <f t="shared" si="15"/>
        <v/>
      </c>
      <c r="G389" s="21"/>
      <c r="H389" s="21" t="str">
        <f t="shared" si="16"/>
        <v/>
      </c>
      <c r="I389" s="22">
        <v>0</v>
      </c>
      <c r="J389" s="23" t="str">
        <f t="shared" si="17"/>
        <v/>
      </c>
    </row>
    <row r="390" spans="2:10" ht="16.8" customHeight="1" x14ac:dyDescent="0.35">
      <c r="B390" s="6" t="s">
        <v>1152</v>
      </c>
      <c r="C390" s="11"/>
      <c r="D390" s="11"/>
      <c r="E390" s="11" t="str">
        <f>IF(ISBLANK(C390),"",SUMIF('SAÍDA DE VENDAS'!$G$6:$G$500, C390, 'SAÍDA DE VENDAS'!$H$6:$H$500))</f>
        <v/>
      </c>
      <c r="F390" s="16" t="str">
        <f t="shared" ref="F390:F453" si="18">IF(ISBLANK(C390),"", D390-E390)</f>
        <v/>
      </c>
      <c r="G390" s="17"/>
      <c r="H390" s="17" t="str">
        <f t="shared" ref="H390:H453" si="19">IF(OR(ISBLANK(F390),ISBLANK(G390)), "", F390*G390)</f>
        <v/>
      </c>
      <c r="I390" s="22">
        <v>0</v>
      </c>
      <c r="J390" s="19" t="str">
        <f t="shared" ref="J390:J453" si="20">IF(OR(ISBLANK(G390),ISBLANK(I390)), "", G390*(1+I390))</f>
        <v/>
      </c>
    </row>
    <row r="391" spans="2:10" ht="16.8" customHeight="1" x14ac:dyDescent="0.35">
      <c r="B391" s="6" t="s">
        <v>1153</v>
      </c>
      <c r="C391" s="12"/>
      <c r="D391" s="12"/>
      <c r="E391" s="12" t="str">
        <f>IF(ISBLANK(C391),"",SUMIF('SAÍDA DE VENDAS'!$G$6:$G$500, C391, 'SAÍDA DE VENDAS'!$H$6:$H$500))</f>
        <v/>
      </c>
      <c r="F391" s="20" t="str">
        <f t="shared" si="18"/>
        <v/>
      </c>
      <c r="G391" s="21"/>
      <c r="H391" s="21" t="str">
        <f t="shared" si="19"/>
        <v/>
      </c>
      <c r="I391" s="22">
        <v>0</v>
      </c>
      <c r="J391" s="23" t="str">
        <f t="shared" si="20"/>
        <v/>
      </c>
    </row>
    <row r="392" spans="2:10" ht="16.8" customHeight="1" x14ac:dyDescent="0.35">
      <c r="B392" s="6" t="s">
        <v>1154</v>
      </c>
      <c r="C392" s="11"/>
      <c r="D392" s="11"/>
      <c r="E392" s="11" t="str">
        <f>IF(ISBLANK(C392),"",SUMIF('SAÍDA DE VENDAS'!$G$6:$G$500, C392, 'SAÍDA DE VENDAS'!$H$6:$H$500))</f>
        <v/>
      </c>
      <c r="F392" s="16" t="str">
        <f t="shared" si="18"/>
        <v/>
      </c>
      <c r="G392" s="17"/>
      <c r="H392" s="17" t="str">
        <f t="shared" si="19"/>
        <v/>
      </c>
      <c r="I392" s="22">
        <v>0</v>
      </c>
      <c r="J392" s="19" t="str">
        <f t="shared" si="20"/>
        <v/>
      </c>
    </row>
    <row r="393" spans="2:10" ht="16.8" customHeight="1" x14ac:dyDescent="0.35">
      <c r="B393" s="6" t="s">
        <v>1155</v>
      </c>
      <c r="C393" s="12"/>
      <c r="D393" s="12"/>
      <c r="E393" s="12" t="str">
        <f>IF(ISBLANK(C393),"",SUMIF('SAÍDA DE VENDAS'!$G$6:$G$500, C393, 'SAÍDA DE VENDAS'!$H$6:$H$500))</f>
        <v/>
      </c>
      <c r="F393" s="20" t="str">
        <f t="shared" si="18"/>
        <v/>
      </c>
      <c r="G393" s="21"/>
      <c r="H393" s="21" t="str">
        <f t="shared" si="19"/>
        <v/>
      </c>
      <c r="I393" s="22">
        <v>0</v>
      </c>
      <c r="J393" s="23" t="str">
        <f t="shared" si="20"/>
        <v/>
      </c>
    </row>
    <row r="394" spans="2:10" ht="16.8" customHeight="1" x14ac:dyDescent="0.35">
      <c r="B394" s="6" t="s">
        <v>1156</v>
      </c>
      <c r="C394" s="11"/>
      <c r="D394" s="11"/>
      <c r="E394" s="11" t="str">
        <f>IF(ISBLANK(C394),"",SUMIF('SAÍDA DE VENDAS'!$G$6:$G$500, C394, 'SAÍDA DE VENDAS'!$H$6:$H$500))</f>
        <v/>
      </c>
      <c r="F394" s="16" t="str">
        <f t="shared" si="18"/>
        <v/>
      </c>
      <c r="G394" s="17"/>
      <c r="H394" s="17" t="str">
        <f t="shared" si="19"/>
        <v/>
      </c>
      <c r="I394" s="22">
        <v>0</v>
      </c>
      <c r="J394" s="19" t="str">
        <f t="shared" si="20"/>
        <v/>
      </c>
    </row>
    <row r="395" spans="2:10" ht="16.8" customHeight="1" x14ac:dyDescent="0.35">
      <c r="B395" s="6" t="s">
        <v>1157</v>
      </c>
      <c r="C395" s="12"/>
      <c r="D395" s="12"/>
      <c r="E395" s="12" t="str">
        <f>IF(ISBLANK(C395),"",SUMIF('SAÍDA DE VENDAS'!$G$6:$G$500, C395, 'SAÍDA DE VENDAS'!$H$6:$H$500))</f>
        <v/>
      </c>
      <c r="F395" s="20" t="str">
        <f t="shared" si="18"/>
        <v/>
      </c>
      <c r="G395" s="21"/>
      <c r="H395" s="21" t="str">
        <f t="shared" si="19"/>
        <v/>
      </c>
      <c r="I395" s="22">
        <v>0</v>
      </c>
      <c r="J395" s="23" t="str">
        <f t="shared" si="20"/>
        <v/>
      </c>
    </row>
    <row r="396" spans="2:10" ht="16.8" customHeight="1" x14ac:dyDescent="0.35">
      <c r="B396" s="6" t="s">
        <v>1158</v>
      </c>
      <c r="C396" s="11"/>
      <c r="D396" s="11"/>
      <c r="E396" s="11" t="str">
        <f>IF(ISBLANK(C396),"",SUMIF('SAÍDA DE VENDAS'!$G$6:$G$500, C396, 'SAÍDA DE VENDAS'!$H$6:$H$500))</f>
        <v/>
      </c>
      <c r="F396" s="16" t="str">
        <f t="shared" si="18"/>
        <v/>
      </c>
      <c r="G396" s="17"/>
      <c r="H396" s="17" t="str">
        <f t="shared" si="19"/>
        <v/>
      </c>
      <c r="I396" s="22">
        <v>0</v>
      </c>
      <c r="J396" s="19" t="str">
        <f t="shared" si="20"/>
        <v/>
      </c>
    </row>
    <row r="397" spans="2:10" ht="16.8" customHeight="1" x14ac:dyDescent="0.35">
      <c r="B397" s="6" t="s">
        <v>1159</v>
      </c>
      <c r="C397" s="12"/>
      <c r="D397" s="12"/>
      <c r="E397" s="12" t="str">
        <f>IF(ISBLANK(C397),"",SUMIF('SAÍDA DE VENDAS'!$G$6:$G$500, C397, 'SAÍDA DE VENDAS'!$H$6:$H$500))</f>
        <v/>
      </c>
      <c r="F397" s="20" t="str">
        <f t="shared" si="18"/>
        <v/>
      </c>
      <c r="G397" s="21"/>
      <c r="H397" s="21" t="str">
        <f t="shared" si="19"/>
        <v/>
      </c>
      <c r="I397" s="22">
        <v>0</v>
      </c>
      <c r="J397" s="23" t="str">
        <f t="shared" si="20"/>
        <v/>
      </c>
    </row>
    <row r="398" spans="2:10" ht="16.8" customHeight="1" x14ac:dyDescent="0.35">
      <c r="B398" s="6" t="s">
        <v>1160</v>
      </c>
      <c r="C398" s="11"/>
      <c r="D398" s="11"/>
      <c r="E398" s="11" t="str">
        <f>IF(ISBLANK(C398),"",SUMIF('SAÍDA DE VENDAS'!$G$6:$G$500, C398, 'SAÍDA DE VENDAS'!$H$6:$H$500))</f>
        <v/>
      </c>
      <c r="F398" s="16" t="str">
        <f t="shared" si="18"/>
        <v/>
      </c>
      <c r="G398" s="17"/>
      <c r="H398" s="17" t="str">
        <f t="shared" si="19"/>
        <v/>
      </c>
      <c r="I398" s="22">
        <v>0</v>
      </c>
      <c r="J398" s="19" t="str">
        <f t="shared" si="20"/>
        <v/>
      </c>
    </row>
    <row r="399" spans="2:10" ht="16.8" customHeight="1" x14ac:dyDescent="0.35">
      <c r="B399" s="6" t="s">
        <v>1161</v>
      </c>
      <c r="C399" s="12"/>
      <c r="D399" s="12"/>
      <c r="E399" s="12" t="str">
        <f>IF(ISBLANK(C399),"",SUMIF('SAÍDA DE VENDAS'!$G$6:$G$500, C399, 'SAÍDA DE VENDAS'!$H$6:$H$500))</f>
        <v/>
      </c>
      <c r="F399" s="20" t="str">
        <f t="shared" si="18"/>
        <v/>
      </c>
      <c r="G399" s="21"/>
      <c r="H399" s="21" t="str">
        <f t="shared" si="19"/>
        <v/>
      </c>
      <c r="I399" s="22">
        <v>0</v>
      </c>
      <c r="J399" s="23" t="str">
        <f t="shared" si="20"/>
        <v/>
      </c>
    </row>
    <row r="400" spans="2:10" ht="16.8" customHeight="1" x14ac:dyDescent="0.35">
      <c r="B400" s="6" t="s">
        <v>1162</v>
      </c>
      <c r="C400" s="11"/>
      <c r="D400" s="11"/>
      <c r="E400" s="11" t="str">
        <f>IF(ISBLANK(C400),"",SUMIF('SAÍDA DE VENDAS'!$G$6:$G$500, C400, 'SAÍDA DE VENDAS'!$H$6:$H$500))</f>
        <v/>
      </c>
      <c r="F400" s="16" t="str">
        <f t="shared" si="18"/>
        <v/>
      </c>
      <c r="G400" s="17"/>
      <c r="H400" s="17" t="str">
        <f t="shared" si="19"/>
        <v/>
      </c>
      <c r="I400" s="22">
        <v>0</v>
      </c>
      <c r="J400" s="19" t="str">
        <f t="shared" si="20"/>
        <v/>
      </c>
    </row>
    <row r="401" spans="2:10" ht="16.8" customHeight="1" x14ac:dyDescent="0.35">
      <c r="B401" s="6" t="s">
        <v>1163</v>
      </c>
      <c r="C401" s="12"/>
      <c r="D401" s="12"/>
      <c r="E401" s="12" t="str">
        <f>IF(ISBLANK(C401),"",SUMIF('SAÍDA DE VENDAS'!$G$6:$G$500, C401, 'SAÍDA DE VENDAS'!$H$6:$H$500))</f>
        <v/>
      </c>
      <c r="F401" s="20" t="str">
        <f t="shared" si="18"/>
        <v/>
      </c>
      <c r="G401" s="21"/>
      <c r="H401" s="21" t="str">
        <f t="shared" si="19"/>
        <v/>
      </c>
      <c r="I401" s="22">
        <v>0</v>
      </c>
      <c r="J401" s="23" t="str">
        <f t="shared" si="20"/>
        <v/>
      </c>
    </row>
    <row r="402" spans="2:10" ht="16.8" customHeight="1" x14ac:dyDescent="0.35">
      <c r="B402" s="6" t="s">
        <v>1164</v>
      </c>
      <c r="C402" s="11"/>
      <c r="D402" s="11"/>
      <c r="E402" s="11" t="str">
        <f>IF(ISBLANK(C402),"",SUMIF('SAÍDA DE VENDAS'!$G$6:$G$500, C402, 'SAÍDA DE VENDAS'!$H$6:$H$500))</f>
        <v/>
      </c>
      <c r="F402" s="16" t="str">
        <f t="shared" si="18"/>
        <v/>
      </c>
      <c r="G402" s="17"/>
      <c r="H402" s="17" t="str">
        <f t="shared" si="19"/>
        <v/>
      </c>
      <c r="I402" s="22">
        <v>0</v>
      </c>
      <c r="J402" s="19" t="str">
        <f t="shared" si="20"/>
        <v/>
      </c>
    </row>
    <row r="403" spans="2:10" ht="16.8" customHeight="1" x14ac:dyDescent="0.35">
      <c r="B403" s="6" t="s">
        <v>1165</v>
      </c>
      <c r="C403" s="12"/>
      <c r="D403" s="12"/>
      <c r="E403" s="12" t="str">
        <f>IF(ISBLANK(C403),"",SUMIF('SAÍDA DE VENDAS'!$G$6:$G$500, C403, 'SAÍDA DE VENDAS'!$H$6:$H$500))</f>
        <v/>
      </c>
      <c r="F403" s="20" t="str">
        <f t="shared" si="18"/>
        <v/>
      </c>
      <c r="G403" s="21"/>
      <c r="H403" s="21" t="str">
        <f t="shared" si="19"/>
        <v/>
      </c>
      <c r="I403" s="22">
        <v>0</v>
      </c>
      <c r="J403" s="23" t="str">
        <f t="shared" si="20"/>
        <v/>
      </c>
    </row>
    <row r="404" spans="2:10" ht="16.8" customHeight="1" x14ac:dyDescent="0.35">
      <c r="B404" s="6" t="s">
        <v>1166</v>
      </c>
      <c r="C404" s="11"/>
      <c r="D404" s="11"/>
      <c r="E404" s="11" t="str">
        <f>IF(ISBLANK(C404),"",SUMIF('SAÍDA DE VENDAS'!$G$6:$G$500, C404, 'SAÍDA DE VENDAS'!$H$6:$H$500))</f>
        <v/>
      </c>
      <c r="F404" s="16" t="str">
        <f t="shared" si="18"/>
        <v/>
      </c>
      <c r="G404" s="17"/>
      <c r="H404" s="17" t="str">
        <f t="shared" si="19"/>
        <v/>
      </c>
      <c r="I404" s="22">
        <v>0</v>
      </c>
      <c r="J404" s="19" t="str">
        <f t="shared" si="20"/>
        <v/>
      </c>
    </row>
    <row r="405" spans="2:10" ht="16.8" customHeight="1" x14ac:dyDescent="0.35">
      <c r="B405" s="6" t="s">
        <v>1167</v>
      </c>
      <c r="C405" s="12"/>
      <c r="D405" s="12"/>
      <c r="E405" s="12" t="str">
        <f>IF(ISBLANK(C405),"",SUMIF('SAÍDA DE VENDAS'!$G$6:$G$500, C405, 'SAÍDA DE VENDAS'!$H$6:$H$500))</f>
        <v/>
      </c>
      <c r="F405" s="20" t="str">
        <f t="shared" si="18"/>
        <v/>
      </c>
      <c r="G405" s="21"/>
      <c r="H405" s="21" t="str">
        <f t="shared" si="19"/>
        <v/>
      </c>
      <c r="I405" s="22">
        <v>0</v>
      </c>
      <c r="J405" s="23" t="str">
        <f t="shared" si="20"/>
        <v/>
      </c>
    </row>
    <row r="406" spans="2:10" ht="16.8" customHeight="1" x14ac:dyDescent="0.35">
      <c r="B406" s="6" t="s">
        <v>1168</v>
      </c>
      <c r="C406" s="11"/>
      <c r="D406" s="11"/>
      <c r="E406" s="11" t="str">
        <f>IF(ISBLANK(C406),"",SUMIF('SAÍDA DE VENDAS'!$G$6:$G$500, C406, 'SAÍDA DE VENDAS'!$H$6:$H$500))</f>
        <v/>
      </c>
      <c r="F406" s="16" t="str">
        <f t="shared" si="18"/>
        <v/>
      </c>
      <c r="G406" s="17"/>
      <c r="H406" s="17" t="str">
        <f t="shared" si="19"/>
        <v/>
      </c>
      <c r="I406" s="22">
        <v>0</v>
      </c>
      <c r="J406" s="19" t="str">
        <f t="shared" si="20"/>
        <v/>
      </c>
    </row>
    <row r="407" spans="2:10" ht="16.8" customHeight="1" x14ac:dyDescent="0.35">
      <c r="B407" s="6" t="s">
        <v>1169</v>
      </c>
      <c r="C407" s="12"/>
      <c r="D407" s="12"/>
      <c r="E407" s="12" t="str">
        <f>IF(ISBLANK(C407),"",SUMIF('SAÍDA DE VENDAS'!$G$6:$G$500, C407, 'SAÍDA DE VENDAS'!$H$6:$H$500))</f>
        <v/>
      </c>
      <c r="F407" s="20" t="str">
        <f t="shared" si="18"/>
        <v/>
      </c>
      <c r="G407" s="21"/>
      <c r="H407" s="21" t="str">
        <f t="shared" si="19"/>
        <v/>
      </c>
      <c r="I407" s="22">
        <v>0</v>
      </c>
      <c r="J407" s="23" t="str">
        <f t="shared" si="20"/>
        <v/>
      </c>
    </row>
    <row r="408" spans="2:10" ht="16.8" customHeight="1" x14ac:dyDescent="0.35">
      <c r="B408" s="6" t="s">
        <v>1170</v>
      </c>
      <c r="C408" s="11"/>
      <c r="D408" s="11"/>
      <c r="E408" s="11" t="str">
        <f>IF(ISBLANK(C408),"",SUMIF('SAÍDA DE VENDAS'!$G$6:$G$500, C408, 'SAÍDA DE VENDAS'!$H$6:$H$500))</f>
        <v/>
      </c>
      <c r="F408" s="16" t="str">
        <f t="shared" si="18"/>
        <v/>
      </c>
      <c r="G408" s="17"/>
      <c r="H408" s="17" t="str">
        <f t="shared" si="19"/>
        <v/>
      </c>
      <c r="I408" s="22">
        <v>0</v>
      </c>
      <c r="J408" s="19" t="str">
        <f t="shared" si="20"/>
        <v/>
      </c>
    </row>
    <row r="409" spans="2:10" ht="16.8" customHeight="1" x14ac:dyDescent="0.35">
      <c r="B409" s="6" t="s">
        <v>1171</v>
      </c>
      <c r="C409" s="12"/>
      <c r="D409" s="12"/>
      <c r="E409" s="12" t="str">
        <f>IF(ISBLANK(C409),"",SUMIF('SAÍDA DE VENDAS'!$G$6:$G$500, C409, 'SAÍDA DE VENDAS'!$H$6:$H$500))</f>
        <v/>
      </c>
      <c r="F409" s="20" t="str">
        <f t="shared" si="18"/>
        <v/>
      </c>
      <c r="G409" s="21"/>
      <c r="H409" s="21" t="str">
        <f t="shared" si="19"/>
        <v/>
      </c>
      <c r="I409" s="22">
        <v>0</v>
      </c>
      <c r="J409" s="23" t="str">
        <f t="shared" si="20"/>
        <v/>
      </c>
    </row>
    <row r="410" spans="2:10" ht="16.8" customHeight="1" x14ac:dyDescent="0.35">
      <c r="B410" s="6" t="s">
        <v>1172</v>
      </c>
      <c r="C410" s="11"/>
      <c r="D410" s="11"/>
      <c r="E410" s="11" t="str">
        <f>IF(ISBLANK(C410),"",SUMIF('SAÍDA DE VENDAS'!$G$6:$G$500, C410, 'SAÍDA DE VENDAS'!$H$6:$H$500))</f>
        <v/>
      </c>
      <c r="F410" s="16" t="str">
        <f t="shared" si="18"/>
        <v/>
      </c>
      <c r="G410" s="17"/>
      <c r="H410" s="17" t="str">
        <f t="shared" si="19"/>
        <v/>
      </c>
      <c r="I410" s="22">
        <v>0</v>
      </c>
      <c r="J410" s="19" t="str">
        <f t="shared" si="20"/>
        <v/>
      </c>
    </row>
    <row r="411" spans="2:10" ht="16.8" customHeight="1" x14ac:dyDescent="0.35">
      <c r="B411" s="6" t="s">
        <v>1173</v>
      </c>
      <c r="C411" s="12"/>
      <c r="D411" s="12"/>
      <c r="E411" s="12" t="str">
        <f>IF(ISBLANK(C411),"",SUMIF('SAÍDA DE VENDAS'!$G$6:$G$500, C411, 'SAÍDA DE VENDAS'!$H$6:$H$500))</f>
        <v/>
      </c>
      <c r="F411" s="20" t="str">
        <f t="shared" si="18"/>
        <v/>
      </c>
      <c r="G411" s="21"/>
      <c r="H411" s="21" t="str">
        <f t="shared" si="19"/>
        <v/>
      </c>
      <c r="I411" s="22">
        <v>0</v>
      </c>
      <c r="J411" s="23" t="str">
        <f t="shared" si="20"/>
        <v/>
      </c>
    </row>
    <row r="412" spans="2:10" ht="16.8" customHeight="1" x14ac:dyDescent="0.35">
      <c r="B412" s="6" t="s">
        <v>1174</v>
      </c>
      <c r="C412" s="11"/>
      <c r="D412" s="11"/>
      <c r="E412" s="11" t="str">
        <f>IF(ISBLANK(C412),"",SUMIF('SAÍDA DE VENDAS'!$G$6:$G$500, C412, 'SAÍDA DE VENDAS'!$H$6:$H$500))</f>
        <v/>
      </c>
      <c r="F412" s="16" t="str">
        <f t="shared" si="18"/>
        <v/>
      </c>
      <c r="G412" s="17"/>
      <c r="H412" s="17" t="str">
        <f t="shared" si="19"/>
        <v/>
      </c>
      <c r="I412" s="22">
        <v>0</v>
      </c>
      <c r="J412" s="19" t="str">
        <f t="shared" si="20"/>
        <v/>
      </c>
    </row>
    <row r="413" spans="2:10" ht="16.8" customHeight="1" x14ac:dyDescent="0.35">
      <c r="B413" s="6" t="s">
        <v>1175</v>
      </c>
      <c r="C413" s="12"/>
      <c r="D413" s="12"/>
      <c r="E413" s="12" t="str">
        <f>IF(ISBLANK(C413),"",SUMIF('SAÍDA DE VENDAS'!$G$6:$G$500, C413, 'SAÍDA DE VENDAS'!$H$6:$H$500))</f>
        <v/>
      </c>
      <c r="F413" s="20" t="str">
        <f t="shared" si="18"/>
        <v/>
      </c>
      <c r="G413" s="21"/>
      <c r="H413" s="21" t="str">
        <f t="shared" si="19"/>
        <v/>
      </c>
      <c r="I413" s="22">
        <v>0</v>
      </c>
      <c r="J413" s="23" t="str">
        <f t="shared" si="20"/>
        <v/>
      </c>
    </row>
    <row r="414" spans="2:10" ht="16.8" customHeight="1" x14ac:dyDescent="0.35">
      <c r="B414" s="6" t="s">
        <v>1176</v>
      </c>
      <c r="C414" s="11"/>
      <c r="D414" s="11"/>
      <c r="E414" s="11" t="str">
        <f>IF(ISBLANK(C414),"",SUMIF('SAÍDA DE VENDAS'!$G$6:$G$500, C414, 'SAÍDA DE VENDAS'!$H$6:$H$500))</f>
        <v/>
      </c>
      <c r="F414" s="16" t="str">
        <f t="shared" si="18"/>
        <v/>
      </c>
      <c r="G414" s="17"/>
      <c r="H414" s="17" t="str">
        <f t="shared" si="19"/>
        <v/>
      </c>
      <c r="I414" s="22">
        <v>0</v>
      </c>
      <c r="J414" s="19" t="str">
        <f t="shared" si="20"/>
        <v/>
      </c>
    </row>
    <row r="415" spans="2:10" ht="16.8" customHeight="1" x14ac:dyDescent="0.35">
      <c r="B415" s="6" t="s">
        <v>1177</v>
      </c>
      <c r="C415" s="12"/>
      <c r="D415" s="12"/>
      <c r="E415" s="12" t="str">
        <f>IF(ISBLANK(C415),"",SUMIF('SAÍDA DE VENDAS'!$G$6:$G$500, C415, 'SAÍDA DE VENDAS'!$H$6:$H$500))</f>
        <v/>
      </c>
      <c r="F415" s="20" t="str">
        <f t="shared" si="18"/>
        <v/>
      </c>
      <c r="G415" s="21"/>
      <c r="H415" s="21" t="str">
        <f t="shared" si="19"/>
        <v/>
      </c>
      <c r="I415" s="22">
        <v>0</v>
      </c>
      <c r="J415" s="23" t="str">
        <f t="shared" si="20"/>
        <v/>
      </c>
    </row>
    <row r="416" spans="2:10" ht="16.8" customHeight="1" x14ac:dyDescent="0.35">
      <c r="B416" s="6" t="s">
        <v>1178</v>
      </c>
      <c r="C416" s="11"/>
      <c r="D416" s="11"/>
      <c r="E416" s="11" t="str">
        <f>IF(ISBLANK(C416),"",SUMIF('SAÍDA DE VENDAS'!$G$6:$G$500, C416, 'SAÍDA DE VENDAS'!$H$6:$H$500))</f>
        <v/>
      </c>
      <c r="F416" s="16" t="str">
        <f t="shared" si="18"/>
        <v/>
      </c>
      <c r="G416" s="17"/>
      <c r="H416" s="17" t="str">
        <f t="shared" si="19"/>
        <v/>
      </c>
      <c r="I416" s="22">
        <v>0</v>
      </c>
      <c r="J416" s="19" t="str">
        <f t="shared" si="20"/>
        <v/>
      </c>
    </row>
    <row r="417" spans="2:10" ht="16.8" customHeight="1" x14ac:dyDescent="0.35">
      <c r="B417" s="6" t="s">
        <v>1179</v>
      </c>
      <c r="C417" s="12"/>
      <c r="D417" s="12"/>
      <c r="E417" s="12" t="str">
        <f>IF(ISBLANK(C417),"",SUMIF('SAÍDA DE VENDAS'!$G$6:$G$500, C417, 'SAÍDA DE VENDAS'!$H$6:$H$500))</f>
        <v/>
      </c>
      <c r="F417" s="20" t="str">
        <f t="shared" si="18"/>
        <v/>
      </c>
      <c r="G417" s="21"/>
      <c r="H417" s="21" t="str">
        <f t="shared" si="19"/>
        <v/>
      </c>
      <c r="I417" s="22">
        <v>0</v>
      </c>
      <c r="J417" s="23" t="str">
        <f t="shared" si="20"/>
        <v/>
      </c>
    </row>
    <row r="418" spans="2:10" ht="16.8" customHeight="1" x14ac:dyDescent="0.35">
      <c r="B418" s="6" t="s">
        <v>1180</v>
      </c>
      <c r="C418" s="11"/>
      <c r="D418" s="11"/>
      <c r="E418" s="11" t="str">
        <f>IF(ISBLANK(C418),"",SUMIF('SAÍDA DE VENDAS'!$G$6:$G$500, C418, 'SAÍDA DE VENDAS'!$H$6:$H$500))</f>
        <v/>
      </c>
      <c r="F418" s="16" t="str">
        <f t="shared" si="18"/>
        <v/>
      </c>
      <c r="G418" s="17"/>
      <c r="H418" s="17" t="str">
        <f t="shared" si="19"/>
        <v/>
      </c>
      <c r="I418" s="22">
        <v>0</v>
      </c>
      <c r="J418" s="19" t="str">
        <f t="shared" si="20"/>
        <v/>
      </c>
    </row>
    <row r="419" spans="2:10" ht="16.8" customHeight="1" x14ac:dyDescent="0.35">
      <c r="B419" s="6" t="s">
        <v>1181</v>
      </c>
      <c r="C419" s="12"/>
      <c r="D419" s="12"/>
      <c r="E419" s="12" t="str">
        <f>IF(ISBLANK(C419),"",SUMIF('SAÍDA DE VENDAS'!$G$6:$G$500, C419, 'SAÍDA DE VENDAS'!$H$6:$H$500))</f>
        <v/>
      </c>
      <c r="F419" s="20" t="str">
        <f t="shared" si="18"/>
        <v/>
      </c>
      <c r="G419" s="21"/>
      <c r="H419" s="21" t="str">
        <f t="shared" si="19"/>
        <v/>
      </c>
      <c r="I419" s="22">
        <v>0</v>
      </c>
      <c r="J419" s="23" t="str">
        <f t="shared" si="20"/>
        <v/>
      </c>
    </row>
    <row r="420" spans="2:10" ht="16.8" customHeight="1" x14ac:dyDescent="0.35">
      <c r="B420" s="6" t="s">
        <v>1182</v>
      </c>
      <c r="C420" s="11"/>
      <c r="D420" s="11"/>
      <c r="E420" s="11" t="str">
        <f>IF(ISBLANK(C420),"",SUMIF('SAÍDA DE VENDAS'!$G$6:$G$500, C420, 'SAÍDA DE VENDAS'!$H$6:$H$500))</f>
        <v/>
      </c>
      <c r="F420" s="16" t="str">
        <f t="shared" si="18"/>
        <v/>
      </c>
      <c r="G420" s="17"/>
      <c r="H420" s="17" t="str">
        <f t="shared" si="19"/>
        <v/>
      </c>
      <c r="I420" s="22">
        <v>0</v>
      </c>
      <c r="J420" s="19" t="str">
        <f t="shared" si="20"/>
        <v/>
      </c>
    </row>
    <row r="421" spans="2:10" ht="16.8" customHeight="1" x14ac:dyDescent="0.35">
      <c r="B421" s="6" t="s">
        <v>1183</v>
      </c>
      <c r="C421" s="12"/>
      <c r="D421" s="12"/>
      <c r="E421" s="12" t="str">
        <f>IF(ISBLANK(C421),"",SUMIF('SAÍDA DE VENDAS'!$G$6:$G$500, C421, 'SAÍDA DE VENDAS'!$H$6:$H$500))</f>
        <v/>
      </c>
      <c r="F421" s="20" t="str">
        <f t="shared" si="18"/>
        <v/>
      </c>
      <c r="G421" s="21"/>
      <c r="H421" s="21" t="str">
        <f t="shared" si="19"/>
        <v/>
      </c>
      <c r="I421" s="22">
        <v>0</v>
      </c>
      <c r="J421" s="23" t="str">
        <f t="shared" si="20"/>
        <v/>
      </c>
    </row>
    <row r="422" spans="2:10" ht="16.8" customHeight="1" x14ac:dyDescent="0.35">
      <c r="B422" s="6" t="s">
        <v>1184</v>
      </c>
      <c r="C422" s="11"/>
      <c r="D422" s="11"/>
      <c r="E422" s="11" t="str">
        <f>IF(ISBLANK(C422),"",SUMIF('SAÍDA DE VENDAS'!$G$6:$G$500, C422, 'SAÍDA DE VENDAS'!$H$6:$H$500))</f>
        <v/>
      </c>
      <c r="F422" s="16" t="str">
        <f t="shared" si="18"/>
        <v/>
      </c>
      <c r="G422" s="17"/>
      <c r="H422" s="17" t="str">
        <f t="shared" si="19"/>
        <v/>
      </c>
      <c r="I422" s="22">
        <v>0</v>
      </c>
      <c r="J422" s="19" t="str">
        <f t="shared" si="20"/>
        <v/>
      </c>
    </row>
    <row r="423" spans="2:10" ht="16.8" customHeight="1" x14ac:dyDescent="0.35">
      <c r="B423" s="6" t="s">
        <v>1185</v>
      </c>
      <c r="C423" s="12"/>
      <c r="D423" s="12"/>
      <c r="E423" s="12" t="str">
        <f>IF(ISBLANK(C423),"",SUMIF('SAÍDA DE VENDAS'!$G$6:$G$500, C423, 'SAÍDA DE VENDAS'!$H$6:$H$500))</f>
        <v/>
      </c>
      <c r="F423" s="20" t="str">
        <f t="shared" si="18"/>
        <v/>
      </c>
      <c r="G423" s="21"/>
      <c r="H423" s="21" t="str">
        <f t="shared" si="19"/>
        <v/>
      </c>
      <c r="I423" s="22">
        <v>0</v>
      </c>
      <c r="J423" s="23" t="str">
        <f t="shared" si="20"/>
        <v/>
      </c>
    </row>
    <row r="424" spans="2:10" ht="16.8" customHeight="1" x14ac:dyDescent="0.35">
      <c r="B424" s="6" t="s">
        <v>1186</v>
      </c>
      <c r="C424" s="11"/>
      <c r="D424" s="11"/>
      <c r="E424" s="11" t="str">
        <f>IF(ISBLANK(C424),"",SUMIF('SAÍDA DE VENDAS'!$G$6:$G$500, C424, 'SAÍDA DE VENDAS'!$H$6:$H$500))</f>
        <v/>
      </c>
      <c r="F424" s="16" t="str">
        <f t="shared" si="18"/>
        <v/>
      </c>
      <c r="G424" s="17"/>
      <c r="H424" s="17" t="str">
        <f t="shared" si="19"/>
        <v/>
      </c>
      <c r="I424" s="22">
        <v>0</v>
      </c>
      <c r="J424" s="19" t="str">
        <f t="shared" si="20"/>
        <v/>
      </c>
    </row>
    <row r="425" spans="2:10" ht="16.8" customHeight="1" x14ac:dyDescent="0.35">
      <c r="B425" s="6" t="s">
        <v>1187</v>
      </c>
      <c r="C425" s="12"/>
      <c r="D425" s="12"/>
      <c r="E425" s="12" t="str">
        <f>IF(ISBLANK(C425),"",SUMIF('SAÍDA DE VENDAS'!$G$6:$G$500, C425, 'SAÍDA DE VENDAS'!$H$6:$H$500))</f>
        <v/>
      </c>
      <c r="F425" s="20" t="str">
        <f t="shared" si="18"/>
        <v/>
      </c>
      <c r="G425" s="21"/>
      <c r="H425" s="21" t="str">
        <f t="shared" si="19"/>
        <v/>
      </c>
      <c r="I425" s="22">
        <v>0</v>
      </c>
      <c r="J425" s="23" t="str">
        <f t="shared" si="20"/>
        <v/>
      </c>
    </row>
    <row r="426" spans="2:10" ht="16.8" customHeight="1" x14ac:dyDescent="0.35">
      <c r="B426" s="6" t="s">
        <v>1188</v>
      </c>
      <c r="C426" s="11"/>
      <c r="D426" s="11"/>
      <c r="E426" s="11" t="str">
        <f>IF(ISBLANK(C426),"",SUMIF('SAÍDA DE VENDAS'!$G$6:$G$500, C426, 'SAÍDA DE VENDAS'!$H$6:$H$500))</f>
        <v/>
      </c>
      <c r="F426" s="16" t="str">
        <f t="shared" si="18"/>
        <v/>
      </c>
      <c r="G426" s="17"/>
      <c r="H426" s="17" t="str">
        <f t="shared" si="19"/>
        <v/>
      </c>
      <c r="I426" s="22">
        <v>0</v>
      </c>
      <c r="J426" s="19" t="str">
        <f t="shared" si="20"/>
        <v/>
      </c>
    </row>
    <row r="427" spans="2:10" ht="16.8" customHeight="1" x14ac:dyDescent="0.35">
      <c r="B427" s="6" t="s">
        <v>1189</v>
      </c>
      <c r="C427" s="12"/>
      <c r="D427" s="12"/>
      <c r="E427" s="12" t="str">
        <f>IF(ISBLANK(C427),"",SUMIF('SAÍDA DE VENDAS'!$G$6:$G$500, C427, 'SAÍDA DE VENDAS'!$H$6:$H$500))</f>
        <v/>
      </c>
      <c r="F427" s="20" t="str">
        <f t="shared" si="18"/>
        <v/>
      </c>
      <c r="G427" s="21"/>
      <c r="H427" s="21" t="str">
        <f t="shared" si="19"/>
        <v/>
      </c>
      <c r="I427" s="22">
        <v>0</v>
      </c>
      <c r="J427" s="23" t="str">
        <f t="shared" si="20"/>
        <v/>
      </c>
    </row>
    <row r="428" spans="2:10" ht="16.8" customHeight="1" x14ac:dyDescent="0.35">
      <c r="B428" s="6" t="s">
        <v>1190</v>
      </c>
      <c r="C428" s="11"/>
      <c r="D428" s="11"/>
      <c r="E428" s="11" t="str">
        <f>IF(ISBLANK(C428),"",SUMIF('SAÍDA DE VENDAS'!$G$6:$G$500, C428, 'SAÍDA DE VENDAS'!$H$6:$H$500))</f>
        <v/>
      </c>
      <c r="F428" s="16" t="str">
        <f t="shared" si="18"/>
        <v/>
      </c>
      <c r="G428" s="17"/>
      <c r="H428" s="17" t="str">
        <f t="shared" si="19"/>
        <v/>
      </c>
      <c r="I428" s="22">
        <v>0</v>
      </c>
      <c r="J428" s="19" t="str">
        <f t="shared" si="20"/>
        <v/>
      </c>
    </row>
    <row r="429" spans="2:10" ht="16.8" customHeight="1" x14ac:dyDescent="0.35">
      <c r="B429" s="6" t="s">
        <v>1191</v>
      </c>
      <c r="C429" s="12"/>
      <c r="D429" s="12"/>
      <c r="E429" s="12" t="str">
        <f>IF(ISBLANK(C429),"",SUMIF('SAÍDA DE VENDAS'!$G$6:$G$500, C429, 'SAÍDA DE VENDAS'!$H$6:$H$500))</f>
        <v/>
      </c>
      <c r="F429" s="20" t="str">
        <f t="shared" si="18"/>
        <v/>
      </c>
      <c r="G429" s="21"/>
      <c r="H429" s="21" t="str">
        <f t="shared" si="19"/>
        <v/>
      </c>
      <c r="I429" s="22">
        <v>0</v>
      </c>
      <c r="J429" s="23" t="str">
        <f t="shared" si="20"/>
        <v/>
      </c>
    </row>
    <row r="430" spans="2:10" ht="16.8" customHeight="1" x14ac:dyDescent="0.35">
      <c r="B430" s="6" t="s">
        <v>1192</v>
      </c>
      <c r="C430" s="11"/>
      <c r="D430" s="11"/>
      <c r="E430" s="11" t="str">
        <f>IF(ISBLANK(C430),"",SUMIF('SAÍDA DE VENDAS'!$G$6:$G$500, C430, 'SAÍDA DE VENDAS'!$H$6:$H$500))</f>
        <v/>
      </c>
      <c r="F430" s="16" t="str">
        <f t="shared" si="18"/>
        <v/>
      </c>
      <c r="G430" s="17"/>
      <c r="H430" s="17" t="str">
        <f t="shared" si="19"/>
        <v/>
      </c>
      <c r="I430" s="22">
        <v>0</v>
      </c>
      <c r="J430" s="19" t="str">
        <f t="shared" si="20"/>
        <v/>
      </c>
    </row>
    <row r="431" spans="2:10" ht="16.8" customHeight="1" x14ac:dyDescent="0.35">
      <c r="B431" s="6" t="s">
        <v>1193</v>
      </c>
      <c r="C431" s="12"/>
      <c r="D431" s="12"/>
      <c r="E431" s="12" t="str">
        <f>IF(ISBLANK(C431),"",SUMIF('SAÍDA DE VENDAS'!$G$6:$G$500, C431, 'SAÍDA DE VENDAS'!$H$6:$H$500))</f>
        <v/>
      </c>
      <c r="F431" s="20" t="str">
        <f t="shared" si="18"/>
        <v/>
      </c>
      <c r="G431" s="21"/>
      <c r="H431" s="21" t="str">
        <f t="shared" si="19"/>
        <v/>
      </c>
      <c r="I431" s="22">
        <v>0</v>
      </c>
      <c r="J431" s="23" t="str">
        <f t="shared" si="20"/>
        <v/>
      </c>
    </row>
    <row r="432" spans="2:10" ht="16.8" customHeight="1" x14ac:dyDescent="0.35">
      <c r="B432" s="6" t="s">
        <v>1194</v>
      </c>
      <c r="C432" s="11"/>
      <c r="D432" s="11"/>
      <c r="E432" s="11" t="str">
        <f>IF(ISBLANK(C432),"",SUMIF('SAÍDA DE VENDAS'!$G$6:$G$500, C432, 'SAÍDA DE VENDAS'!$H$6:$H$500))</f>
        <v/>
      </c>
      <c r="F432" s="16" t="str">
        <f t="shared" si="18"/>
        <v/>
      </c>
      <c r="G432" s="17"/>
      <c r="H432" s="17" t="str">
        <f t="shared" si="19"/>
        <v/>
      </c>
      <c r="I432" s="22">
        <v>0</v>
      </c>
      <c r="J432" s="19" t="str">
        <f t="shared" si="20"/>
        <v/>
      </c>
    </row>
    <row r="433" spans="2:10" ht="16.8" customHeight="1" x14ac:dyDescent="0.35">
      <c r="B433" s="6" t="s">
        <v>1195</v>
      </c>
      <c r="C433" s="12"/>
      <c r="D433" s="12"/>
      <c r="E433" s="12" t="str">
        <f>IF(ISBLANK(C433),"",SUMIF('SAÍDA DE VENDAS'!$G$6:$G$500, C433, 'SAÍDA DE VENDAS'!$H$6:$H$500))</f>
        <v/>
      </c>
      <c r="F433" s="20" t="str">
        <f t="shared" si="18"/>
        <v/>
      </c>
      <c r="G433" s="21"/>
      <c r="H433" s="21" t="str">
        <f t="shared" si="19"/>
        <v/>
      </c>
      <c r="I433" s="22">
        <v>0</v>
      </c>
      <c r="J433" s="23" t="str">
        <f t="shared" si="20"/>
        <v/>
      </c>
    </row>
    <row r="434" spans="2:10" ht="16.8" customHeight="1" x14ac:dyDescent="0.35">
      <c r="B434" s="6" t="s">
        <v>1196</v>
      </c>
      <c r="C434" s="11"/>
      <c r="D434" s="11"/>
      <c r="E434" s="11" t="str">
        <f>IF(ISBLANK(C434),"",SUMIF('SAÍDA DE VENDAS'!$G$6:$G$500, C434, 'SAÍDA DE VENDAS'!$H$6:$H$500))</f>
        <v/>
      </c>
      <c r="F434" s="16" t="str">
        <f t="shared" si="18"/>
        <v/>
      </c>
      <c r="G434" s="17"/>
      <c r="H434" s="17" t="str">
        <f t="shared" si="19"/>
        <v/>
      </c>
      <c r="I434" s="22">
        <v>0</v>
      </c>
      <c r="J434" s="19" t="str">
        <f t="shared" si="20"/>
        <v/>
      </c>
    </row>
    <row r="435" spans="2:10" ht="16.8" customHeight="1" x14ac:dyDescent="0.35">
      <c r="B435" s="6" t="s">
        <v>1197</v>
      </c>
      <c r="C435" s="12"/>
      <c r="D435" s="12"/>
      <c r="E435" s="12" t="str">
        <f>IF(ISBLANK(C435),"",SUMIF('SAÍDA DE VENDAS'!$G$6:$G$500, C435, 'SAÍDA DE VENDAS'!$H$6:$H$500))</f>
        <v/>
      </c>
      <c r="F435" s="20" t="str">
        <f t="shared" si="18"/>
        <v/>
      </c>
      <c r="G435" s="21"/>
      <c r="H435" s="21" t="str">
        <f t="shared" si="19"/>
        <v/>
      </c>
      <c r="I435" s="22">
        <v>0</v>
      </c>
      <c r="J435" s="23" t="str">
        <f t="shared" si="20"/>
        <v/>
      </c>
    </row>
    <row r="436" spans="2:10" ht="16.8" customHeight="1" x14ac:dyDescent="0.35">
      <c r="B436" s="6" t="s">
        <v>1198</v>
      </c>
      <c r="C436" s="11"/>
      <c r="D436" s="11"/>
      <c r="E436" s="11" t="str">
        <f>IF(ISBLANK(C436),"",SUMIF('SAÍDA DE VENDAS'!$G$6:$G$500, C436, 'SAÍDA DE VENDAS'!$H$6:$H$500))</f>
        <v/>
      </c>
      <c r="F436" s="16" t="str">
        <f t="shared" si="18"/>
        <v/>
      </c>
      <c r="G436" s="17"/>
      <c r="H436" s="17" t="str">
        <f t="shared" si="19"/>
        <v/>
      </c>
      <c r="I436" s="22">
        <v>0</v>
      </c>
      <c r="J436" s="19" t="str">
        <f t="shared" si="20"/>
        <v/>
      </c>
    </row>
    <row r="437" spans="2:10" ht="16.8" customHeight="1" x14ac:dyDescent="0.35">
      <c r="B437" s="6" t="s">
        <v>1199</v>
      </c>
      <c r="C437" s="12"/>
      <c r="D437" s="12"/>
      <c r="E437" s="12" t="str">
        <f>IF(ISBLANK(C437),"",SUMIF('SAÍDA DE VENDAS'!$G$6:$G$500, C437, 'SAÍDA DE VENDAS'!$H$6:$H$500))</f>
        <v/>
      </c>
      <c r="F437" s="20" t="str">
        <f t="shared" si="18"/>
        <v/>
      </c>
      <c r="G437" s="21"/>
      <c r="H437" s="21" t="str">
        <f t="shared" si="19"/>
        <v/>
      </c>
      <c r="I437" s="22">
        <v>0</v>
      </c>
      <c r="J437" s="23" t="str">
        <f t="shared" si="20"/>
        <v/>
      </c>
    </row>
    <row r="438" spans="2:10" ht="16.8" customHeight="1" x14ac:dyDescent="0.35">
      <c r="B438" s="6" t="s">
        <v>1200</v>
      </c>
      <c r="C438" s="11"/>
      <c r="D438" s="11"/>
      <c r="E438" s="11" t="str">
        <f>IF(ISBLANK(C438),"",SUMIF('SAÍDA DE VENDAS'!$G$6:$G$500, C438, 'SAÍDA DE VENDAS'!$H$6:$H$500))</f>
        <v/>
      </c>
      <c r="F438" s="16" t="str">
        <f t="shared" si="18"/>
        <v/>
      </c>
      <c r="G438" s="17"/>
      <c r="H438" s="17" t="str">
        <f t="shared" si="19"/>
        <v/>
      </c>
      <c r="I438" s="22">
        <v>0</v>
      </c>
      <c r="J438" s="19" t="str">
        <f t="shared" si="20"/>
        <v/>
      </c>
    </row>
    <row r="439" spans="2:10" ht="16.8" customHeight="1" x14ac:dyDescent="0.35">
      <c r="B439" s="6" t="s">
        <v>1201</v>
      </c>
      <c r="C439" s="12"/>
      <c r="D439" s="12"/>
      <c r="E439" s="12" t="str">
        <f>IF(ISBLANK(C439),"",SUMIF('SAÍDA DE VENDAS'!$G$6:$G$500, C439, 'SAÍDA DE VENDAS'!$H$6:$H$500))</f>
        <v/>
      </c>
      <c r="F439" s="20" t="str">
        <f t="shared" si="18"/>
        <v/>
      </c>
      <c r="G439" s="21"/>
      <c r="H439" s="21" t="str">
        <f t="shared" si="19"/>
        <v/>
      </c>
      <c r="I439" s="22">
        <v>0</v>
      </c>
      <c r="J439" s="23" t="str">
        <f t="shared" si="20"/>
        <v/>
      </c>
    </row>
    <row r="440" spans="2:10" ht="16.8" customHeight="1" x14ac:dyDescent="0.35">
      <c r="B440" s="6" t="s">
        <v>1202</v>
      </c>
      <c r="C440" s="11"/>
      <c r="D440" s="11"/>
      <c r="E440" s="11" t="str">
        <f>IF(ISBLANK(C440),"",SUMIF('SAÍDA DE VENDAS'!$G$6:$G$500, C440, 'SAÍDA DE VENDAS'!$H$6:$H$500))</f>
        <v/>
      </c>
      <c r="F440" s="16" t="str">
        <f t="shared" si="18"/>
        <v/>
      </c>
      <c r="G440" s="17"/>
      <c r="H440" s="17" t="str">
        <f t="shared" si="19"/>
        <v/>
      </c>
      <c r="I440" s="22">
        <v>0</v>
      </c>
      <c r="J440" s="19" t="str">
        <f t="shared" si="20"/>
        <v/>
      </c>
    </row>
    <row r="441" spans="2:10" ht="16.8" customHeight="1" x14ac:dyDescent="0.35">
      <c r="B441" s="6" t="s">
        <v>1203</v>
      </c>
      <c r="C441" s="12"/>
      <c r="D441" s="12"/>
      <c r="E441" s="12" t="str">
        <f>IF(ISBLANK(C441),"",SUMIF('SAÍDA DE VENDAS'!$G$6:$G$500, C441, 'SAÍDA DE VENDAS'!$H$6:$H$500))</f>
        <v/>
      </c>
      <c r="F441" s="20" t="str">
        <f t="shared" si="18"/>
        <v/>
      </c>
      <c r="G441" s="21"/>
      <c r="H441" s="21" t="str">
        <f t="shared" si="19"/>
        <v/>
      </c>
      <c r="I441" s="22">
        <v>0</v>
      </c>
      <c r="J441" s="23" t="str">
        <f t="shared" si="20"/>
        <v/>
      </c>
    </row>
    <row r="442" spans="2:10" ht="16.8" customHeight="1" x14ac:dyDescent="0.35">
      <c r="B442" s="6" t="s">
        <v>1204</v>
      </c>
      <c r="C442" s="11"/>
      <c r="D442" s="11"/>
      <c r="E442" s="11" t="str">
        <f>IF(ISBLANK(C442),"",SUMIF('SAÍDA DE VENDAS'!$G$6:$G$500, C442, 'SAÍDA DE VENDAS'!$H$6:$H$500))</f>
        <v/>
      </c>
      <c r="F442" s="16" t="str">
        <f t="shared" si="18"/>
        <v/>
      </c>
      <c r="G442" s="17"/>
      <c r="H442" s="17" t="str">
        <f t="shared" si="19"/>
        <v/>
      </c>
      <c r="I442" s="22">
        <v>0</v>
      </c>
      <c r="J442" s="19" t="str">
        <f t="shared" si="20"/>
        <v/>
      </c>
    </row>
    <row r="443" spans="2:10" ht="16.8" customHeight="1" x14ac:dyDescent="0.35">
      <c r="B443" s="6" t="s">
        <v>1205</v>
      </c>
      <c r="C443" s="12"/>
      <c r="D443" s="12"/>
      <c r="E443" s="12" t="str">
        <f>IF(ISBLANK(C443),"",SUMIF('SAÍDA DE VENDAS'!$G$6:$G$500, C443, 'SAÍDA DE VENDAS'!$H$6:$H$500))</f>
        <v/>
      </c>
      <c r="F443" s="20" t="str">
        <f t="shared" si="18"/>
        <v/>
      </c>
      <c r="G443" s="21"/>
      <c r="H443" s="21" t="str">
        <f t="shared" si="19"/>
        <v/>
      </c>
      <c r="I443" s="22">
        <v>0</v>
      </c>
      <c r="J443" s="23" t="str">
        <f t="shared" si="20"/>
        <v/>
      </c>
    </row>
    <row r="444" spans="2:10" ht="16.8" customHeight="1" x14ac:dyDescent="0.35">
      <c r="B444" s="6" t="s">
        <v>1206</v>
      </c>
      <c r="C444" s="11"/>
      <c r="D444" s="11"/>
      <c r="E444" s="11" t="str">
        <f>IF(ISBLANK(C444),"",SUMIF('SAÍDA DE VENDAS'!$G$6:$G$500, C444, 'SAÍDA DE VENDAS'!$H$6:$H$500))</f>
        <v/>
      </c>
      <c r="F444" s="16" t="str">
        <f t="shared" si="18"/>
        <v/>
      </c>
      <c r="G444" s="17"/>
      <c r="H444" s="17" t="str">
        <f t="shared" si="19"/>
        <v/>
      </c>
      <c r="I444" s="22">
        <v>0</v>
      </c>
      <c r="J444" s="19" t="str">
        <f t="shared" si="20"/>
        <v/>
      </c>
    </row>
    <row r="445" spans="2:10" ht="16.8" customHeight="1" x14ac:dyDescent="0.35">
      <c r="B445" s="6" t="s">
        <v>1207</v>
      </c>
      <c r="C445" s="12"/>
      <c r="D445" s="12"/>
      <c r="E445" s="12" t="str">
        <f>IF(ISBLANK(C445),"",SUMIF('SAÍDA DE VENDAS'!$G$6:$G$500, C445, 'SAÍDA DE VENDAS'!$H$6:$H$500))</f>
        <v/>
      </c>
      <c r="F445" s="20" t="str">
        <f t="shared" si="18"/>
        <v/>
      </c>
      <c r="G445" s="21"/>
      <c r="H445" s="21" t="str">
        <f t="shared" si="19"/>
        <v/>
      </c>
      <c r="I445" s="22">
        <v>0</v>
      </c>
      <c r="J445" s="23" t="str">
        <f t="shared" si="20"/>
        <v/>
      </c>
    </row>
    <row r="446" spans="2:10" ht="16.8" customHeight="1" x14ac:dyDescent="0.35">
      <c r="B446" s="6" t="s">
        <v>1208</v>
      </c>
      <c r="C446" s="11"/>
      <c r="D446" s="11"/>
      <c r="E446" s="11" t="str">
        <f>IF(ISBLANK(C446),"",SUMIF('SAÍDA DE VENDAS'!$G$6:$G$500, C446, 'SAÍDA DE VENDAS'!$H$6:$H$500))</f>
        <v/>
      </c>
      <c r="F446" s="16" t="str">
        <f t="shared" si="18"/>
        <v/>
      </c>
      <c r="G446" s="17"/>
      <c r="H446" s="17" t="str">
        <f t="shared" si="19"/>
        <v/>
      </c>
      <c r="I446" s="22">
        <v>0</v>
      </c>
      <c r="J446" s="19" t="str">
        <f t="shared" si="20"/>
        <v/>
      </c>
    </row>
    <row r="447" spans="2:10" ht="16.8" customHeight="1" x14ac:dyDescent="0.35">
      <c r="B447" s="6" t="s">
        <v>1209</v>
      </c>
      <c r="C447" s="12"/>
      <c r="D447" s="12"/>
      <c r="E447" s="12" t="str">
        <f>IF(ISBLANK(C447),"",SUMIF('SAÍDA DE VENDAS'!$G$6:$G$500, C447, 'SAÍDA DE VENDAS'!$H$6:$H$500))</f>
        <v/>
      </c>
      <c r="F447" s="20" t="str">
        <f t="shared" si="18"/>
        <v/>
      </c>
      <c r="G447" s="21"/>
      <c r="H447" s="21" t="str">
        <f t="shared" si="19"/>
        <v/>
      </c>
      <c r="I447" s="22">
        <v>0</v>
      </c>
      <c r="J447" s="23" t="str">
        <f t="shared" si="20"/>
        <v/>
      </c>
    </row>
    <row r="448" spans="2:10" ht="16.8" customHeight="1" x14ac:dyDescent="0.35">
      <c r="B448" s="6" t="s">
        <v>1210</v>
      </c>
      <c r="C448" s="11"/>
      <c r="D448" s="11"/>
      <c r="E448" s="11" t="str">
        <f>IF(ISBLANK(C448),"",SUMIF('SAÍDA DE VENDAS'!$G$6:$G$500, C448, 'SAÍDA DE VENDAS'!$H$6:$H$500))</f>
        <v/>
      </c>
      <c r="F448" s="16" t="str">
        <f t="shared" si="18"/>
        <v/>
      </c>
      <c r="G448" s="17"/>
      <c r="H448" s="17" t="str">
        <f t="shared" si="19"/>
        <v/>
      </c>
      <c r="I448" s="22">
        <v>0</v>
      </c>
      <c r="J448" s="19" t="str">
        <f t="shared" si="20"/>
        <v/>
      </c>
    </row>
    <row r="449" spans="2:10" ht="16.8" customHeight="1" x14ac:dyDescent="0.35">
      <c r="B449" s="6" t="s">
        <v>1211</v>
      </c>
      <c r="C449" s="12"/>
      <c r="D449" s="12"/>
      <c r="E449" s="12" t="str">
        <f>IF(ISBLANK(C449),"",SUMIF('SAÍDA DE VENDAS'!$G$6:$G$500, C449, 'SAÍDA DE VENDAS'!$H$6:$H$500))</f>
        <v/>
      </c>
      <c r="F449" s="20" t="str">
        <f t="shared" si="18"/>
        <v/>
      </c>
      <c r="G449" s="21"/>
      <c r="H449" s="21" t="str">
        <f t="shared" si="19"/>
        <v/>
      </c>
      <c r="I449" s="22">
        <v>0</v>
      </c>
      <c r="J449" s="23" t="str">
        <f t="shared" si="20"/>
        <v/>
      </c>
    </row>
    <row r="450" spans="2:10" ht="16.8" customHeight="1" x14ac:dyDescent="0.35">
      <c r="B450" s="6" t="s">
        <v>1212</v>
      </c>
      <c r="C450" s="11"/>
      <c r="D450" s="11"/>
      <c r="E450" s="11" t="str">
        <f>IF(ISBLANK(C450),"",SUMIF('SAÍDA DE VENDAS'!$G$6:$G$500, C450, 'SAÍDA DE VENDAS'!$H$6:$H$500))</f>
        <v/>
      </c>
      <c r="F450" s="16" t="str">
        <f t="shared" si="18"/>
        <v/>
      </c>
      <c r="G450" s="17"/>
      <c r="H450" s="17" t="str">
        <f t="shared" si="19"/>
        <v/>
      </c>
      <c r="I450" s="22">
        <v>0</v>
      </c>
      <c r="J450" s="19" t="str">
        <f t="shared" si="20"/>
        <v/>
      </c>
    </row>
    <row r="451" spans="2:10" ht="16.8" customHeight="1" x14ac:dyDescent="0.35">
      <c r="B451" s="6" t="s">
        <v>1213</v>
      </c>
      <c r="C451" s="12"/>
      <c r="D451" s="12"/>
      <c r="E451" s="12" t="str">
        <f>IF(ISBLANK(C451),"",SUMIF('SAÍDA DE VENDAS'!$G$6:$G$500, C451, 'SAÍDA DE VENDAS'!$H$6:$H$500))</f>
        <v/>
      </c>
      <c r="F451" s="20" t="str">
        <f t="shared" si="18"/>
        <v/>
      </c>
      <c r="G451" s="21"/>
      <c r="H451" s="21" t="str">
        <f t="shared" si="19"/>
        <v/>
      </c>
      <c r="I451" s="22">
        <v>0</v>
      </c>
      <c r="J451" s="23" t="str">
        <f t="shared" si="20"/>
        <v/>
      </c>
    </row>
    <row r="452" spans="2:10" ht="16.8" customHeight="1" x14ac:dyDescent="0.35">
      <c r="B452" s="6" t="s">
        <v>1214</v>
      </c>
      <c r="C452" s="11"/>
      <c r="D452" s="11"/>
      <c r="E452" s="11" t="str">
        <f>IF(ISBLANK(C452),"",SUMIF('SAÍDA DE VENDAS'!$G$6:$G$500, C452, 'SAÍDA DE VENDAS'!$H$6:$H$500))</f>
        <v/>
      </c>
      <c r="F452" s="16" t="str">
        <f t="shared" si="18"/>
        <v/>
      </c>
      <c r="G452" s="17"/>
      <c r="H452" s="17" t="str">
        <f t="shared" si="19"/>
        <v/>
      </c>
      <c r="I452" s="22">
        <v>0</v>
      </c>
      <c r="J452" s="19" t="str">
        <f t="shared" si="20"/>
        <v/>
      </c>
    </row>
    <row r="453" spans="2:10" ht="16.8" customHeight="1" x14ac:dyDescent="0.35">
      <c r="B453" s="6" t="s">
        <v>1215</v>
      </c>
      <c r="C453" s="12"/>
      <c r="D453" s="12"/>
      <c r="E453" s="12" t="str">
        <f>IF(ISBLANK(C453),"",SUMIF('SAÍDA DE VENDAS'!$G$6:$G$500, C453, 'SAÍDA DE VENDAS'!$H$6:$H$500))</f>
        <v/>
      </c>
      <c r="F453" s="20" t="str">
        <f t="shared" si="18"/>
        <v/>
      </c>
      <c r="G453" s="21"/>
      <c r="H453" s="21" t="str">
        <f t="shared" si="19"/>
        <v/>
      </c>
      <c r="I453" s="22">
        <v>0</v>
      </c>
      <c r="J453" s="23" t="str">
        <f t="shared" si="20"/>
        <v/>
      </c>
    </row>
    <row r="454" spans="2:10" ht="16.8" customHeight="1" x14ac:dyDescent="0.35">
      <c r="B454" s="6" t="s">
        <v>1216</v>
      </c>
      <c r="C454" s="11"/>
      <c r="D454" s="11"/>
      <c r="E454" s="11" t="str">
        <f>IF(ISBLANK(C454),"",SUMIF('SAÍDA DE VENDAS'!$G$6:$G$500, C454, 'SAÍDA DE VENDAS'!$H$6:$H$500))</f>
        <v/>
      </c>
      <c r="F454" s="16" t="str">
        <f t="shared" ref="F454:F500" si="21">IF(ISBLANK(C454),"", D454-E454)</f>
        <v/>
      </c>
      <c r="G454" s="17"/>
      <c r="H454" s="17" t="str">
        <f t="shared" ref="H454:H500" si="22">IF(OR(ISBLANK(F454),ISBLANK(G454)), "", F454*G454)</f>
        <v/>
      </c>
      <c r="I454" s="22">
        <v>0</v>
      </c>
      <c r="J454" s="19" t="str">
        <f t="shared" ref="J454:J500" si="23">IF(OR(ISBLANK(G454),ISBLANK(I454)), "", G454*(1+I454))</f>
        <v/>
      </c>
    </row>
    <row r="455" spans="2:10" ht="16.8" customHeight="1" x14ac:dyDescent="0.35">
      <c r="B455" s="6" t="s">
        <v>1217</v>
      </c>
      <c r="C455" s="12"/>
      <c r="D455" s="12"/>
      <c r="E455" s="12" t="str">
        <f>IF(ISBLANK(C455),"",SUMIF('SAÍDA DE VENDAS'!$G$6:$G$500, C455, 'SAÍDA DE VENDAS'!$H$6:$H$500))</f>
        <v/>
      </c>
      <c r="F455" s="20" t="str">
        <f t="shared" si="21"/>
        <v/>
      </c>
      <c r="G455" s="21"/>
      <c r="H455" s="21" t="str">
        <f t="shared" si="22"/>
        <v/>
      </c>
      <c r="I455" s="22">
        <v>0</v>
      </c>
      <c r="J455" s="23" t="str">
        <f t="shared" si="23"/>
        <v/>
      </c>
    </row>
    <row r="456" spans="2:10" ht="16.8" customHeight="1" x14ac:dyDescent="0.35">
      <c r="B456" s="6" t="s">
        <v>1218</v>
      </c>
      <c r="C456" s="11"/>
      <c r="D456" s="11"/>
      <c r="E456" s="11" t="str">
        <f>IF(ISBLANK(C456),"",SUMIF('SAÍDA DE VENDAS'!$G$6:$G$500, C456, 'SAÍDA DE VENDAS'!$H$6:$H$500))</f>
        <v/>
      </c>
      <c r="F456" s="16" t="str">
        <f t="shared" si="21"/>
        <v/>
      </c>
      <c r="G456" s="17"/>
      <c r="H456" s="17" t="str">
        <f t="shared" si="22"/>
        <v/>
      </c>
      <c r="I456" s="22">
        <v>0</v>
      </c>
      <c r="J456" s="19" t="str">
        <f t="shared" si="23"/>
        <v/>
      </c>
    </row>
    <row r="457" spans="2:10" ht="16.8" customHeight="1" x14ac:dyDescent="0.35">
      <c r="B457" s="6" t="s">
        <v>1219</v>
      </c>
      <c r="C457" s="12"/>
      <c r="D457" s="12"/>
      <c r="E457" s="12" t="str">
        <f>IF(ISBLANK(C457),"",SUMIF('SAÍDA DE VENDAS'!$G$6:$G$500, C457, 'SAÍDA DE VENDAS'!$H$6:$H$500))</f>
        <v/>
      </c>
      <c r="F457" s="20" t="str">
        <f t="shared" si="21"/>
        <v/>
      </c>
      <c r="G457" s="21"/>
      <c r="H457" s="21" t="str">
        <f t="shared" si="22"/>
        <v/>
      </c>
      <c r="I457" s="22">
        <v>0</v>
      </c>
      <c r="J457" s="23" t="str">
        <f t="shared" si="23"/>
        <v/>
      </c>
    </row>
    <row r="458" spans="2:10" ht="16.8" customHeight="1" x14ac:dyDescent="0.35">
      <c r="B458" s="6" t="s">
        <v>1220</v>
      </c>
      <c r="C458" s="11"/>
      <c r="D458" s="11"/>
      <c r="E458" s="11" t="str">
        <f>IF(ISBLANK(C458),"",SUMIF('SAÍDA DE VENDAS'!$G$6:$G$500, C458, 'SAÍDA DE VENDAS'!$H$6:$H$500))</f>
        <v/>
      </c>
      <c r="F458" s="16" t="str">
        <f t="shared" si="21"/>
        <v/>
      </c>
      <c r="G458" s="17"/>
      <c r="H458" s="17" t="str">
        <f t="shared" si="22"/>
        <v/>
      </c>
      <c r="I458" s="22">
        <v>0</v>
      </c>
      <c r="J458" s="19" t="str">
        <f t="shared" si="23"/>
        <v/>
      </c>
    </row>
    <row r="459" spans="2:10" ht="16.8" customHeight="1" x14ac:dyDescent="0.35">
      <c r="B459" s="6" t="s">
        <v>1221</v>
      </c>
      <c r="C459" s="12"/>
      <c r="D459" s="12"/>
      <c r="E459" s="12" t="str">
        <f>IF(ISBLANK(C459),"",SUMIF('SAÍDA DE VENDAS'!$G$6:$G$500, C459, 'SAÍDA DE VENDAS'!$H$6:$H$500))</f>
        <v/>
      </c>
      <c r="F459" s="20" t="str">
        <f t="shared" si="21"/>
        <v/>
      </c>
      <c r="G459" s="21"/>
      <c r="H459" s="21" t="str">
        <f t="shared" si="22"/>
        <v/>
      </c>
      <c r="I459" s="22">
        <v>0</v>
      </c>
      <c r="J459" s="23" t="str">
        <f t="shared" si="23"/>
        <v/>
      </c>
    </row>
    <row r="460" spans="2:10" ht="16.8" customHeight="1" x14ac:dyDescent="0.35">
      <c r="B460" s="6" t="s">
        <v>1222</v>
      </c>
      <c r="C460" s="11"/>
      <c r="D460" s="11"/>
      <c r="E460" s="11" t="str">
        <f>IF(ISBLANK(C460),"",SUMIF('SAÍDA DE VENDAS'!$G$6:$G$500, C460, 'SAÍDA DE VENDAS'!$H$6:$H$500))</f>
        <v/>
      </c>
      <c r="F460" s="16" t="str">
        <f t="shared" si="21"/>
        <v/>
      </c>
      <c r="G460" s="17"/>
      <c r="H460" s="17" t="str">
        <f t="shared" si="22"/>
        <v/>
      </c>
      <c r="I460" s="22">
        <v>0</v>
      </c>
      <c r="J460" s="19" t="str">
        <f t="shared" si="23"/>
        <v/>
      </c>
    </row>
    <row r="461" spans="2:10" ht="16.8" customHeight="1" x14ac:dyDescent="0.35">
      <c r="B461" s="6" t="s">
        <v>1223</v>
      </c>
      <c r="C461" s="12"/>
      <c r="D461" s="12"/>
      <c r="E461" s="12" t="str">
        <f>IF(ISBLANK(C461),"",SUMIF('SAÍDA DE VENDAS'!$G$6:$G$500, C461, 'SAÍDA DE VENDAS'!$H$6:$H$500))</f>
        <v/>
      </c>
      <c r="F461" s="20" t="str">
        <f t="shared" si="21"/>
        <v/>
      </c>
      <c r="G461" s="21"/>
      <c r="H461" s="21" t="str">
        <f t="shared" si="22"/>
        <v/>
      </c>
      <c r="I461" s="22">
        <v>0</v>
      </c>
      <c r="J461" s="23" t="str">
        <f t="shared" si="23"/>
        <v/>
      </c>
    </row>
    <row r="462" spans="2:10" ht="16.8" customHeight="1" x14ac:dyDescent="0.35">
      <c r="B462" s="6" t="s">
        <v>1224</v>
      </c>
      <c r="C462" s="11"/>
      <c r="D462" s="11"/>
      <c r="E462" s="11" t="str">
        <f>IF(ISBLANK(C462),"",SUMIF('SAÍDA DE VENDAS'!$G$6:$G$500, C462, 'SAÍDA DE VENDAS'!$H$6:$H$500))</f>
        <v/>
      </c>
      <c r="F462" s="16" t="str">
        <f t="shared" si="21"/>
        <v/>
      </c>
      <c r="G462" s="17"/>
      <c r="H462" s="17" t="str">
        <f t="shared" si="22"/>
        <v/>
      </c>
      <c r="I462" s="22">
        <v>0</v>
      </c>
      <c r="J462" s="19" t="str">
        <f t="shared" si="23"/>
        <v/>
      </c>
    </row>
    <row r="463" spans="2:10" ht="16.8" customHeight="1" x14ac:dyDescent="0.35">
      <c r="B463" s="6" t="s">
        <v>1225</v>
      </c>
      <c r="C463" s="12"/>
      <c r="D463" s="12"/>
      <c r="E463" s="12" t="str">
        <f>IF(ISBLANK(C463),"",SUMIF('SAÍDA DE VENDAS'!$G$6:$G$500, C463, 'SAÍDA DE VENDAS'!$H$6:$H$500))</f>
        <v/>
      </c>
      <c r="F463" s="20" t="str">
        <f t="shared" si="21"/>
        <v/>
      </c>
      <c r="G463" s="21"/>
      <c r="H463" s="21" t="str">
        <f t="shared" si="22"/>
        <v/>
      </c>
      <c r="I463" s="22">
        <v>0</v>
      </c>
      <c r="J463" s="23" t="str">
        <f t="shared" si="23"/>
        <v/>
      </c>
    </row>
    <row r="464" spans="2:10" ht="16.8" customHeight="1" x14ac:dyDescent="0.35">
      <c r="B464" s="6" t="s">
        <v>1226</v>
      </c>
      <c r="C464" s="11"/>
      <c r="D464" s="11"/>
      <c r="E464" s="11" t="str">
        <f>IF(ISBLANK(C464),"",SUMIF('SAÍDA DE VENDAS'!$G$6:$G$500, C464, 'SAÍDA DE VENDAS'!$H$6:$H$500))</f>
        <v/>
      </c>
      <c r="F464" s="16" t="str">
        <f t="shared" si="21"/>
        <v/>
      </c>
      <c r="G464" s="17"/>
      <c r="H464" s="17" t="str">
        <f t="shared" si="22"/>
        <v/>
      </c>
      <c r="I464" s="22">
        <v>0</v>
      </c>
      <c r="J464" s="19" t="str">
        <f t="shared" si="23"/>
        <v/>
      </c>
    </row>
    <row r="465" spans="2:10" ht="16.8" customHeight="1" x14ac:dyDescent="0.35">
      <c r="B465" s="6" t="s">
        <v>1227</v>
      </c>
      <c r="C465" s="12"/>
      <c r="D465" s="12"/>
      <c r="E465" s="12" t="str">
        <f>IF(ISBLANK(C465),"",SUMIF('SAÍDA DE VENDAS'!$G$6:$G$500, C465, 'SAÍDA DE VENDAS'!$H$6:$H$500))</f>
        <v/>
      </c>
      <c r="F465" s="20" t="str">
        <f t="shared" si="21"/>
        <v/>
      </c>
      <c r="G465" s="21"/>
      <c r="H465" s="21" t="str">
        <f t="shared" si="22"/>
        <v/>
      </c>
      <c r="I465" s="22">
        <v>0</v>
      </c>
      <c r="J465" s="23" t="str">
        <f t="shared" si="23"/>
        <v/>
      </c>
    </row>
    <row r="466" spans="2:10" ht="16.8" customHeight="1" x14ac:dyDescent="0.35">
      <c r="B466" s="6" t="s">
        <v>1228</v>
      </c>
      <c r="C466" s="11"/>
      <c r="D466" s="11"/>
      <c r="E466" s="11" t="str">
        <f>IF(ISBLANK(C466),"",SUMIF('SAÍDA DE VENDAS'!$G$6:$G$500, C466, 'SAÍDA DE VENDAS'!$H$6:$H$500))</f>
        <v/>
      </c>
      <c r="F466" s="16" t="str">
        <f t="shared" si="21"/>
        <v/>
      </c>
      <c r="G466" s="17"/>
      <c r="H466" s="17" t="str">
        <f t="shared" si="22"/>
        <v/>
      </c>
      <c r="I466" s="22">
        <v>0</v>
      </c>
      <c r="J466" s="19" t="str">
        <f t="shared" si="23"/>
        <v/>
      </c>
    </row>
    <row r="467" spans="2:10" ht="16.8" customHeight="1" x14ac:dyDescent="0.35">
      <c r="B467" s="6" t="s">
        <v>1229</v>
      </c>
      <c r="C467" s="12"/>
      <c r="D467" s="12"/>
      <c r="E467" s="12" t="str">
        <f>IF(ISBLANK(C467),"",SUMIF('SAÍDA DE VENDAS'!$G$6:$G$500, C467, 'SAÍDA DE VENDAS'!$H$6:$H$500))</f>
        <v/>
      </c>
      <c r="F467" s="20" t="str">
        <f t="shared" si="21"/>
        <v/>
      </c>
      <c r="G467" s="21"/>
      <c r="H467" s="21" t="str">
        <f t="shared" si="22"/>
        <v/>
      </c>
      <c r="I467" s="22">
        <v>0</v>
      </c>
      <c r="J467" s="23" t="str">
        <f t="shared" si="23"/>
        <v/>
      </c>
    </row>
    <row r="468" spans="2:10" ht="16.8" customHeight="1" x14ac:dyDescent="0.35">
      <c r="B468" s="6" t="s">
        <v>1230</v>
      </c>
      <c r="C468" s="11"/>
      <c r="D468" s="11"/>
      <c r="E468" s="11" t="str">
        <f>IF(ISBLANK(C468),"",SUMIF('SAÍDA DE VENDAS'!$G$6:$G$500, C468, 'SAÍDA DE VENDAS'!$H$6:$H$500))</f>
        <v/>
      </c>
      <c r="F468" s="16" t="str">
        <f t="shared" si="21"/>
        <v/>
      </c>
      <c r="G468" s="17"/>
      <c r="H468" s="17" t="str">
        <f t="shared" si="22"/>
        <v/>
      </c>
      <c r="I468" s="22">
        <v>0</v>
      </c>
      <c r="J468" s="19" t="str">
        <f t="shared" si="23"/>
        <v/>
      </c>
    </row>
    <row r="469" spans="2:10" ht="16.8" customHeight="1" x14ac:dyDescent="0.35">
      <c r="B469" s="6" t="s">
        <v>1231</v>
      </c>
      <c r="C469" s="12"/>
      <c r="D469" s="12"/>
      <c r="E469" s="12" t="str">
        <f>IF(ISBLANK(C469),"",SUMIF('SAÍDA DE VENDAS'!$G$6:$G$500, C469, 'SAÍDA DE VENDAS'!$H$6:$H$500))</f>
        <v/>
      </c>
      <c r="F469" s="20" t="str">
        <f t="shared" si="21"/>
        <v/>
      </c>
      <c r="G469" s="21"/>
      <c r="H469" s="21" t="str">
        <f t="shared" si="22"/>
        <v/>
      </c>
      <c r="I469" s="22">
        <v>0</v>
      </c>
      <c r="J469" s="23" t="str">
        <f t="shared" si="23"/>
        <v/>
      </c>
    </row>
    <row r="470" spans="2:10" ht="16.8" customHeight="1" x14ac:dyDescent="0.35">
      <c r="B470" s="6" t="s">
        <v>1232</v>
      </c>
      <c r="C470" s="11"/>
      <c r="D470" s="11"/>
      <c r="E470" s="11" t="str">
        <f>IF(ISBLANK(C470),"",SUMIF('SAÍDA DE VENDAS'!$G$6:$G$500, C470, 'SAÍDA DE VENDAS'!$H$6:$H$500))</f>
        <v/>
      </c>
      <c r="F470" s="16" t="str">
        <f t="shared" si="21"/>
        <v/>
      </c>
      <c r="G470" s="17"/>
      <c r="H470" s="17" t="str">
        <f t="shared" si="22"/>
        <v/>
      </c>
      <c r="I470" s="22">
        <v>0</v>
      </c>
      <c r="J470" s="19" t="str">
        <f t="shared" si="23"/>
        <v/>
      </c>
    </row>
    <row r="471" spans="2:10" ht="16.8" customHeight="1" x14ac:dyDescent="0.35">
      <c r="B471" s="6" t="s">
        <v>1233</v>
      </c>
      <c r="C471" s="12"/>
      <c r="D471" s="12"/>
      <c r="E471" s="12" t="str">
        <f>IF(ISBLANK(C471),"",SUMIF('SAÍDA DE VENDAS'!$G$6:$G$500, C471, 'SAÍDA DE VENDAS'!$H$6:$H$500))</f>
        <v/>
      </c>
      <c r="F471" s="20" t="str">
        <f t="shared" si="21"/>
        <v/>
      </c>
      <c r="G471" s="21"/>
      <c r="H471" s="21" t="str">
        <f t="shared" si="22"/>
        <v/>
      </c>
      <c r="I471" s="22">
        <v>0</v>
      </c>
      <c r="J471" s="23" t="str">
        <f t="shared" si="23"/>
        <v/>
      </c>
    </row>
    <row r="472" spans="2:10" ht="16.8" customHeight="1" x14ac:dyDescent="0.35">
      <c r="B472" s="6" t="s">
        <v>1234</v>
      </c>
      <c r="C472" s="11"/>
      <c r="D472" s="11"/>
      <c r="E472" s="11" t="str">
        <f>IF(ISBLANK(C472),"",SUMIF('SAÍDA DE VENDAS'!$G$6:$G$500, C472, 'SAÍDA DE VENDAS'!$H$6:$H$500))</f>
        <v/>
      </c>
      <c r="F472" s="16" t="str">
        <f t="shared" si="21"/>
        <v/>
      </c>
      <c r="G472" s="17"/>
      <c r="H472" s="17" t="str">
        <f t="shared" si="22"/>
        <v/>
      </c>
      <c r="I472" s="22">
        <v>0</v>
      </c>
      <c r="J472" s="19" t="str">
        <f t="shared" si="23"/>
        <v/>
      </c>
    </row>
    <row r="473" spans="2:10" ht="16.8" customHeight="1" x14ac:dyDescent="0.35">
      <c r="B473" s="6" t="s">
        <v>1235</v>
      </c>
      <c r="C473" s="12"/>
      <c r="D473" s="12"/>
      <c r="E473" s="12" t="str">
        <f>IF(ISBLANK(C473),"",SUMIF('SAÍDA DE VENDAS'!$G$6:$G$500, C473, 'SAÍDA DE VENDAS'!$H$6:$H$500))</f>
        <v/>
      </c>
      <c r="F473" s="20" t="str">
        <f t="shared" si="21"/>
        <v/>
      </c>
      <c r="G473" s="21"/>
      <c r="H473" s="21" t="str">
        <f t="shared" si="22"/>
        <v/>
      </c>
      <c r="I473" s="22">
        <v>0</v>
      </c>
      <c r="J473" s="23" t="str">
        <f t="shared" si="23"/>
        <v/>
      </c>
    </row>
    <row r="474" spans="2:10" ht="16.8" customHeight="1" x14ac:dyDescent="0.35">
      <c r="B474" s="6" t="s">
        <v>1236</v>
      </c>
      <c r="C474" s="11"/>
      <c r="D474" s="11"/>
      <c r="E474" s="11" t="str">
        <f>IF(ISBLANK(C474),"",SUMIF('SAÍDA DE VENDAS'!$G$6:$G$500, C474, 'SAÍDA DE VENDAS'!$H$6:$H$500))</f>
        <v/>
      </c>
      <c r="F474" s="16" t="str">
        <f t="shared" si="21"/>
        <v/>
      </c>
      <c r="G474" s="17"/>
      <c r="H474" s="17" t="str">
        <f t="shared" si="22"/>
        <v/>
      </c>
      <c r="I474" s="22">
        <v>0</v>
      </c>
      <c r="J474" s="19" t="str">
        <f t="shared" si="23"/>
        <v/>
      </c>
    </row>
    <row r="475" spans="2:10" ht="16.8" customHeight="1" x14ac:dyDescent="0.35">
      <c r="B475" s="6" t="s">
        <v>1237</v>
      </c>
      <c r="C475" s="12"/>
      <c r="D475" s="12"/>
      <c r="E475" s="12" t="str">
        <f>IF(ISBLANK(C475),"",SUMIF('SAÍDA DE VENDAS'!$G$6:$G$500, C475, 'SAÍDA DE VENDAS'!$H$6:$H$500))</f>
        <v/>
      </c>
      <c r="F475" s="20" t="str">
        <f t="shared" si="21"/>
        <v/>
      </c>
      <c r="G475" s="21"/>
      <c r="H475" s="21" t="str">
        <f t="shared" si="22"/>
        <v/>
      </c>
      <c r="I475" s="22">
        <v>0</v>
      </c>
      <c r="J475" s="23" t="str">
        <f t="shared" si="23"/>
        <v/>
      </c>
    </row>
    <row r="476" spans="2:10" ht="16.8" customHeight="1" x14ac:dyDescent="0.35">
      <c r="B476" s="6" t="s">
        <v>1238</v>
      </c>
      <c r="C476" s="11"/>
      <c r="D476" s="11"/>
      <c r="E476" s="11" t="str">
        <f>IF(ISBLANK(C476),"",SUMIF('SAÍDA DE VENDAS'!$G$6:$G$500, C476, 'SAÍDA DE VENDAS'!$H$6:$H$500))</f>
        <v/>
      </c>
      <c r="F476" s="16" t="str">
        <f t="shared" si="21"/>
        <v/>
      </c>
      <c r="G476" s="17"/>
      <c r="H476" s="17" t="str">
        <f t="shared" si="22"/>
        <v/>
      </c>
      <c r="I476" s="22">
        <v>0</v>
      </c>
      <c r="J476" s="19" t="str">
        <f t="shared" si="23"/>
        <v/>
      </c>
    </row>
    <row r="477" spans="2:10" ht="16.8" customHeight="1" x14ac:dyDescent="0.35">
      <c r="B477" s="6" t="s">
        <v>1239</v>
      </c>
      <c r="C477" s="12"/>
      <c r="D477" s="12"/>
      <c r="E477" s="12" t="str">
        <f>IF(ISBLANK(C477),"",SUMIF('SAÍDA DE VENDAS'!$G$6:$G$500, C477, 'SAÍDA DE VENDAS'!$H$6:$H$500))</f>
        <v/>
      </c>
      <c r="F477" s="20" t="str">
        <f t="shared" si="21"/>
        <v/>
      </c>
      <c r="G477" s="21"/>
      <c r="H477" s="21" t="str">
        <f t="shared" si="22"/>
        <v/>
      </c>
      <c r="I477" s="22">
        <v>0</v>
      </c>
      <c r="J477" s="23" t="str">
        <f t="shared" si="23"/>
        <v/>
      </c>
    </row>
    <row r="478" spans="2:10" ht="16.8" customHeight="1" x14ac:dyDescent="0.35">
      <c r="B478" s="6" t="s">
        <v>1240</v>
      </c>
      <c r="C478" s="11"/>
      <c r="D478" s="11"/>
      <c r="E478" s="11" t="str">
        <f>IF(ISBLANK(C478),"",SUMIF('SAÍDA DE VENDAS'!$G$6:$G$500, C478, 'SAÍDA DE VENDAS'!$H$6:$H$500))</f>
        <v/>
      </c>
      <c r="F478" s="16" t="str">
        <f t="shared" si="21"/>
        <v/>
      </c>
      <c r="G478" s="17"/>
      <c r="H478" s="17" t="str">
        <f t="shared" si="22"/>
        <v/>
      </c>
      <c r="I478" s="22">
        <v>0</v>
      </c>
      <c r="J478" s="19" t="str">
        <f t="shared" si="23"/>
        <v/>
      </c>
    </row>
    <row r="479" spans="2:10" ht="16.8" customHeight="1" x14ac:dyDescent="0.35">
      <c r="B479" s="6" t="s">
        <v>1241</v>
      </c>
      <c r="C479" s="12"/>
      <c r="D479" s="12"/>
      <c r="E479" s="12" t="str">
        <f>IF(ISBLANK(C479),"",SUMIF('SAÍDA DE VENDAS'!$G$6:$G$500, C479, 'SAÍDA DE VENDAS'!$H$6:$H$500))</f>
        <v/>
      </c>
      <c r="F479" s="20" t="str">
        <f t="shared" si="21"/>
        <v/>
      </c>
      <c r="G479" s="21"/>
      <c r="H479" s="21" t="str">
        <f t="shared" si="22"/>
        <v/>
      </c>
      <c r="I479" s="22">
        <v>0</v>
      </c>
      <c r="J479" s="23" t="str">
        <f t="shared" si="23"/>
        <v/>
      </c>
    </row>
    <row r="480" spans="2:10" ht="16.8" customHeight="1" x14ac:dyDescent="0.35">
      <c r="B480" s="6" t="s">
        <v>1242</v>
      </c>
      <c r="C480" s="11"/>
      <c r="D480" s="11"/>
      <c r="E480" s="11" t="str">
        <f>IF(ISBLANK(C480),"",SUMIF('SAÍDA DE VENDAS'!$G$6:$G$500, C480, 'SAÍDA DE VENDAS'!$H$6:$H$500))</f>
        <v/>
      </c>
      <c r="F480" s="16" t="str">
        <f t="shared" si="21"/>
        <v/>
      </c>
      <c r="G480" s="17"/>
      <c r="H480" s="17" t="str">
        <f t="shared" si="22"/>
        <v/>
      </c>
      <c r="I480" s="22">
        <v>0</v>
      </c>
      <c r="J480" s="19" t="str">
        <f t="shared" si="23"/>
        <v/>
      </c>
    </row>
    <row r="481" spans="2:10" ht="16.8" customHeight="1" x14ac:dyDescent="0.35">
      <c r="B481" s="6" t="s">
        <v>1243</v>
      </c>
      <c r="C481" s="12"/>
      <c r="D481" s="12"/>
      <c r="E481" s="12" t="str">
        <f>IF(ISBLANK(C481),"",SUMIF('SAÍDA DE VENDAS'!$G$6:$G$500, C481, 'SAÍDA DE VENDAS'!$H$6:$H$500))</f>
        <v/>
      </c>
      <c r="F481" s="20" t="str">
        <f t="shared" si="21"/>
        <v/>
      </c>
      <c r="G481" s="21"/>
      <c r="H481" s="21" t="str">
        <f t="shared" si="22"/>
        <v/>
      </c>
      <c r="I481" s="22">
        <v>0</v>
      </c>
      <c r="J481" s="23" t="str">
        <f t="shared" si="23"/>
        <v/>
      </c>
    </row>
    <row r="482" spans="2:10" ht="16.8" customHeight="1" x14ac:dyDescent="0.35">
      <c r="B482" s="6" t="s">
        <v>1244</v>
      </c>
      <c r="C482" s="11"/>
      <c r="D482" s="11"/>
      <c r="E482" s="11" t="str">
        <f>IF(ISBLANK(C482),"",SUMIF('SAÍDA DE VENDAS'!$G$6:$G$500, C482, 'SAÍDA DE VENDAS'!$H$6:$H$500))</f>
        <v/>
      </c>
      <c r="F482" s="16" t="str">
        <f t="shared" si="21"/>
        <v/>
      </c>
      <c r="G482" s="17"/>
      <c r="H482" s="17" t="str">
        <f t="shared" si="22"/>
        <v/>
      </c>
      <c r="I482" s="22">
        <v>0</v>
      </c>
      <c r="J482" s="19" t="str">
        <f t="shared" si="23"/>
        <v/>
      </c>
    </row>
    <row r="483" spans="2:10" ht="16.8" customHeight="1" x14ac:dyDescent="0.35">
      <c r="B483" s="6" t="s">
        <v>1245</v>
      </c>
      <c r="C483" s="12"/>
      <c r="D483" s="12"/>
      <c r="E483" s="12" t="str">
        <f>IF(ISBLANK(C483),"",SUMIF('SAÍDA DE VENDAS'!$G$6:$G$500, C483, 'SAÍDA DE VENDAS'!$H$6:$H$500))</f>
        <v/>
      </c>
      <c r="F483" s="20" t="str">
        <f t="shared" si="21"/>
        <v/>
      </c>
      <c r="G483" s="21"/>
      <c r="H483" s="21" t="str">
        <f t="shared" si="22"/>
        <v/>
      </c>
      <c r="I483" s="22">
        <v>0</v>
      </c>
      <c r="J483" s="23" t="str">
        <f t="shared" si="23"/>
        <v/>
      </c>
    </row>
    <row r="484" spans="2:10" ht="16.8" customHeight="1" x14ac:dyDescent="0.35">
      <c r="B484" s="6" t="s">
        <v>1246</v>
      </c>
      <c r="C484" s="11"/>
      <c r="D484" s="11"/>
      <c r="E484" s="11" t="str">
        <f>IF(ISBLANK(C484),"",SUMIF('SAÍDA DE VENDAS'!$G$6:$G$500, C484, 'SAÍDA DE VENDAS'!$H$6:$H$500))</f>
        <v/>
      </c>
      <c r="F484" s="16" t="str">
        <f t="shared" si="21"/>
        <v/>
      </c>
      <c r="G484" s="17"/>
      <c r="H484" s="17" t="str">
        <f t="shared" si="22"/>
        <v/>
      </c>
      <c r="I484" s="22">
        <v>0</v>
      </c>
      <c r="J484" s="19" t="str">
        <f t="shared" si="23"/>
        <v/>
      </c>
    </row>
    <row r="485" spans="2:10" ht="16.8" customHeight="1" x14ac:dyDescent="0.35">
      <c r="B485" s="6" t="s">
        <v>1247</v>
      </c>
      <c r="C485" s="12"/>
      <c r="D485" s="12"/>
      <c r="E485" s="12" t="str">
        <f>IF(ISBLANK(C485),"",SUMIF('SAÍDA DE VENDAS'!$G$6:$G$500, C485, 'SAÍDA DE VENDAS'!$H$6:$H$500))</f>
        <v/>
      </c>
      <c r="F485" s="20" t="str">
        <f t="shared" si="21"/>
        <v/>
      </c>
      <c r="G485" s="21"/>
      <c r="H485" s="21" t="str">
        <f t="shared" si="22"/>
        <v/>
      </c>
      <c r="I485" s="22">
        <v>0</v>
      </c>
      <c r="J485" s="23" t="str">
        <f t="shared" si="23"/>
        <v/>
      </c>
    </row>
    <row r="486" spans="2:10" ht="16.8" customHeight="1" x14ac:dyDescent="0.35">
      <c r="B486" s="6" t="s">
        <v>1248</v>
      </c>
      <c r="C486" s="11"/>
      <c r="D486" s="11"/>
      <c r="E486" s="11" t="str">
        <f>IF(ISBLANK(C486),"",SUMIF('SAÍDA DE VENDAS'!$G$6:$G$500, C486, 'SAÍDA DE VENDAS'!$H$6:$H$500))</f>
        <v/>
      </c>
      <c r="F486" s="16" t="str">
        <f t="shared" si="21"/>
        <v/>
      </c>
      <c r="G486" s="17"/>
      <c r="H486" s="17" t="str">
        <f t="shared" si="22"/>
        <v/>
      </c>
      <c r="I486" s="22">
        <v>0</v>
      </c>
      <c r="J486" s="19" t="str">
        <f t="shared" si="23"/>
        <v/>
      </c>
    </row>
    <row r="487" spans="2:10" ht="16.8" customHeight="1" x14ac:dyDescent="0.35">
      <c r="B487" s="6" t="s">
        <v>1249</v>
      </c>
      <c r="C487" s="12"/>
      <c r="D487" s="12"/>
      <c r="E487" s="12" t="str">
        <f>IF(ISBLANK(C487),"",SUMIF('SAÍDA DE VENDAS'!$G$6:$G$500, C487, 'SAÍDA DE VENDAS'!$H$6:$H$500))</f>
        <v/>
      </c>
      <c r="F487" s="20" t="str">
        <f t="shared" si="21"/>
        <v/>
      </c>
      <c r="G487" s="21"/>
      <c r="H487" s="21" t="str">
        <f t="shared" si="22"/>
        <v/>
      </c>
      <c r="I487" s="22">
        <v>0</v>
      </c>
      <c r="J487" s="23" t="str">
        <f t="shared" si="23"/>
        <v/>
      </c>
    </row>
    <row r="488" spans="2:10" ht="16.8" customHeight="1" x14ac:dyDescent="0.35">
      <c r="B488" s="6" t="s">
        <v>1250</v>
      </c>
      <c r="C488" s="11"/>
      <c r="D488" s="11"/>
      <c r="E488" s="11" t="str">
        <f>IF(ISBLANK(C488),"",SUMIF('SAÍDA DE VENDAS'!$G$6:$G$500, C488, 'SAÍDA DE VENDAS'!$H$6:$H$500))</f>
        <v/>
      </c>
      <c r="F488" s="16" t="str">
        <f t="shared" si="21"/>
        <v/>
      </c>
      <c r="G488" s="17"/>
      <c r="H488" s="17" t="str">
        <f t="shared" si="22"/>
        <v/>
      </c>
      <c r="I488" s="22">
        <v>0</v>
      </c>
      <c r="J488" s="19" t="str">
        <f t="shared" si="23"/>
        <v/>
      </c>
    </row>
    <row r="489" spans="2:10" ht="16.8" customHeight="1" x14ac:dyDescent="0.35">
      <c r="B489" s="6" t="s">
        <v>1251</v>
      </c>
      <c r="C489" s="12"/>
      <c r="D489" s="12"/>
      <c r="E489" s="12" t="str">
        <f>IF(ISBLANK(C489),"",SUMIF('SAÍDA DE VENDAS'!$G$6:$G$500, C489, 'SAÍDA DE VENDAS'!$H$6:$H$500))</f>
        <v/>
      </c>
      <c r="F489" s="20" t="str">
        <f t="shared" si="21"/>
        <v/>
      </c>
      <c r="G489" s="21"/>
      <c r="H489" s="21" t="str">
        <f t="shared" si="22"/>
        <v/>
      </c>
      <c r="I489" s="22">
        <v>0</v>
      </c>
      <c r="J489" s="23" t="str">
        <f t="shared" si="23"/>
        <v/>
      </c>
    </row>
    <row r="490" spans="2:10" ht="16.8" customHeight="1" x14ac:dyDescent="0.35">
      <c r="B490" s="6" t="s">
        <v>1252</v>
      </c>
      <c r="C490" s="11"/>
      <c r="D490" s="11"/>
      <c r="E490" s="11" t="str">
        <f>IF(ISBLANK(C490),"",SUMIF('SAÍDA DE VENDAS'!$G$6:$G$500, C490, 'SAÍDA DE VENDAS'!$H$6:$H$500))</f>
        <v/>
      </c>
      <c r="F490" s="16" t="str">
        <f t="shared" si="21"/>
        <v/>
      </c>
      <c r="G490" s="17"/>
      <c r="H490" s="17" t="str">
        <f t="shared" si="22"/>
        <v/>
      </c>
      <c r="I490" s="22">
        <v>0</v>
      </c>
      <c r="J490" s="19" t="str">
        <f t="shared" si="23"/>
        <v/>
      </c>
    </row>
    <row r="491" spans="2:10" ht="16.8" customHeight="1" x14ac:dyDescent="0.35">
      <c r="B491" s="6" t="s">
        <v>1253</v>
      </c>
      <c r="C491" s="12"/>
      <c r="D491" s="12"/>
      <c r="E491" s="12" t="str">
        <f>IF(ISBLANK(C491),"",SUMIF('SAÍDA DE VENDAS'!$G$6:$G$500, C491, 'SAÍDA DE VENDAS'!$H$6:$H$500))</f>
        <v/>
      </c>
      <c r="F491" s="20" t="str">
        <f t="shared" si="21"/>
        <v/>
      </c>
      <c r="G491" s="21"/>
      <c r="H491" s="21" t="str">
        <f t="shared" si="22"/>
        <v/>
      </c>
      <c r="I491" s="22">
        <v>0</v>
      </c>
      <c r="J491" s="23" t="str">
        <f t="shared" si="23"/>
        <v/>
      </c>
    </row>
    <row r="492" spans="2:10" ht="16.8" customHeight="1" x14ac:dyDescent="0.35">
      <c r="B492" s="6" t="s">
        <v>1254</v>
      </c>
      <c r="C492" s="11"/>
      <c r="D492" s="11"/>
      <c r="E492" s="11" t="str">
        <f>IF(ISBLANK(C492),"",SUMIF('SAÍDA DE VENDAS'!$G$6:$G$500, C492, 'SAÍDA DE VENDAS'!$H$6:$H$500))</f>
        <v/>
      </c>
      <c r="F492" s="16" t="str">
        <f t="shared" si="21"/>
        <v/>
      </c>
      <c r="G492" s="17"/>
      <c r="H492" s="17" t="str">
        <f t="shared" si="22"/>
        <v/>
      </c>
      <c r="I492" s="22">
        <v>0</v>
      </c>
      <c r="J492" s="19" t="str">
        <f t="shared" si="23"/>
        <v/>
      </c>
    </row>
    <row r="493" spans="2:10" ht="16.8" customHeight="1" x14ac:dyDescent="0.35">
      <c r="B493" s="6" t="s">
        <v>1255</v>
      </c>
      <c r="C493" s="12"/>
      <c r="D493" s="12"/>
      <c r="E493" s="12" t="str">
        <f>IF(ISBLANK(C493),"",SUMIF('SAÍDA DE VENDAS'!$G$6:$G$500, C493, 'SAÍDA DE VENDAS'!$H$6:$H$500))</f>
        <v/>
      </c>
      <c r="F493" s="20" t="str">
        <f t="shared" si="21"/>
        <v/>
      </c>
      <c r="G493" s="21"/>
      <c r="H493" s="21" t="str">
        <f t="shared" si="22"/>
        <v/>
      </c>
      <c r="I493" s="22">
        <v>0</v>
      </c>
      <c r="J493" s="23" t="str">
        <f t="shared" si="23"/>
        <v/>
      </c>
    </row>
    <row r="494" spans="2:10" ht="16.8" customHeight="1" x14ac:dyDescent="0.35">
      <c r="B494" s="6" t="s">
        <v>1256</v>
      </c>
      <c r="C494" s="11"/>
      <c r="D494" s="11"/>
      <c r="E494" s="11" t="str">
        <f>IF(ISBLANK(C494),"",SUMIF('SAÍDA DE VENDAS'!$G$6:$G$500, C494, 'SAÍDA DE VENDAS'!$H$6:$H$500))</f>
        <v/>
      </c>
      <c r="F494" s="16" t="str">
        <f t="shared" si="21"/>
        <v/>
      </c>
      <c r="G494" s="17"/>
      <c r="H494" s="17" t="str">
        <f t="shared" si="22"/>
        <v/>
      </c>
      <c r="I494" s="22">
        <v>0</v>
      </c>
      <c r="J494" s="19" t="str">
        <f t="shared" si="23"/>
        <v/>
      </c>
    </row>
    <row r="495" spans="2:10" ht="16.8" customHeight="1" x14ac:dyDescent="0.35">
      <c r="B495" s="6" t="s">
        <v>1257</v>
      </c>
      <c r="C495" s="12"/>
      <c r="D495" s="12"/>
      <c r="E495" s="12" t="str">
        <f>IF(ISBLANK(C495),"",SUMIF('SAÍDA DE VENDAS'!$G$6:$G$500, C495, 'SAÍDA DE VENDAS'!$H$6:$H$500))</f>
        <v/>
      </c>
      <c r="F495" s="20" t="str">
        <f t="shared" si="21"/>
        <v/>
      </c>
      <c r="G495" s="21"/>
      <c r="H495" s="21" t="str">
        <f t="shared" si="22"/>
        <v/>
      </c>
      <c r="I495" s="22">
        <v>0</v>
      </c>
      <c r="J495" s="23" t="str">
        <f t="shared" si="23"/>
        <v/>
      </c>
    </row>
    <row r="496" spans="2:10" ht="16.8" customHeight="1" x14ac:dyDescent="0.35">
      <c r="B496" s="6" t="s">
        <v>1258</v>
      </c>
      <c r="C496" s="11"/>
      <c r="D496" s="11"/>
      <c r="E496" s="11" t="str">
        <f>IF(ISBLANK(C496),"",SUMIF('SAÍDA DE VENDAS'!$G$6:$G$500, C496, 'SAÍDA DE VENDAS'!$H$6:$H$500))</f>
        <v/>
      </c>
      <c r="F496" s="16" t="str">
        <f t="shared" si="21"/>
        <v/>
      </c>
      <c r="G496" s="17"/>
      <c r="H496" s="17" t="str">
        <f t="shared" si="22"/>
        <v/>
      </c>
      <c r="I496" s="22">
        <v>0</v>
      </c>
      <c r="J496" s="19" t="str">
        <f t="shared" si="23"/>
        <v/>
      </c>
    </row>
    <row r="497" spans="2:10" ht="16.8" customHeight="1" x14ac:dyDescent="0.35">
      <c r="B497" s="6" t="s">
        <v>1259</v>
      </c>
      <c r="C497" s="12"/>
      <c r="D497" s="12"/>
      <c r="E497" s="12" t="str">
        <f>IF(ISBLANK(C497),"",SUMIF('SAÍDA DE VENDAS'!$G$6:$G$500, C497, 'SAÍDA DE VENDAS'!$H$6:$H$500))</f>
        <v/>
      </c>
      <c r="F497" s="20" t="str">
        <f t="shared" si="21"/>
        <v/>
      </c>
      <c r="G497" s="21"/>
      <c r="H497" s="21" t="str">
        <f t="shared" si="22"/>
        <v/>
      </c>
      <c r="I497" s="22">
        <v>0</v>
      </c>
      <c r="J497" s="23" t="str">
        <f t="shared" si="23"/>
        <v/>
      </c>
    </row>
    <row r="498" spans="2:10" ht="16.8" customHeight="1" x14ac:dyDescent="0.35">
      <c r="B498" s="6" t="s">
        <v>1260</v>
      </c>
      <c r="C498" s="11"/>
      <c r="D498" s="11"/>
      <c r="E498" s="11" t="str">
        <f>IF(ISBLANK(C498),"",SUMIF('SAÍDA DE VENDAS'!$G$6:$G$500, C498, 'SAÍDA DE VENDAS'!$H$6:$H$500))</f>
        <v/>
      </c>
      <c r="F498" s="16" t="str">
        <f t="shared" si="21"/>
        <v/>
      </c>
      <c r="G498" s="17"/>
      <c r="H498" s="17" t="str">
        <f t="shared" si="22"/>
        <v/>
      </c>
      <c r="I498" s="22">
        <v>0</v>
      </c>
      <c r="J498" s="19" t="str">
        <f t="shared" si="23"/>
        <v/>
      </c>
    </row>
    <row r="499" spans="2:10" ht="16.8" customHeight="1" x14ac:dyDescent="0.35">
      <c r="B499" s="6" t="s">
        <v>1261</v>
      </c>
      <c r="C499" s="12"/>
      <c r="D499" s="12"/>
      <c r="E499" s="12" t="str">
        <f>IF(ISBLANK(C499),"",SUMIF('SAÍDA DE VENDAS'!$G$6:$G$500, C499, 'SAÍDA DE VENDAS'!$H$6:$H$500))</f>
        <v/>
      </c>
      <c r="F499" s="20" t="str">
        <f t="shared" si="21"/>
        <v/>
      </c>
      <c r="G499" s="21"/>
      <c r="H499" s="21" t="str">
        <f t="shared" si="22"/>
        <v/>
      </c>
      <c r="I499" s="22">
        <v>0</v>
      </c>
      <c r="J499" s="23" t="str">
        <f t="shared" si="23"/>
        <v/>
      </c>
    </row>
    <row r="500" spans="2:10" ht="16.8" customHeight="1" x14ac:dyDescent="0.35">
      <c r="B500" s="6" t="s">
        <v>1262</v>
      </c>
      <c r="C500" s="11"/>
      <c r="D500" s="11"/>
      <c r="E500" s="11" t="str">
        <f>IF(ISBLANK(C500),"",SUMIF('SAÍDA DE VENDAS'!$G$6:$G$500, C500, 'SAÍDA DE VENDAS'!$H$6:$H$500))</f>
        <v/>
      </c>
      <c r="F500" s="16" t="str">
        <f t="shared" si="21"/>
        <v/>
      </c>
      <c r="G500" s="17"/>
      <c r="H500" s="17" t="str">
        <f t="shared" si="22"/>
        <v/>
      </c>
      <c r="I500" s="22">
        <v>0</v>
      </c>
      <c r="J500" s="19" t="str">
        <f t="shared" si="23"/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500"/>
  <sheetViews>
    <sheetView workbookViewId="0">
      <selection activeCell="D31" sqref="D31"/>
    </sheetView>
  </sheetViews>
  <sheetFormatPr defaultRowHeight="14.4" x14ac:dyDescent="0.3"/>
  <cols>
    <col min="1" max="2" width="15" customWidth="1"/>
    <col min="3" max="3" width="28" customWidth="1"/>
    <col min="4" max="4" width="21" customWidth="1"/>
    <col min="5" max="5" width="23" customWidth="1"/>
    <col min="6" max="6" width="24" customWidth="1"/>
  </cols>
  <sheetData>
    <row r="2" spans="2:6" ht="24.6" customHeight="1" x14ac:dyDescent="0.55000000000000004">
      <c r="B2" s="1" t="s">
        <v>1263</v>
      </c>
    </row>
    <row r="3" spans="2:6" ht="15" customHeight="1" x14ac:dyDescent="0.35">
      <c r="B3" s="2" t="s">
        <v>1264</v>
      </c>
    </row>
    <row r="5" spans="2:6" ht="16.8" customHeight="1" x14ac:dyDescent="0.3">
      <c r="B5" s="5" t="s">
        <v>1265</v>
      </c>
      <c r="C5" s="5" t="s">
        <v>1266</v>
      </c>
      <c r="D5" s="5" t="s">
        <v>1267</v>
      </c>
      <c r="E5" s="5" t="s">
        <v>1268</v>
      </c>
      <c r="F5" s="5" t="s">
        <v>1269</v>
      </c>
    </row>
    <row r="6" spans="2:6" ht="15" customHeight="1" x14ac:dyDescent="0.35">
      <c r="B6" s="6" t="s">
        <v>1270</v>
      </c>
      <c r="C6" s="12" t="s">
        <v>20</v>
      </c>
      <c r="D6" s="11"/>
      <c r="E6" s="12" t="s">
        <v>1271</v>
      </c>
      <c r="F6" s="11"/>
    </row>
    <row r="7" spans="2:6" ht="15" customHeight="1" x14ac:dyDescent="0.35">
      <c r="B7" s="8" t="s">
        <v>1272</v>
      </c>
      <c r="C7" s="12" t="s">
        <v>24</v>
      </c>
      <c r="D7" s="12"/>
      <c r="E7" s="12" t="s">
        <v>1273</v>
      </c>
      <c r="F7" s="12"/>
    </row>
    <row r="8" spans="2:6" ht="15" customHeight="1" x14ac:dyDescent="0.35">
      <c r="B8" s="6" t="s">
        <v>1274</v>
      </c>
      <c r="C8" s="11" t="s">
        <v>27</v>
      </c>
      <c r="D8" s="11"/>
      <c r="E8" s="11" t="s">
        <v>1275</v>
      </c>
      <c r="F8" s="11"/>
    </row>
    <row r="9" spans="2:6" ht="15" customHeight="1" x14ac:dyDescent="0.35">
      <c r="B9" s="8" t="s">
        <v>1276</v>
      </c>
      <c r="C9" s="12" t="s">
        <v>30</v>
      </c>
      <c r="D9" s="12"/>
      <c r="E9" s="12" t="s">
        <v>1277</v>
      </c>
      <c r="F9" s="12"/>
    </row>
    <row r="10" spans="2:6" ht="15" customHeight="1" x14ac:dyDescent="0.35">
      <c r="B10" s="6" t="s">
        <v>1278</v>
      </c>
      <c r="C10" s="25" t="s">
        <v>35</v>
      </c>
      <c r="D10" s="11"/>
      <c r="E10" s="25" t="s">
        <v>1279</v>
      </c>
      <c r="F10" s="11"/>
    </row>
    <row r="11" spans="2:6" ht="15" customHeight="1" x14ac:dyDescent="0.35">
      <c r="B11" s="8" t="s">
        <v>1280</v>
      </c>
      <c r="C11" s="24" t="s">
        <v>37</v>
      </c>
      <c r="D11" s="12"/>
      <c r="E11" s="12"/>
      <c r="F11" s="12"/>
    </row>
    <row r="12" spans="2:6" ht="15" customHeight="1" x14ac:dyDescent="0.35">
      <c r="B12" s="8" t="s">
        <v>1281</v>
      </c>
      <c r="C12" s="25" t="s">
        <v>40</v>
      </c>
      <c r="D12" s="11"/>
      <c r="E12" s="11"/>
      <c r="F12" s="11"/>
    </row>
    <row r="13" spans="2:6" ht="15" customHeight="1" x14ac:dyDescent="0.35">
      <c r="B13" s="8" t="s">
        <v>1282</v>
      </c>
      <c r="C13" s="24" t="s">
        <v>43</v>
      </c>
      <c r="D13" s="12"/>
      <c r="E13" s="12"/>
      <c r="F13" s="12"/>
    </row>
    <row r="14" spans="2:6" ht="15" customHeight="1" x14ac:dyDescent="0.35">
      <c r="B14" s="8" t="s">
        <v>1283</v>
      </c>
      <c r="C14" s="25" t="s">
        <v>49</v>
      </c>
      <c r="D14" s="11"/>
      <c r="E14" s="11"/>
      <c r="F14" s="11"/>
    </row>
    <row r="15" spans="2:6" ht="15" customHeight="1" x14ac:dyDescent="0.35">
      <c r="B15" s="8" t="s">
        <v>1284</v>
      </c>
      <c r="C15" s="12" t="s">
        <v>1326</v>
      </c>
      <c r="D15" s="12"/>
      <c r="E15" s="12"/>
      <c r="F15" s="12"/>
    </row>
    <row r="16" spans="2:6" ht="15" customHeight="1" x14ac:dyDescent="0.35">
      <c r="B16" s="8" t="s">
        <v>1285</v>
      </c>
      <c r="C16" s="11" t="s">
        <v>1327</v>
      </c>
      <c r="D16" s="11"/>
      <c r="E16" s="11"/>
      <c r="F16" s="11"/>
    </row>
    <row r="17" spans="2:6" ht="15" customHeight="1" x14ac:dyDescent="0.35">
      <c r="B17" s="8" t="s">
        <v>1286</v>
      </c>
      <c r="C17" s="12" t="s">
        <v>1328</v>
      </c>
      <c r="D17" s="12"/>
      <c r="E17" s="12"/>
      <c r="F17" s="12"/>
    </row>
    <row r="18" spans="2:6" ht="15" customHeight="1" x14ac:dyDescent="0.35">
      <c r="B18" s="8" t="s">
        <v>1287</v>
      </c>
      <c r="C18" s="25" t="s">
        <v>1329</v>
      </c>
      <c r="D18" s="11"/>
      <c r="E18" s="11"/>
      <c r="F18" s="11"/>
    </row>
    <row r="19" spans="2:6" ht="15" customHeight="1" x14ac:dyDescent="0.35">
      <c r="B19" s="8" t="s">
        <v>1288</v>
      </c>
      <c r="C19" s="24" t="s">
        <v>1330</v>
      </c>
      <c r="D19" s="12"/>
      <c r="E19" s="12"/>
      <c r="F19" s="12"/>
    </row>
    <row r="20" spans="2:6" ht="15" customHeight="1" x14ac:dyDescent="0.35">
      <c r="B20" s="8" t="s">
        <v>1289</v>
      </c>
      <c r="C20" s="25" t="s">
        <v>1331</v>
      </c>
      <c r="D20" s="11"/>
      <c r="E20" s="11"/>
      <c r="F20" s="11"/>
    </row>
    <row r="21" spans="2:6" ht="15" customHeight="1" x14ac:dyDescent="0.35">
      <c r="B21" s="8" t="s">
        <v>1290</v>
      </c>
      <c r="C21" s="24" t="s">
        <v>1332</v>
      </c>
      <c r="D21" s="12"/>
      <c r="E21" s="12"/>
      <c r="F21" s="12"/>
    </row>
    <row r="22" spans="2:6" ht="15" customHeight="1" x14ac:dyDescent="0.35">
      <c r="B22" s="8" t="s">
        <v>1291</v>
      </c>
      <c r="C22" s="7"/>
      <c r="D22" s="7"/>
      <c r="E22" s="7"/>
      <c r="F22" s="7"/>
    </row>
    <row r="23" spans="2:6" ht="15" customHeight="1" x14ac:dyDescent="0.35">
      <c r="B23" s="8" t="s">
        <v>1292</v>
      </c>
      <c r="C23" s="9"/>
      <c r="D23" s="9"/>
      <c r="E23" s="9"/>
      <c r="F23" s="9"/>
    </row>
    <row r="24" spans="2:6" ht="15" customHeight="1" x14ac:dyDescent="0.35">
      <c r="B24" s="8" t="s">
        <v>1293</v>
      </c>
      <c r="C24" s="7"/>
      <c r="D24" s="7"/>
      <c r="E24" s="7"/>
      <c r="F24" s="7"/>
    </row>
    <row r="25" spans="2:6" ht="15" customHeight="1" x14ac:dyDescent="0.35">
      <c r="B25" s="8" t="s">
        <v>1294</v>
      </c>
      <c r="C25" s="9"/>
      <c r="D25" s="9"/>
      <c r="E25" s="9"/>
      <c r="F25" s="9"/>
    </row>
    <row r="26" spans="2:6" ht="15" customHeight="1" x14ac:dyDescent="0.35">
      <c r="B26" s="8" t="s">
        <v>1295</v>
      </c>
      <c r="C26" s="7"/>
      <c r="D26" s="7"/>
      <c r="E26" s="7"/>
      <c r="F26" s="7"/>
    </row>
    <row r="27" spans="2:6" ht="15" customHeight="1" x14ac:dyDescent="0.35">
      <c r="B27" s="8" t="s">
        <v>1296</v>
      </c>
      <c r="C27" s="9"/>
      <c r="D27" s="9"/>
      <c r="E27" s="9"/>
      <c r="F27" s="9"/>
    </row>
    <row r="28" spans="2:6" ht="15" customHeight="1" x14ac:dyDescent="0.35">
      <c r="B28" s="8" t="s">
        <v>1297</v>
      </c>
      <c r="C28" s="7"/>
      <c r="D28" s="7"/>
      <c r="E28" s="7"/>
      <c r="F28" s="7"/>
    </row>
    <row r="29" spans="2:6" ht="15" customHeight="1" x14ac:dyDescent="0.35">
      <c r="B29" s="8" t="s">
        <v>1298</v>
      </c>
      <c r="C29" s="9"/>
      <c r="D29" s="9"/>
      <c r="E29" s="9"/>
      <c r="F29" s="9"/>
    </row>
    <row r="30" spans="2:6" ht="15" customHeight="1" x14ac:dyDescent="0.35">
      <c r="B30" s="8" t="s">
        <v>1299</v>
      </c>
      <c r="C30" s="7"/>
      <c r="D30" s="7"/>
      <c r="E30" s="7"/>
      <c r="F30" s="7"/>
    </row>
    <row r="31" spans="2:6" ht="15" customHeight="1" x14ac:dyDescent="0.35">
      <c r="B31" s="9"/>
      <c r="C31" s="9"/>
      <c r="D31" s="9"/>
      <c r="E31" s="9"/>
      <c r="F31" s="9"/>
    </row>
    <row r="32" spans="2:6" ht="15" customHeight="1" x14ac:dyDescent="0.35">
      <c r="B32" s="7"/>
      <c r="C32" s="7"/>
      <c r="D32" s="7"/>
      <c r="E32" s="7"/>
      <c r="F32" s="7"/>
    </row>
    <row r="33" spans="2:6" ht="15" customHeight="1" x14ac:dyDescent="0.35">
      <c r="B33" s="9"/>
      <c r="C33" s="9"/>
      <c r="D33" s="9"/>
      <c r="E33" s="9"/>
      <c r="F33" s="9"/>
    </row>
    <row r="34" spans="2:6" ht="15" customHeight="1" x14ac:dyDescent="0.35">
      <c r="B34" s="7"/>
      <c r="C34" s="7"/>
      <c r="D34" s="7"/>
      <c r="E34" s="7"/>
      <c r="F34" s="7"/>
    </row>
    <row r="35" spans="2:6" ht="15" customHeight="1" x14ac:dyDescent="0.35">
      <c r="B35" s="9"/>
      <c r="C35" s="9"/>
      <c r="D35" s="9"/>
      <c r="E35" s="9"/>
      <c r="F35" s="9"/>
    </row>
    <row r="36" spans="2:6" ht="15" customHeight="1" x14ac:dyDescent="0.35">
      <c r="B36" s="7"/>
      <c r="C36" s="7"/>
      <c r="D36" s="7"/>
      <c r="E36" s="7"/>
      <c r="F36" s="7"/>
    </row>
    <row r="37" spans="2:6" ht="15" customHeight="1" x14ac:dyDescent="0.35">
      <c r="B37" s="9"/>
      <c r="C37" s="9"/>
      <c r="D37" s="9"/>
      <c r="E37" s="9"/>
      <c r="F37" s="9"/>
    </row>
    <row r="38" spans="2:6" ht="15" customHeight="1" x14ac:dyDescent="0.35">
      <c r="B38" s="7"/>
      <c r="C38" s="7"/>
      <c r="D38" s="7"/>
      <c r="E38" s="7"/>
      <c r="F38" s="7"/>
    </row>
    <row r="39" spans="2:6" ht="15" customHeight="1" x14ac:dyDescent="0.35">
      <c r="B39" s="9"/>
      <c r="C39" s="9"/>
      <c r="D39" s="9"/>
      <c r="E39" s="9"/>
      <c r="F39" s="9"/>
    </row>
    <row r="40" spans="2:6" ht="15" customHeight="1" x14ac:dyDescent="0.35">
      <c r="B40" s="7"/>
      <c r="C40" s="7"/>
      <c r="D40" s="7"/>
      <c r="E40" s="7"/>
      <c r="F40" s="7"/>
    </row>
    <row r="41" spans="2:6" ht="15" customHeight="1" x14ac:dyDescent="0.35">
      <c r="B41" s="9"/>
      <c r="C41" s="9"/>
      <c r="D41" s="9"/>
      <c r="E41" s="9"/>
      <c r="F41" s="9"/>
    </row>
    <row r="42" spans="2:6" ht="15" customHeight="1" x14ac:dyDescent="0.35">
      <c r="B42" s="7"/>
      <c r="C42" s="7"/>
      <c r="D42" s="7"/>
      <c r="E42" s="7"/>
      <c r="F42" s="7"/>
    </row>
    <row r="43" spans="2:6" ht="15" customHeight="1" x14ac:dyDescent="0.35">
      <c r="B43" s="9"/>
      <c r="C43" s="9"/>
      <c r="D43" s="9"/>
      <c r="E43" s="9"/>
      <c r="F43" s="9"/>
    </row>
    <row r="44" spans="2:6" ht="15" customHeight="1" x14ac:dyDescent="0.35">
      <c r="B44" s="7"/>
      <c r="C44" s="7"/>
      <c r="D44" s="7"/>
      <c r="E44" s="7"/>
      <c r="F44" s="7"/>
    </row>
    <row r="45" spans="2:6" ht="15" customHeight="1" x14ac:dyDescent="0.35">
      <c r="B45" s="9"/>
      <c r="C45" s="9"/>
      <c r="D45" s="9"/>
      <c r="E45" s="9"/>
      <c r="F45" s="9"/>
    </row>
    <row r="46" spans="2:6" ht="15" customHeight="1" x14ac:dyDescent="0.35">
      <c r="B46" s="7"/>
      <c r="C46" s="7"/>
      <c r="D46" s="7"/>
      <c r="E46" s="7"/>
      <c r="F46" s="7"/>
    </row>
    <row r="47" spans="2:6" ht="15" customHeight="1" x14ac:dyDescent="0.35">
      <c r="B47" s="9"/>
      <c r="C47" s="9"/>
      <c r="D47" s="9"/>
      <c r="E47" s="9"/>
      <c r="F47" s="9"/>
    </row>
    <row r="48" spans="2:6" ht="15" customHeight="1" x14ac:dyDescent="0.35">
      <c r="B48" s="7"/>
      <c r="C48" s="7"/>
      <c r="D48" s="7"/>
      <c r="E48" s="7"/>
      <c r="F48" s="7"/>
    </row>
    <row r="49" spans="2:6" ht="15" customHeight="1" x14ac:dyDescent="0.35">
      <c r="B49" s="9"/>
      <c r="C49" s="9"/>
      <c r="D49" s="9"/>
      <c r="E49" s="9"/>
      <c r="F49" s="9"/>
    </row>
    <row r="50" spans="2:6" ht="15" customHeight="1" x14ac:dyDescent="0.35">
      <c r="B50" s="7"/>
      <c r="C50" s="7"/>
      <c r="D50" s="7"/>
      <c r="E50" s="7"/>
      <c r="F50" s="7"/>
    </row>
    <row r="51" spans="2:6" ht="15" customHeight="1" x14ac:dyDescent="0.35">
      <c r="B51" s="9"/>
      <c r="C51" s="9"/>
      <c r="D51" s="9"/>
      <c r="E51" s="9"/>
      <c r="F51" s="9"/>
    </row>
    <row r="52" spans="2:6" ht="15" customHeight="1" x14ac:dyDescent="0.35">
      <c r="B52" s="7"/>
      <c r="C52" s="7"/>
      <c r="D52" s="7"/>
      <c r="E52" s="7"/>
      <c r="F52" s="7"/>
    </row>
    <row r="53" spans="2:6" ht="15" customHeight="1" x14ac:dyDescent="0.35">
      <c r="B53" s="9"/>
      <c r="C53" s="9"/>
      <c r="D53" s="9"/>
      <c r="E53" s="9"/>
      <c r="F53" s="9"/>
    </row>
    <row r="54" spans="2:6" ht="15" customHeight="1" x14ac:dyDescent="0.35">
      <c r="B54" s="7"/>
      <c r="C54" s="7"/>
      <c r="D54" s="7"/>
      <c r="E54" s="7"/>
      <c r="F54" s="7"/>
    </row>
    <row r="55" spans="2:6" ht="15" customHeight="1" x14ac:dyDescent="0.35">
      <c r="B55" s="9"/>
      <c r="C55" s="9"/>
      <c r="D55" s="9"/>
      <c r="E55" s="9"/>
      <c r="F55" s="9"/>
    </row>
    <row r="56" spans="2:6" ht="15" customHeight="1" x14ac:dyDescent="0.35">
      <c r="B56" s="7"/>
      <c r="C56" s="7"/>
      <c r="D56" s="7"/>
      <c r="E56" s="7"/>
      <c r="F56" s="7"/>
    </row>
    <row r="57" spans="2:6" ht="15" customHeight="1" x14ac:dyDescent="0.35">
      <c r="B57" s="9"/>
      <c r="C57" s="9"/>
      <c r="D57" s="9"/>
      <c r="E57" s="9"/>
      <c r="F57" s="9"/>
    </row>
    <row r="58" spans="2:6" ht="15" customHeight="1" x14ac:dyDescent="0.35">
      <c r="B58" s="7"/>
      <c r="C58" s="7"/>
      <c r="D58" s="7"/>
      <c r="E58" s="7"/>
      <c r="F58" s="7"/>
    </row>
    <row r="59" spans="2:6" ht="15" customHeight="1" x14ac:dyDescent="0.35">
      <c r="B59" s="9"/>
      <c r="C59" s="9"/>
      <c r="D59" s="9"/>
      <c r="E59" s="9"/>
      <c r="F59" s="9"/>
    </row>
    <row r="60" spans="2:6" ht="15" customHeight="1" x14ac:dyDescent="0.35">
      <c r="B60" s="7"/>
      <c r="C60" s="7"/>
      <c r="D60" s="7"/>
      <c r="E60" s="7"/>
      <c r="F60" s="7"/>
    </row>
    <row r="61" spans="2:6" ht="15" customHeight="1" x14ac:dyDescent="0.35">
      <c r="B61" s="9"/>
      <c r="C61" s="9"/>
      <c r="D61" s="9"/>
      <c r="E61" s="9"/>
      <c r="F61" s="9"/>
    </row>
    <row r="62" spans="2:6" ht="15" customHeight="1" x14ac:dyDescent="0.35">
      <c r="B62" s="7"/>
      <c r="C62" s="7"/>
      <c r="D62" s="7"/>
      <c r="E62" s="7"/>
      <c r="F62" s="7"/>
    </row>
    <row r="63" spans="2:6" ht="15" customHeight="1" x14ac:dyDescent="0.35">
      <c r="B63" s="9"/>
      <c r="C63" s="9"/>
      <c r="D63" s="9"/>
      <c r="E63" s="9"/>
      <c r="F63" s="9"/>
    </row>
    <row r="64" spans="2:6" ht="15" customHeight="1" x14ac:dyDescent="0.35">
      <c r="B64" s="7"/>
      <c r="C64" s="7"/>
      <c r="D64" s="7"/>
      <c r="E64" s="7"/>
      <c r="F64" s="7"/>
    </row>
    <row r="65" spans="2:6" ht="15" customHeight="1" x14ac:dyDescent="0.35">
      <c r="B65" s="9"/>
      <c r="C65" s="9"/>
      <c r="D65" s="9"/>
      <c r="E65" s="9"/>
      <c r="F65" s="9"/>
    </row>
    <row r="66" spans="2:6" ht="15" customHeight="1" x14ac:dyDescent="0.35">
      <c r="B66" s="7"/>
      <c r="C66" s="7"/>
      <c r="D66" s="7"/>
      <c r="E66" s="7"/>
      <c r="F66" s="7"/>
    </row>
    <row r="67" spans="2:6" ht="15" customHeight="1" x14ac:dyDescent="0.35">
      <c r="B67" s="9"/>
      <c r="C67" s="9"/>
      <c r="D67" s="9"/>
      <c r="E67" s="9"/>
      <c r="F67" s="9"/>
    </row>
    <row r="68" spans="2:6" ht="15" customHeight="1" x14ac:dyDescent="0.35">
      <c r="B68" s="7"/>
      <c r="C68" s="7"/>
      <c r="D68" s="7"/>
      <c r="E68" s="7"/>
      <c r="F68" s="7"/>
    </row>
    <row r="69" spans="2:6" ht="15" customHeight="1" x14ac:dyDescent="0.35">
      <c r="B69" s="9"/>
      <c r="C69" s="9"/>
      <c r="D69" s="9"/>
      <c r="E69" s="9"/>
      <c r="F69" s="9"/>
    </row>
    <row r="70" spans="2:6" ht="15" customHeight="1" x14ac:dyDescent="0.35">
      <c r="B70" s="7"/>
      <c r="C70" s="7"/>
      <c r="D70" s="7"/>
      <c r="E70" s="7"/>
      <c r="F70" s="7"/>
    </row>
    <row r="71" spans="2:6" ht="15" customHeight="1" x14ac:dyDescent="0.35">
      <c r="B71" s="9"/>
      <c r="C71" s="9"/>
      <c r="D71" s="9"/>
      <c r="E71" s="9"/>
      <c r="F71" s="9"/>
    </row>
    <row r="72" spans="2:6" ht="15" customHeight="1" x14ac:dyDescent="0.35">
      <c r="B72" s="7"/>
      <c r="C72" s="7"/>
      <c r="D72" s="7"/>
      <c r="E72" s="7"/>
      <c r="F72" s="7"/>
    </row>
    <row r="73" spans="2:6" ht="15" customHeight="1" x14ac:dyDescent="0.35">
      <c r="B73" s="9"/>
      <c r="C73" s="9"/>
      <c r="D73" s="9"/>
      <c r="E73" s="9"/>
      <c r="F73" s="9"/>
    </row>
    <row r="74" spans="2:6" ht="15" customHeight="1" x14ac:dyDescent="0.35">
      <c r="B74" s="7"/>
      <c r="C74" s="7"/>
      <c r="D74" s="7"/>
      <c r="E74" s="7"/>
      <c r="F74" s="7"/>
    </row>
    <row r="75" spans="2:6" ht="15" customHeight="1" x14ac:dyDescent="0.35">
      <c r="B75" s="9"/>
      <c r="C75" s="9"/>
      <c r="D75" s="9"/>
      <c r="E75" s="9"/>
      <c r="F75" s="9"/>
    </row>
    <row r="76" spans="2:6" ht="15" customHeight="1" x14ac:dyDescent="0.35">
      <c r="B76" s="7"/>
      <c r="C76" s="7"/>
      <c r="D76" s="7"/>
      <c r="E76" s="7"/>
      <c r="F76" s="7"/>
    </row>
    <row r="77" spans="2:6" ht="15" customHeight="1" x14ac:dyDescent="0.35">
      <c r="B77" s="9"/>
      <c r="C77" s="9"/>
      <c r="D77" s="9"/>
      <c r="E77" s="9"/>
      <c r="F77" s="9"/>
    </row>
    <row r="78" spans="2:6" ht="15" customHeight="1" x14ac:dyDescent="0.35">
      <c r="B78" s="7"/>
      <c r="C78" s="7"/>
      <c r="D78" s="7"/>
      <c r="E78" s="7"/>
      <c r="F78" s="7"/>
    </row>
    <row r="79" spans="2:6" ht="15" customHeight="1" x14ac:dyDescent="0.35">
      <c r="B79" s="9"/>
      <c r="C79" s="9"/>
      <c r="D79" s="9"/>
      <c r="E79" s="9"/>
      <c r="F79" s="9"/>
    </row>
    <row r="80" spans="2:6" ht="15" customHeight="1" x14ac:dyDescent="0.35">
      <c r="B80" s="7"/>
      <c r="C80" s="7"/>
      <c r="D80" s="7"/>
      <c r="E80" s="7"/>
      <c r="F80" s="7"/>
    </row>
    <row r="81" spans="2:6" ht="15" customHeight="1" x14ac:dyDescent="0.35">
      <c r="B81" s="9"/>
      <c r="C81" s="9"/>
      <c r="D81" s="9"/>
      <c r="E81" s="9"/>
      <c r="F81" s="9"/>
    </row>
    <row r="82" spans="2:6" ht="15" customHeight="1" x14ac:dyDescent="0.35">
      <c r="B82" s="7"/>
      <c r="C82" s="7"/>
      <c r="D82" s="7"/>
      <c r="E82" s="7"/>
      <c r="F82" s="7"/>
    </row>
    <row r="83" spans="2:6" ht="15" customHeight="1" x14ac:dyDescent="0.35">
      <c r="B83" s="9"/>
      <c r="C83" s="9"/>
      <c r="D83" s="9"/>
      <c r="E83" s="9"/>
      <c r="F83" s="9"/>
    </row>
    <row r="84" spans="2:6" ht="15" customHeight="1" x14ac:dyDescent="0.35">
      <c r="B84" s="7"/>
      <c r="C84" s="7"/>
      <c r="D84" s="7"/>
      <c r="E84" s="7"/>
      <c r="F84" s="7"/>
    </row>
    <row r="85" spans="2:6" ht="15" customHeight="1" x14ac:dyDescent="0.35">
      <c r="B85" s="9"/>
      <c r="C85" s="9"/>
      <c r="D85" s="9"/>
      <c r="E85" s="9"/>
      <c r="F85" s="9"/>
    </row>
    <row r="86" spans="2:6" ht="15" customHeight="1" x14ac:dyDescent="0.35">
      <c r="B86" s="7"/>
      <c r="C86" s="7"/>
      <c r="D86" s="7"/>
      <c r="E86" s="7"/>
      <c r="F86" s="7"/>
    </row>
    <row r="87" spans="2:6" ht="15" customHeight="1" x14ac:dyDescent="0.35">
      <c r="B87" s="9"/>
      <c r="C87" s="9"/>
      <c r="D87" s="9"/>
      <c r="E87" s="9"/>
      <c r="F87" s="9"/>
    </row>
    <row r="88" spans="2:6" ht="15" customHeight="1" x14ac:dyDescent="0.35">
      <c r="B88" s="7"/>
      <c r="C88" s="7"/>
      <c r="D88" s="7"/>
      <c r="E88" s="7"/>
      <c r="F88" s="7"/>
    </row>
    <row r="89" spans="2:6" ht="15" customHeight="1" x14ac:dyDescent="0.35">
      <c r="B89" s="9"/>
      <c r="C89" s="9"/>
      <c r="D89" s="9"/>
      <c r="E89" s="9"/>
      <c r="F89" s="9"/>
    </row>
    <row r="90" spans="2:6" ht="15" customHeight="1" x14ac:dyDescent="0.35">
      <c r="B90" s="7"/>
      <c r="C90" s="7"/>
      <c r="D90" s="7"/>
      <c r="E90" s="7"/>
      <c r="F90" s="7"/>
    </row>
    <row r="91" spans="2:6" ht="15" customHeight="1" x14ac:dyDescent="0.35">
      <c r="B91" s="9"/>
      <c r="C91" s="9"/>
      <c r="D91" s="9"/>
      <c r="E91" s="9"/>
      <c r="F91" s="9"/>
    </row>
    <row r="92" spans="2:6" ht="15" customHeight="1" x14ac:dyDescent="0.35">
      <c r="B92" s="7"/>
      <c r="C92" s="7"/>
      <c r="D92" s="7"/>
      <c r="E92" s="7"/>
      <c r="F92" s="7"/>
    </row>
    <row r="93" spans="2:6" ht="15" customHeight="1" x14ac:dyDescent="0.35">
      <c r="B93" s="9"/>
      <c r="C93" s="9"/>
      <c r="D93" s="9"/>
      <c r="E93" s="9"/>
      <c r="F93" s="9"/>
    </row>
    <row r="94" spans="2:6" ht="15" customHeight="1" x14ac:dyDescent="0.35">
      <c r="B94" s="7"/>
      <c r="C94" s="7"/>
      <c r="D94" s="7"/>
      <c r="E94" s="7"/>
      <c r="F94" s="7"/>
    </row>
    <row r="95" spans="2:6" ht="15" customHeight="1" x14ac:dyDescent="0.35">
      <c r="B95" s="9"/>
      <c r="C95" s="9"/>
      <c r="D95" s="9"/>
      <c r="E95" s="9"/>
      <c r="F95" s="9"/>
    </row>
    <row r="96" spans="2:6" ht="15" customHeight="1" x14ac:dyDescent="0.35">
      <c r="B96" s="7"/>
      <c r="C96" s="7"/>
      <c r="D96" s="7"/>
      <c r="E96" s="7"/>
      <c r="F96" s="7"/>
    </row>
    <row r="97" spans="2:6" ht="15" customHeight="1" x14ac:dyDescent="0.35">
      <c r="B97" s="9"/>
      <c r="C97" s="9"/>
      <c r="D97" s="9"/>
      <c r="E97" s="9"/>
      <c r="F97" s="9"/>
    </row>
    <row r="98" spans="2:6" ht="15" customHeight="1" x14ac:dyDescent="0.35">
      <c r="B98" s="7"/>
      <c r="C98" s="7"/>
      <c r="D98" s="7"/>
      <c r="E98" s="7"/>
      <c r="F98" s="7"/>
    </row>
    <row r="99" spans="2:6" ht="15" customHeight="1" x14ac:dyDescent="0.35">
      <c r="B99" s="9"/>
      <c r="C99" s="9"/>
      <c r="D99" s="9"/>
      <c r="E99" s="9"/>
      <c r="F99" s="9"/>
    </row>
    <row r="100" spans="2:6" ht="15" customHeight="1" x14ac:dyDescent="0.35">
      <c r="B100" s="7"/>
      <c r="C100" s="7"/>
      <c r="D100" s="7"/>
      <c r="E100" s="7"/>
      <c r="F100" s="7"/>
    </row>
    <row r="101" spans="2:6" ht="15" customHeight="1" x14ac:dyDescent="0.35">
      <c r="B101" s="9"/>
      <c r="C101" s="9"/>
      <c r="D101" s="9"/>
      <c r="E101" s="9"/>
      <c r="F101" s="9"/>
    </row>
    <row r="102" spans="2:6" ht="15" customHeight="1" x14ac:dyDescent="0.35">
      <c r="B102" s="7"/>
      <c r="C102" s="7"/>
      <c r="D102" s="7"/>
      <c r="E102" s="7"/>
      <c r="F102" s="7"/>
    </row>
    <row r="103" spans="2:6" ht="15" customHeight="1" x14ac:dyDescent="0.35">
      <c r="B103" s="9"/>
      <c r="C103" s="9"/>
      <c r="D103" s="9"/>
      <c r="E103" s="9"/>
      <c r="F103" s="9"/>
    </row>
    <row r="104" spans="2:6" ht="15" customHeight="1" x14ac:dyDescent="0.35">
      <c r="B104" s="7"/>
      <c r="C104" s="7"/>
      <c r="D104" s="7"/>
      <c r="E104" s="7"/>
      <c r="F104" s="7"/>
    </row>
    <row r="105" spans="2:6" ht="15" customHeight="1" x14ac:dyDescent="0.35">
      <c r="B105" s="9"/>
      <c r="C105" s="9"/>
      <c r="D105" s="9"/>
      <c r="E105" s="9"/>
      <c r="F105" s="9"/>
    </row>
    <row r="106" spans="2:6" ht="15" customHeight="1" x14ac:dyDescent="0.35">
      <c r="B106" s="7"/>
      <c r="C106" s="7"/>
      <c r="D106" s="7"/>
      <c r="E106" s="7"/>
      <c r="F106" s="7"/>
    </row>
    <row r="107" spans="2:6" ht="15" customHeight="1" x14ac:dyDescent="0.35">
      <c r="B107" s="9"/>
      <c r="C107" s="9"/>
      <c r="D107" s="9"/>
      <c r="E107" s="9"/>
      <c r="F107" s="9"/>
    </row>
    <row r="108" spans="2:6" ht="15" customHeight="1" x14ac:dyDescent="0.35">
      <c r="B108" s="7"/>
      <c r="C108" s="7"/>
      <c r="D108" s="7"/>
      <c r="E108" s="7"/>
      <c r="F108" s="7"/>
    </row>
    <row r="109" spans="2:6" ht="15" customHeight="1" x14ac:dyDescent="0.35">
      <c r="B109" s="9"/>
      <c r="C109" s="9"/>
      <c r="D109" s="9"/>
      <c r="E109" s="9"/>
      <c r="F109" s="9"/>
    </row>
    <row r="110" spans="2:6" ht="15" customHeight="1" x14ac:dyDescent="0.35">
      <c r="B110" s="7"/>
      <c r="C110" s="7"/>
      <c r="D110" s="7"/>
      <c r="E110" s="7"/>
      <c r="F110" s="7"/>
    </row>
    <row r="111" spans="2:6" ht="15" customHeight="1" x14ac:dyDescent="0.35">
      <c r="B111" s="9"/>
      <c r="C111" s="9"/>
      <c r="D111" s="9"/>
      <c r="E111" s="9"/>
      <c r="F111" s="9"/>
    </row>
    <row r="112" spans="2:6" ht="15" customHeight="1" x14ac:dyDescent="0.35">
      <c r="B112" s="7"/>
      <c r="C112" s="7"/>
      <c r="D112" s="7"/>
      <c r="E112" s="7"/>
      <c r="F112" s="7"/>
    </row>
    <row r="113" spans="2:6" ht="15" customHeight="1" x14ac:dyDescent="0.35">
      <c r="B113" s="9"/>
      <c r="C113" s="9"/>
      <c r="D113" s="9"/>
      <c r="E113" s="9"/>
      <c r="F113" s="9"/>
    </row>
    <row r="114" spans="2:6" ht="15" customHeight="1" x14ac:dyDescent="0.35">
      <c r="B114" s="7"/>
      <c r="C114" s="7"/>
      <c r="D114" s="7"/>
      <c r="E114" s="7"/>
      <c r="F114" s="7"/>
    </row>
    <row r="115" spans="2:6" ht="15" customHeight="1" x14ac:dyDescent="0.35">
      <c r="B115" s="9"/>
      <c r="C115" s="9"/>
      <c r="D115" s="9"/>
      <c r="E115" s="9"/>
      <c r="F115" s="9"/>
    </row>
    <row r="116" spans="2:6" ht="15" customHeight="1" x14ac:dyDescent="0.35">
      <c r="B116" s="7"/>
      <c r="C116" s="7"/>
      <c r="D116" s="7"/>
      <c r="E116" s="7"/>
      <c r="F116" s="7"/>
    </row>
    <row r="117" spans="2:6" ht="15" customHeight="1" x14ac:dyDescent="0.35">
      <c r="B117" s="9"/>
      <c r="C117" s="9"/>
      <c r="D117" s="9"/>
      <c r="E117" s="9"/>
      <c r="F117" s="9"/>
    </row>
    <row r="118" spans="2:6" ht="15" customHeight="1" x14ac:dyDescent="0.35">
      <c r="B118" s="7"/>
      <c r="C118" s="7"/>
      <c r="D118" s="7"/>
      <c r="E118" s="7"/>
      <c r="F118" s="7"/>
    </row>
    <row r="119" spans="2:6" ht="15" customHeight="1" x14ac:dyDescent="0.35">
      <c r="B119" s="9"/>
      <c r="C119" s="9"/>
      <c r="D119" s="9"/>
      <c r="E119" s="9"/>
      <c r="F119" s="9"/>
    </row>
    <row r="120" spans="2:6" ht="15" customHeight="1" x14ac:dyDescent="0.35">
      <c r="B120" s="7"/>
      <c r="C120" s="7"/>
      <c r="D120" s="7"/>
      <c r="E120" s="7"/>
      <c r="F120" s="7"/>
    </row>
    <row r="121" spans="2:6" ht="15" customHeight="1" x14ac:dyDescent="0.35">
      <c r="B121" s="9"/>
      <c r="C121" s="9"/>
      <c r="D121" s="9"/>
      <c r="E121" s="9"/>
      <c r="F121" s="9"/>
    </row>
    <row r="122" spans="2:6" ht="15" customHeight="1" x14ac:dyDescent="0.35">
      <c r="B122" s="7"/>
      <c r="C122" s="7"/>
      <c r="D122" s="7"/>
      <c r="E122" s="7"/>
      <c r="F122" s="7"/>
    </row>
    <row r="123" spans="2:6" ht="15" customHeight="1" x14ac:dyDescent="0.35">
      <c r="B123" s="9"/>
      <c r="C123" s="9"/>
      <c r="D123" s="9"/>
      <c r="E123" s="9"/>
      <c r="F123" s="9"/>
    </row>
    <row r="124" spans="2:6" ht="15" customHeight="1" x14ac:dyDescent="0.35">
      <c r="B124" s="7"/>
      <c r="C124" s="7"/>
      <c r="D124" s="7"/>
      <c r="E124" s="7"/>
      <c r="F124" s="7"/>
    </row>
    <row r="125" spans="2:6" ht="15" customHeight="1" x14ac:dyDescent="0.35">
      <c r="B125" s="9"/>
      <c r="C125" s="9"/>
      <c r="D125" s="9"/>
      <c r="E125" s="9"/>
      <c r="F125" s="9"/>
    </row>
    <row r="126" spans="2:6" ht="15" customHeight="1" x14ac:dyDescent="0.35">
      <c r="B126" s="7"/>
      <c r="C126" s="7"/>
      <c r="D126" s="7"/>
      <c r="E126" s="7"/>
      <c r="F126" s="7"/>
    </row>
    <row r="127" spans="2:6" ht="15" customHeight="1" x14ac:dyDescent="0.35">
      <c r="B127" s="9"/>
      <c r="C127" s="9"/>
      <c r="D127" s="9"/>
      <c r="E127" s="9"/>
      <c r="F127" s="9"/>
    </row>
    <row r="128" spans="2:6" ht="15" customHeight="1" x14ac:dyDescent="0.35">
      <c r="B128" s="7"/>
      <c r="C128" s="7"/>
      <c r="D128" s="7"/>
      <c r="E128" s="7"/>
      <c r="F128" s="7"/>
    </row>
    <row r="129" spans="2:6" ht="15" customHeight="1" x14ac:dyDescent="0.35">
      <c r="B129" s="9"/>
      <c r="C129" s="9"/>
      <c r="D129" s="9"/>
      <c r="E129" s="9"/>
      <c r="F129" s="9"/>
    </row>
    <row r="130" spans="2:6" ht="15" customHeight="1" x14ac:dyDescent="0.35">
      <c r="B130" s="7"/>
      <c r="C130" s="7"/>
      <c r="D130" s="7"/>
      <c r="E130" s="7"/>
      <c r="F130" s="7"/>
    </row>
    <row r="131" spans="2:6" ht="15" customHeight="1" x14ac:dyDescent="0.35">
      <c r="B131" s="9"/>
      <c r="C131" s="9"/>
      <c r="D131" s="9"/>
      <c r="E131" s="9"/>
      <c r="F131" s="9"/>
    </row>
    <row r="132" spans="2:6" ht="15" customHeight="1" x14ac:dyDescent="0.35">
      <c r="B132" s="7"/>
      <c r="C132" s="7"/>
      <c r="D132" s="7"/>
      <c r="E132" s="7"/>
      <c r="F132" s="7"/>
    </row>
    <row r="133" spans="2:6" ht="15" customHeight="1" x14ac:dyDescent="0.35">
      <c r="B133" s="9"/>
      <c r="C133" s="9"/>
      <c r="D133" s="9"/>
      <c r="E133" s="9"/>
      <c r="F133" s="9"/>
    </row>
    <row r="134" spans="2:6" ht="15" customHeight="1" x14ac:dyDescent="0.35">
      <c r="B134" s="7"/>
      <c r="C134" s="7"/>
      <c r="D134" s="7"/>
      <c r="E134" s="7"/>
      <c r="F134" s="7"/>
    </row>
    <row r="135" spans="2:6" ht="15" customHeight="1" x14ac:dyDescent="0.35">
      <c r="B135" s="9"/>
      <c r="C135" s="9"/>
      <c r="D135" s="9"/>
      <c r="E135" s="9"/>
      <c r="F135" s="9"/>
    </row>
    <row r="136" spans="2:6" ht="15" customHeight="1" x14ac:dyDescent="0.35">
      <c r="B136" s="7"/>
      <c r="C136" s="7"/>
      <c r="D136" s="7"/>
      <c r="E136" s="7"/>
      <c r="F136" s="7"/>
    </row>
    <row r="137" spans="2:6" ht="15" customHeight="1" x14ac:dyDescent="0.35">
      <c r="B137" s="9"/>
      <c r="C137" s="9"/>
      <c r="D137" s="9"/>
      <c r="E137" s="9"/>
      <c r="F137" s="9"/>
    </row>
    <row r="138" spans="2:6" ht="15" customHeight="1" x14ac:dyDescent="0.35">
      <c r="B138" s="7"/>
      <c r="C138" s="7"/>
      <c r="D138" s="7"/>
      <c r="E138" s="7"/>
      <c r="F138" s="7"/>
    </row>
    <row r="139" spans="2:6" ht="15" customHeight="1" x14ac:dyDescent="0.35">
      <c r="B139" s="9"/>
      <c r="C139" s="9"/>
      <c r="D139" s="9"/>
      <c r="E139" s="9"/>
      <c r="F139" s="9"/>
    </row>
    <row r="140" spans="2:6" ht="15" customHeight="1" x14ac:dyDescent="0.35">
      <c r="B140" s="7"/>
      <c r="C140" s="7"/>
      <c r="D140" s="7"/>
      <c r="E140" s="7"/>
      <c r="F140" s="7"/>
    </row>
    <row r="141" spans="2:6" ht="15" customHeight="1" x14ac:dyDescent="0.35">
      <c r="B141" s="9"/>
      <c r="C141" s="9"/>
      <c r="D141" s="9"/>
      <c r="E141" s="9"/>
      <c r="F141" s="9"/>
    </row>
    <row r="142" spans="2:6" ht="15" customHeight="1" x14ac:dyDescent="0.35">
      <c r="B142" s="7"/>
      <c r="C142" s="7"/>
      <c r="D142" s="7"/>
      <c r="E142" s="7"/>
      <c r="F142" s="7"/>
    </row>
    <row r="143" spans="2:6" ht="15" customHeight="1" x14ac:dyDescent="0.35">
      <c r="B143" s="9"/>
      <c r="C143" s="9"/>
      <c r="D143" s="9"/>
      <c r="E143" s="9"/>
      <c r="F143" s="9"/>
    </row>
    <row r="144" spans="2:6" ht="15" customHeight="1" x14ac:dyDescent="0.35">
      <c r="B144" s="7"/>
      <c r="C144" s="7"/>
      <c r="D144" s="7"/>
      <c r="E144" s="7"/>
      <c r="F144" s="7"/>
    </row>
    <row r="145" spans="2:6" ht="15" customHeight="1" x14ac:dyDescent="0.35">
      <c r="B145" s="9"/>
      <c r="C145" s="9"/>
      <c r="D145" s="9"/>
      <c r="E145" s="9"/>
      <c r="F145" s="9"/>
    </row>
    <row r="146" spans="2:6" ht="15" customHeight="1" x14ac:dyDescent="0.35">
      <c r="B146" s="7"/>
      <c r="C146" s="7"/>
      <c r="D146" s="7"/>
      <c r="E146" s="7"/>
      <c r="F146" s="7"/>
    </row>
    <row r="147" spans="2:6" ht="15" customHeight="1" x14ac:dyDescent="0.35">
      <c r="B147" s="9"/>
      <c r="C147" s="9"/>
      <c r="D147" s="9"/>
      <c r="E147" s="9"/>
      <c r="F147" s="9"/>
    </row>
    <row r="148" spans="2:6" ht="15" customHeight="1" x14ac:dyDescent="0.35">
      <c r="B148" s="7"/>
      <c r="C148" s="7"/>
      <c r="D148" s="7"/>
      <c r="E148" s="7"/>
      <c r="F148" s="7"/>
    </row>
    <row r="149" spans="2:6" ht="15" customHeight="1" x14ac:dyDescent="0.35">
      <c r="B149" s="9"/>
      <c r="C149" s="9"/>
      <c r="D149" s="9"/>
      <c r="E149" s="9"/>
      <c r="F149" s="9"/>
    </row>
    <row r="150" spans="2:6" ht="15" customHeight="1" x14ac:dyDescent="0.35">
      <c r="B150" s="7"/>
      <c r="C150" s="7"/>
      <c r="D150" s="7"/>
      <c r="E150" s="7"/>
      <c r="F150" s="7"/>
    </row>
    <row r="151" spans="2:6" ht="15" customHeight="1" x14ac:dyDescent="0.35">
      <c r="B151" s="9"/>
      <c r="C151" s="9"/>
      <c r="D151" s="9"/>
      <c r="E151" s="9"/>
      <c r="F151" s="9"/>
    </row>
    <row r="152" spans="2:6" ht="15" customHeight="1" x14ac:dyDescent="0.35">
      <c r="B152" s="7"/>
      <c r="C152" s="7"/>
      <c r="D152" s="7"/>
      <c r="E152" s="7"/>
      <c r="F152" s="7"/>
    </row>
    <row r="153" spans="2:6" ht="15" customHeight="1" x14ac:dyDescent="0.35">
      <c r="B153" s="9"/>
      <c r="C153" s="9"/>
      <c r="D153" s="9"/>
      <c r="E153" s="9"/>
      <c r="F153" s="9"/>
    </row>
    <row r="154" spans="2:6" ht="15" customHeight="1" x14ac:dyDescent="0.35">
      <c r="B154" s="7"/>
      <c r="C154" s="7"/>
      <c r="D154" s="7"/>
      <c r="E154" s="7"/>
      <c r="F154" s="7"/>
    </row>
    <row r="155" spans="2:6" ht="15" customHeight="1" x14ac:dyDescent="0.35">
      <c r="B155" s="9"/>
      <c r="C155" s="9"/>
      <c r="D155" s="9"/>
      <c r="E155" s="9"/>
      <c r="F155" s="9"/>
    </row>
    <row r="156" spans="2:6" ht="15" customHeight="1" x14ac:dyDescent="0.35">
      <c r="B156" s="7"/>
      <c r="C156" s="7"/>
      <c r="D156" s="7"/>
      <c r="E156" s="7"/>
      <c r="F156" s="7"/>
    </row>
    <row r="157" spans="2:6" ht="15" customHeight="1" x14ac:dyDescent="0.35">
      <c r="B157" s="9"/>
      <c r="C157" s="9"/>
      <c r="D157" s="9"/>
      <c r="E157" s="9"/>
      <c r="F157" s="9"/>
    </row>
    <row r="158" spans="2:6" ht="15" customHeight="1" x14ac:dyDescent="0.35">
      <c r="B158" s="7"/>
      <c r="C158" s="7"/>
      <c r="D158" s="7"/>
      <c r="E158" s="7"/>
      <c r="F158" s="7"/>
    </row>
    <row r="159" spans="2:6" ht="15" customHeight="1" x14ac:dyDescent="0.35">
      <c r="B159" s="9"/>
      <c r="C159" s="9"/>
      <c r="D159" s="9"/>
      <c r="E159" s="9"/>
      <c r="F159" s="9"/>
    </row>
    <row r="160" spans="2:6" ht="15" customHeight="1" x14ac:dyDescent="0.35">
      <c r="B160" s="7"/>
      <c r="C160" s="7"/>
      <c r="D160" s="7"/>
      <c r="E160" s="7"/>
      <c r="F160" s="7"/>
    </row>
    <row r="161" spans="2:6" ht="15" customHeight="1" x14ac:dyDescent="0.35">
      <c r="B161" s="9"/>
      <c r="C161" s="9"/>
      <c r="D161" s="9"/>
      <c r="E161" s="9"/>
      <c r="F161" s="9"/>
    </row>
    <row r="162" spans="2:6" ht="15" customHeight="1" x14ac:dyDescent="0.35">
      <c r="B162" s="7"/>
      <c r="C162" s="7"/>
      <c r="D162" s="7"/>
      <c r="E162" s="7"/>
      <c r="F162" s="7"/>
    </row>
    <row r="163" spans="2:6" ht="15" customHeight="1" x14ac:dyDescent="0.35">
      <c r="B163" s="9"/>
      <c r="C163" s="9"/>
      <c r="D163" s="9"/>
      <c r="E163" s="9"/>
      <c r="F163" s="9"/>
    </row>
    <row r="164" spans="2:6" ht="15" customHeight="1" x14ac:dyDescent="0.35">
      <c r="B164" s="7"/>
      <c r="C164" s="7"/>
      <c r="D164" s="7"/>
      <c r="E164" s="7"/>
      <c r="F164" s="7"/>
    </row>
    <row r="165" spans="2:6" ht="15" customHeight="1" x14ac:dyDescent="0.35">
      <c r="B165" s="9"/>
      <c r="C165" s="9"/>
      <c r="D165" s="9"/>
      <c r="E165" s="9"/>
      <c r="F165" s="9"/>
    </row>
    <row r="166" spans="2:6" ht="15" customHeight="1" x14ac:dyDescent="0.35">
      <c r="B166" s="7"/>
      <c r="C166" s="7"/>
      <c r="D166" s="7"/>
      <c r="E166" s="7"/>
      <c r="F166" s="7"/>
    </row>
    <row r="167" spans="2:6" ht="15" customHeight="1" x14ac:dyDescent="0.35">
      <c r="B167" s="9"/>
      <c r="C167" s="9"/>
      <c r="D167" s="9"/>
      <c r="E167" s="9"/>
      <c r="F167" s="9"/>
    </row>
    <row r="168" spans="2:6" ht="15" customHeight="1" x14ac:dyDescent="0.35">
      <c r="B168" s="7"/>
      <c r="C168" s="7"/>
      <c r="D168" s="7"/>
      <c r="E168" s="7"/>
      <c r="F168" s="7"/>
    </row>
    <row r="169" spans="2:6" ht="15" customHeight="1" x14ac:dyDescent="0.35">
      <c r="B169" s="9"/>
      <c r="C169" s="9"/>
      <c r="D169" s="9"/>
      <c r="E169" s="9"/>
      <c r="F169" s="9"/>
    </row>
    <row r="170" spans="2:6" ht="15" customHeight="1" x14ac:dyDescent="0.35">
      <c r="B170" s="7"/>
      <c r="C170" s="7"/>
      <c r="D170" s="7"/>
      <c r="E170" s="7"/>
      <c r="F170" s="7"/>
    </row>
    <row r="171" spans="2:6" ht="15" customHeight="1" x14ac:dyDescent="0.35">
      <c r="B171" s="9"/>
      <c r="C171" s="9"/>
      <c r="D171" s="9"/>
      <c r="E171" s="9"/>
      <c r="F171" s="9"/>
    </row>
    <row r="172" spans="2:6" ht="15" customHeight="1" x14ac:dyDescent="0.35">
      <c r="B172" s="7"/>
      <c r="C172" s="7"/>
      <c r="D172" s="7"/>
      <c r="E172" s="7"/>
      <c r="F172" s="7"/>
    </row>
    <row r="173" spans="2:6" ht="15" customHeight="1" x14ac:dyDescent="0.35">
      <c r="B173" s="9"/>
      <c r="C173" s="9"/>
      <c r="D173" s="9"/>
      <c r="E173" s="9"/>
      <c r="F173" s="9"/>
    </row>
    <row r="174" spans="2:6" ht="15" customHeight="1" x14ac:dyDescent="0.35">
      <c r="B174" s="7"/>
      <c r="C174" s="7"/>
      <c r="D174" s="7"/>
      <c r="E174" s="7"/>
      <c r="F174" s="7"/>
    </row>
    <row r="175" spans="2:6" ht="15" customHeight="1" x14ac:dyDescent="0.35">
      <c r="B175" s="9"/>
      <c r="C175" s="9"/>
      <c r="D175" s="9"/>
      <c r="E175" s="9"/>
      <c r="F175" s="9"/>
    </row>
    <row r="176" spans="2:6" ht="15" customHeight="1" x14ac:dyDescent="0.35">
      <c r="B176" s="7"/>
      <c r="C176" s="7"/>
      <c r="D176" s="7"/>
      <c r="E176" s="7"/>
      <c r="F176" s="7"/>
    </row>
    <row r="177" spans="2:6" ht="15" customHeight="1" x14ac:dyDescent="0.35">
      <c r="B177" s="9"/>
      <c r="C177" s="9"/>
      <c r="D177" s="9"/>
      <c r="E177" s="9"/>
      <c r="F177" s="9"/>
    </row>
    <row r="178" spans="2:6" ht="15" customHeight="1" x14ac:dyDescent="0.35">
      <c r="B178" s="7"/>
      <c r="C178" s="7"/>
      <c r="D178" s="7"/>
      <c r="E178" s="7"/>
      <c r="F178" s="7"/>
    </row>
    <row r="179" spans="2:6" ht="15" customHeight="1" x14ac:dyDescent="0.35">
      <c r="B179" s="9"/>
      <c r="C179" s="9"/>
      <c r="D179" s="9"/>
      <c r="E179" s="9"/>
      <c r="F179" s="9"/>
    </row>
    <row r="180" spans="2:6" ht="15" customHeight="1" x14ac:dyDescent="0.35">
      <c r="B180" s="7"/>
      <c r="C180" s="7"/>
      <c r="D180" s="7"/>
      <c r="E180" s="7"/>
      <c r="F180" s="7"/>
    </row>
    <row r="181" spans="2:6" ht="15" customHeight="1" x14ac:dyDescent="0.35">
      <c r="B181" s="9"/>
      <c r="C181" s="9"/>
      <c r="D181" s="9"/>
      <c r="E181" s="9"/>
      <c r="F181" s="9"/>
    </row>
    <row r="182" spans="2:6" ht="15" customHeight="1" x14ac:dyDescent="0.35">
      <c r="B182" s="7"/>
      <c r="C182" s="7"/>
      <c r="D182" s="7"/>
      <c r="E182" s="7"/>
      <c r="F182" s="7"/>
    </row>
    <row r="183" spans="2:6" ht="15" customHeight="1" x14ac:dyDescent="0.35">
      <c r="B183" s="9"/>
      <c r="C183" s="9"/>
      <c r="D183" s="9"/>
      <c r="E183" s="9"/>
      <c r="F183" s="9"/>
    </row>
    <row r="184" spans="2:6" ht="15" customHeight="1" x14ac:dyDescent="0.35">
      <c r="B184" s="7"/>
      <c r="C184" s="7"/>
      <c r="D184" s="7"/>
      <c r="E184" s="7"/>
      <c r="F184" s="7"/>
    </row>
    <row r="185" spans="2:6" ht="15" customHeight="1" x14ac:dyDescent="0.35">
      <c r="B185" s="9"/>
      <c r="C185" s="9"/>
      <c r="D185" s="9"/>
      <c r="E185" s="9"/>
      <c r="F185" s="9"/>
    </row>
    <row r="186" spans="2:6" ht="15" customHeight="1" x14ac:dyDescent="0.35">
      <c r="B186" s="7"/>
      <c r="C186" s="7"/>
      <c r="D186" s="7"/>
      <c r="E186" s="7"/>
      <c r="F186" s="7"/>
    </row>
    <row r="187" spans="2:6" ht="15" customHeight="1" x14ac:dyDescent="0.35">
      <c r="B187" s="9"/>
      <c r="C187" s="9"/>
      <c r="D187" s="9"/>
      <c r="E187" s="9"/>
      <c r="F187" s="9"/>
    </row>
    <row r="188" spans="2:6" ht="15" customHeight="1" x14ac:dyDescent="0.35">
      <c r="B188" s="7"/>
      <c r="C188" s="7"/>
      <c r="D188" s="7"/>
      <c r="E188" s="7"/>
      <c r="F188" s="7"/>
    </row>
    <row r="189" spans="2:6" ht="15" customHeight="1" x14ac:dyDescent="0.35">
      <c r="B189" s="9"/>
      <c r="C189" s="9"/>
      <c r="D189" s="9"/>
      <c r="E189" s="9"/>
      <c r="F189" s="9"/>
    </row>
    <row r="190" spans="2:6" ht="15" customHeight="1" x14ac:dyDescent="0.35">
      <c r="B190" s="7"/>
      <c r="C190" s="7"/>
      <c r="D190" s="7"/>
      <c r="E190" s="7"/>
      <c r="F190" s="7"/>
    </row>
    <row r="191" spans="2:6" ht="15" customHeight="1" x14ac:dyDescent="0.35">
      <c r="B191" s="9"/>
      <c r="C191" s="9"/>
      <c r="D191" s="9"/>
      <c r="E191" s="9"/>
      <c r="F191" s="9"/>
    </row>
    <row r="192" spans="2:6" ht="15" customHeight="1" x14ac:dyDescent="0.35">
      <c r="B192" s="7"/>
      <c r="C192" s="7"/>
      <c r="D192" s="7"/>
      <c r="E192" s="7"/>
      <c r="F192" s="7"/>
    </row>
    <row r="193" spans="2:6" ht="15" customHeight="1" x14ac:dyDescent="0.35">
      <c r="B193" s="9"/>
      <c r="C193" s="9"/>
      <c r="D193" s="9"/>
      <c r="E193" s="9"/>
      <c r="F193" s="9"/>
    </row>
    <row r="194" spans="2:6" ht="15" customHeight="1" x14ac:dyDescent="0.35">
      <c r="B194" s="7"/>
      <c r="C194" s="7"/>
      <c r="D194" s="7"/>
      <c r="E194" s="7"/>
      <c r="F194" s="7"/>
    </row>
    <row r="195" spans="2:6" ht="15" customHeight="1" x14ac:dyDescent="0.35">
      <c r="B195" s="9"/>
      <c r="C195" s="9"/>
      <c r="D195" s="9"/>
      <c r="E195" s="9"/>
      <c r="F195" s="9"/>
    </row>
    <row r="196" spans="2:6" ht="15" customHeight="1" x14ac:dyDescent="0.35">
      <c r="B196" s="7"/>
      <c r="C196" s="7"/>
      <c r="D196" s="7"/>
      <c r="E196" s="7"/>
      <c r="F196" s="7"/>
    </row>
    <row r="197" spans="2:6" ht="15" customHeight="1" x14ac:dyDescent="0.35">
      <c r="B197" s="9"/>
      <c r="C197" s="9"/>
      <c r="D197" s="9"/>
      <c r="E197" s="9"/>
      <c r="F197" s="9"/>
    </row>
    <row r="198" spans="2:6" ht="15" customHeight="1" x14ac:dyDescent="0.35">
      <c r="B198" s="7"/>
      <c r="C198" s="7"/>
      <c r="D198" s="7"/>
      <c r="E198" s="7"/>
      <c r="F198" s="7"/>
    </row>
    <row r="199" spans="2:6" ht="15" customHeight="1" x14ac:dyDescent="0.35">
      <c r="B199" s="9"/>
      <c r="C199" s="9"/>
      <c r="D199" s="9"/>
      <c r="E199" s="9"/>
      <c r="F199" s="9"/>
    </row>
    <row r="200" spans="2:6" ht="15" customHeight="1" x14ac:dyDescent="0.35">
      <c r="B200" s="7"/>
      <c r="C200" s="7"/>
      <c r="D200" s="7"/>
      <c r="E200" s="7"/>
      <c r="F200" s="7"/>
    </row>
    <row r="201" spans="2:6" ht="15" customHeight="1" x14ac:dyDescent="0.35">
      <c r="B201" s="9"/>
      <c r="C201" s="9"/>
      <c r="D201" s="9"/>
      <c r="E201" s="9"/>
      <c r="F201" s="9"/>
    </row>
    <row r="202" spans="2:6" ht="15" customHeight="1" x14ac:dyDescent="0.35">
      <c r="B202" s="7"/>
      <c r="C202" s="7"/>
      <c r="D202" s="7"/>
      <c r="E202" s="7"/>
      <c r="F202" s="7"/>
    </row>
    <row r="203" spans="2:6" ht="15" customHeight="1" x14ac:dyDescent="0.35">
      <c r="B203" s="9"/>
      <c r="C203" s="9"/>
      <c r="D203" s="9"/>
      <c r="E203" s="9"/>
      <c r="F203" s="9"/>
    </row>
    <row r="204" spans="2:6" ht="15" customHeight="1" x14ac:dyDescent="0.35">
      <c r="B204" s="7"/>
      <c r="C204" s="7"/>
      <c r="D204" s="7"/>
      <c r="E204" s="7"/>
      <c r="F204" s="7"/>
    </row>
    <row r="205" spans="2:6" ht="15" customHeight="1" x14ac:dyDescent="0.35">
      <c r="B205" s="9"/>
      <c r="C205" s="9"/>
      <c r="D205" s="9"/>
      <c r="E205" s="9"/>
      <c r="F205" s="9"/>
    </row>
    <row r="206" spans="2:6" ht="15" customHeight="1" x14ac:dyDescent="0.35">
      <c r="B206" s="7"/>
      <c r="C206" s="7"/>
      <c r="D206" s="7"/>
      <c r="E206" s="7"/>
      <c r="F206" s="7"/>
    </row>
    <row r="207" spans="2:6" ht="15" customHeight="1" x14ac:dyDescent="0.35">
      <c r="B207" s="9"/>
      <c r="C207" s="9"/>
      <c r="D207" s="9"/>
      <c r="E207" s="9"/>
      <c r="F207" s="9"/>
    </row>
    <row r="208" spans="2:6" ht="15" customHeight="1" x14ac:dyDescent="0.35">
      <c r="B208" s="7"/>
      <c r="C208" s="7"/>
      <c r="D208" s="7"/>
      <c r="E208" s="7"/>
      <c r="F208" s="7"/>
    </row>
    <row r="209" spans="2:6" ht="15" customHeight="1" x14ac:dyDescent="0.35">
      <c r="B209" s="9"/>
      <c r="C209" s="9"/>
      <c r="D209" s="9"/>
      <c r="E209" s="9"/>
      <c r="F209" s="9"/>
    </row>
    <row r="210" spans="2:6" ht="15" customHeight="1" x14ac:dyDescent="0.35">
      <c r="B210" s="7"/>
      <c r="C210" s="7"/>
      <c r="D210" s="7"/>
      <c r="E210" s="7"/>
      <c r="F210" s="7"/>
    </row>
    <row r="211" spans="2:6" ht="15" customHeight="1" x14ac:dyDescent="0.35">
      <c r="B211" s="9"/>
      <c r="C211" s="9"/>
      <c r="D211" s="9"/>
      <c r="E211" s="9"/>
      <c r="F211" s="9"/>
    </row>
    <row r="212" spans="2:6" ht="15" customHeight="1" x14ac:dyDescent="0.35">
      <c r="B212" s="7"/>
      <c r="C212" s="7"/>
      <c r="D212" s="7"/>
      <c r="E212" s="7"/>
      <c r="F212" s="7"/>
    </row>
    <row r="213" spans="2:6" ht="15" customHeight="1" x14ac:dyDescent="0.35">
      <c r="B213" s="9"/>
      <c r="C213" s="9"/>
      <c r="D213" s="9"/>
      <c r="E213" s="9"/>
      <c r="F213" s="9"/>
    </row>
    <row r="214" spans="2:6" ht="15" customHeight="1" x14ac:dyDescent="0.35">
      <c r="B214" s="7"/>
      <c r="C214" s="7"/>
      <c r="D214" s="7"/>
      <c r="E214" s="7"/>
      <c r="F214" s="7"/>
    </row>
    <row r="215" spans="2:6" ht="15" customHeight="1" x14ac:dyDescent="0.35">
      <c r="B215" s="9"/>
      <c r="C215" s="9"/>
      <c r="D215" s="9"/>
      <c r="E215" s="9"/>
      <c r="F215" s="9"/>
    </row>
    <row r="216" spans="2:6" ht="15" customHeight="1" x14ac:dyDescent="0.35">
      <c r="B216" s="7"/>
      <c r="C216" s="7"/>
      <c r="D216" s="7"/>
      <c r="E216" s="7"/>
      <c r="F216" s="7"/>
    </row>
    <row r="217" spans="2:6" ht="15" customHeight="1" x14ac:dyDescent="0.35">
      <c r="B217" s="9"/>
      <c r="C217" s="9"/>
      <c r="D217" s="9"/>
      <c r="E217" s="9"/>
      <c r="F217" s="9"/>
    </row>
    <row r="218" spans="2:6" ht="15" customHeight="1" x14ac:dyDescent="0.35">
      <c r="B218" s="7"/>
      <c r="C218" s="7"/>
      <c r="D218" s="7"/>
      <c r="E218" s="7"/>
      <c r="F218" s="7"/>
    </row>
    <row r="219" spans="2:6" ht="15" customHeight="1" x14ac:dyDescent="0.35">
      <c r="B219" s="9"/>
      <c r="C219" s="9"/>
      <c r="D219" s="9"/>
      <c r="E219" s="9"/>
      <c r="F219" s="9"/>
    </row>
    <row r="220" spans="2:6" ht="15" customHeight="1" x14ac:dyDescent="0.35">
      <c r="B220" s="7"/>
      <c r="C220" s="7"/>
      <c r="D220" s="7"/>
      <c r="E220" s="7"/>
      <c r="F220" s="7"/>
    </row>
    <row r="221" spans="2:6" ht="15" customHeight="1" x14ac:dyDescent="0.35">
      <c r="B221" s="9"/>
      <c r="C221" s="9"/>
      <c r="D221" s="9"/>
      <c r="E221" s="9"/>
      <c r="F221" s="9"/>
    </row>
    <row r="222" spans="2:6" ht="15" customHeight="1" x14ac:dyDescent="0.35">
      <c r="B222" s="7"/>
      <c r="C222" s="7"/>
      <c r="D222" s="7"/>
      <c r="E222" s="7"/>
      <c r="F222" s="7"/>
    </row>
    <row r="223" spans="2:6" ht="15" customHeight="1" x14ac:dyDescent="0.35">
      <c r="B223" s="9"/>
      <c r="C223" s="9"/>
      <c r="D223" s="9"/>
      <c r="E223" s="9"/>
      <c r="F223" s="9"/>
    </row>
    <row r="224" spans="2:6" ht="15" customHeight="1" x14ac:dyDescent="0.35">
      <c r="B224" s="7"/>
      <c r="C224" s="7"/>
      <c r="D224" s="7"/>
      <c r="E224" s="7"/>
      <c r="F224" s="7"/>
    </row>
    <row r="225" spans="2:6" ht="15" customHeight="1" x14ac:dyDescent="0.35">
      <c r="B225" s="9"/>
      <c r="C225" s="9"/>
      <c r="D225" s="9"/>
      <c r="E225" s="9"/>
      <c r="F225" s="9"/>
    </row>
    <row r="226" spans="2:6" ht="15" customHeight="1" x14ac:dyDescent="0.35">
      <c r="B226" s="7"/>
      <c r="C226" s="7"/>
      <c r="D226" s="7"/>
      <c r="E226" s="7"/>
      <c r="F226" s="7"/>
    </row>
    <row r="227" spans="2:6" ht="15" customHeight="1" x14ac:dyDescent="0.35">
      <c r="B227" s="9"/>
      <c r="C227" s="9"/>
      <c r="D227" s="9"/>
      <c r="E227" s="9"/>
      <c r="F227" s="9"/>
    </row>
    <row r="228" spans="2:6" ht="15" customHeight="1" x14ac:dyDescent="0.35">
      <c r="B228" s="7"/>
      <c r="C228" s="7"/>
      <c r="D228" s="7"/>
      <c r="E228" s="7"/>
      <c r="F228" s="7"/>
    </row>
    <row r="229" spans="2:6" ht="15" customHeight="1" x14ac:dyDescent="0.35">
      <c r="B229" s="9"/>
      <c r="C229" s="9"/>
      <c r="D229" s="9"/>
      <c r="E229" s="9"/>
      <c r="F229" s="9"/>
    </row>
    <row r="230" spans="2:6" ht="15" customHeight="1" x14ac:dyDescent="0.35">
      <c r="B230" s="7"/>
      <c r="C230" s="7"/>
      <c r="D230" s="7"/>
      <c r="E230" s="7"/>
      <c r="F230" s="7"/>
    </row>
    <row r="231" spans="2:6" ht="15" customHeight="1" x14ac:dyDescent="0.35">
      <c r="B231" s="9"/>
      <c r="C231" s="9"/>
      <c r="D231" s="9"/>
      <c r="E231" s="9"/>
      <c r="F231" s="9"/>
    </row>
    <row r="232" spans="2:6" ht="15" customHeight="1" x14ac:dyDescent="0.35">
      <c r="B232" s="7"/>
      <c r="C232" s="7"/>
      <c r="D232" s="7"/>
      <c r="E232" s="7"/>
      <c r="F232" s="7"/>
    </row>
    <row r="233" spans="2:6" ht="15" customHeight="1" x14ac:dyDescent="0.35">
      <c r="B233" s="9"/>
      <c r="C233" s="9"/>
      <c r="D233" s="9"/>
      <c r="E233" s="9"/>
      <c r="F233" s="9"/>
    </row>
    <row r="234" spans="2:6" ht="15" customHeight="1" x14ac:dyDescent="0.35">
      <c r="B234" s="7"/>
      <c r="C234" s="7"/>
      <c r="D234" s="7"/>
      <c r="E234" s="7"/>
      <c r="F234" s="7"/>
    </row>
    <row r="235" spans="2:6" ht="15" customHeight="1" x14ac:dyDescent="0.35">
      <c r="B235" s="9"/>
      <c r="C235" s="9"/>
      <c r="D235" s="9"/>
      <c r="E235" s="9"/>
      <c r="F235" s="9"/>
    </row>
    <row r="236" spans="2:6" ht="15" customHeight="1" x14ac:dyDescent="0.35">
      <c r="B236" s="7"/>
      <c r="C236" s="7"/>
      <c r="D236" s="7"/>
      <c r="E236" s="7"/>
      <c r="F236" s="7"/>
    </row>
    <row r="237" spans="2:6" ht="15" customHeight="1" x14ac:dyDescent="0.35">
      <c r="B237" s="9"/>
      <c r="C237" s="9"/>
      <c r="D237" s="9"/>
      <c r="E237" s="9"/>
      <c r="F237" s="9"/>
    </row>
    <row r="238" spans="2:6" ht="15" customHeight="1" x14ac:dyDescent="0.35">
      <c r="B238" s="7"/>
      <c r="C238" s="7"/>
      <c r="D238" s="7"/>
      <c r="E238" s="7"/>
      <c r="F238" s="7"/>
    </row>
    <row r="239" spans="2:6" ht="15" customHeight="1" x14ac:dyDescent="0.35">
      <c r="B239" s="9"/>
      <c r="C239" s="9"/>
      <c r="D239" s="9"/>
      <c r="E239" s="9"/>
      <c r="F239" s="9"/>
    </row>
    <row r="240" spans="2:6" ht="15" customHeight="1" x14ac:dyDescent="0.35">
      <c r="B240" s="7"/>
      <c r="C240" s="7"/>
      <c r="D240" s="7"/>
      <c r="E240" s="7"/>
      <c r="F240" s="7"/>
    </row>
    <row r="241" spans="2:6" ht="15" customHeight="1" x14ac:dyDescent="0.35">
      <c r="B241" s="9"/>
      <c r="C241" s="9"/>
      <c r="D241" s="9"/>
      <c r="E241" s="9"/>
      <c r="F241" s="9"/>
    </row>
    <row r="242" spans="2:6" ht="15" customHeight="1" x14ac:dyDescent="0.35">
      <c r="B242" s="7"/>
      <c r="C242" s="7"/>
      <c r="D242" s="7"/>
      <c r="E242" s="7"/>
      <c r="F242" s="7"/>
    </row>
    <row r="243" spans="2:6" ht="15" customHeight="1" x14ac:dyDescent="0.35">
      <c r="B243" s="9"/>
      <c r="C243" s="9"/>
      <c r="D243" s="9"/>
      <c r="E243" s="9"/>
      <c r="F243" s="9"/>
    </row>
    <row r="244" spans="2:6" ht="15" customHeight="1" x14ac:dyDescent="0.35">
      <c r="B244" s="7"/>
      <c r="C244" s="7"/>
      <c r="D244" s="7"/>
      <c r="E244" s="7"/>
      <c r="F244" s="7"/>
    </row>
    <row r="245" spans="2:6" ht="15" customHeight="1" x14ac:dyDescent="0.35">
      <c r="B245" s="9"/>
      <c r="C245" s="9"/>
      <c r="D245" s="9"/>
      <c r="E245" s="9"/>
      <c r="F245" s="9"/>
    </row>
    <row r="246" spans="2:6" ht="15" customHeight="1" x14ac:dyDescent="0.35">
      <c r="B246" s="7"/>
      <c r="C246" s="7"/>
      <c r="D246" s="7"/>
      <c r="E246" s="7"/>
      <c r="F246" s="7"/>
    </row>
    <row r="247" spans="2:6" ht="15" customHeight="1" x14ac:dyDescent="0.35">
      <c r="B247" s="9"/>
      <c r="C247" s="9"/>
      <c r="D247" s="9"/>
      <c r="E247" s="9"/>
      <c r="F247" s="9"/>
    </row>
    <row r="248" spans="2:6" ht="15" customHeight="1" x14ac:dyDescent="0.35">
      <c r="B248" s="7"/>
      <c r="C248" s="7"/>
      <c r="D248" s="7"/>
      <c r="E248" s="7"/>
      <c r="F248" s="7"/>
    </row>
    <row r="249" spans="2:6" ht="15" customHeight="1" x14ac:dyDescent="0.35">
      <c r="B249" s="9"/>
      <c r="C249" s="9"/>
      <c r="D249" s="9"/>
      <c r="E249" s="9"/>
      <c r="F249" s="9"/>
    </row>
    <row r="250" spans="2:6" ht="15" customHeight="1" x14ac:dyDescent="0.35">
      <c r="B250" s="7"/>
      <c r="C250" s="7"/>
      <c r="D250" s="7"/>
      <c r="E250" s="7"/>
      <c r="F250" s="7"/>
    </row>
    <row r="251" spans="2:6" ht="15" customHeight="1" x14ac:dyDescent="0.35">
      <c r="B251" s="9"/>
      <c r="C251" s="9"/>
      <c r="D251" s="9"/>
      <c r="E251" s="9"/>
      <c r="F251" s="9"/>
    </row>
    <row r="252" spans="2:6" ht="15" customHeight="1" x14ac:dyDescent="0.35">
      <c r="B252" s="7"/>
      <c r="C252" s="7"/>
      <c r="D252" s="7"/>
      <c r="E252" s="7"/>
      <c r="F252" s="7"/>
    </row>
    <row r="253" spans="2:6" ht="15" customHeight="1" x14ac:dyDescent="0.35">
      <c r="B253" s="9"/>
      <c r="C253" s="9"/>
      <c r="D253" s="9"/>
      <c r="E253" s="9"/>
      <c r="F253" s="9"/>
    </row>
    <row r="254" spans="2:6" ht="15" customHeight="1" x14ac:dyDescent="0.35">
      <c r="B254" s="7"/>
      <c r="C254" s="7"/>
      <c r="D254" s="7"/>
      <c r="E254" s="7"/>
      <c r="F254" s="7"/>
    </row>
    <row r="255" spans="2:6" ht="15" customHeight="1" x14ac:dyDescent="0.35">
      <c r="B255" s="9"/>
      <c r="C255" s="9"/>
      <c r="D255" s="9"/>
      <c r="E255" s="9"/>
      <c r="F255" s="9"/>
    </row>
    <row r="256" spans="2:6" ht="15" customHeight="1" x14ac:dyDescent="0.35">
      <c r="B256" s="7"/>
      <c r="C256" s="7"/>
      <c r="D256" s="7"/>
      <c r="E256" s="7"/>
      <c r="F256" s="7"/>
    </row>
    <row r="257" spans="2:6" ht="15" customHeight="1" x14ac:dyDescent="0.35">
      <c r="B257" s="9"/>
      <c r="C257" s="9"/>
      <c r="D257" s="9"/>
      <c r="E257" s="9"/>
      <c r="F257" s="9"/>
    </row>
    <row r="258" spans="2:6" ht="15" customHeight="1" x14ac:dyDescent="0.35">
      <c r="B258" s="7"/>
      <c r="C258" s="7"/>
      <c r="D258" s="7"/>
      <c r="E258" s="7"/>
      <c r="F258" s="7"/>
    </row>
    <row r="259" spans="2:6" ht="15" customHeight="1" x14ac:dyDescent="0.35">
      <c r="B259" s="9"/>
      <c r="C259" s="9"/>
      <c r="D259" s="9"/>
      <c r="E259" s="9"/>
      <c r="F259" s="9"/>
    </row>
    <row r="260" spans="2:6" ht="15" customHeight="1" x14ac:dyDescent="0.35">
      <c r="B260" s="7"/>
      <c r="C260" s="7"/>
      <c r="D260" s="7"/>
      <c r="E260" s="7"/>
      <c r="F260" s="7"/>
    </row>
    <row r="261" spans="2:6" ht="15" customHeight="1" x14ac:dyDescent="0.35">
      <c r="B261" s="9"/>
      <c r="C261" s="9"/>
      <c r="D261" s="9"/>
      <c r="E261" s="9"/>
      <c r="F261" s="9"/>
    </row>
    <row r="262" spans="2:6" ht="15" customHeight="1" x14ac:dyDescent="0.35">
      <c r="B262" s="7"/>
      <c r="C262" s="7"/>
      <c r="D262" s="7"/>
      <c r="E262" s="7"/>
      <c r="F262" s="7"/>
    </row>
    <row r="263" spans="2:6" ht="15" customHeight="1" x14ac:dyDescent="0.35">
      <c r="B263" s="9"/>
      <c r="C263" s="9"/>
      <c r="D263" s="9"/>
      <c r="E263" s="9"/>
      <c r="F263" s="9"/>
    </row>
    <row r="264" spans="2:6" ht="15" customHeight="1" x14ac:dyDescent="0.35">
      <c r="B264" s="7"/>
      <c r="C264" s="7"/>
      <c r="D264" s="7"/>
      <c r="E264" s="7"/>
      <c r="F264" s="7"/>
    </row>
    <row r="265" spans="2:6" ht="15" customHeight="1" x14ac:dyDescent="0.35">
      <c r="B265" s="9"/>
      <c r="C265" s="9"/>
      <c r="D265" s="9"/>
      <c r="E265" s="9"/>
      <c r="F265" s="9"/>
    </row>
    <row r="266" spans="2:6" ht="15" customHeight="1" x14ac:dyDescent="0.35">
      <c r="B266" s="7"/>
      <c r="C266" s="7"/>
      <c r="D266" s="7"/>
      <c r="E266" s="7"/>
      <c r="F266" s="7"/>
    </row>
    <row r="267" spans="2:6" ht="15" customHeight="1" x14ac:dyDescent="0.35">
      <c r="B267" s="9"/>
      <c r="C267" s="9"/>
      <c r="D267" s="9"/>
      <c r="E267" s="9"/>
      <c r="F267" s="9"/>
    </row>
    <row r="268" spans="2:6" ht="15" customHeight="1" x14ac:dyDescent="0.35">
      <c r="B268" s="7"/>
      <c r="C268" s="7"/>
      <c r="D268" s="7"/>
      <c r="E268" s="7"/>
      <c r="F268" s="7"/>
    </row>
    <row r="269" spans="2:6" ht="15" customHeight="1" x14ac:dyDescent="0.35">
      <c r="B269" s="9"/>
      <c r="C269" s="9"/>
      <c r="D269" s="9"/>
      <c r="E269" s="9"/>
      <c r="F269" s="9"/>
    </row>
    <row r="270" spans="2:6" ht="15" customHeight="1" x14ac:dyDescent="0.35">
      <c r="B270" s="7"/>
      <c r="C270" s="7"/>
      <c r="D270" s="7"/>
      <c r="E270" s="7"/>
      <c r="F270" s="7"/>
    </row>
    <row r="271" spans="2:6" ht="15" customHeight="1" x14ac:dyDescent="0.35">
      <c r="B271" s="9"/>
      <c r="C271" s="9"/>
      <c r="D271" s="9"/>
      <c r="E271" s="9"/>
      <c r="F271" s="9"/>
    </row>
    <row r="272" spans="2:6" ht="15" customHeight="1" x14ac:dyDescent="0.35">
      <c r="B272" s="7"/>
      <c r="C272" s="7"/>
      <c r="D272" s="7"/>
      <c r="E272" s="7"/>
      <c r="F272" s="7"/>
    </row>
    <row r="273" spans="2:6" ht="15" customHeight="1" x14ac:dyDescent="0.35">
      <c r="B273" s="9"/>
      <c r="C273" s="9"/>
      <c r="D273" s="9"/>
      <c r="E273" s="9"/>
      <c r="F273" s="9"/>
    </row>
    <row r="274" spans="2:6" ht="15" customHeight="1" x14ac:dyDescent="0.35">
      <c r="B274" s="7"/>
      <c r="C274" s="7"/>
      <c r="D274" s="7"/>
      <c r="E274" s="7"/>
      <c r="F274" s="7"/>
    </row>
    <row r="275" spans="2:6" ht="15" customHeight="1" x14ac:dyDescent="0.35">
      <c r="B275" s="9"/>
      <c r="C275" s="9"/>
      <c r="D275" s="9"/>
      <c r="E275" s="9"/>
      <c r="F275" s="9"/>
    </row>
    <row r="276" spans="2:6" ht="15" customHeight="1" x14ac:dyDescent="0.35">
      <c r="B276" s="7"/>
      <c r="C276" s="7"/>
      <c r="D276" s="7"/>
      <c r="E276" s="7"/>
      <c r="F276" s="7"/>
    </row>
    <row r="277" spans="2:6" ht="15" customHeight="1" x14ac:dyDescent="0.35">
      <c r="B277" s="9"/>
      <c r="C277" s="9"/>
      <c r="D277" s="9"/>
      <c r="E277" s="9"/>
      <c r="F277" s="9"/>
    </row>
    <row r="278" spans="2:6" ht="15" customHeight="1" x14ac:dyDescent="0.35">
      <c r="B278" s="7"/>
      <c r="C278" s="7"/>
      <c r="D278" s="7"/>
      <c r="E278" s="7"/>
      <c r="F278" s="7"/>
    </row>
    <row r="279" spans="2:6" ht="15" customHeight="1" x14ac:dyDescent="0.35">
      <c r="B279" s="9"/>
      <c r="C279" s="9"/>
      <c r="D279" s="9"/>
      <c r="E279" s="9"/>
      <c r="F279" s="9"/>
    </row>
    <row r="280" spans="2:6" ht="15" customHeight="1" x14ac:dyDescent="0.35">
      <c r="B280" s="7"/>
      <c r="C280" s="7"/>
      <c r="D280" s="7"/>
      <c r="E280" s="7"/>
      <c r="F280" s="7"/>
    </row>
    <row r="281" spans="2:6" ht="15" customHeight="1" x14ac:dyDescent="0.35">
      <c r="B281" s="9"/>
      <c r="C281" s="9"/>
      <c r="D281" s="9"/>
      <c r="E281" s="9"/>
      <c r="F281" s="9"/>
    </row>
    <row r="282" spans="2:6" ht="15" customHeight="1" x14ac:dyDescent="0.35">
      <c r="B282" s="7"/>
      <c r="C282" s="7"/>
      <c r="D282" s="7"/>
      <c r="E282" s="7"/>
      <c r="F282" s="7"/>
    </row>
    <row r="283" spans="2:6" ht="15" customHeight="1" x14ac:dyDescent="0.35">
      <c r="B283" s="9"/>
      <c r="C283" s="9"/>
      <c r="D283" s="9"/>
      <c r="E283" s="9"/>
      <c r="F283" s="9"/>
    </row>
    <row r="284" spans="2:6" ht="15" customHeight="1" x14ac:dyDescent="0.35">
      <c r="B284" s="7"/>
      <c r="C284" s="7"/>
      <c r="D284" s="7"/>
      <c r="E284" s="7"/>
      <c r="F284" s="7"/>
    </row>
    <row r="285" spans="2:6" ht="15" customHeight="1" x14ac:dyDescent="0.35">
      <c r="B285" s="9"/>
      <c r="C285" s="9"/>
      <c r="D285" s="9"/>
      <c r="E285" s="9"/>
      <c r="F285" s="9"/>
    </row>
    <row r="286" spans="2:6" ht="15" customHeight="1" x14ac:dyDescent="0.35">
      <c r="B286" s="7"/>
      <c r="C286" s="7"/>
      <c r="D286" s="7"/>
      <c r="E286" s="7"/>
      <c r="F286" s="7"/>
    </row>
    <row r="287" spans="2:6" ht="15" customHeight="1" x14ac:dyDescent="0.35">
      <c r="B287" s="9"/>
      <c r="C287" s="9"/>
      <c r="D287" s="9"/>
      <c r="E287" s="9"/>
      <c r="F287" s="9"/>
    </row>
    <row r="288" spans="2:6" ht="15" customHeight="1" x14ac:dyDescent="0.35">
      <c r="B288" s="7"/>
      <c r="C288" s="7"/>
      <c r="D288" s="7"/>
      <c r="E288" s="7"/>
      <c r="F288" s="7"/>
    </row>
    <row r="289" spans="2:6" ht="15" customHeight="1" x14ac:dyDescent="0.35">
      <c r="B289" s="9"/>
      <c r="C289" s="9"/>
      <c r="D289" s="9"/>
      <c r="E289" s="9"/>
      <c r="F289" s="9"/>
    </row>
    <row r="290" spans="2:6" ht="15" customHeight="1" x14ac:dyDescent="0.35">
      <c r="B290" s="7"/>
      <c r="C290" s="7"/>
      <c r="D290" s="7"/>
      <c r="E290" s="7"/>
      <c r="F290" s="7"/>
    </row>
    <row r="291" spans="2:6" ht="15" customHeight="1" x14ac:dyDescent="0.35">
      <c r="B291" s="9"/>
      <c r="C291" s="9"/>
      <c r="D291" s="9"/>
      <c r="E291" s="9"/>
      <c r="F291" s="9"/>
    </row>
    <row r="292" spans="2:6" ht="15" customHeight="1" x14ac:dyDescent="0.35">
      <c r="B292" s="7"/>
      <c r="C292" s="7"/>
      <c r="D292" s="7"/>
      <c r="E292" s="7"/>
      <c r="F292" s="7"/>
    </row>
    <row r="293" spans="2:6" ht="15" customHeight="1" x14ac:dyDescent="0.35">
      <c r="B293" s="9"/>
      <c r="C293" s="9"/>
      <c r="D293" s="9"/>
      <c r="E293" s="9"/>
      <c r="F293" s="9"/>
    </row>
    <row r="294" spans="2:6" ht="15" customHeight="1" x14ac:dyDescent="0.35">
      <c r="B294" s="7"/>
      <c r="C294" s="7"/>
      <c r="D294" s="7"/>
      <c r="E294" s="7"/>
      <c r="F294" s="7"/>
    </row>
    <row r="295" spans="2:6" ht="15" customHeight="1" x14ac:dyDescent="0.35">
      <c r="B295" s="9"/>
      <c r="C295" s="9"/>
      <c r="D295" s="9"/>
      <c r="E295" s="9"/>
      <c r="F295" s="9"/>
    </row>
    <row r="296" spans="2:6" ht="15" customHeight="1" x14ac:dyDescent="0.35">
      <c r="B296" s="7"/>
      <c r="C296" s="7"/>
      <c r="D296" s="7"/>
      <c r="E296" s="7"/>
      <c r="F296" s="7"/>
    </row>
    <row r="297" spans="2:6" ht="15" customHeight="1" x14ac:dyDescent="0.35">
      <c r="B297" s="9"/>
      <c r="C297" s="9"/>
      <c r="D297" s="9"/>
      <c r="E297" s="9"/>
      <c r="F297" s="9"/>
    </row>
    <row r="298" spans="2:6" ht="15" customHeight="1" x14ac:dyDescent="0.35">
      <c r="B298" s="7"/>
      <c r="C298" s="7"/>
      <c r="D298" s="7"/>
      <c r="E298" s="7"/>
      <c r="F298" s="7"/>
    </row>
    <row r="299" spans="2:6" ht="15" customHeight="1" x14ac:dyDescent="0.35">
      <c r="B299" s="9"/>
      <c r="C299" s="9"/>
      <c r="D299" s="9"/>
      <c r="E299" s="9"/>
      <c r="F299" s="9"/>
    </row>
    <row r="300" spans="2:6" ht="15" customHeight="1" x14ac:dyDescent="0.35">
      <c r="B300" s="7"/>
      <c r="C300" s="7"/>
      <c r="D300" s="7"/>
      <c r="E300" s="7"/>
      <c r="F300" s="7"/>
    </row>
    <row r="301" spans="2:6" ht="15" customHeight="1" x14ac:dyDescent="0.35">
      <c r="B301" s="9"/>
      <c r="C301" s="9"/>
      <c r="D301" s="9"/>
      <c r="E301" s="9"/>
      <c r="F301" s="9"/>
    </row>
    <row r="302" spans="2:6" ht="15" customHeight="1" x14ac:dyDescent="0.35">
      <c r="B302" s="7"/>
      <c r="C302" s="7"/>
      <c r="D302" s="7"/>
      <c r="E302" s="7"/>
      <c r="F302" s="7"/>
    </row>
    <row r="303" spans="2:6" ht="15" customHeight="1" x14ac:dyDescent="0.35">
      <c r="B303" s="9"/>
      <c r="C303" s="9"/>
      <c r="D303" s="9"/>
      <c r="E303" s="9"/>
      <c r="F303" s="9"/>
    </row>
    <row r="304" spans="2:6" ht="15" customHeight="1" x14ac:dyDescent="0.35">
      <c r="B304" s="7"/>
      <c r="C304" s="7"/>
      <c r="D304" s="7"/>
      <c r="E304" s="7"/>
      <c r="F304" s="7"/>
    </row>
    <row r="305" spans="2:6" ht="15" customHeight="1" x14ac:dyDescent="0.35">
      <c r="B305" s="9"/>
      <c r="C305" s="9"/>
      <c r="D305" s="9"/>
      <c r="E305" s="9"/>
      <c r="F305" s="9"/>
    </row>
    <row r="306" spans="2:6" ht="15" customHeight="1" x14ac:dyDescent="0.35">
      <c r="B306" s="7"/>
      <c r="C306" s="7"/>
      <c r="D306" s="7"/>
      <c r="E306" s="7"/>
      <c r="F306" s="7"/>
    </row>
    <row r="307" spans="2:6" ht="15" customHeight="1" x14ac:dyDescent="0.35">
      <c r="B307" s="9"/>
      <c r="C307" s="9"/>
      <c r="D307" s="9"/>
      <c r="E307" s="9"/>
      <c r="F307" s="9"/>
    </row>
    <row r="308" spans="2:6" ht="15" customHeight="1" x14ac:dyDescent="0.35">
      <c r="B308" s="7"/>
      <c r="C308" s="7"/>
      <c r="D308" s="7"/>
      <c r="E308" s="7"/>
      <c r="F308" s="7"/>
    </row>
    <row r="309" spans="2:6" ht="15" customHeight="1" x14ac:dyDescent="0.35">
      <c r="B309" s="9"/>
      <c r="C309" s="9"/>
      <c r="D309" s="9"/>
      <c r="E309" s="9"/>
      <c r="F309" s="9"/>
    </row>
    <row r="310" spans="2:6" ht="15" customHeight="1" x14ac:dyDescent="0.35">
      <c r="B310" s="7"/>
      <c r="C310" s="7"/>
      <c r="D310" s="7"/>
      <c r="E310" s="7"/>
      <c r="F310" s="7"/>
    </row>
    <row r="311" spans="2:6" ht="15" customHeight="1" x14ac:dyDescent="0.35">
      <c r="B311" s="9"/>
      <c r="C311" s="9"/>
      <c r="D311" s="9"/>
      <c r="E311" s="9"/>
      <c r="F311" s="9"/>
    </row>
    <row r="312" spans="2:6" ht="15" customHeight="1" x14ac:dyDescent="0.35">
      <c r="B312" s="7"/>
      <c r="C312" s="7"/>
      <c r="D312" s="7"/>
      <c r="E312" s="7"/>
      <c r="F312" s="7"/>
    </row>
    <row r="313" spans="2:6" ht="15" customHeight="1" x14ac:dyDescent="0.35">
      <c r="B313" s="9"/>
      <c r="C313" s="9"/>
      <c r="D313" s="9"/>
      <c r="E313" s="9"/>
      <c r="F313" s="9"/>
    </row>
    <row r="314" spans="2:6" ht="15" customHeight="1" x14ac:dyDescent="0.35">
      <c r="B314" s="7"/>
      <c r="C314" s="7"/>
      <c r="D314" s="7"/>
      <c r="E314" s="7"/>
      <c r="F314" s="7"/>
    </row>
    <row r="315" spans="2:6" ht="15" customHeight="1" x14ac:dyDescent="0.35">
      <c r="B315" s="9"/>
      <c r="C315" s="9"/>
      <c r="D315" s="9"/>
      <c r="E315" s="9"/>
      <c r="F315" s="9"/>
    </row>
    <row r="316" spans="2:6" ht="15" customHeight="1" x14ac:dyDescent="0.35">
      <c r="B316" s="7"/>
      <c r="C316" s="7"/>
      <c r="D316" s="7"/>
      <c r="E316" s="7"/>
      <c r="F316" s="7"/>
    </row>
    <row r="317" spans="2:6" ht="15" customHeight="1" x14ac:dyDescent="0.35">
      <c r="B317" s="9"/>
      <c r="C317" s="9"/>
      <c r="D317" s="9"/>
      <c r="E317" s="9"/>
      <c r="F317" s="9"/>
    </row>
    <row r="318" spans="2:6" ht="15" customHeight="1" x14ac:dyDescent="0.35">
      <c r="B318" s="7"/>
      <c r="C318" s="7"/>
      <c r="D318" s="7"/>
      <c r="E318" s="7"/>
      <c r="F318" s="7"/>
    </row>
    <row r="319" spans="2:6" ht="15" customHeight="1" x14ac:dyDescent="0.35">
      <c r="B319" s="9"/>
      <c r="C319" s="9"/>
      <c r="D319" s="9"/>
      <c r="E319" s="9"/>
      <c r="F319" s="9"/>
    </row>
    <row r="320" spans="2:6" ht="15" customHeight="1" x14ac:dyDescent="0.35">
      <c r="B320" s="7"/>
      <c r="C320" s="7"/>
      <c r="D320" s="7"/>
      <c r="E320" s="7"/>
      <c r="F320" s="7"/>
    </row>
    <row r="321" spans="2:6" ht="15" customHeight="1" x14ac:dyDescent="0.35">
      <c r="B321" s="9"/>
      <c r="C321" s="9"/>
      <c r="D321" s="9"/>
      <c r="E321" s="9"/>
      <c r="F321" s="9"/>
    </row>
    <row r="322" spans="2:6" ht="15" customHeight="1" x14ac:dyDescent="0.35">
      <c r="B322" s="7"/>
      <c r="C322" s="7"/>
      <c r="D322" s="7"/>
      <c r="E322" s="7"/>
      <c r="F322" s="7"/>
    </row>
    <row r="323" spans="2:6" ht="15" customHeight="1" x14ac:dyDescent="0.35">
      <c r="B323" s="9"/>
      <c r="C323" s="9"/>
      <c r="D323" s="9"/>
      <c r="E323" s="9"/>
      <c r="F323" s="9"/>
    </row>
    <row r="324" spans="2:6" ht="15" customHeight="1" x14ac:dyDescent="0.35">
      <c r="B324" s="7"/>
      <c r="C324" s="7"/>
      <c r="D324" s="7"/>
      <c r="E324" s="7"/>
      <c r="F324" s="7"/>
    </row>
    <row r="325" spans="2:6" ht="15" customHeight="1" x14ac:dyDescent="0.35">
      <c r="B325" s="9"/>
      <c r="C325" s="9"/>
      <c r="D325" s="9"/>
      <c r="E325" s="9"/>
      <c r="F325" s="9"/>
    </row>
    <row r="326" spans="2:6" ht="15" customHeight="1" x14ac:dyDescent="0.35">
      <c r="B326" s="7"/>
      <c r="C326" s="7"/>
      <c r="D326" s="7"/>
      <c r="E326" s="7"/>
      <c r="F326" s="7"/>
    </row>
    <row r="327" spans="2:6" ht="15" customHeight="1" x14ac:dyDescent="0.35">
      <c r="B327" s="9"/>
      <c r="C327" s="9"/>
      <c r="D327" s="9"/>
      <c r="E327" s="9"/>
      <c r="F327" s="9"/>
    </row>
    <row r="328" spans="2:6" ht="15" customHeight="1" x14ac:dyDescent="0.35">
      <c r="B328" s="7"/>
      <c r="C328" s="7"/>
      <c r="D328" s="7"/>
      <c r="E328" s="7"/>
      <c r="F328" s="7"/>
    </row>
    <row r="329" spans="2:6" ht="15" customHeight="1" x14ac:dyDescent="0.35">
      <c r="B329" s="9"/>
      <c r="C329" s="9"/>
      <c r="D329" s="9"/>
      <c r="E329" s="9"/>
      <c r="F329" s="9"/>
    </row>
    <row r="330" spans="2:6" ht="15" customHeight="1" x14ac:dyDescent="0.35">
      <c r="B330" s="7"/>
      <c r="C330" s="7"/>
      <c r="D330" s="7"/>
      <c r="E330" s="7"/>
      <c r="F330" s="7"/>
    </row>
    <row r="331" spans="2:6" ht="15" customHeight="1" x14ac:dyDescent="0.35">
      <c r="B331" s="9"/>
      <c r="C331" s="9"/>
      <c r="D331" s="9"/>
      <c r="E331" s="9"/>
      <c r="F331" s="9"/>
    </row>
    <row r="332" spans="2:6" ht="15" customHeight="1" x14ac:dyDescent="0.35">
      <c r="B332" s="7"/>
      <c r="C332" s="7"/>
      <c r="D332" s="7"/>
      <c r="E332" s="7"/>
      <c r="F332" s="7"/>
    </row>
    <row r="333" spans="2:6" ht="15" customHeight="1" x14ac:dyDescent="0.35">
      <c r="B333" s="9"/>
      <c r="C333" s="9"/>
      <c r="D333" s="9"/>
      <c r="E333" s="9"/>
      <c r="F333" s="9"/>
    </row>
    <row r="334" spans="2:6" ht="15" customHeight="1" x14ac:dyDescent="0.35">
      <c r="B334" s="7"/>
      <c r="C334" s="7"/>
      <c r="D334" s="7"/>
      <c r="E334" s="7"/>
      <c r="F334" s="7"/>
    </row>
    <row r="335" spans="2:6" ht="15" customHeight="1" x14ac:dyDescent="0.35">
      <c r="B335" s="9"/>
      <c r="C335" s="9"/>
      <c r="D335" s="9"/>
      <c r="E335" s="9"/>
      <c r="F335" s="9"/>
    </row>
    <row r="336" spans="2:6" ht="15" customHeight="1" x14ac:dyDescent="0.35">
      <c r="B336" s="7"/>
      <c r="C336" s="7"/>
      <c r="D336" s="7"/>
      <c r="E336" s="7"/>
      <c r="F336" s="7"/>
    </row>
    <row r="337" spans="2:6" ht="15" customHeight="1" x14ac:dyDescent="0.35">
      <c r="B337" s="9"/>
      <c r="C337" s="9"/>
      <c r="D337" s="9"/>
      <c r="E337" s="9"/>
      <c r="F337" s="9"/>
    </row>
    <row r="338" spans="2:6" ht="15" customHeight="1" x14ac:dyDescent="0.35">
      <c r="B338" s="7"/>
      <c r="C338" s="7"/>
      <c r="D338" s="7"/>
      <c r="E338" s="7"/>
      <c r="F338" s="7"/>
    </row>
    <row r="339" spans="2:6" ht="15" customHeight="1" x14ac:dyDescent="0.35">
      <c r="B339" s="9"/>
      <c r="C339" s="9"/>
      <c r="D339" s="9"/>
      <c r="E339" s="9"/>
      <c r="F339" s="9"/>
    </row>
    <row r="340" spans="2:6" ht="15" customHeight="1" x14ac:dyDescent="0.35">
      <c r="B340" s="7"/>
      <c r="C340" s="7"/>
      <c r="D340" s="7"/>
      <c r="E340" s="7"/>
      <c r="F340" s="7"/>
    </row>
    <row r="341" spans="2:6" ht="15" customHeight="1" x14ac:dyDescent="0.35">
      <c r="B341" s="9"/>
      <c r="C341" s="9"/>
      <c r="D341" s="9"/>
      <c r="E341" s="9"/>
      <c r="F341" s="9"/>
    </row>
    <row r="342" spans="2:6" ht="15" customHeight="1" x14ac:dyDescent="0.35">
      <c r="B342" s="7"/>
      <c r="C342" s="7"/>
      <c r="D342" s="7"/>
      <c r="E342" s="7"/>
      <c r="F342" s="7"/>
    </row>
    <row r="343" spans="2:6" ht="15" customHeight="1" x14ac:dyDescent="0.35">
      <c r="B343" s="9"/>
      <c r="C343" s="9"/>
      <c r="D343" s="9"/>
      <c r="E343" s="9"/>
      <c r="F343" s="9"/>
    </row>
    <row r="344" spans="2:6" ht="15" customHeight="1" x14ac:dyDescent="0.35">
      <c r="B344" s="7"/>
      <c r="C344" s="7"/>
      <c r="D344" s="7"/>
      <c r="E344" s="7"/>
      <c r="F344" s="7"/>
    </row>
    <row r="345" spans="2:6" ht="15" customHeight="1" x14ac:dyDescent="0.35">
      <c r="B345" s="9"/>
      <c r="C345" s="9"/>
      <c r="D345" s="9"/>
      <c r="E345" s="9"/>
      <c r="F345" s="9"/>
    </row>
    <row r="346" spans="2:6" ht="15" customHeight="1" x14ac:dyDescent="0.35">
      <c r="B346" s="7"/>
      <c r="C346" s="7"/>
      <c r="D346" s="7"/>
      <c r="E346" s="7"/>
      <c r="F346" s="7"/>
    </row>
    <row r="347" spans="2:6" ht="15" customHeight="1" x14ac:dyDescent="0.35">
      <c r="B347" s="9"/>
      <c r="C347" s="9"/>
      <c r="D347" s="9"/>
      <c r="E347" s="9"/>
      <c r="F347" s="9"/>
    </row>
    <row r="348" spans="2:6" ht="15" customHeight="1" x14ac:dyDescent="0.35">
      <c r="B348" s="7"/>
      <c r="C348" s="7"/>
      <c r="D348" s="7"/>
      <c r="E348" s="7"/>
      <c r="F348" s="7"/>
    </row>
    <row r="349" spans="2:6" ht="15" customHeight="1" x14ac:dyDescent="0.35">
      <c r="B349" s="9"/>
      <c r="C349" s="9"/>
      <c r="D349" s="9"/>
      <c r="E349" s="9"/>
      <c r="F349" s="9"/>
    </row>
    <row r="350" spans="2:6" ht="15" customHeight="1" x14ac:dyDescent="0.35">
      <c r="B350" s="7"/>
      <c r="C350" s="7"/>
      <c r="D350" s="7"/>
      <c r="E350" s="7"/>
      <c r="F350" s="7"/>
    </row>
    <row r="351" spans="2:6" ht="15" customHeight="1" x14ac:dyDescent="0.35">
      <c r="B351" s="9"/>
      <c r="C351" s="9"/>
      <c r="D351" s="9"/>
      <c r="E351" s="9"/>
      <c r="F351" s="9"/>
    </row>
    <row r="352" spans="2:6" ht="15" customHeight="1" x14ac:dyDescent="0.35">
      <c r="B352" s="7"/>
      <c r="C352" s="7"/>
      <c r="D352" s="7"/>
      <c r="E352" s="7"/>
      <c r="F352" s="7"/>
    </row>
    <row r="353" spans="2:6" ht="15" customHeight="1" x14ac:dyDescent="0.35">
      <c r="B353" s="9"/>
      <c r="C353" s="9"/>
      <c r="D353" s="9"/>
      <c r="E353" s="9"/>
      <c r="F353" s="9"/>
    </row>
    <row r="354" spans="2:6" ht="15" customHeight="1" x14ac:dyDescent="0.35">
      <c r="B354" s="7"/>
      <c r="C354" s="7"/>
      <c r="D354" s="7"/>
      <c r="E354" s="7"/>
      <c r="F354" s="7"/>
    </row>
    <row r="355" spans="2:6" ht="15" customHeight="1" x14ac:dyDescent="0.35">
      <c r="B355" s="9"/>
      <c r="C355" s="9"/>
      <c r="D355" s="9"/>
      <c r="E355" s="9"/>
      <c r="F355" s="9"/>
    </row>
    <row r="356" spans="2:6" ht="15" customHeight="1" x14ac:dyDescent="0.35">
      <c r="B356" s="7"/>
      <c r="C356" s="7"/>
      <c r="D356" s="7"/>
      <c r="E356" s="7"/>
      <c r="F356" s="7"/>
    </row>
    <row r="357" spans="2:6" ht="15" customHeight="1" x14ac:dyDescent="0.35">
      <c r="B357" s="9"/>
      <c r="C357" s="9"/>
      <c r="D357" s="9"/>
      <c r="E357" s="9"/>
      <c r="F357" s="9"/>
    </row>
    <row r="358" spans="2:6" ht="15" customHeight="1" x14ac:dyDescent="0.35">
      <c r="B358" s="7"/>
      <c r="C358" s="7"/>
      <c r="D358" s="7"/>
      <c r="E358" s="7"/>
      <c r="F358" s="7"/>
    </row>
    <row r="359" spans="2:6" ht="15" customHeight="1" x14ac:dyDescent="0.35">
      <c r="B359" s="9"/>
      <c r="C359" s="9"/>
      <c r="D359" s="9"/>
      <c r="E359" s="9"/>
      <c r="F359" s="9"/>
    </row>
    <row r="360" spans="2:6" ht="15" customHeight="1" x14ac:dyDescent="0.35">
      <c r="B360" s="7"/>
      <c r="C360" s="7"/>
      <c r="D360" s="7"/>
      <c r="E360" s="7"/>
      <c r="F360" s="7"/>
    </row>
    <row r="361" spans="2:6" ht="15" customHeight="1" x14ac:dyDescent="0.35">
      <c r="B361" s="9"/>
      <c r="C361" s="9"/>
      <c r="D361" s="9"/>
      <c r="E361" s="9"/>
      <c r="F361" s="9"/>
    </row>
    <row r="362" spans="2:6" ht="15" customHeight="1" x14ac:dyDescent="0.35">
      <c r="B362" s="7"/>
      <c r="C362" s="7"/>
      <c r="D362" s="7"/>
      <c r="E362" s="7"/>
      <c r="F362" s="7"/>
    </row>
    <row r="363" spans="2:6" ht="15" customHeight="1" x14ac:dyDescent="0.35">
      <c r="B363" s="9"/>
      <c r="C363" s="9"/>
      <c r="D363" s="9"/>
      <c r="E363" s="9"/>
      <c r="F363" s="9"/>
    </row>
    <row r="364" spans="2:6" ht="15" customHeight="1" x14ac:dyDescent="0.35">
      <c r="B364" s="7"/>
      <c r="C364" s="7"/>
      <c r="D364" s="7"/>
      <c r="E364" s="7"/>
      <c r="F364" s="7"/>
    </row>
    <row r="365" spans="2:6" ht="15" customHeight="1" x14ac:dyDescent="0.35">
      <c r="B365" s="9"/>
      <c r="C365" s="9"/>
      <c r="D365" s="9"/>
      <c r="E365" s="9"/>
      <c r="F365" s="9"/>
    </row>
    <row r="366" spans="2:6" ht="15" customHeight="1" x14ac:dyDescent="0.35">
      <c r="B366" s="7"/>
      <c r="C366" s="7"/>
      <c r="D366" s="7"/>
      <c r="E366" s="7"/>
      <c r="F366" s="7"/>
    </row>
    <row r="367" spans="2:6" ht="15" customHeight="1" x14ac:dyDescent="0.35">
      <c r="B367" s="9"/>
      <c r="C367" s="9"/>
      <c r="D367" s="9"/>
      <c r="E367" s="9"/>
      <c r="F367" s="9"/>
    </row>
    <row r="368" spans="2:6" ht="15" customHeight="1" x14ac:dyDescent="0.35">
      <c r="B368" s="7"/>
      <c r="C368" s="7"/>
      <c r="D368" s="7"/>
      <c r="E368" s="7"/>
      <c r="F368" s="7"/>
    </row>
    <row r="369" spans="2:6" ht="15" customHeight="1" x14ac:dyDescent="0.35">
      <c r="B369" s="9"/>
      <c r="C369" s="9"/>
      <c r="D369" s="9"/>
      <c r="E369" s="9"/>
      <c r="F369" s="9"/>
    </row>
    <row r="370" spans="2:6" ht="15" customHeight="1" x14ac:dyDescent="0.35">
      <c r="B370" s="7"/>
      <c r="C370" s="7"/>
      <c r="D370" s="7"/>
      <c r="E370" s="7"/>
      <c r="F370" s="7"/>
    </row>
    <row r="371" spans="2:6" ht="15" customHeight="1" x14ac:dyDescent="0.35">
      <c r="B371" s="9"/>
      <c r="C371" s="9"/>
      <c r="D371" s="9"/>
      <c r="E371" s="9"/>
      <c r="F371" s="9"/>
    </row>
    <row r="372" spans="2:6" ht="15" customHeight="1" x14ac:dyDescent="0.35">
      <c r="B372" s="7"/>
      <c r="C372" s="7"/>
      <c r="D372" s="7"/>
      <c r="E372" s="7"/>
      <c r="F372" s="7"/>
    </row>
    <row r="373" spans="2:6" ht="15" customHeight="1" x14ac:dyDescent="0.35">
      <c r="B373" s="9"/>
      <c r="C373" s="9"/>
      <c r="D373" s="9"/>
      <c r="E373" s="9"/>
      <c r="F373" s="9"/>
    </row>
    <row r="374" spans="2:6" ht="15" customHeight="1" x14ac:dyDescent="0.35">
      <c r="B374" s="7"/>
      <c r="C374" s="7"/>
      <c r="D374" s="7"/>
      <c r="E374" s="7"/>
      <c r="F374" s="7"/>
    </row>
    <row r="375" spans="2:6" ht="15" customHeight="1" x14ac:dyDescent="0.35">
      <c r="B375" s="9"/>
      <c r="C375" s="9"/>
      <c r="D375" s="9"/>
      <c r="E375" s="9"/>
      <c r="F375" s="9"/>
    </row>
    <row r="376" spans="2:6" ht="15" customHeight="1" x14ac:dyDescent="0.35">
      <c r="B376" s="7"/>
      <c r="C376" s="7"/>
      <c r="D376" s="7"/>
      <c r="E376" s="7"/>
      <c r="F376" s="7"/>
    </row>
    <row r="377" spans="2:6" ht="15" customHeight="1" x14ac:dyDescent="0.35">
      <c r="B377" s="9"/>
      <c r="C377" s="9"/>
      <c r="D377" s="9"/>
      <c r="E377" s="9"/>
      <c r="F377" s="9"/>
    </row>
    <row r="378" spans="2:6" ht="15" customHeight="1" x14ac:dyDescent="0.35">
      <c r="B378" s="7"/>
      <c r="C378" s="7"/>
      <c r="D378" s="7"/>
      <c r="E378" s="7"/>
      <c r="F378" s="7"/>
    </row>
    <row r="379" spans="2:6" ht="15" customHeight="1" x14ac:dyDescent="0.35">
      <c r="B379" s="9"/>
      <c r="C379" s="9"/>
      <c r="D379" s="9"/>
      <c r="E379" s="9"/>
      <c r="F379" s="9"/>
    </row>
    <row r="380" spans="2:6" ht="15" customHeight="1" x14ac:dyDescent="0.35">
      <c r="B380" s="7"/>
      <c r="C380" s="7"/>
      <c r="D380" s="7"/>
      <c r="E380" s="7"/>
      <c r="F380" s="7"/>
    </row>
    <row r="381" spans="2:6" ht="15" customHeight="1" x14ac:dyDescent="0.35">
      <c r="B381" s="9"/>
      <c r="C381" s="9"/>
      <c r="D381" s="9"/>
      <c r="E381" s="9"/>
      <c r="F381" s="9"/>
    </row>
    <row r="382" spans="2:6" ht="15" customHeight="1" x14ac:dyDescent="0.35">
      <c r="B382" s="7"/>
      <c r="C382" s="7"/>
      <c r="D382" s="7"/>
      <c r="E382" s="7"/>
      <c r="F382" s="7"/>
    </row>
    <row r="383" spans="2:6" ht="15" customHeight="1" x14ac:dyDescent="0.35">
      <c r="B383" s="9"/>
      <c r="C383" s="9"/>
      <c r="D383" s="9"/>
      <c r="E383" s="9"/>
      <c r="F383" s="9"/>
    </row>
    <row r="384" spans="2:6" ht="15" customHeight="1" x14ac:dyDescent="0.35">
      <c r="B384" s="7"/>
      <c r="C384" s="7"/>
      <c r="D384" s="7"/>
      <c r="E384" s="7"/>
      <c r="F384" s="7"/>
    </row>
    <row r="385" spans="2:6" ht="15" customHeight="1" x14ac:dyDescent="0.35">
      <c r="B385" s="9"/>
      <c r="C385" s="9"/>
      <c r="D385" s="9"/>
      <c r="E385" s="9"/>
      <c r="F385" s="9"/>
    </row>
    <row r="386" spans="2:6" ht="15" customHeight="1" x14ac:dyDescent="0.35">
      <c r="B386" s="7"/>
      <c r="C386" s="7"/>
      <c r="D386" s="7"/>
      <c r="E386" s="7"/>
      <c r="F386" s="7"/>
    </row>
    <row r="387" spans="2:6" ht="15" customHeight="1" x14ac:dyDescent="0.35">
      <c r="B387" s="9"/>
      <c r="C387" s="9"/>
      <c r="D387" s="9"/>
      <c r="E387" s="9"/>
      <c r="F387" s="9"/>
    </row>
    <row r="388" spans="2:6" ht="15" customHeight="1" x14ac:dyDescent="0.35">
      <c r="B388" s="7"/>
      <c r="C388" s="7"/>
      <c r="D388" s="7"/>
      <c r="E388" s="7"/>
      <c r="F388" s="7"/>
    </row>
    <row r="389" spans="2:6" ht="15" customHeight="1" x14ac:dyDescent="0.35">
      <c r="B389" s="9"/>
      <c r="C389" s="9"/>
      <c r="D389" s="9"/>
      <c r="E389" s="9"/>
      <c r="F389" s="9"/>
    </row>
    <row r="390" spans="2:6" ht="15" customHeight="1" x14ac:dyDescent="0.35">
      <c r="B390" s="7"/>
      <c r="C390" s="7"/>
      <c r="D390" s="7"/>
      <c r="E390" s="7"/>
      <c r="F390" s="7"/>
    </row>
    <row r="391" spans="2:6" ht="15" customHeight="1" x14ac:dyDescent="0.35">
      <c r="B391" s="9"/>
      <c r="C391" s="9"/>
      <c r="D391" s="9"/>
      <c r="E391" s="9"/>
      <c r="F391" s="9"/>
    </row>
    <row r="392" spans="2:6" ht="15" customHeight="1" x14ac:dyDescent="0.35">
      <c r="B392" s="7"/>
      <c r="C392" s="7"/>
      <c r="D392" s="7"/>
      <c r="E392" s="7"/>
      <c r="F392" s="7"/>
    </row>
    <row r="393" spans="2:6" ht="15" customHeight="1" x14ac:dyDescent="0.35">
      <c r="B393" s="9"/>
      <c r="C393" s="9"/>
      <c r="D393" s="9"/>
      <c r="E393" s="9"/>
      <c r="F393" s="9"/>
    </row>
    <row r="394" spans="2:6" ht="15" customHeight="1" x14ac:dyDescent="0.35">
      <c r="B394" s="7"/>
      <c r="C394" s="7"/>
      <c r="D394" s="7"/>
      <c r="E394" s="7"/>
      <c r="F394" s="7"/>
    </row>
    <row r="395" spans="2:6" ht="15" customHeight="1" x14ac:dyDescent="0.35">
      <c r="B395" s="9"/>
      <c r="C395" s="9"/>
      <c r="D395" s="9"/>
      <c r="E395" s="9"/>
      <c r="F395" s="9"/>
    </row>
    <row r="396" spans="2:6" ht="15" customHeight="1" x14ac:dyDescent="0.35">
      <c r="B396" s="7"/>
      <c r="C396" s="7"/>
      <c r="D396" s="7"/>
      <c r="E396" s="7"/>
      <c r="F396" s="7"/>
    </row>
    <row r="397" spans="2:6" ht="15" customHeight="1" x14ac:dyDescent="0.35">
      <c r="B397" s="9"/>
      <c r="C397" s="9"/>
      <c r="D397" s="9"/>
      <c r="E397" s="9"/>
      <c r="F397" s="9"/>
    </row>
    <row r="398" spans="2:6" ht="15" customHeight="1" x14ac:dyDescent="0.35">
      <c r="B398" s="7"/>
      <c r="C398" s="7"/>
      <c r="D398" s="7"/>
      <c r="E398" s="7"/>
      <c r="F398" s="7"/>
    </row>
    <row r="399" spans="2:6" ht="15" customHeight="1" x14ac:dyDescent="0.35">
      <c r="B399" s="9"/>
      <c r="C399" s="9"/>
      <c r="D399" s="9"/>
      <c r="E399" s="9"/>
      <c r="F399" s="9"/>
    </row>
    <row r="400" spans="2:6" ht="15" customHeight="1" x14ac:dyDescent="0.35">
      <c r="B400" s="7"/>
      <c r="C400" s="7"/>
      <c r="D400" s="7"/>
      <c r="E400" s="7"/>
      <c r="F400" s="7"/>
    </row>
    <row r="401" spans="2:6" ht="15" customHeight="1" x14ac:dyDescent="0.35">
      <c r="B401" s="9"/>
      <c r="C401" s="9"/>
      <c r="D401" s="9"/>
      <c r="E401" s="9"/>
      <c r="F401" s="9"/>
    </row>
    <row r="402" spans="2:6" ht="15" customHeight="1" x14ac:dyDescent="0.35">
      <c r="B402" s="7"/>
      <c r="C402" s="7"/>
      <c r="D402" s="7"/>
      <c r="E402" s="7"/>
      <c r="F402" s="7"/>
    </row>
    <row r="403" spans="2:6" ht="15" customHeight="1" x14ac:dyDescent="0.35">
      <c r="B403" s="9"/>
      <c r="C403" s="9"/>
      <c r="D403" s="9"/>
      <c r="E403" s="9"/>
      <c r="F403" s="9"/>
    </row>
    <row r="404" spans="2:6" ht="15" customHeight="1" x14ac:dyDescent="0.35">
      <c r="B404" s="7"/>
      <c r="C404" s="7"/>
      <c r="D404" s="7"/>
      <c r="E404" s="7"/>
      <c r="F404" s="7"/>
    </row>
    <row r="405" spans="2:6" ht="15" customHeight="1" x14ac:dyDescent="0.35">
      <c r="B405" s="9"/>
      <c r="C405" s="9"/>
      <c r="D405" s="9"/>
      <c r="E405" s="9"/>
      <c r="F405" s="9"/>
    </row>
    <row r="406" spans="2:6" ht="15" customHeight="1" x14ac:dyDescent="0.35">
      <c r="B406" s="7"/>
      <c r="C406" s="7"/>
      <c r="D406" s="7"/>
      <c r="E406" s="7"/>
      <c r="F406" s="7"/>
    </row>
    <row r="407" spans="2:6" ht="15" customHeight="1" x14ac:dyDescent="0.35">
      <c r="B407" s="9"/>
      <c r="C407" s="9"/>
      <c r="D407" s="9"/>
      <c r="E407" s="9"/>
      <c r="F407" s="9"/>
    </row>
    <row r="408" spans="2:6" ht="15" customHeight="1" x14ac:dyDescent="0.35">
      <c r="B408" s="7"/>
      <c r="C408" s="7"/>
      <c r="D408" s="7"/>
      <c r="E408" s="7"/>
      <c r="F408" s="7"/>
    </row>
    <row r="409" spans="2:6" ht="15" customHeight="1" x14ac:dyDescent="0.35">
      <c r="B409" s="9"/>
      <c r="C409" s="9"/>
      <c r="D409" s="9"/>
      <c r="E409" s="9"/>
      <c r="F409" s="9"/>
    </row>
    <row r="410" spans="2:6" ht="15" customHeight="1" x14ac:dyDescent="0.35">
      <c r="B410" s="7"/>
      <c r="C410" s="7"/>
      <c r="D410" s="7"/>
      <c r="E410" s="7"/>
      <c r="F410" s="7"/>
    </row>
    <row r="411" spans="2:6" ht="15" customHeight="1" x14ac:dyDescent="0.35">
      <c r="B411" s="9"/>
      <c r="C411" s="9"/>
      <c r="D411" s="9"/>
      <c r="E411" s="9"/>
      <c r="F411" s="9"/>
    </row>
    <row r="412" spans="2:6" ht="15" customHeight="1" x14ac:dyDescent="0.35">
      <c r="B412" s="7"/>
      <c r="C412" s="7"/>
      <c r="D412" s="7"/>
      <c r="E412" s="7"/>
      <c r="F412" s="7"/>
    </row>
    <row r="413" spans="2:6" ht="15" customHeight="1" x14ac:dyDescent="0.35">
      <c r="B413" s="9"/>
      <c r="C413" s="9"/>
      <c r="D413" s="9"/>
      <c r="E413" s="9"/>
      <c r="F413" s="9"/>
    </row>
    <row r="414" spans="2:6" ht="15" customHeight="1" x14ac:dyDescent="0.35">
      <c r="B414" s="7"/>
      <c r="C414" s="7"/>
      <c r="D414" s="7"/>
      <c r="E414" s="7"/>
      <c r="F414" s="7"/>
    </row>
    <row r="415" spans="2:6" ht="15" customHeight="1" x14ac:dyDescent="0.35">
      <c r="B415" s="9"/>
      <c r="C415" s="9"/>
      <c r="D415" s="9"/>
      <c r="E415" s="9"/>
      <c r="F415" s="9"/>
    </row>
    <row r="416" spans="2:6" ht="15" customHeight="1" x14ac:dyDescent="0.35">
      <c r="B416" s="7"/>
      <c r="C416" s="7"/>
      <c r="D416" s="7"/>
      <c r="E416" s="7"/>
      <c r="F416" s="7"/>
    </row>
    <row r="417" spans="2:6" ht="15" customHeight="1" x14ac:dyDescent="0.35">
      <c r="B417" s="9"/>
      <c r="C417" s="9"/>
      <c r="D417" s="9"/>
      <c r="E417" s="9"/>
      <c r="F417" s="9"/>
    </row>
    <row r="418" spans="2:6" ht="15" customHeight="1" x14ac:dyDescent="0.35">
      <c r="B418" s="7"/>
      <c r="C418" s="7"/>
      <c r="D418" s="7"/>
      <c r="E418" s="7"/>
      <c r="F418" s="7"/>
    </row>
    <row r="419" spans="2:6" ht="15" customHeight="1" x14ac:dyDescent="0.35">
      <c r="B419" s="9"/>
      <c r="C419" s="9"/>
      <c r="D419" s="9"/>
      <c r="E419" s="9"/>
      <c r="F419" s="9"/>
    </row>
    <row r="420" spans="2:6" ht="15" customHeight="1" x14ac:dyDescent="0.35">
      <c r="B420" s="7"/>
      <c r="C420" s="7"/>
      <c r="D420" s="7"/>
      <c r="E420" s="7"/>
      <c r="F420" s="7"/>
    </row>
    <row r="421" spans="2:6" ht="15" customHeight="1" x14ac:dyDescent="0.35">
      <c r="B421" s="9"/>
      <c r="C421" s="9"/>
      <c r="D421" s="9"/>
      <c r="E421" s="9"/>
      <c r="F421" s="9"/>
    </row>
    <row r="422" spans="2:6" ht="15" customHeight="1" x14ac:dyDescent="0.35">
      <c r="B422" s="7"/>
      <c r="C422" s="7"/>
      <c r="D422" s="7"/>
      <c r="E422" s="7"/>
      <c r="F422" s="7"/>
    </row>
    <row r="423" spans="2:6" ht="15" customHeight="1" x14ac:dyDescent="0.35">
      <c r="B423" s="9"/>
      <c r="C423" s="9"/>
      <c r="D423" s="9"/>
      <c r="E423" s="9"/>
      <c r="F423" s="9"/>
    </row>
    <row r="424" spans="2:6" ht="15" customHeight="1" x14ac:dyDescent="0.35">
      <c r="B424" s="7"/>
      <c r="C424" s="7"/>
      <c r="D424" s="7"/>
      <c r="E424" s="7"/>
      <c r="F424" s="7"/>
    </row>
    <row r="425" spans="2:6" ht="15" customHeight="1" x14ac:dyDescent="0.35">
      <c r="B425" s="9"/>
      <c r="C425" s="9"/>
      <c r="D425" s="9"/>
      <c r="E425" s="9"/>
      <c r="F425" s="9"/>
    </row>
    <row r="426" spans="2:6" ht="15" customHeight="1" x14ac:dyDescent="0.35">
      <c r="B426" s="7"/>
      <c r="C426" s="7"/>
      <c r="D426" s="7"/>
      <c r="E426" s="7"/>
      <c r="F426" s="7"/>
    </row>
    <row r="427" spans="2:6" ht="15" customHeight="1" x14ac:dyDescent="0.35">
      <c r="B427" s="9"/>
      <c r="C427" s="9"/>
      <c r="D427" s="9"/>
      <c r="E427" s="9"/>
      <c r="F427" s="9"/>
    </row>
    <row r="428" spans="2:6" ht="15" customHeight="1" x14ac:dyDescent="0.35">
      <c r="B428" s="7"/>
      <c r="C428" s="7"/>
      <c r="D428" s="7"/>
      <c r="E428" s="7"/>
      <c r="F428" s="7"/>
    </row>
    <row r="429" spans="2:6" ht="15" customHeight="1" x14ac:dyDescent="0.35">
      <c r="B429" s="9"/>
      <c r="C429" s="9"/>
      <c r="D429" s="9"/>
      <c r="E429" s="9"/>
      <c r="F429" s="9"/>
    </row>
    <row r="430" spans="2:6" ht="15" customHeight="1" x14ac:dyDescent="0.35">
      <c r="B430" s="7"/>
      <c r="C430" s="7"/>
      <c r="D430" s="7"/>
      <c r="E430" s="7"/>
      <c r="F430" s="7"/>
    </row>
    <row r="431" spans="2:6" ht="15" customHeight="1" x14ac:dyDescent="0.35">
      <c r="B431" s="9"/>
      <c r="C431" s="9"/>
      <c r="D431" s="9"/>
      <c r="E431" s="9"/>
      <c r="F431" s="9"/>
    </row>
    <row r="432" spans="2:6" ht="15" customHeight="1" x14ac:dyDescent="0.35">
      <c r="B432" s="7"/>
      <c r="C432" s="7"/>
      <c r="D432" s="7"/>
      <c r="E432" s="7"/>
      <c r="F432" s="7"/>
    </row>
    <row r="433" spans="2:6" ht="15" customHeight="1" x14ac:dyDescent="0.35">
      <c r="B433" s="9"/>
      <c r="C433" s="9"/>
      <c r="D433" s="9"/>
      <c r="E433" s="9"/>
      <c r="F433" s="9"/>
    </row>
    <row r="434" spans="2:6" ht="15" customHeight="1" x14ac:dyDescent="0.35">
      <c r="B434" s="7"/>
      <c r="C434" s="7"/>
      <c r="D434" s="7"/>
      <c r="E434" s="7"/>
      <c r="F434" s="7"/>
    </row>
    <row r="435" spans="2:6" ht="15" customHeight="1" x14ac:dyDescent="0.35">
      <c r="B435" s="9"/>
      <c r="C435" s="9"/>
      <c r="D435" s="9"/>
      <c r="E435" s="9"/>
      <c r="F435" s="9"/>
    </row>
    <row r="436" spans="2:6" ht="15" customHeight="1" x14ac:dyDescent="0.35">
      <c r="B436" s="7"/>
      <c r="C436" s="7"/>
      <c r="D436" s="7"/>
      <c r="E436" s="7"/>
      <c r="F436" s="7"/>
    </row>
    <row r="437" spans="2:6" ht="15" customHeight="1" x14ac:dyDescent="0.35">
      <c r="B437" s="9"/>
      <c r="C437" s="9"/>
      <c r="D437" s="9"/>
      <c r="E437" s="9"/>
      <c r="F437" s="9"/>
    </row>
    <row r="438" spans="2:6" ht="15" customHeight="1" x14ac:dyDescent="0.35">
      <c r="B438" s="7"/>
      <c r="C438" s="7"/>
      <c r="D438" s="7"/>
      <c r="E438" s="7"/>
      <c r="F438" s="7"/>
    </row>
    <row r="439" spans="2:6" ht="15" customHeight="1" x14ac:dyDescent="0.35">
      <c r="B439" s="9"/>
      <c r="C439" s="9"/>
      <c r="D439" s="9"/>
      <c r="E439" s="9"/>
      <c r="F439" s="9"/>
    </row>
    <row r="440" spans="2:6" ht="15" customHeight="1" x14ac:dyDescent="0.35">
      <c r="B440" s="7"/>
      <c r="C440" s="7"/>
      <c r="D440" s="7"/>
      <c r="E440" s="7"/>
      <c r="F440" s="7"/>
    </row>
    <row r="441" spans="2:6" ht="15" customHeight="1" x14ac:dyDescent="0.35">
      <c r="B441" s="9"/>
      <c r="C441" s="9"/>
      <c r="D441" s="9"/>
      <c r="E441" s="9"/>
      <c r="F441" s="9"/>
    </row>
    <row r="442" spans="2:6" ht="15" customHeight="1" x14ac:dyDescent="0.35">
      <c r="B442" s="7"/>
      <c r="C442" s="7"/>
      <c r="D442" s="7"/>
      <c r="E442" s="7"/>
      <c r="F442" s="7"/>
    </row>
    <row r="443" spans="2:6" ht="15" customHeight="1" x14ac:dyDescent="0.35">
      <c r="B443" s="9"/>
      <c r="C443" s="9"/>
      <c r="D443" s="9"/>
      <c r="E443" s="9"/>
      <c r="F443" s="9"/>
    </row>
    <row r="444" spans="2:6" ht="15" customHeight="1" x14ac:dyDescent="0.35">
      <c r="B444" s="7"/>
      <c r="C444" s="7"/>
      <c r="D444" s="7"/>
      <c r="E444" s="7"/>
      <c r="F444" s="7"/>
    </row>
    <row r="445" spans="2:6" ht="15" customHeight="1" x14ac:dyDescent="0.35">
      <c r="B445" s="9"/>
      <c r="C445" s="9"/>
      <c r="D445" s="9"/>
      <c r="E445" s="9"/>
      <c r="F445" s="9"/>
    </row>
    <row r="446" spans="2:6" ht="15" customHeight="1" x14ac:dyDescent="0.35">
      <c r="B446" s="7"/>
      <c r="C446" s="7"/>
      <c r="D446" s="7"/>
      <c r="E446" s="7"/>
      <c r="F446" s="7"/>
    </row>
    <row r="447" spans="2:6" ht="15" customHeight="1" x14ac:dyDescent="0.35">
      <c r="B447" s="9"/>
      <c r="C447" s="9"/>
      <c r="D447" s="9"/>
      <c r="E447" s="9"/>
      <c r="F447" s="9"/>
    </row>
    <row r="448" spans="2:6" ht="15" customHeight="1" x14ac:dyDescent="0.35">
      <c r="B448" s="7"/>
      <c r="C448" s="7"/>
      <c r="D448" s="7"/>
      <c r="E448" s="7"/>
      <c r="F448" s="7"/>
    </row>
    <row r="449" spans="2:6" ht="15" customHeight="1" x14ac:dyDescent="0.35">
      <c r="B449" s="9"/>
      <c r="C449" s="9"/>
      <c r="D449" s="9"/>
      <c r="E449" s="9"/>
      <c r="F449" s="9"/>
    </row>
    <row r="450" spans="2:6" ht="15" customHeight="1" x14ac:dyDescent="0.35">
      <c r="B450" s="7"/>
      <c r="C450" s="7"/>
      <c r="D450" s="7"/>
      <c r="E450" s="7"/>
      <c r="F450" s="7"/>
    </row>
    <row r="451" spans="2:6" ht="15" customHeight="1" x14ac:dyDescent="0.35">
      <c r="B451" s="9"/>
      <c r="C451" s="9"/>
      <c r="D451" s="9"/>
      <c r="E451" s="9"/>
      <c r="F451" s="9"/>
    </row>
    <row r="452" spans="2:6" ht="15" customHeight="1" x14ac:dyDescent="0.35">
      <c r="B452" s="7"/>
      <c r="C452" s="7"/>
      <c r="D452" s="7"/>
      <c r="E452" s="7"/>
      <c r="F452" s="7"/>
    </row>
    <row r="453" spans="2:6" ht="15" customHeight="1" x14ac:dyDescent="0.35">
      <c r="B453" s="9"/>
      <c r="C453" s="9"/>
      <c r="D453" s="9"/>
      <c r="E453" s="9"/>
      <c r="F453" s="9"/>
    </row>
    <row r="454" spans="2:6" ht="15" customHeight="1" x14ac:dyDescent="0.35">
      <c r="B454" s="7"/>
      <c r="C454" s="7"/>
      <c r="D454" s="7"/>
      <c r="E454" s="7"/>
      <c r="F454" s="7"/>
    </row>
    <row r="455" spans="2:6" ht="15" customHeight="1" x14ac:dyDescent="0.35">
      <c r="B455" s="9"/>
      <c r="C455" s="9"/>
      <c r="D455" s="9"/>
      <c r="E455" s="9"/>
      <c r="F455" s="9"/>
    </row>
    <row r="456" spans="2:6" ht="15" customHeight="1" x14ac:dyDescent="0.35">
      <c r="B456" s="7"/>
      <c r="C456" s="7"/>
      <c r="D456" s="7"/>
      <c r="E456" s="7"/>
      <c r="F456" s="7"/>
    </row>
    <row r="457" spans="2:6" ht="15" customHeight="1" x14ac:dyDescent="0.35">
      <c r="B457" s="9"/>
      <c r="C457" s="9"/>
      <c r="D457" s="9"/>
      <c r="E457" s="9"/>
      <c r="F457" s="9"/>
    </row>
    <row r="458" spans="2:6" ht="15" customHeight="1" x14ac:dyDescent="0.35">
      <c r="B458" s="7"/>
      <c r="C458" s="7"/>
      <c r="D458" s="7"/>
      <c r="E458" s="7"/>
      <c r="F458" s="7"/>
    </row>
    <row r="459" spans="2:6" ht="15" customHeight="1" x14ac:dyDescent="0.35">
      <c r="B459" s="9"/>
      <c r="C459" s="9"/>
      <c r="D459" s="9"/>
      <c r="E459" s="9"/>
      <c r="F459" s="9"/>
    </row>
    <row r="460" spans="2:6" ht="15" customHeight="1" x14ac:dyDescent="0.35">
      <c r="B460" s="7"/>
      <c r="C460" s="7"/>
      <c r="D460" s="7"/>
      <c r="E460" s="7"/>
      <c r="F460" s="7"/>
    </row>
    <row r="461" spans="2:6" ht="15" customHeight="1" x14ac:dyDescent="0.35">
      <c r="B461" s="9"/>
      <c r="C461" s="9"/>
      <c r="D461" s="9"/>
      <c r="E461" s="9"/>
      <c r="F461" s="9"/>
    </row>
    <row r="462" spans="2:6" ht="15" customHeight="1" x14ac:dyDescent="0.35">
      <c r="B462" s="7"/>
      <c r="C462" s="7"/>
      <c r="D462" s="7"/>
      <c r="E462" s="7"/>
      <c r="F462" s="7"/>
    </row>
    <row r="463" spans="2:6" ht="15" customHeight="1" x14ac:dyDescent="0.35">
      <c r="B463" s="9"/>
      <c r="C463" s="9"/>
      <c r="D463" s="9"/>
      <c r="E463" s="9"/>
      <c r="F463" s="9"/>
    </row>
    <row r="464" spans="2:6" ht="15" customHeight="1" x14ac:dyDescent="0.35">
      <c r="B464" s="7"/>
      <c r="C464" s="7"/>
      <c r="D464" s="7"/>
      <c r="E464" s="7"/>
      <c r="F464" s="7"/>
    </row>
    <row r="465" spans="2:6" ht="15" customHeight="1" x14ac:dyDescent="0.35">
      <c r="B465" s="9"/>
      <c r="C465" s="9"/>
      <c r="D465" s="9"/>
      <c r="E465" s="9"/>
      <c r="F465" s="9"/>
    </row>
    <row r="466" spans="2:6" ht="15" customHeight="1" x14ac:dyDescent="0.35">
      <c r="B466" s="7"/>
      <c r="C466" s="7"/>
      <c r="D466" s="7"/>
      <c r="E466" s="7"/>
      <c r="F466" s="7"/>
    </row>
    <row r="467" spans="2:6" ht="15" customHeight="1" x14ac:dyDescent="0.35">
      <c r="B467" s="9"/>
      <c r="C467" s="9"/>
      <c r="D467" s="9"/>
      <c r="E467" s="9"/>
      <c r="F467" s="9"/>
    </row>
    <row r="468" spans="2:6" ht="15" customHeight="1" x14ac:dyDescent="0.35">
      <c r="B468" s="7"/>
      <c r="C468" s="7"/>
      <c r="D468" s="7"/>
      <c r="E468" s="7"/>
      <c r="F468" s="7"/>
    </row>
    <row r="469" spans="2:6" ht="15" customHeight="1" x14ac:dyDescent="0.35">
      <c r="B469" s="9"/>
      <c r="C469" s="9"/>
      <c r="D469" s="9"/>
      <c r="E469" s="9"/>
      <c r="F469" s="9"/>
    </row>
    <row r="470" spans="2:6" ht="15" customHeight="1" x14ac:dyDescent="0.35">
      <c r="B470" s="7"/>
      <c r="C470" s="7"/>
      <c r="D470" s="7"/>
      <c r="E470" s="7"/>
      <c r="F470" s="7"/>
    </row>
    <row r="471" spans="2:6" ht="15" customHeight="1" x14ac:dyDescent="0.35">
      <c r="B471" s="9"/>
      <c r="C471" s="9"/>
      <c r="D471" s="9"/>
      <c r="E471" s="9"/>
      <c r="F471" s="9"/>
    </row>
    <row r="472" spans="2:6" ht="15" customHeight="1" x14ac:dyDescent="0.35">
      <c r="B472" s="7"/>
      <c r="C472" s="7"/>
      <c r="D472" s="7"/>
      <c r="E472" s="7"/>
      <c r="F472" s="7"/>
    </row>
    <row r="473" spans="2:6" ht="15" customHeight="1" x14ac:dyDescent="0.35">
      <c r="B473" s="9"/>
      <c r="C473" s="9"/>
      <c r="D473" s="9"/>
      <c r="E473" s="9"/>
      <c r="F473" s="9"/>
    </row>
    <row r="474" spans="2:6" ht="15" customHeight="1" x14ac:dyDescent="0.35">
      <c r="B474" s="7"/>
      <c r="C474" s="7"/>
      <c r="D474" s="7"/>
      <c r="E474" s="7"/>
      <c r="F474" s="7"/>
    </row>
    <row r="475" spans="2:6" ht="15" customHeight="1" x14ac:dyDescent="0.35">
      <c r="B475" s="9"/>
      <c r="C475" s="9"/>
      <c r="D475" s="9"/>
      <c r="E475" s="9"/>
      <c r="F475" s="9"/>
    </row>
    <row r="476" spans="2:6" ht="15" customHeight="1" x14ac:dyDescent="0.35">
      <c r="B476" s="7"/>
      <c r="C476" s="7"/>
      <c r="D476" s="7"/>
      <c r="E476" s="7"/>
      <c r="F476" s="7"/>
    </row>
    <row r="477" spans="2:6" ht="15" customHeight="1" x14ac:dyDescent="0.35">
      <c r="B477" s="9"/>
      <c r="C477" s="9"/>
      <c r="D477" s="9"/>
      <c r="E477" s="9"/>
      <c r="F477" s="9"/>
    </row>
    <row r="478" spans="2:6" ht="15" customHeight="1" x14ac:dyDescent="0.35">
      <c r="B478" s="7"/>
      <c r="C478" s="7"/>
      <c r="D478" s="7"/>
      <c r="E478" s="7"/>
      <c r="F478" s="7"/>
    </row>
    <row r="479" spans="2:6" ht="15" customHeight="1" x14ac:dyDescent="0.35">
      <c r="B479" s="9"/>
      <c r="C479" s="9"/>
      <c r="D479" s="9"/>
      <c r="E479" s="9"/>
      <c r="F479" s="9"/>
    </row>
    <row r="480" spans="2:6" ht="15" customHeight="1" x14ac:dyDescent="0.35">
      <c r="B480" s="7"/>
      <c r="C480" s="7"/>
      <c r="D480" s="7"/>
      <c r="E480" s="7"/>
      <c r="F480" s="7"/>
    </row>
    <row r="481" spans="2:6" ht="15" customHeight="1" x14ac:dyDescent="0.35">
      <c r="B481" s="9"/>
      <c r="C481" s="9"/>
      <c r="D481" s="9"/>
      <c r="E481" s="9"/>
      <c r="F481" s="9"/>
    </row>
    <row r="482" spans="2:6" ht="15" customHeight="1" x14ac:dyDescent="0.35">
      <c r="B482" s="7"/>
      <c r="C482" s="7"/>
      <c r="D482" s="7"/>
      <c r="E482" s="7"/>
      <c r="F482" s="7"/>
    </row>
    <row r="483" spans="2:6" ht="15" customHeight="1" x14ac:dyDescent="0.35">
      <c r="B483" s="9"/>
      <c r="C483" s="9"/>
      <c r="D483" s="9"/>
      <c r="E483" s="9"/>
      <c r="F483" s="9"/>
    </row>
    <row r="484" spans="2:6" ht="15" customHeight="1" x14ac:dyDescent="0.35">
      <c r="B484" s="7"/>
      <c r="C484" s="7"/>
      <c r="D484" s="7"/>
      <c r="E484" s="7"/>
      <c r="F484" s="7"/>
    </row>
    <row r="485" spans="2:6" ht="15" customHeight="1" x14ac:dyDescent="0.35">
      <c r="B485" s="9"/>
      <c r="C485" s="9"/>
      <c r="D485" s="9"/>
      <c r="E485" s="9"/>
      <c r="F485" s="9"/>
    </row>
    <row r="486" spans="2:6" ht="15" customHeight="1" x14ac:dyDescent="0.35">
      <c r="B486" s="7"/>
      <c r="C486" s="7"/>
      <c r="D486" s="7"/>
      <c r="E486" s="7"/>
      <c r="F486" s="7"/>
    </row>
    <row r="487" spans="2:6" ht="15" customHeight="1" x14ac:dyDescent="0.35">
      <c r="B487" s="9"/>
      <c r="C487" s="9"/>
      <c r="D487" s="9"/>
      <c r="E487" s="9"/>
      <c r="F487" s="9"/>
    </row>
    <row r="488" spans="2:6" ht="15" customHeight="1" x14ac:dyDescent="0.35">
      <c r="B488" s="7"/>
      <c r="C488" s="7"/>
      <c r="D488" s="7"/>
      <c r="E488" s="7"/>
      <c r="F488" s="7"/>
    </row>
    <row r="489" spans="2:6" ht="15" customHeight="1" x14ac:dyDescent="0.35">
      <c r="B489" s="9"/>
      <c r="C489" s="9"/>
      <c r="D489" s="9"/>
      <c r="E489" s="9"/>
      <c r="F489" s="9"/>
    </row>
    <row r="490" spans="2:6" ht="15" customHeight="1" x14ac:dyDescent="0.35">
      <c r="B490" s="7"/>
      <c r="C490" s="7"/>
      <c r="D490" s="7"/>
      <c r="E490" s="7"/>
      <c r="F490" s="7"/>
    </row>
    <row r="491" spans="2:6" ht="15" customHeight="1" x14ac:dyDescent="0.35">
      <c r="B491" s="9"/>
      <c r="C491" s="9"/>
      <c r="D491" s="9"/>
      <c r="E491" s="9"/>
      <c r="F491" s="9"/>
    </row>
    <row r="492" spans="2:6" ht="15" customHeight="1" x14ac:dyDescent="0.35">
      <c r="B492" s="7"/>
      <c r="C492" s="7"/>
      <c r="D492" s="7"/>
      <c r="E492" s="7"/>
      <c r="F492" s="7"/>
    </row>
    <row r="493" spans="2:6" ht="15" customHeight="1" x14ac:dyDescent="0.35">
      <c r="B493" s="9"/>
      <c r="C493" s="9"/>
      <c r="D493" s="9"/>
      <c r="E493" s="9"/>
      <c r="F493" s="9"/>
    </row>
    <row r="494" spans="2:6" ht="15" customHeight="1" x14ac:dyDescent="0.35">
      <c r="B494" s="7"/>
      <c r="C494" s="7"/>
      <c r="D494" s="7"/>
      <c r="E494" s="7"/>
      <c r="F494" s="7"/>
    </row>
    <row r="495" spans="2:6" ht="15" customHeight="1" x14ac:dyDescent="0.35">
      <c r="B495" s="9"/>
      <c r="C495" s="9"/>
      <c r="D495" s="9"/>
      <c r="E495" s="9"/>
      <c r="F495" s="9"/>
    </row>
    <row r="496" spans="2:6" ht="15" customHeight="1" x14ac:dyDescent="0.35">
      <c r="B496" s="7"/>
      <c r="C496" s="7"/>
      <c r="D496" s="7"/>
      <c r="E496" s="7"/>
      <c r="F496" s="7"/>
    </row>
    <row r="497" spans="2:6" ht="15" customHeight="1" x14ac:dyDescent="0.35">
      <c r="B497" s="9"/>
      <c r="C497" s="9"/>
      <c r="D497" s="9"/>
      <c r="E497" s="9"/>
      <c r="F497" s="9"/>
    </row>
    <row r="498" spans="2:6" ht="15" customHeight="1" x14ac:dyDescent="0.35">
      <c r="B498" s="7"/>
      <c r="C498" s="7"/>
      <c r="D498" s="7"/>
      <c r="E498" s="7"/>
      <c r="F498" s="7"/>
    </row>
    <row r="499" spans="2:6" ht="15" customHeight="1" x14ac:dyDescent="0.35">
      <c r="B499" s="9"/>
      <c r="C499" s="9"/>
      <c r="D499" s="9"/>
      <c r="E499" s="9"/>
      <c r="F499" s="9"/>
    </row>
    <row r="500" spans="2:6" ht="15" customHeight="1" x14ac:dyDescent="0.35">
      <c r="B500" s="7"/>
      <c r="C500" s="7"/>
      <c r="D500" s="7"/>
      <c r="E500" s="7"/>
      <c r="F500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2:P500"/>
  <sheetViews>
    <sheetView zoomScale="55" zoomScaleNormal="55" workbookViewId="0">
      <selection activeCell="L17" sqref="L17"/>
    </sheetView>
  </sheetViews>
  <sheetFormatPr defaultRowHeight="14.4" x14ac:dyDescent="0.3"/>
  <cols>
    <col min="1" max="1" width="7.5546875" customWidth="1"/>
    <col min="2" max="2" width="18" style="56" customWidth="1"/>
    <col min="3" max="3" width="17" style="56" customWidth="1"/>
    <col min="4" max="4" width="23" style="56" customWidth="1"/>
    <col min="5" max="6" width="19" style="56" customWidth="1"/>
    <col min="7" max="7" width="49.44140625" style="56" customWidth="1"/>
    <col min="8" max="8" width="15" style="56" customWidth="1"/>
    <col min="9" max="9" width="23" style="56" customWidth="1"/>
    <col min="10" max="11" width="22" style="56" customWidth="1"/>
    <col min="12" max="13" width="25" style="56" customWidth="1"/>
    <col min="14" max="14" width="21" style="63" customWidth="1"/>
    <col min="15" max="15" width="24" style="56" customWidth="1"/>
    <col min="16" max="16" width="25" style="56" customWidth="1"/>
  </cols>
  <sheetData>
    <row r="2" spans="2:16" ht="24.6" customHeight="1" x14ac:dyDescent="0.55000000000000004">
      <c r="B2" s="55" t="s">
        <v>0</v>
      </c>
    </row>
    <row r="3" spans="2:16" ht="15" customHeight="1" x14ac:dyDescent="0.35">
      <c r="B3" s="57" t="s">
        <v>1</v>
      </c>
    </row>
    <row r="4" spans="2:16" ht="16.8" customHeight="1" x14ac:dyDescent="0.4">
      <c r="B4" s="4" t="s">
        <v>2</v>
      </c>
      <c r="H4" s="4">
        <f>SUM(H6:H500)</f>
        <v>31</v>
      </c>
      <c r="J4" s="58">
        <f>SUM(J6:J500)</f>
        <v>2528.900000000001</v>
      </c>
    </row>
    <row r="5" spans="2:16" ht="16.8" customHeight="1" x14ac:dyDescent="0.4">
      <c r="B5" s="62" t="s">
        <v>3</v>
      </c>
      <c r="C5" s="62" t="s">
        <v>4</v>
      </c>
      <c r="D5" s="62" t="s">
        <v>5</v>
      </c>
      <c r="E5" s="62" t="s">
        <v>6</v>
      </c>
      <c r="F5" s="62" t="s">
        <v>7</v>
      </c>
      <c r="G5" s="62" t="s">
        <v>8</v>
      </c>
      <c r="H5" s="62" t="s">
        <v>9</v>
      </c>
      <c r="I5" s="62" t="s">
        <v>10</v>
      </c>
      <c r="J5" s="62" t="s">
        <v>11</v>
      </c>
      <c r="K5" s="62" t="s">
        <v>12</v>
      </c>
      <c r="L5" s="62" t="s">
        <v>13</v>
      </c>
      <c r="M5" s="62" t="s">
        <v>14</v>
      </c>
      <c r="N5" s="64" t="s">
        <v>15</v>
      </c>
      <c r="O5" s="62" t="s">
        <v>16</v>
      </c>
      <c r="P5" s="62" t="s">
        <v>17</v>
      </c>
    </row>
    <row r="6" spans="2:16" ht="16.8" hidden="1" customHeight="1" x14ac:dyDescent="0.4">
      <c r="B6" s="30" t="s">
        <v>18</v>
      </c>
      <c r="C6" s="30" t="s">
        <v>19</v>
      </c>
      <c r="D6" s="42">
        <v>46298</v>
      </c>
      <c r="E6" s="30" t="s">
        <v>20</v>
      </c>
      <c r="F6" s="30" t="str">
        <f>IF(ISBLANK(E6),"",IFERROR(VLOOKUP(E6,'CADASTRO DE CLIENTES'!$C$6:$E$500,3,FALSE),""))</f>
        <v>18 99818-0064</v>
      </c>
      <c r="G6" s="30" t="s">
        <v>21</v>
      </c>
      <c r="H6" s="30">
        <v>1</v>
      </c>
      <c r="I6" s="51">
        <f>IF(ISBLANK(G6),"",IFERROR(VLOOKUP(G6,'CADASTRO DE MATERIAL'!$C$6:$J$500,8,FALSE),""))</f>
        <v>139.9</v>
      </c>
      <c r="J6" s="59">
        <f t="shared" ref="J6:J69" si="0">IF(OR(ISBLANK(H6),ISBLANK(I6)), "", H6*I6)</f>
        <v>139.9</v>
      </c>
      <c r="K6" s="30" t="s">
        <v>22</v>
      </c>
      <c r="L6" s="51">
        <f t="shared" ref="L6:L69" si="1">IF(ISBLANK(B6), "", IF(K6="À Vista", O6, 0))</f>
        <v>139.9</v>
      </c>
      <c r="M6" s="59">
        <f t="shared" ref="M6:M69" si="2">IF(ISBLANK(B6),"", O6 - IF(ISBLANK(L6), 0, L6))</f>
        <v>0</v>
      </c>
      <c r="N6" s="65">
        <v>1</v>
      </c>
      <c r="O6" s="59">
        <f t="shared" ref="O6:O69" si="3">IF(ISBLANK(B6),"", SUMIF($B$6:$B$500, B6, $J$6:$J$500))</f>
        <v>139.9</v>
      </c>
      <c r="P6" s="59">
        <f t="shared" ref="P6:P69" si="4">IF(OR(ISBLANK(M6),ISBLANK(N6),N6=0), "", M6/N6)</f>
        <v>0</v>
      </c>
    </row>
    <row r="7" spans="2:16" ht="16.8" hidden="1" customHeight="1" x14ac:dyDescent="0.4">
      <c r="B7" s="36" t="str">
        <f>IF(AND(ISBLANK(D7), ISBLANK(E7), ISBLANK(G7)), "", IF(AND(E7&lt;&gt;"", E7=E6, D7&lt;&gt;"", D7=D6), B6, "PED-" &amp; TEXT(IFERROR(VALUE(RIGHT(LOOKUP("PED-9999",$B$5:B6),4)),1000)+1, "0000")))</f>
        <v>PED-1002</v>
      </c>
      <c r="C7" s="36" t="s">
        <v>23</v>
      </c>
      <c r="D7" s="41">
        <v>46298</v>
      </c>
      <c r="E7" s="36" t="s">
        <v>24</v>
      </c>
      <c r="F7" s="36" t="str">
        <f>IF(ISBLANK(E7),"",IFERROR(VLOOKUP(E7,'CADASTRO DE CLIENTES'!$C$6:$E$500,3,FALSE),""))</f>
        <v>18 93500-1704</v>
      </c>
      <c r="G7" s="36" t="s">
        <v>25</v>
      </c>
      <c r="H7" s="36">
        <v>1</v>
      </c>
      <c r="I7" s="49">
        <f>IF(ISBLANK(G7),"",IFERROR(VLOOKUP(G7,'CADASTRO DE MATERIAL'!$C$6:$J$500,8,FALSE),""))</f>
        <v>139.9</v>
      </c>
      <c r="J7" s="54">
        <f t="shared" si="0"/>
        <v>139.9</v>
      </c>
      <c r="K7" s="36" t="s">
        <v>22</v>
      </c>
      <c r="L7" s="49">
        <f t="shared" si="1"/>
        <v>139.9</v>
      </c>
      <c r="M7" s="54">
        <f t="shared" si="2"/>
        <v>0</v>
      </c>
      <c r="N7" s="66">
        <v>1</v>
      </c>
      <c r="O7" s="54">
        <f t="shared" si="3"/>
        <v>139.9</v>
      </c>
      <c r="P7" s="54">
        <f t="shared" si="4"/>
        <v>0</v>
      </c>
    </row>
    <row r="8" spans="2:16" ht="16.8" hidden="1" customHeight="1" x14ac:dyDescent="0.4">
      <c r="B8" s="30" t="str">
        <f>IF(AND(ISBLANK(D8), ISBLANK(E8), ISBLANK(G8)), "", IF(AND(E8&lt;&gt;"", E8=E7, D8&lt;&gt;"", D8=D7), B7, "PED-" &amp; TEXT(IFERROR(VALUE(RIGHT(LOOKUP("PED-9999",$B$5:B7),4)),1000)+1, "0000")))</f>
        <v>PED-1003</v>
      </c>
      <c r="C8" s="30" t="s">
        <v>26</v>
      </c>
      <c r="D8" s="42">
        <v>46298</v>
      </c>
      <c r="E8" s="30" t="s">
        <v>27</v>
      </c>
      <c r="F8" s="40" t="str">
        <f>IF(ISBLANK(E8),"",IFERROR(VLOOKUP(E8,'CADASTRO DE CLIENTES'!$C$6:$E$500,3,FALSE),""))</f>
        <v>18 99745-2150</v>
      </c>
      <c r="G8" s="30" t="s">
        <v>28</v>
      </c>
      <c r="H8" s="30">
        <v>1</v>
      </c>
      <c r="I8" s="51">
        <f>IF(ISBLANK(G8),"",IFERROR(VLOOKUP(G8,'CADASTRO DE MATERIAL'!$C$6:$J$500,8,FALSE),""))</f>
        <v>149.9</v>
      </c>
      <c r="J8" s="59">
        <f t="shared" si="0"/>
        <v>149.9</v>
      </c>
      <c r="K8" s="30" t="s">
        <v>22</v>
      </c>
      <c r="L8" s="51">
        <f t="shared" si="1"/>
        <v>149.9</v>
      </c>
      <c r="M8" s="59">
        <f t="shared" si="2"/>
        <v>0</v>
      </c>
      <c r="N8" s="65">
        <v>1</v>
      </c>
      <c r="O8" s="59">
        <f t="shared" si="3"/>
        <v>149.9</v>
      </c>
      <c r="P8" s="59">
        <f t="shared" si="4"/>
        <v>0</v>
      </c>
    </row>
    <row r="9" spans="2:16" ht="16.8" hidden="1" customHeight="1" x14ac:dyDescent="0.4">
      <c r="B9" s="36" t="str">
        <f>IF(AND(ISBLANK(D9), ISBLANK(E9), ISBLANK(G9)), "", IF(AND(E9&lt;&gt;"", E9=E8, D9&lt;&gt;"", D9=D8), B8, "PED-" &amp; TEXT(IFERROR(VALUE(RIGHT(LOOKUP("PED-9999",$B$5:B8),4)),1000)+1, "0000")))</f>
        <v>PED-1004</v>
      </c>
      <c r="C9" s="36" t="s">
        <v>29</v>
      </c>
      <c r="D9" s="41">
        <v>46300</v>
      </c>
      <c r="E9" s="36" t="s">
        <v>30</v>
      </c>
      <c r="F9" s="36" t="str">
        <f>IF(ISBLANK(E9),"",IFERROR(VLOOKUP(E9,'CADASTRO DE CLIENTES'!$C$6:$E$500,3,FALSE),""))</f>
        <v>18 99800-5512</v>
      </c>
      <c r="G9" s="36" t="s">
        <v>31</v>
      </c>
      <c r="H9" s="36">
        <v>1</v>
      </c>
      <c r="I9" s="49">
        <f>IF(ISBLANK(G9),"",IFERROR(VLOOKUP(G9,'CADASTRO DE MATERIAL'!$C$6:$J$500,8,FALSE),""))</f>
        <v>39.9</v>
      </c>
      <c r="J9" s="54">
        <f t="shared" si="0"/>
        <v>39.9</v>
      </c>
      <c r="K9" s="36" t="s">
        <v>32</v>
      </c>
      <c r="L9" s="49">
        <f t="shared" si="1"/>
        <v>0</v>
      </c>
      <c r="M9" s="54">
        <f t="shared" si="2"/>
        <v>39.9</v>
      </c>
      <c r="N9" s="66">
        <v>1</v>
      </c>
      <c r="O9" s="54">
        <f t="shared" si="3"/>
        <v>39.9</v>
      </c>
      <c r="P9" s="54">
        <f t="shared" si="4"/>
        <v>39.9</v>
      </c>
    </row>
    <row r="10" spans="2:16" ht="16.8" hidden="1" customHeight="1" x14ac:dyDescent="0.4">
      <c r="B10" s="30" t="str">
        <f>IF(AND(ISBLANK(D10), ISBLANK(E10), ISBLANK(G10)), "", IF(AND(E10&lt;&gt;"", E10=E9, D10&lt;&gt;"", D10=D9), B9, "PED-" &amp; TEXT(IFERROR(VALUE(RIGHT(LOOKUP("PED-9999",$B$5:B9),4)),1000)+1, "0000")))</f>
        <v>PED-1005</v>
      </c>
      <c r="C10" s="30" t="s">
        <v>33</v>
      </c>
      <c r="D10" s="42">
        <v>46300</v>
      </c>
      <c r="E10" s="30" t="s">
        <v>20</v>
      </c>
      <c r="F10" s="40" t="str">
        <f>IF(ISBLANK(E10),"",IFERROR(VLOOKUP(E10,'CADASTRO DE CLIENTES'!$C$6:$E$500,3,FALSE),""))</f>
        <v>18 99818-0064</v>
      </c>
      <c r="G10" s="30" t="s">
        <v>31</v>
      </c>
      <c r="H10" s="30">
        <v>2</v>
      </c>
      <c r="I10" s="51">
        <f>IF(ISBLANK(G10),"",IFERROR(VLOOKUP(G10,'CADASTRO DE MATERIAL'!$C$6:$J$500,8,FALSE),""))</f>
        <v>39.9</v>
      </c>
      <c r="J10" s="59">
        <f t="shared" si="0"/>
        <v>79.8</v>
      </c>
      <c r="K10" s="30" t="s">
        <v>22</v>
      </c>
      <c r="L10" s="51">
        <f t="shared" si="1"/>
        <v>79.8</v>
      </c>
      <c r="M10" s="59">
        <f t="shared" si="2"/>
        <v>0</v>
      </c>
      <c r="N10" s="65">
        <v>1</v>
      </c>
      <c r="O10" s="59">
        <f t="shared" si="3"/>
        <v>79.8</v>
      </c>
      <c r="P10" s="59">
        <f t="shared" si="4"/>
        <v>0</v>
      </c>
    </row>
    <row r="11" spans="2:16" ht="16.8" hidden="1" customHeight="1" x14ac:dyDescent="0.4">
      <c r="B11" s="36" t="str">
        <f>IF(AND(ISBLANK(D11), ISBLANK(E11), ISBLANK(G11)), "", IF(AND(E11&lt;&gt;"", E11=E10, D11&lt;&gt;"", D11=D10), B10, "PED-" &amp; TEXT(IFERROR(VALUE(RIGHT(LOOKUP("PED-9999",$B$5:B10),4)),1000)+1, "0000")))</f>
        <v>PED-1006</v>
      </c>
      <c r="C11" s="36" t="s">
        <v>34</v>
      </c>
      <c r="D11" s="41">
        <v>46300</v>
      </c>
      <c r="E11" s="36" t="s">
        <v>35</v>
      </c>
      <c r="F11" s="36" t="str">
        <f>IF(ISBLANK(E11),"",IFERROR(VLOOKUP(E11,'CADASTRO DE CLIENTES'!$C$6:$E$500,3,FALSE),""))</f>
        <v>18 98205-2963</v>
      </c>
      <c r="G11" s="36" t="s">
        <v>31</v>
      </c>
      <c r="H11" s="36">
        <v>2</v>
      </c>
      <c r="I11" s="49">
        <f>IF(ISBLANK(G11),"",IFERROR(VLOOKUP(G11,'CADASTRO DE MATERIAL'!$C$6:$J$500,8,FALSE),""))</f>
        <v>39.9</v>
      </c>
      <c r="J11" s="54">
        <f t="shared" si="0"/>
        <v>79.8</v>
      </c>
      <c r="K11" s="36" t="s">
        <v>32</v>
      </c>
      <c r="L11" s="49">
        <f t="shared" si="1"/>
        <v>0</v>
      </c>
      <c r="M11" s="54">
        <f t="shared" si="2"/>
        <v>79.8</v>
      </c>
      <c r="N11" s="66">
        <v>1</v>
      </c>
      <c r="O11" s="54">
        <f t="shared" si="3"/>
        <v>79.8</v>
      </c>
      <c r="P11" s="54">
        <f t="shared" si="4"/>
        <v>79.8</v>
      </c>
    </row>
    <row r="12" spans="2:16" ht="16.8" hidden="1" customHeight="1" x14ac:dyDescent="0.4">
      <c r="B12" s="30" t="str">
        <f>IF(AND(ISBLANK(D12), ISBLANK(E12), ISBLANK(G12)), "", IF(AND(E12&lt;&gt;"", E12=E11, D12&lt;&gt;"", D12=D11), B11, "PED-" &amp; TEXT(IFERROR(VALUE(RIGHT(LOOKUP("PED-9999",$B$5:B11),4)),1000)+1, "0000")))</f>
        <v>PED-1007</v>
      </c>
      <c r="C12" s="30" t="s">
        <v>36</v>
      </c>
      <c r="D12" s="42">
        <v>46300</v>
      </c>
      <c r="E12" s="30" t="s">
        <v>37</v>
      </c>
      <c r="F12" s="40">
        <f>IF(ISBLANK(E12),"",IFERROR(VLOOKUP(E12,'CADASTRO DE CLIENTES'!$C$6:$E$500,3,FALSE),""))</f>
        <v>0</v>
      </c>
      <c r="G12" s="30" t="s">
        <v>38</v>
      </c>
      <c r="H12" s="30">
        <v>1</v>
      </c>
      <c r="I12" s="51">
        <f>IF(ISBLANK(G12),"",IFERROR(VLOOKUP(G12,'CADASTRO DE MATERIAL'!$C$6:$J$500,8,FALSE),""))</f>
        <v>239.9</v>
      </c>
      <c r="J12" s="59">
        <f t="shared" si="0"/>
        <v>239.9</v>
      </c>
      <c r="K12" s="30" t="s">
        <v>32</v>
      </c>
      <c r="L12" s="51">
        <f t="shared" si="1"/>
        <v>0</v>
      </c>
      <c r="M12" s="59">
        <f t="shared" si="2"/>
        <v>239.9</v>
      </c>
      <c r="N12" s="65">
        <v>1</v>
      </c>
      <c r="O12" s="59">
        <f t="shared" si="3"/>
        <v>239.9</v>
      </c>
      <c r="P12" s="59">
        <f t="shared" si="4"/>
        <v>239.9</v>
      </c>
    </row>
    <row r="13" spans="2:16" ht="16.8" hidden="1" customHeight="1" x14ac:dyDescent="0.4">
      <c r="B13" s="36" t="str">
        <f>IF(AND(ISBLANK(D13), ISBLANK(E13), ISBLANK(G13)), "", IF(AND(E13&lt;&gt;"", E13=E12, D13&lt;&gt;"", D13=D12), B12, "PED-" &amp; TEXT(IFERROR(VALUE(RIGHT(LOOKUP("PED-9999",$B$5:B12),4)),1000)+1, "0000")))</f>
        <v>PED-1008</v>
      </c>
      <c r="C13" s="36" t="s">
        <v>39</v>
      </c>
      <c r="D13" s="41">
        <v>46301</v>
      </c>
      <c r="E13" s="36" t="s">
        <v>40</v>
      </c>
      <c r="F13" s="36">
        <f>IF(ISBLANK(E13),"",IFERROR(VLOOKUP(E13,'CADASTRO DE CLIENTES'!$C$6:$E$500,3,FALSE),""))</f>
        <v>0</v>
      </c>
      <c r="G13" s="36" t="s">
        <v>41</v>
      </c>
      <c r="H13" s="36">
        <v>1</v>
      </c>
      <c r="I13" s="49">
        <f>IF(ISBLANK(G13),"",IFERROR(VLOOKUP(G13,'CADASTRO DE MATERIAL'!$C$6:$J$500,8,FALSE),""))</f>
        <v>39.9</v>
      </c>
      <c r="J13" s="54">
        <f t="shared" si="0"/>
        <v>39.9</v>
      </c>
      <c r="K13" s="36" t="s">
        <v>32</v>
      </c>
      <c r="L13" s="49">
        <f t="shared" si="1"/>
        <v>0</v>
      </c>
      <c r="M13" s="54">
        <f t="shared" si="2"/>
        <v>39.9</v>
      </c>
      <c r="N13" s="66">
        <v>1</v>
      </c>
      <c r="O13" s="54">
        <f t="shared" si="3"/>
        <v>39.9</v>
      </c>
      <c r="P13" s="54">
        <f t="shared" si="4"/>
        <v>39.9</v>
      </c>
    </row>
    <row r="14" spans="2:16" ht="16.8" hidden="1" customHeight="1" x14ac:dyDescent="0.4">
      <c r="B14" s="30" t="str">
        <f>IF(AND(ISBLANK(D14), ISBLANK(E14), ISBLANK(G14)), "", IF(AND(E14&lt;&gt;"", E14=E13, D14&lt;&gt;"", D14=D13), B13, "PED-" &amp; TEXT(IFERROR(VALUE(RIGHT(LOOKUP("PED-9999",$B$5:B13),4)),1000)+1, "0000")))</f>
        <v>PED-1009</v>
      </c>
      <c r="C14" s="30" t="s">
        <v>42</v>
      </c>
      <c r="D14" s="42">
        <v>46301</v>
      </c>
      <c r="E14" s="30" t="s">
        <v>43</v>
      </c>
      <c r="F14" s="30">
        <f>IF(ISBLANK(E14),"",IFERROR(VLOOKUP(E14,'CADASTRO DE CLIENTES'!$C$6:$E$500,3,FALSE),""))</f>
        <v>0</v>
      </c>
      <c r="G14" s="30" t="s">
        <v>31</v>
      </c>
      <c r="H14" s="30">
        <v>1</v>
      </c>
      <c r="I14" s="51">
        <f>IF(ISBLANK(G14),"",IFERROR(VLOOKUP(G14,'CADASTRO DE MATERIAL'!$C$6:$J$500,8,FALSE),""))</f>
        <v>39.9</v>
      </c>
      <c r="J14" s="59">
        <f t="shared" si="0"/>
        <v>39.9</v>
      </c>
      <c r="K14" s="30" t="s">
        <v>32</v>
      </c>
      <c r="L14" s="51">
        <f t="shared" si="1"/>
        <v>0</v>
      </c>
      <c r="M14" s="59">
        <f t="shared" si="2"/>
        <v>39.9</v>
      </c>
      <c r="N14" s="65">
        <v>1</v>
      </c>
      <c r="O14" s="59">
        <f t="shared" si="3"/>
        <v>39.9</v>
      </c>
      <c r="P14" s="59">
        <f t="shared" si="4"/>
        <v>39.9</v>
      </c>
    </row>
    <row r="15" spans="2:16" ht="16.8" hidden="1" customHeight="1" x14ac:dyDescent="0.4">
      <c r="B15" s="36" t="str">
        <f>IF(AND(ISBLANK(D15), ISBLANK(E15), ISBLANK(G15)), "", IF(AND(E15&lt;&gt;"", E15=E14, D15&lt;&gt;"", D15=D14), B14, "PED-" &amp; TEXT(IFERROR(VALUE(RIGHT(LOOKUP("PED-9999",$B$5:B14),4)),1000)+1, "0000")))</f>
        <v>PED-1010</v>
      </c>
      <c r="C15" s="36" t="s">
        <v>44</v>
      </c>
      <c r="D15" s="41">
        <v>46302</v>
      </c>
      <c r="E15" s="36" t="s">
        <v>20</v>
      </c>
      <c r="F15" s="36" t="str">
        <f>IF(ISBLANK(E15),"",IFERROR(VLOOKUP(E15,'CADASTRO DE CLIENTES'!$C$6:$E$500,3,FALSE),""))</f>
        <v>18 99818-0064</v>
      </c>
      <c r="G15" s="36" t="s">
        <v>45</v>
      </c>
      <c r="H15" s="36">
        <v>1</v>
      </c>
      <c r="I15" s="49">
        <f>IF(ISBLANK(G15),"",IFERROR(VLOOKUP(G15,'CADASTRO DE MATERIAL'!$C$6:$J$500,8,FALSE),""))</f>
        <v>159.9</v>
      </c>
      <c r="J15" s="54">
        <f t="shared" si="0"/>
        <v>159.9</v>
      </c>
      <c r="K15" s="36" t="s">
        <v>32</v>
      </c>
      <c r="L15" s="49">
        <f t="shared" si="1"/>
        <v>0</v>
      </c>
      <c r="M15" s="54">
        <f t="shared" si="2"/>
        <v>159.9</v>
      </c>
      <c r="N15" s="66">
        <v>1</v>
      </c>
      <c r="O15" s="54">
        <f t="shared" si="3"/>
        <v>159.9</v>
      </c>
      <c r="P15" s="54">
        <f t="shared" si="4"/>
        <v>159.9</v>
      </c>
    </row>
    <row r="16" spans="2:16" ht="16.8" hidden="1" customHeight="1" x14ac:dyDescent="0.4">
      <c r="B16" s="30" t="str">
        <f>IF(AND(ISBLANK(D16), ISBLANK(E16), ISBLANK(G16)), "", IF(AND(E16&lt;&gt;"", E16=E15, D16&lt;&gt;"", D16=D15), B15, "PED-" &amp; TEXT(IFERROR(VALUE(RIGHT(LOOKUP("PED-9999",$B$5:B15),4)),1000)+1, "0000")))</f>
        <v>PED-1011</v>
      </c>
      <c r="C16" s="30" t="s">
        <v>46</v>
      </c>
      <c r="D16" s="42">
        <v>46302</v>
      </c>
      <c r="E16" s="30" t="s">
        <v>40</v>
      </c>
      <c r="F16" s="30">
        <f>IF(ISBLANK(E16),"",IFERROR(VLOOKUP(E16,'CADASTRO DE CLIENTES'!$C$6:$E$500,3,FALSE),""))</f>
        <v>0</v>
      </c>
      <c r="G16" s="30" t="s">
        <v>47</v>
      </c>
      <c r="H16" s="30">
        <v>1</v>
      </c>
      <c r="I16" s="51">
        <f>IF(ISBLANK(G16),"",IFERROR(VLOOKUP(G16,'CADASTRO DE MATERIAL'!$C$6:$J$500,8,FALSE),""))</f>
        <v>99.9</v>
      </c>
      <c r="J16" s="59">
        <f t="shared" si="0"/>
        <v>99.9</v>
      </c>
      <c r="K16" s="30" t="s">
        <v>32</v>
      </c>
      <c r="L16" s="51">
        <f t="shared" si="1"/>
        <v>0</v>
      </c>
      <c r="M16" s="59">
        <f t="shared" si="2"/>
        <v>99.9</v>
      </c>
      <c r="N16" s="65">
        <v>1</v>
      </c>
      <c r="O16" s="59">
        <f t="shared" si="3"/>
        <v>99.9</v>
      </c>
      <c r="P16" s="59">
        <f t="shared" si="4"/>
        <v>99.9</v>
      </c>
    </row>
    <row r="17" spans="2:16" ht="16.8" customHeight="1" x14ac:dyDescent="0.4">
      <c r="B17" s="36" t="str">
        <f>IF(AND(ISBLANK(D17), ISBLANK(E17), ISBLANK(G17)), "", IF(AND(E17&lt;&gt;"", E17=E16, D17&lt;&gt;"", D17=D16), B16, "PED-" &amp; TEXT(IFERROR(VALUE(RIGHT(LOOKUP("PED-9999",$B$5:B16),4)),1000)+1, "0000")))</f>
        <v>PED-1012</v>
      </c>
      <c r="C17" s="36" t="s">
        <v>48</v>
      </c>
      <c r="D17" s="41">
        <v>46302</v>
      </c>
      <c r="E17" s="36" t="s">
        <v>49</v>
      </c>
      <c r="F17" s="36">
        <f>IF(ISBLANK(E17),"",IFERROR(VLOOKUP(E17,'CADASTRO DE CLIENTES'!$C$6:$E$500,3,FALSE),""))</f>
        <v>0</v>
      </c>
      <c r="G17" s="36" t="s">
        <v>50</v>
      </c>
      <c r="H17" s="36">
        <v>1</v>
      </c>
      <c r="I17" s="49">
        <f>IF(ISBLANK(G17),"",IFERROR(VLOOKUP(G17,'CADASTRO DE MATERIAL'!$C$6:$J$500,8,FALSE),""))</f>
        <v>119.9</v>
      </c>
      <c r="J17" s="54">
        <f t="shared" si="0"/>
        <v>119.9</v>
      </c>
      <c r="K17" s="36" t="s">
        <v>32</v>
      </c>
      <c r="L17" s="49">
        <v>0</v>
      </c>
      <c r="M17" s="54">
        <f t="shared" si="2"/>
        <v>501.40000000000003</v>
      </c>
      <c r="N17" s="66">
        <v>3</v>
      </c>
      <c r="O17" s="54">
        <f t="shared" si="3"/>
        <v>501.40000000000003</v>
      </c>
      <c r="P17" s="54">
        <f t="shared" si="4"/>
        <v>167.13333333333335</v>
      </c>
    </row>
    <row r="18" spans="2:16" ht="16.8" customHeight="1" x14ac:dyDescent="0.4">
      <c r="B18" s="30" t="str">
        <f>IF(AND(ISBLANK(D18), ISBLANK(E18), ISBLANK(G18)), "", IF(AND(E18&lt;&gt;"", E18=E17, D18&lt;&gt;"", D18=D17), B17, "PED-" &amp; TEXT(IFERROR(VALUE(RIGHT(LOOKUP("PED-9999",$B$5:B17),4)),1000)+1, "0000")))</f>
        <v>PED-1012</v>
      </c>
      <c r="C18" s="30" t="s">
        <v>51</v>
      </c>
      <c r="D18" s="42">
        <v>46302</v>
      </c>
      <c r="E18" s="30" t="s">
        <v>49</v>
      </c>
      <c r="F18" s="30">
        <f>IF(ISBLANK(E18),"",IFERROR(VLOOKUP(E18,'CADASTRO DE CLIENTES'!$C$6:$E$500,3,FALSE),""))</f>
        <v>0</v>
      </c>
      <c r="G18" s="30" t="s">
        <v>47</v>
      </c>
      <c r="H18" s="30">
        <v>1</v>
      </c>
      <c r="I18" s="51">
        <f>IF(ISBLANK(G18),"",IFERROR(VLOOKUP(G18,'CADASTRO DE MATERIAL'!$C$6:$J$500,8,FALSE),""))</f>
        <v>99.9</v>
      </c>
      <c r="J18" s="59">
        <f t="shared" si="0"/>
        <v>99.9</v>
      </c>
      <c r="K18" s="30" t="s">
        <v>32</v>
      </c>
      <c r="L18" s="51">
        <f t="shared" si="1"/>
        <v>0</v>
      </c>
      <c r="M18" s="59">
        <f t="shared" si="2"/>
        <v>501.40000000000003</v>
      </c>
      <c r="N18" s="65">
        <v>3</v>
      </c>
      <c r="O18" s="59">
        <f t="shared" si="3"/>
        <v>501.40000000000003</v>
      </c>
      <c r="P18" s="59">
        <f t="shared" si="4"/>
        <v>167.13333333333335</v>
      </c>
    </row>
    <row r="19" spans="2:16" ht="16.8" customHeight="1" x14ac:dyDescent="0.4">
      <c r="B19" s="36" t="str">
        <f>IF(AND(ISBLANK(D19), ISBLANK(E19), ISBLANK(G19)), "", IF(AND(E19&lt;&gt;"", E19=E18, D19&lt;&gt;"", D19=D18), B18, "PED-" &amp; TEXT(IFERROR(VALUE(RIGHT(LOOKUP("PED-9999",$B$5:B18),4)),1000)+1, "0000")))</f>
        <v>PED-1012</v>
      </c>
      <c r="C19" s="36" t="s">
        <v>52</v>
      </c>
      <c r="D19" s="42">
        <v>46302</v>
      </c>
      <c r="E19" s="36" t="s">
        <v>49</v>
      </c>
      <c r="F19" s="36">
        <f>IF(ISBLANK(E19),"",IFERROR(VLOOKUP(E19,'CADASTRO DE CLIENTES'!$C$6:$E$500,3,FALSE),""))</f>
        <v>0</v>
      </c>
      <c r="G19" s="36" t="s">
        <v>774</v>
      </c>
      <c r="H19" s="36">
        <v>1</v>
      </c>
      <c r="I19" s="49">
        <f>IF(ISBLANK(G19),"",IFERROR(VLOOKUP(G19,'CADASTRO DE MATERIAL'!$C$6:$J$500,8,FALSE),""))</f>
        <v>49.9</v>
      </c>
      <c r="J19" s="54">
        <f t="shared" si="0"/>
        <v>49.9</v>
      </c>
      <c r="K19" s="36" t="s">
        <v>32</v>
      </c>
      <c r="L19" s="49">
        <f t="shared" si="1"/>
        <v>0</v>
      </c>
      <c r="M19" s="54">
        <f t="shared" si="2"/>
        <v>501.40000000000003</v>
      </c>
      <c r="N19" s="66">
        <v>3</v>
      </c>
      <c r="O19" s="54">
        <f t="shared" si="3"/>
        <v>501.40000000000003</v>
      </c>
      <c r="P19" s="54">
        <f t="shared" si="4"/>
        <v>167.13333333333335</v>
      </c>
    </row>
    <row r="20" spans="2:16" ht="16.8" customHeight="1" x14ac:dyDescent="0.4">
      <c r="B20" s="30" t="str">
        <f>IF(AND(ISBLANK(D20), ISBLANK(E20), ISBLANK(G20)), "", IF(AND(E20&lt;&gt;"", E20=E19, D20&lt;&gt;"", D20=D19), B19, "PED-" &amp; TEXT(IFERROR(VALUE(RIGHT(LOOKUP("PED-9999",$B$5:B19),4)),1000)+1, "0000")))</f>
        <v>PED-1012</v>
      </c>
      <c r="C20" s="30" t="s">
        <v>53</v>
      </c>
      <c r="D20" s="42">
        <v>46302</v>
      </c>
      <c r="E20" s="36" t="s">
        <v>49</v>
      </c>
      <c r="F20" s="30">
        <f>IF(ISBLANK(E20),"",IFERROR(VLOOKUP(E20,'CADASTRO DE CLIENTES'!$C$6:$E$500,3,FALSE),""))</f>
        <v>0</v>
      </c>
      <c r="G20" s="30" t="s">
        <v>916</v>
      </c>
      <c r="H20" s="30">
        <v>1</v>
      </c>
      <c r="I20" s="51">
        <f>IF(ISBLANK(G20),"",IFERROR(VLOOKUP(G20,'CADASTRO DE MATERIAL'!$C$6:$J$500,8,FALSE),""))</f>
        <v>139.9</v>
      </c>
      <c r="J20" s="59">
        <f t="shared" si="0"/>
        <v>139.9</v>
      </c>
      <c r="K20" s="30" t="s">
        <v>32</v>
      </c>
      <c r="L20" s="51">
        <f t="shared" si="1"/>
        <v>0</v>
      </c>
      <c r="M20" s="59">
        <f t="shared" si="2"/>
        <v>501.40000000000003</v>
      </c>
      <c r="N20" s="65">
        <v>3</v>
      </c>
      <c r="O20" s="59">
        <f t="shared" si="3"/>
        <v>501.40000000000003</v>
      </c>
      <c r="P20" s="59">
        <f t="shared" si="4"/>
        <v>167.13333333333335</v>
      </c>
    </row>
    <row r="21" spans="2:16" ht="16.8" customHeight="1" x14ac:dyDescent="0.4">
      <c r="B21" s="36" t="str">
        <f>IF(AND(ISBLANK(D21), ISBLANK(E21), ISBLANK(G21)), "", IF(AND(E21&lt;&gt;"", E21=E20, D21&lt;&gt;"", D21=D20), B20, "PED-" &amp; TEXT(IFERROR(VALUE(RIGHT(LOOKUP("PED-9999",$B$5:B20),4)),1000)+1, "0000")))</f>
        <v>PED-1012</v>
      </c>
      <c r="C21" s="36" t="s">
        <v>54</v>
      </c>
      <c r="D21" s="42">
        <v>46302</v>
      </c>
      <c r="E21" s="36" t="s">
        <v>49</v>
      </c>
      <c r="F21" s="36">
        <f>IF(ISBLANK(E21),"",IFERROR(VLOOKUP(E21,'CADASTRO DE CLIENTES'!$C$6:$E$500,3,FALSE),""))</f>
        <v>0</v>
      </c>
      <c r="G21" s="36" t="s">
        <v>862</v>
      </c>
      <c r="H21" s="36">
        <v>2</v>
      </c>
      <c r="I21" s="49">
        <f>IF(ISBLANK(G21),"",IFERROR(VLOOKUP(G21,'CADASTRO DE MATERIAL'!$C$6:$J$500,8,FALSE),""))</f>
        <v>45.9</v>
      </c>
      <c r="J21" s="54">
        <f t="shared" si="0"/>
        <v>91.8</v>
      </c>
      <c r="K21" s="36" t="s">
        <v>32</v>
      </c>
      <c r="L21" s="49">
        <f t="shared" si="1"/>
        <v>0</v>
      </c>
      <c r="M21" s="54">
        <f t="shared" si="2"/>
        <v>501.40000000000003</v>
      </c>
      <c r="N21" s="66">
        <v>3</v>
      </c>
      <c r="O21" s="54">
        <f t="shared" si="3"/>
        <v>501.40000000000003</v>
      </c>
      <c r="P21" s="54">
        <f t="shared" si="4"/>
        <v>167.13333333333335</v>
      </c>
    </row>
    <row r="22" spans="2:16" ht="16.8" hidden="1" customHeight="1" x14ac:dyDescent="0.4">
      <c r="B22" s="30" t="str">
        <f>IF(AND(ISBLANK(D22), ISBLANK(E22), ISBLANK(G22)), "", IF(AND(E22&lt;&gt;"", E22=E21, D22&lt;&gt;"", D22=D21), B21, "PED-" &amp; TEXT(IFERROR(VALUE(RIGHT(LOOKUP("PED-9999",$B$5:B21),4)),1000)+1, "0000")))</f>
        <v>PED-1013</v>
      </c>
      <c r="C22" s="30" t="s">
        <v>55</v>
      </c>
      <c r="D22" s="42">
        <v>46303</v>
      </c>
      <c r="E22" s="30" t="s">
        <v>1326</v>
      </c>
      <c r="F22" s="30">
        <f>IF(ISBLANK(E22),"",IFERROR(VLOOKUP(E22,'CADASTRO DE CLIENTES'!$C$6:$E$500,3,FALSE),""))</f>
        <v>0</v>
      </c>
      <c r="G22" s="30" t="s">
        <v>929</v>
      </c>
      <c r="H22" s="30">
        <v>2</v>
      </c>
      <c r="I22" s="51">
        <f>IF(ISBLANK(G22),"",IFERROR(VLOOKUP(G22,'CADASTRO DE MATERIAL'!$C$6:$J$500,8,FALSE),""))</f>
        <v>69.900000000000006</v>
      </c>
      <c r="J22" s="59">
        <f t="shared" si="0"/>
        <v>139.80000000000001</v>
      </c>
      <c r="K22" s="30" t="s">
        <v>32</v>
      </c>
      <c r="L22" s="51">
        <f t="shared" si="1"/>
        <v>0</v>
      </c>
      <c r="M22" s="59">
        <f t="shared" si="2"/>
        <v>139.80000000000001</v>
      </c>
      <c r="N22" s="65">
        <v>1</v>
      </c>
      <c r="O22" s="59">
        <f t="shared" si="3"/>
        <v>139.80000000000001</v>
      </c>
      <c r="P22" s="59">
        <f t="shared" si="4"/>
        <v>139.80000000000001</v>
      </c>
    </row>
    <row r="23" spans="2:16" ht="16.8" hidden="1" customHeight="1" x14ac:dyDescent="0.4">
      <c r="B23" s="36" t="str">
        <f>IF(AND(ISBLANK(D23), ISBLANK(E23), ISBLANK(G23)), "", IF(AND(E23&lt;&gt;"", E23=E22, D23&lt;&gt;"", D23=D22), B22, "PED-" &amp; TEXT(IFERROR(VALUE(RIGHT(LOOKUP("PED-9999",$B$5:B22),4)),1000)+1, "0000")))</f>
        <v>PED-1014</v>
      </c>
      <c r="C23" s="36" t="s">
        <v>56</v>
      </c>
      <c r="D23" s="41">
        <v>46303</v>
      </c>
      <c r="E23" s="36" t="s">
        <v>1327</v>
      </c>
      <c r="F23" s="36">
        <f>IF(ISBLANK(E23),"",IFERROR(VLOOKUP(E23,'CADASTRO DE CLIENTES'!$C$6:$E$500,3,FALSE),""))</f>
        <v>0</v>
      </c>
      <c r="G23" s="36" t="s">
        <v>774</v>
      </c>
      <c r="H23" s="36">
        <v>1</v>
      </c>
      <c r="I23" s="49">
        <f>IF(ISBLANK(G23),"",IFERROR(VLOOKUP(G23,'CADASTRO DE MATERIAL'!$C$6:$J$500,8,FALSE),""))</f>
        <v>49.9</v>
      </c>
      <c r="J23" s="54">
        <f t="shared" si="0"/>
        <v>49.9</v>
      </c>
      <c r="K23" s="36" t="s">
        <v>32</v>
      </c>
      <c r="L23" s="49">
        <f t="shared" si="1"/>
        <v>0</v>
      </c>
      <c r="M23" s="54">
        <f t="shared" si="2"/>
        <v>49.9</v>
      </c>
      <c r="N23" s="66">
        <v>1</v>
      </c>
      <c r="O23" s="54">
        <f t="shared" si="3"/>
        <v>49.9</v>
      </c>
      <c r="P23" s="54">
        <f t="shared" si="4"/>
        <v>49.9</v>
      </c>
    </row>
    <row r="24" spans="2:16" ht="16.8" hidden="1" customHeight="1" x14ac:dyDescent="0.4">
      <c r="B24" s="30" t="str">
        <f>IF(AND(ISBLANK(D24), ISBLANK(E24), ISBLANK(G24)), "", IF(AND(E24&lt;&gt;"", E24=E23, D24&lt;&gt;"", D24=D23), B23, "PED-" &amp; TEXT(IFERROR(VALUE(RIGHT(LOOKUP("PED-9999",$B$5:B23),4)),1000)+1, "0000")))</f>
        <v>PED-1015</v>
      </c>
      <c r="C24" s="30" t="s">
        <v>57</v>
      </c>
      <c r="D24" s="42">
        <v>46303</v>
      </c>
      <c r="E24" s="30" t="s">
        <v>1328</v>
      </c>
      <c r="F24" s="30">
        <f>IF(ISBLANK(E24),"",IFERROR(VLOOKUP(E24,'CADASTRO DE CLIENTES'!$C$6:$E$500,3,FALSE),""))</f>
        <v>0</v>
      </c>
      <c r="G24" s="30" t="s">
        <v>929</v>
      </c>
      <c r="H24" s="30">
        <v>1</v>
      </c>
      <c r="I24" s="51">
        <f>IF(ISBLANK(G24),"",IFERROR(VLOOKUP(G24,'CADASTRO DE MATERIAL'!$C$6:$J$500,8,FALSE),""))</f>
        <v>69.900000000000006</v>
      </c>
      <c r="J24" s="59">
        <f t="shared" si="0"/>
        <v>69.900000000000006</v>
      </c>
      <c r="K24" s="30" t="s">
        <v>22</v>
      </c>
      <c r="L24" s="51">
        <f t="shared" si="1"/>
        <v>69.900000000000006</v>
      </c>
      <c r="M24" s="59">
        <f t="shared" si="2"/>
        <v>0</v>
      </c>
      <c r="N24" s="65">
        <v>1</v>
      </c>
      <c r="O24" s="59">
        <f t="shared" si="3"/>
        <v>69.900000000000006</v>
      </c>
      <c r="P24" s="59">
        <f t="shared" si="4"/>
        <v>0</v>
      </c>
    </row>
    <row r="25" spans="2:16" ht="16.8" hidden="1" customHeight="1" x14ac:dyDescent="0.4">
      <c r="B25" s="36" t="str">
        <f>IF(AND(ISBLANK(D25), ISBLANK(E25), ISBLANK(G25)), "", IF(AND(E25&lt;&gt;"", E25=E24, D25&lt;&gt;"", D25=D24), B24, "PED-" &amp; TEXT(IFERROR(VALUE(RIGHT(LOOKUP("PED-9999",$B$5:B24),4)),1000)+1, "0000")))</f>
        <v>PED-1016</v>
      </c>
      <c r="C25" s="36" t="s">
        <v>58</v>
      </c>
      <c r="D25" s="41">
        <v>46303</v>
      </c>
      <c r="E25" s="36" t="s">
        <v>1329</v>
      </c>
      <c r="F25" s="36">
        <f>IF(ISBLANK(E25),"",IFERROR(VLOOKUP(E25,'CADASTRO DE CLIENTES'!$C$6:$E$500,3,FALSE),""))</f>
        <v>0</v>
      </c>
      <c r="G25" s="36" t="s">
        <v>894</v>
      </c>
      <c r="H25" s="36">
        <v>1</v>
      </c>
      <c r="I25" s="49">
        <f>IF(ISBLANK(G25),"",IFERROR(VLOOKUP(G25,'CADASTRO DE MATERIAL'!$C$6:$J$500,8,FALSE),""))</f>
        <v>39.9</v>
      </c>
      <c r="J25" s="54">
        <f t="shared" si="0"/>
        <v>39.9</v>
      </c>
      <c r="K25" s="36" t="s">
        <v>22</v>
      </c>
      <c r="L25" s="49">
        <f t="shared" si="1"/>
        <v>39.9</v>
      </c>
      <c r="M25" s="54">
        <f t="shared" si="2"/>
        <v>0</v>
      </c>
      <c r="N25" s="66">
        <v>1</v>
      </c>
      <c r="O25" s="54">
        <f t="shared" si="3"/>
        <v>39.9</v>
      </c>
      <c r="P25" s="54">
        <f t="shared" si="4"/>
        <v>0</v>
      </c>
    </row>
    <row r="26" spans="2:16" ht="16.8" hidden="1" customHeight="1" x14ac:dyDescent="0.4">
      <c r="B26" s="36" t="str">
        <f>IF(AND(ISBLANK(D26), ISBLANK(E26), ISBLANK(G26)), "", IF(AND(E26&lt;&gt;"", E26=E25, D26&lt;&gt;"", D26=D25), B25, "PED-" &amp; TEXT(IFERROR(VALUE(RIGHT(LOOKUP("PED-9999",$B$5:B25),4)),1000)+1, "0000")))</f>
        <v>PED-1017</v>
      </c>
      <c r="C26" s="30" t="s">
        <v>59</v>
      </c>
      <c r="D26" s="42">
        <v>46303</v>
      </c>
      <c r="E26" s="30" t="s">
        <v>1327</v>
      </c>
      <c r="F26" s="30">
        <f>IF(ISBLANK(E26),"",IFERROR(VLOOKUP(E26,'CADASTRO DE CLIENTES'!$C$6:$E$500,3,FALSE),""))</f>
        <v>0</v>
      </c>
      <c r="G26" s="30" t="s">
        <v>633</v>
      </c>
      <c r="H26" s="30">
        <v>1</v>
      </c>
      <c r="I26" s="51">
        <f>IF(ISBLANK(G26),"",IFERROR(VLOOKUP(G26,'CADASTRO DE MATERIAL'!$C$6:$J$500,8,FALSE),""))</f>
        <v>49.9</v>
      </c>
      <c r="J26" s="59">
        <f t="shared" si="0"/>
        <v>49.9</v>
      </c>
      <c r="K26" s="30" t="s">
        <v>32</v>
      </c>
      <c r="L26" s="51">
        <f t="shared" si="1"/>
        <v>0</v>
      </c>
      <c r="M26" s="59">
        <f t="shared" si="2"/>
        <v>49.9</v>
      </c>
      <c r="N26" s="65">
        <v>1</v>
      </c>
      <c r="O26" s="59">
        <f t="shared" si="3"/>
        <v>49.9</v>
      </c>
      <c r="P26" s="59">
        <f t="shared" si="4"/>
        <v>49.9</v>
      </c>
    </row>
    <row r="27" spans="2:16" ht="16.8" hidden="1" customHeight="1" x14ac:dyDescent="0.4">
      <c r="B27" s="36" t="str">
        <f>IF(AND(ISBLANK(D27), ISBLANK(E27), ISBLANK(G27)), "", IF(AND(E27&lt;&gt;"", E27=E26, D27&lt;&gt;"", D27=D26), B26, "PED-" &amp; TEXT(IFERROR(VALUE(RIGHT(LOOKUP("PED-9999",$B$5:B26),4)),1000)+1, "0000")))</f>
        <v>PED-1018</v>
      </c>
      <c r="C27" s="36" t="s">
        <v>60</v>
      </c>
      <c r="D27" s="41">
        <v>46303</v>
      </c>
      <c r="E27" s="36" t="s">
        <v>1330</v>
      </c>
      <c r="F27" s="36">
        <f>IF(ISBLANK(E27),"",IFERROR(VLOOKUP(E27,'CADASTRO DE CLIENTES'!$C$6:$E$500,3,FALSE),""))</f>
        <v>0</v>
      </c>
      <c r="G27" s="36" t="s">
        <v>929</v>
      </c>
      <c r="H27" s="36">
        <v>1</v>
      </c>
      <c r="I27" s="49">
        <f>IF(ISBLANK(G27),"",IFERROR(VLOOKUP(G27,'CADASTRO DE MATERIAL'!$C$6:$J$500,8,FALSE),""))</f>
        <v>69.900000000000006</v>
      </c>
      <c r="J27" s="54">
        <f t="shared" si="0"/>
        <v>69.900000000000006</v>
      </c>
      <c r="K27" s="36" t="s">
        <v>22</v>
      </c>
      <c r="L27" s="49">
        <f t="shared" si="1"/>
        <v>69.900000000000006</v>
      </c>
      <c r="M27" s="54">
        <f t="shared" si="2"/>
        <v>0</v>
      </c>
      <c r="N27" s="66">
        <v>1</v>
      </c>
      <c r="O27" s="54">
        <f t="shared" si="3"/>
        <v>69.900000000000006</v>
      </c>
      <c r="P27" s="54">
        <f t="shared" si="4"/>
        <v>0</v>
      </c>
    </row>
    <row r="28" spans="2:16" ht="16.8" hidden="1" customHeight="1" x14ac:dyDescent="0.4">
      <c r="B28" s="30" t="str">
        <f>IF(AND(ISBLANK(D28), ISBLANK(E28), ISBLANK(G28)), "", IF(AND(E28&lt;&gt;"", E28=E27, D28&lt;&gt;"", D28=D27), B27, "PED-" &amp; TEXT(IFERROR(VALUE(RIGHT(LOOKUP("PED-9999",$B$5:B27),4)),1000)+1, "0000")))</f>
        <v>PED-1019</v>
      </c>
      <c r="C28" s="30" t="s">
        <v>61</v>
      </c>
      <c r="D28" s="42">
        <v>46303</v>
      </c>
      <c r="E28" s="30" t="s">
        <v>40</v>
      </c>
      <c r="F28" s="30">
        <f>IF(ISBLANK(E28),"",IFERROR(VLOOKUP(E28,'CADASTRO DE CLIENTES'!$C$6:$E$500,3,FALSE),""))</f>
        <v>0</v>
      </c>
      <c r="G28" s="30" t="s">
        <v>929</v>
      </c>
      <c r="H28" s="30">
        <v>1</v>
      </c>
      <c r="I28" s="51">
        <f>IF(ISBLANK(G28),"",IFERROR(VLOOKUP(G28,'CADASTRO DE MATERIAL'!$C$6:$J$500,8,FALSE),""))</f>
        <v>69.900000000000006</v>
      </c>
      <c r="J28" s="59">
        <f t="shared" si="0"/>
        <v>69.900000000000006</v>
      </c>
      <c r="K28" s="30" t="s">
        <v>32</v>
      </c>
      <c r="L28" s="51">
        <f t="shared" si="1"/>
        <v>0</v>
      </c>
      <c r="M28" s="59">
        <f t="shared" si="2"/>
        <v>69.900000000000006</v>
      </c>
      <c r="N28" s="65">
        <v>1</v>
      </c>
      <c r="O28" s="59">
        <f t="shared" si="3"/>
        <v>69.900000000000006</v>
      </c>
      <c r="P28" s="59">
        <f t="shared" si="4"/>
        <v>69.900000000000006</v>
      </c>
    </row>
    <row r="29" spans="2:16" ht="16.8" hidden="1" customHeight="1" x14ac:dyDescent="0.4">
      <c r="B29" s="36" t="str">
        <f>IF(AND(ISBLANK(D29), ISBLANK(E29), ISBLANK(G29)), "", IF(AND(E29&lt;&gt;"", E29=E28, D29&lt;&gt;"", D29=D28), B28, "PED-" &amp; TEXT(IFERROR(VALUE(RIGHT(LOOKUP("PED-9999",$B$5:B28),4)),1000)+1, "0000")))</f>
        <v>PED-1020</v>
      </c>
      <c r="C29" s="36" t="s">
        <v>62</v>
      </c>
      <c r="D29" s="41">
        <v>46303</v>
      </c>
      <c r="E29" s="36" t="s">
        <v>1331</v>
      </c>
      <c r="F29" s="36">
        <f>IF(ISBLANK(E29),"",IFERROR(VLOOKUP(E29,'CADASTRO DE CLIENTES'!$C$6:$E$500,3,FALSE),""))</f>
        <v>0</v>
      </c>
      <c r="G29" s="36" t="s">
        <v>947</v>
      </c>
      <c r="H29" s="36">
        <v>1</v>
      </c>
      <c r="I29" s="49">
        <f>IF(ISBLANK(G29),"",IFERROR(VLOOKUP(G29,'CADASTRO DE MATERIAL'!$C$6:$J$500,8,FALSE),""))</f>
        <v>39.9</v>
      </c>
      <c r="J29" s="54">
        <f t="shared" si="0"/>
        <v>39.9</v>
      </c>
      <c r="K29" s="36" t="s">
        <v>32</v>
      </c>
      <c r="L29" s="49">
        <f t="shared" si="1"/>
        <v>0</v>
      </c>
      <c r="M29" s="54">
        <f t="shared" si="2"/>
        <v>39.9</v>
      </c>
      <c r="N29" s="66">
        <v>1</v>
      </c>
      <c r="O29" s="54">
        <f t="shared" si="3"/>
        <v>39.9</v>
      </c>
      <c r="P29" s="54">
        <f t="shared" si="4"/>
        <v>39.9</v>
      </c>
    </row>
    <row r="30" spans="2:16" ht="16.8" hidden="1" customHeight="1" x14ac:dyDescent="0.4">
      <c r="B30" s="30" t="str">
        <f>IF(AND(ISBLANK(D30), ISBLANK(E30), ISBLANK(G30)), "", IF(AND(E30&lt;&gt;"", E30=E29, D30&lt;&gt;"", D30=D29), B29, "PED-" &amp; TEXT(IFERROR(VALUE(RIGHT(LOOKUP("PED-9999",$B$5:B29),4)),1000)+1, "0000")))</f>
        <v>PED-1021</v>
      </c>
      <c r="C30" s="30" t="s">
        <v>63</v>
      </c>
      <c r="D30" s="42">
        <v>46303</v>
      </c>
      <c r="E30" s="30" t="s">
        <v>35</v>
      </c>
      <c r="F30" s="30" t="str">
        <f>IF(ISBLANK(E30),"",IFERROR(VLOOKUP(E30,'CADASTRO DE CLIENTES'!$C$6:$E$500,3,FALSE),""))</f>
        <v>18 98205-2963</v>
      </c>
      <c r="G30" s="30" t="s">
        <v>929</v>
      </c>
      <c r="H30" s="30">
        <v>1</v>
      </c>
      <c r="I30" s="51">
        <f>IF(ISBLANK(G30),"",IFERROR(VLOOKUP(G30,'CADASTRO DE MATERIAL'!$C$6:$J$500,8,FALSE),""))</f>
        <v>69.900000000000006</v>
      </c>
      <c r="J30" s="59">
        <f t="shared" si="0"/>
        <v>69.900000000000006</v>
      </c>
      <c r="K30" s="30" t="s">
        <v>32</v>
      </c>
      <c r="L30" s="51">
        <f t="shared" si="1"/>
        <v>0</v>
      </c>
      <c r="M30" s="59">
        <f t="shared" si="2"/>
        <v>69.900000000000006</v>
      </c>
      <c r="N30" s="65">
        <v>1</v>
      </c>
      <c r="O30" s="59">
        <f t="shared" si="3"/>
        <v>69.900000000000006</v>
      </c>
      <c r="P30" s="59">
        <f t="shared" si="4"/>
        <v>69.900000000000006</v>
      </c>
    </row>
    <row r="31" spans="2:16" ht="16.8" hidden="1" customHeight="1" x14ac:dyDescent="0.4">
      <c r="B31" s="36" t="str">
        <f>IF(AND(ISBLANK(D31), ISBLANK(E31), ISBLANK(G31)), "", IF(AND(E31&lt;&gt;"", E31=E30, D31&lt;&gt;"", D31=D30), B30, "PED-" &amp; TEXT(IFERROR(VALUE(RIGHT(LOOKUP("PED-9999",$B$5:B30),4)),1000)+1, "0000")))</f>
        <v>PED-1022</v>
      </c>
      <c r="C31" s="36" t="s">
        <v>64</v>
      </c>
      <c r="D31" s="41">
        <v>46304</v>
      </c>
      <c r="E31" s="36" t="s">
        <v>1332</v>
      </c>
      <c r="F31" s="36">
        <f>IF(ISBLANK(E31),"",IFERROR(VLOOKUP(E31,'CADASTRO DE CLIENTES'!$C$6:$E$500,3,FALSE),""))</f>
        <v>0</v>
      </c>
      <c r="G31" s="36" t="s">
        <v>637</v>
      </c>
      <c r="H31" s="36">
        <v>1</v>
      </c>
      <c r="I31" s="49">
        <f>IF(ISBLANK(G31),"",IFERROR(VLOOKUP(G31,'CADASTRO DE MATERIAL'!$C$6:$J$500,8,FALSE),""))</f>
        <v>89.9</v>
      </c>
      <c r="J31" s="54">
        <f t="shared" si="0"/>
        <v>89.9</v>
      </c>
      <c r="K31" s="36" t="s">
        <v>32</v>
      </c>
      <c r="L31" s="49">
        <f t="shared" si="1"/>
        <v>0</v>
      </c>
      <c r="M31" s="54">
        <f t="shared" si="2"/>
        <v>89.9</v>
      </c>
      <c r="N31" s="66">
        <v>1</v>
      </c>
      <c r="O31" s="54">
        <f t="shared" si="3"/>
        <v>89.9</v>
      </c>
      <c r="P31" s="54">
        <f t="shared" si="4"/>
        <v>89.9</v>
      </c>
    </row>
    <row r="32" spans="2:16" ht="16.8" hidden="1" customHeight="1" x14ac:dyDescent="0.4">
      <c r="B32" s="30" t="str">
        <f>IF(AND(ISBLANK(D32), ISBLANK(E32), ISBLANK(G32)), "", IF(AND(E32&lt;&gt;"", E32=E31, D32&lt;&gt;"", D32=D31), B31, "PED-" &amp; TEXT(IFERROR(VALUE(RIGHT(LOOKUP("PED-9999",$B$5:B31),4)),1000)+1, "0000")))</f>
        <v>PED-1023</v>
      </c>
      <c r="C32" s="30" t="s">
        <v>65</v>
      </c>
      <c r="D32" s="42">
        <v>46304</v>
      </c>
      <c r="E32" s="30" t="s">
        <v>43</v>
      </c>
      <c r="F32" s="30">
        <f>IF(ISBLANK(E32),"",IFERROR(VLOOKUP(E32,'CADASTRO DE CLIENTES'!$C$6:$E$500,3,FALSE),""))</f>
        <v>0</v>
      </c>
      <c r="G32" s="30" t="s">
        <v>766</v>
      </c>
      <c r="H32" s="30">
        <v>1</v>
      </c>
      <c r="I32" s="51">
        <f>IF(ISBLANK(G32),"",IFERROR(VLOOKUP(G32,'CADASTRO DE MATERIAL'!$C$6:$J$500,8,FALSE),""))</f>
        <v>129.9</v>
      </c>
      <c r="J32" s="59">
        <f t="shared" si="0"/>
        <v>129.9</v>
      </c>
      <c r="K32" s="30" t="s">
        <v>32</v>
      </c>
      <c r="L32" s="51">
        <f t="shared" si="1"/>
        <v>0</v>
      </c>
      <c r="M32" s="59">
        <f t="shared" si="2"/>
        <v>129.9</v>
      </c>
      <c r="N32" s="65">
        <v>1</v>
      </c>
      <c r="O32" s="59">
        <f t="shared" si="3"/>
        <v>129.9</v>
      </c>
      <c r="P32" s="59">
        <f t="shared" si="4"/>
        <v>129.9</v>
      </c>
    </row>
    <row r="33" spans="2:16" ht="16.8" hidden="1" customHeight="1" x14ac:dyDescent="0.4">
      <c r="B33" s="36" t="str">
        <f>IF(AND(ISBLANK(D33), ISBLANK(E33), ISBLANK(G33)), "", IF(AND(E33&lt;&gt;"", E33=E32, D33&lt;&gt;"", D33=D32), B32, "PED-" &amp; TEXT(IFERROR(VALUE(RIGHT(LOOKUP("PED-9999",$B$5:B32),4)),1000)+1, "0000")))</f>
        <v/>
      </c>
      <c r="C33" s="36" t="s">
        <v>66</v>
      </c>
      <c r="D33" s="41"/>
      <c r="E33" s="36"/>
      <c r="F33" s="36" t="str">
        <f>IF(ISBLANK(E33),"",IFERROR(VLOOKUP(E33,'CADASTRO DE CLIENTES'!$C$6:$E$500,3,FALSE),""))</f>
        <v/>
      </c>
      <c r="G33" s="36"/>
      <c r="H33" s="36"/>
      <c r="I33" s="49" t="str">
        <f>IF(ISBLANK(G33),"",IFERROR(VLOOKUP(G33,'CADASTRO DE MATERIAL'!$C$6:$J$500,8,FALSE),""))</f>
        <v/>
      </c>
      <c r="J33" s="54" t="str">
        <f t="shared" si="0"/>
        <v/>
      </c>
      <c r="K33" s="36"/>
      <c r="L33" s="49">
        <f t="shared" si="1"/>
        <v>0</v>
      </c>
      <c r="M33" s="54">
        <f t="shared" si="2"/>
        <v>0</v>
      </c>
      <c r="N33" s="66"/>
      <c r="O33" s="54">
        <f t="shared" si="3"/>
        <v>0</v>
      </c>
      <c r="P33" s="54" t="str">
        <f t="shared" si="4"/>
        <v/>
      </c>
    </row>
    <row r="34" spans="2:16" ht="16.8" hidden="1" customHeight="1" x14ac:dyDescent="0.4">
      <c r="B34" s="30" t="str">
        <f>IF(AND(ISBLANK(D34), ISBLANK(E34), ISBLANK(G34)), "", IF(AND(E34&lt;&gt;"", E34=E33, D34&lt;&gt;"", D34=D33), B33, "PED-" &amp; TEXT(IFERROR(VALUE(RIGHT(LOOKUP("PED-9999",$B$5:B33),4)),1000)+1, "0000")))</f>
        <v/>
      </c>
      <c r="C34" s="30" t="s">
        <v>67</v>
      </c>
      <c r="D34" s="42"/>
      <c r="E34" s="30"/>
      <c r="F34" s="30" t="str">
        <f>IF(ISBLANK(E34),"",IFERROR(VLOOKUP(E34,'CADASTRO DE CLIENTES'!$C$6:$E$500,3,FALSE),""))</f>
        <v/>
      </c>
      <c r="G34" s="30"/>
      <c r="H34" s="30"/>
      <c r="I34" s="51" t="str">
        <f>IF(ISBLANK(G34),"",IFERROR(VLOOKUP(G34,'CADASTRO DE MATERIAL'!$C$6:$J$500,8,FALSE),""))</f>
        <v/>
      </c>
      <c r="J34" s="59" t="str">
        <f t="shared" si="0"/>
        <v/>
      </c>
      <c r="K34" s="30"/>
      <c r="L34" s="51">
        <f t="shared" si="1"/>
        <v>0</v>
      </c>
      <c r="M34" s="59">
        <f t="shared" si="2"/>
        <v>0</v>
      </c>
      <c r="N34" s="65"/>
      <c r="O34" s="59">
        <f t="shared" si="3"/>
        <v>0</v>
      </c>
      <c r="P34" s="59" t="str">
        <f t="shared" si="4"/>
        <v/>
      </c>
    </row>
    <row r="35" spans="2:16" ht="16.8" hidden="1" customHeight="1" x14ac:dyDescent="0.4">
      <c r="B35" s="36" t="str">
        <f>IF(AND(ISBLANK(D35), ISBLANK(E35), ISBLANK(G35)), "", IF(AND(E35&lt;&gt;"", E35=E34, D35&lt;&gt;"", D35=D34), B34, "PED-" &amp; TEXT(IFERROR(VALUE(RIGHT(LOOKUP("PED-9999",$B$5:B34),4)),1000)+1, "0000")))</f>
        <v/>
      </c>
      <c r="C35" s="36" t="s">
        <v>68</v>
      </c>
      <c r="D35" s="41"/>
      <c r="E35" s="36"/>
      <c r="F35" s="36" t="str">
        <f>IF(ISBLANK(E35),"",IFERROR(VLOOKUP(E35,'CADASTRO DE CLIENTES'!$C$6:$E$500,3,FALSE),""))</f>
        <v/>
      </c>
      <c r="G35" s="36"/>
      <c r="H35" s="36"/>
      <c r="I35" s="49" t="str">
        <f>IF(ISBLANK(G35),"",IFERROR(VLOOKUP(G35,'CADASTRO DE MATERIAL'!$C$6:$J$500,8,FALSE),""))</f>
        <v/>
      </c>
      <c r="J35" s="54" t="str">
        <f t="shared" si="0"/>
        <v/>
      </c>
      <c r="K35" s="36"/>
      <c r="L35" s="49">
        <f t="shared" si="1"/>
        <v>0</v>
      </c>
      <c r="M35" s="54">
        <f t="shared" si="2"/>
        <v>0</v>
      </c>
      <c r="N35" s="66"/>
      <c r="O35" s="54">
        <f t="shared" si="3"/>
        <v>0</v>
      </c>
      <c r="P35" s="54" t="str">
        <f t="shared" si="4"/>
        <v/>
      </c>
    </row>
    <row r="36" spans="2:16" ht="16.8" hidden="1" customHeight="1" x14ac:dyDescent="0.4">
      <c r="B36" s="30" t="str">
        <f>IF(AND(ISBLANK(D36), ISBLANK(E36), ISBLANK(G36)), "", IF(AND(E36&lt;&gt;"", E36=E35, D36&lt;&gt;"", D36=D35), B35, "PED-" &amp; TEXT(IFERROR(VALUE(RIGHT(LOOKUP("PED-9999",$B$5:B35),4)),1000)+1, "0000")))</f>
        <v/>
      </c>
      <c r="C36" s="30" t="s">
        <v>69</v>
      </c>
      <c r="D36" s="42"/>
      <c r="E36" s="30"/>
      <c r="F36" s="30" t="str">
        <f>IF(ISBLANK(E36),"",IFERROR(VLOOKUP(E36,'CADASTRO DE CLIENTES'!$C$6:$E$500,3,FALSE),""))</f>
        <v/>
      </c>
      <c r="G36" s="30"/>
      <c r="H36" s="30"/>
      <c r="I36" s="51" t="str">
        <f>IF(ISBLANK(G36),"",IFERROR(VLOOKUP(G36,'CADASTRO DE MATERIAL'!$C$6:$J$500,8,FALSE),""))</f>
        <v/>
      </c>
      <c r="J36" s="59" t="str">
        <f t="shared" si="0"/>
        <v/>
      </c>
      <c r="K36" s="30"/>
      <c r="L36" s="51">
        <f t="shared" si="1"/>
        <v>0</v>
      </c>
      <c r="M36" s="59">
        <f t="shared" si="2"/>
        <v>0</v>
      </c>
      <c r="N36" s="65"/>
      <c r="O36" s="59">
        <f t="shared" si="3"/>
        <v>0</v>
      </c>
      <c r="P36" s="59" t="str">
        <f t="shared" si="4"/>
        <v/>
      </c>
    </row>
    <row r="37" spans="2:16" ht="16.8" hidden="1" customHeight="1" x14ac:dyDescent="0.4">
      <c r="B37" s="36" t="str">
        <f>IF(AND(ISBLANK(D37), ISBLANK(E37), ISBLANK(G37)), "", IF(AND(E37&lt;&gt;"", E37=E36, D37&lt;&gt;"", D37=D36), B36, "PED-" &amp; TEXT(IFERROR(VALUE(RIGHT(LOOKUP("PED-9999",$B$5:B36),4)),1000)+1, "0000")))</f>
        <v/>
      </c>
      <c r="C37" s="36" t="s">
        <v>70</v>
      </c>
      <c r="D37" s="41"/>
      <c r="E37" s="36"/>
      <c r="F37" s="36" t="str">
        <f>IF(ISBLANK(E37),"",IFERROR(VLOOKUP(E37,'CADASTRO DE CLIENTES'!$C$6:$E$500,3,FALSE),""))</f>
        <v/>
      </c>
      <c r="G37" s="36"/>
      <c r="H37" s="36"/>
      <c r="I37" s="49" t="str">
        <f>IF(ISBLANK(G37),"",IFERROR(VLOOKUP(G37,'CADASTRO DE MATERIAL'!$C$6:$J$500,8,FALSE),""))</f>
        <v/>
      </c>
      <c r="J37" s="54" t="str">
        <f t="shared" si="0"/>
        <v/>
      </c>
      <c r="K37" s="36"/>
      <c r="L37" s="49">
        <f t="shared" si="1"/>
        <v>0</v>
      </c>
      <c r="M37" s="54">
        <f t="shared" si="2"/>
        <v>0</v>
      </c>
      <c r="N37" s="66"/>
      <c r="O37" s="54">
        <f t="shared" si="3"/>
        <v>0</v>
      </c>
      <c r="P37" s="54" t="str">
        <f t="shared" si="4"/>
        <v/>
      </c>
    </row>
    <row r="38" spans="2:16" ht="16.8" hidden="1" customHeight="1" x14ac:dyDescent="0.4">
      <c r="B38" s="30" t="str">
        <f>IF(AND(ISBLANK(D38), ISBLANK(E38), ISBLANK(G38)), "", IF(AND(E38&lt;&gt;"", E38=E37, D38&lt;&gt;"", D38=D37), B37, "PED-" &amp; TEXT(IFERROR(VALUE(RIGHT(LOOKUP("PED-9999",$B$5:B37),4)),1000)+1, "0000")))</f>
        <v/>
      </c>
      <c r="C38" s="30" t="s">
        <v>71</v>
      </c>
      <c r="D38" s="42"/>
      <c r="E38" s="30"/>
      <c r="F38" s="30" t="str">
        <f>IF(ISBLANK(E38),"",IFERROR(VLOOKUP(E38,'CADASTRO DE CLIENTES'!$C$6:$E$500,3,FALSE),""))</f>
        <v/>
      </c>
      <c r="G38" s="30"/>
      <c r="H38" s="30"/>
      <c r="I38" s="51" t="str">
        <f>IF(ISBLANK(G38),"",IFERROR(VLOOKUP(G38,'CADASTRO DE MATERIAL'!$C$6:$J$500,8,FALSE),""))</f>
        <v/>
      </c>
      <c r="J38" s="59" t="str">
        <f t="shared" si="0"/>
        <v/>
      </c>
      <c r="K38" s="30"/>
      <c r="L38" s="51">
        <f t="shared" si="1"/>
        <v>0</v>
      </c>
      <c r="M38" s="59">
        <f t="shared" si="2"/>
        <v>0</v>
      </c>
      <c r="N38" s="65"/>
      <c r="O38" s="59">
        <f t="shared" si="3"/>
        <v>0</v>
      </c>
      <c r="P38" s="59" t="str">
        <f t="shared" si="4"/>
        <v/>
      </c>
    </row>
    <row r="39" spans="2:16" ht="16.8" hidden="1" customHeight="1" x14ac:dyDescent="0.4">
      <c r="B39" s="36" t="str">
        <f>IF(AND(ISBLANK(D39), ISBLANK(E39), ISBLANK(G39)), "", IF(AND(E39&lt;&gt;"", E39=E38, D39&lt;&gt;"", D39=D38), B38, "PED-" &amp; TEXT(IFERROR(VALUE(RIGHT(LOOKUP("PED-9999",$B$5:B38),4)),1000)+1, "0000")))</f>
        <v/>
      </c>
      <c r="C39" s="36" t="s">
        <v>72</v>
      </c>
      <c r="D39" s="41"/>
      <c r="E39" s="36"/>
      <c r="F39" s="36" t="str">
        <f>IF(ISBLANK(E39),"",IFERROR(VLOOKUP(E39,'CADASTRO DE CLIENTES'!$C$6:$E$500,3,FALSE),""))</f>
        <v/>
      </c>
      <c r="G39" s="36"/>
      <c r="H39" s="36"/>
      <c r="I39" s="49" t="str">
        <f>IF(ISBLANK(G39),"",IFERROR(VLOOKUP(G39,'CADASTRO DE MATERIAL'!$C$6:$J$500,8,FALSE),""))</f>
        <v/>
      </c>
      <c r="J39" s="54" t="str">
        <f t="shared" si="0"/>
        <v/>
      </c>
      <c r="K39" s="36"/>
      <c r="L39" s="49">
        <f t="shared" si="1"/>
        <v>0</v>
      </c>
      <c r="M39" s="54">
        <f t="shared" si="2"/>
        <v>0</v>
      </c>
      <c r="N39" s="66"/>
      <c r="O39" s="54">
        <f t="shared" si="3"/>
        <v>0</v>
      </c>
      <c r="P39" s="54" t="str">
        <f t="shared" si="4"/>
        <v/>
      </c>
    </row>
    <row r="40" spans="2:16" ht="16.8" hidden="1" customHeight="1" x14ac:dyDescent="0.4">
      <c r="B40" s="30" t="str">
        <f>IF(AND(ISBLANK(D40), ISBLANK(E40), ISBLANK(G40)), "", IF(AND(E40&lt;&gt;"", E40=E39, D40&lt;&gt;"", D40=D39), B39, "PED-" &amp; TEXT(IFERROR(VALUE(RIGHT(LOOKUP("PED-9999",$B$5:B39),4)),1000)+1, "0000")))</f>
        <v/>
      </c>
      <c r="C40" s="30" t="s">
        <v>73</v>
      </c>
      <c r="D40" s="42"/>
      <c r="E40" s="30"/>
      <c r="F40" s="30" t="str">
        <f>IF(ISBLANK(E40),"",IFERROR(VLOOKUP(E40,'CADASTRO DE CLIENTES'!$C$6:$E$500,3,FALSE),""))</f>
        <v/>
      </c>
      <c r="G40" s="30"/>
      <c r="H40" s="30"/>
      <c r="I40" s="51" t="str">
        <f>IF(ISBLANK(G40),"",IFERROR(VLOOKUP(G40,'CADASTRO DE MATERIAL'!$C$6:$J$500,8,FALSE),""))</f>
        <v/>
      </c>
      <c r="J40" s="59" t="str">
        <f t="shared" si="0"/>
        <v/>
      </c>
      <c r="K40" s="30"/>
      <c r="L40" s="51">
        <f t="shared" si="1"/>
        <v>0</v>
      </c>
      <c r="M40" s="59">
        <f t="shared" si="2"/>
        <v>0</v>
      </c>
      <c r="N40" s="65"/>
      <c r="O40" s="59">
        <f t="shared" si="3"/>
        <v>0</v>
      </c>
      <c r="P40" s="59" t="str">
        <f t="shared" si="4"/>
        <v/>
      </c>
    </row>
    <row r="41" spans="2:16" ht="16.8" hidden="1" customHeight="1" x14ac:dyDescent="0.4">
      <c r="B41" s="36" t="str">
        <f>IF(AND(ISBLANK(D41), ISBLANK(E41), ISBLANK(G41)), "", IF(AND(E41&lt;&gt;"", E41=E40, D41&lt;&gt;"", D41=D40), B40, "PED-" &amp; TEXT(IFERROR(VALUE(RIGHT(LOOKUP("PED-9999",$B$5:B40),4)),1000)+1, "0000")))</f>
        <v/>
      </c>
      <c r="C41" s="36" t="s">
        <v>74</v>
      </c>
      <c r="D41" s="41"/>
      <c r="E41" s="36"/>
      <c r="F41" s="36" t="str">
        <f>IF(ISBLANK(E41),"",IFERROR(VLOOKUP(E41,'CADASTRO DE CLIENTES'!$C$6:$E$500,3,FALSE),""))</f>
        <v/>
      </c>
      <c r="G41" s="36"/>
      <c r="H41" s="36"/>
      <c r="I41" s="49" t="str">
        <f>IF(ISBLANK(G41),"",IFERROR(VLOOKUP(G41,'CADASTRO DE MATERIAL'!$C$6:$J$500,8,FALSE),""))</f>
        <v/>
      </c>
      <c r="J41" s="54" t="str">
        <f t="shared" si="0"/>
        <v/>
      </c>
      <c r="K41" s="36"/>
      <c r="L41" s="49">
        <f t="shared" si="1"/>
        <v>0</v>
      </c>
      <c r="M41" s="54">
        <f t="shared" si="2"/>
        <v>0</v>
      </c>
      <c r="N41" s="66"/>
      <c r="O41" s="54">
        <f t="shared" si="3"/>
        <v>0</v>
      </c>
      <c r="P41" s="54" t="str">
        <f t="shared" si="4"/>
        <v/>
      </c>
    </row>
    <row r="42" spans="2:16" ht="16.8" hidden="1" customHeight="1" x14ac:dyDescent="0.4">
      <c r="B42" s="30" t="str">
        <f>IF(AND(ISBLANK(D42), ISBLANK(E42), ISBLANK(G42)), "", IF(AND(E42&lt;&gt;"", E42=E41, D42&lt;&gt;"", D42=D41), B41, "PED-" &amp; TEXT(IFERROR(VALUE(RIGHT(LOOKUP("PED-9999",$B$5:B41),4)),1000)+1, "0000")))</f>
        <v/>
      </c>
      <c r="C42" s="30" t="s">
        <v>75</v>
      </c>
      <c r="D42" s="42"/>
      <c r="E42" s="30"/>
      <c r="F42" s="30" t="str">
        <f>IF(ISBLANK(E42),"",IFERROR(VLOOKUP(E42,'CADASTRO DE CLIENTES'!$C$6:$E$500,3,FALSE),""))</f>
        <v/>
      </c>
      <c r="G42" s="30"/>
      <c r="H42" s="30"/>
      <c r="I42" s="51" t="str">
        <f>IF(ISBLANK(G42),"",IFERROR(VLOOKUP(G42,'CADASTRO DE MATERIAL'!$C$6:$J$500,8,FALSE),""))</f>
        <v/>
      </c>
      <c r="J42" s="59" t="str">
        <f t="shared" si="0"/>
        <v/>
      </c>
      <c r="K42" s="30"/>
      <c r="L42" s="51">
        <f t="shared" si="1"/>
        <v>0</v>
      </c>
      <c r="M42" s="59">
        <f t="shared" si="2"/>
        <v>0</v>
      </c>
      <c r="N42" s="65"/>
      <c r="O42" s="59">
        <f t="shared" si="3"/>
        <v>0</v>
      </c>
      <c r="P42" s="59" t="str">
        <f t="shared" si="4"/>
        <v/>
      </c>
    </row>
    <row r="43" spans="2:16" ht="16.8" hidden="1" customHeight="1" x14ac:dyDescent="0.4">
      <c r="B43" s="36" t="str">
        <f>IF(AND(ISBLANK(D43), ISBLANK(E43), ISBLANK(G43)), "", IF(AND(E43&lt;&gt;"", E43=E42, D43&lt;&gt;"", D43=D42), B42, "PED-" &amp; TEXT(IFERROR(VALUE(RIGHT(LOOKUP("PED-9999",$B$5:B42),4)),1000)+1, "0000")))</f>
        <v/>
      </c>
      <c r="C43" s="36" t="s">
        <v>76</v>
      </c>
      <c r="D43" s="41"/>
      <c r="E43" s="36"/>
      <c r="F43" s="36" t="str">
        <f>IF(ISBLANK(E43),"",IFERROR(VLOOKUP(E43,'CADASTRO DE CLIENTES'!$C$6:$E$500,3,FALSE),""))</f>
        <v/>
      </c>
      <c r="G43" s="36"/>
      <c r="H43" s="36"/>
      <c r="I43" s="49" t="str">
        <f>IF(ISBLANK(G43),"",IFERROR(VLOOKUP(G43,'CADASTRO DE MATERIAL'!$C$6:$J$500,8,FALSE),""))</f>
        <v/>
      </c>
      <c r="J43" s="54" t="str">
        <f t="shared" si="0"/>
        <v/>
      </c>
      <c r="K43" s="36"/>
      <c r="L43" s="49">
        <f t="shared" si="1"/>
        <v>0</v>
      </c>
      <c r="M43" s="54">
        <f t="shared" si="2"/>
        <v>0</v>
      </c>
      <c r="N43" s="66"/>
      <c r="O43" s="54">
        <f t="shared" si="3"/>
        <v>0</v>
      </c>
      <c r="P43" s="54" t="str">
        <f t="shared" si="4"/>
        <v/>
      </c>
    </row>
    <row r="44" spans="2:16" ht="16.8" hidden="1" customHeight="1" x14ac:dyDescent="0.4">
      <c r="B44" s="30" t="str">
        <f>IF(AND(ISBLANK(D44), ISBLANK(E44), ISBLANK(G44)), "", IF(AND(E44&lt;&gt;"", E44=E43, D44&lt;&gt;"", D44=D43), B43, "PED-" &amp; TEXT(IFERROR(VALUE(RIGHT(LOOKUP("PED-9999",$B$5:B43),4)),1000)+1, "0000")))</f>
        <v/>
      </c>
      <c r="C44" s="30" t="s">
        <v>77</v>
      </c>
      <c r="D44" s="42"/>
      <c r="E44" s="30"/>
      <c r="F44" s="30" t="str">
        <f>IF(ISBLANK(E44),"",IFERROR(VLOOKUP(E44,'CADASTRO DE CLIENTES'!$C$6:$E$500,3,FALSE),""))</f>
        <v/>
      </c>
      <c r="G44" s="30"/>
      <c r="H44" s="30"/>
      <c r="I44" s="51" t="str">
        <f>IF(ISBLANK(G44),"",IFERROR(VLOOKUP(G44,'CADASTRO DE MATERIAL'!$C$6:$J$500,8,FALSE),""))</f>
        <v/>
      </c>
      <c r="J44" s="59" t="str">
        <f t="shared" si="0"/>
        <v/>
      </c>
      <c r="K44" s="30"/>
      <c r="L44" s="51">
        <f t="shared" si="1"/>
        <v>0</v>
      </c>
      <c r="M44" s="59">
        <f t="shared" si="2"/>
        <v>0</v>
      </c>
      <c r="N44" s="65"/>
      <c r="O44" s="59">
        <f t="shared" si="3"/>
        <v>0</v>
      </c>
      <c r="P44" s="59" t="str">
        <f t="shared" si="4"/>
        <v/>
      </c>
    </row>
    <row r="45" spans="2:16" ht="16.8" hidden="1" customHeight="1" x14ac:dyDescent="0.4">
      <c r="B45" s="36" t="str">
        <f>IF(AND(ISBLANK(D45), ISBLANK(E45), ISBLANK(G45)), "", IF(AND(E45&lt;&gt;"", E45=E44, D45&lt;&gt;"", D45=D44), B44, "PED-" &amp; TEXT(IFERROR(VALUE(RIGHT(LOOKUP("PED-9999",$B$5:B44),4)),1000)+1, "0000")))</f>
        <v/>
      </c>
      <c r="C45" s="36" t="s">
        <v>78</v>
      </c>
      <c r="D45" s="41"/>
      <c r="E45" s="36"/>
      <c r="F45" s="36" t="str">
        <f>IF(ISBLANK(E45),"",IFERROR(VLOOKUP(E45,'CADASTRO DE CLIENTES'!$C$6:$E$500,3,FALSE),""))</f>
        <v/>
      </c>
      <c r="G45" s="36"/>
      <c r="H45" s="36"/>
      <c r="I45" s="49" t="str">
        <f>IF(ISBLANK(G45),"",IFERROR(VLOOKUP(G45,'CADASTRO DE MATERIAL'!$C$6:$J$500,8,FALSE),""))</f>
        <v/>
      </c>
      <c r="J45" s="54" t="str">
        <f t="shared" si="0"/>
        <v/>
      </c>
      <c r="K45" s="36"/>
      <c r="L45" s="49">
        <f t="shared" si="1"/>
        <v>0</v>
      </c>
      <c r="M45" s="54">
        <f t="shared" si="2"/>
        <v>0</v>
      </c>
      <c r="N45" s="66"/>
      <c r="O45" s="54">
        <f t="shared" si="3"/>
        <v>0</v>
      </c>
      <c r="P45" s="54" t="str">
        <f t="shared" si="4"/>
        <v/>
      </c>
    </row>
    <row r="46" spans="2:16" ht="16.8" hidden="1" customHeight="1" x14ac:dyDescent="0.4">
      <c r="B46" s="30" t="str">
        <f>IF(AND(ISBLANK(D46), ISBLANK(E46), ISBLANK(G46)), "", IF(AND(E46&lt;&gt;"", E46=E45, D46&lt;&gt;"", D46=D45), B45, "PED-" &amp; TEXT(IFERROR(VALUE(RIGHT(LOOKUP("PED-9999",$B$5:B45),4)),1000)+1, "0000")))</f>
        <v/>
      </c>
      <c r="C46" s="30" t="s">
        <v>79</v>
      </c>
      <c r="D46" s="42"/>
      <c r="E46" s="30"/>
      <c r="F46" s="30" t="str">
        <f>IF(ISBLANK(E46),"",IFERROR(VLOOKUP(E46,'CADASTRO DE CLIENTES'!$C$6:$E$500,3,FALSE),""))</f>
        <v/>
      </c>
      <c r="G46" s="30"/>
      <c r="H46" s="30"/>
      <c r="I46" s="51" t="str">
        <f>IF(ISBLANK(G46),"",IFERROR(VLOOKUP(G46,'CADASTRO DE MATERIAL'!$C$6:$J$500,8,FALSE),""))</f>
        <v/>
      </c>
      <c r="J46" s="59" t="str">
        <f t="shared" si="0"/>
        <v/>
      </c>
      <c r="K46" s="30"/>
      <c r="L46" s="51">
        <f t="shared" si="1"/>
        <v>0</v>
      </c>
      <c r="M46" s="59">
        <f t="shared" si="2"/>
        <v>0</v>
      </c>
      <c r="N46" s="65"/>
      <c r="O46" s="59">
        <f t="shared" si="3"/>
        <v>0</v>
      </c>
      <c r="P46" s="59" t="str">
        <f t="shared" si="4"/>
        <v/>
      </c>
    </row>
    <row r="47" spans="2:16" ht="16.8" hidden="1" customHeight="1" x14ac:dyDescent="0.4">
      <c r="B47" s="36" t="str">
        <f>IF(AND(ISBLANK(D47), ISBLANK(E47), ISBLANK(G47)), "", IF(AND(E47&lt;&gt;"", E47=E46, D47&lt;&gt;"", D47=D46), B46, "PED-" &amp; TEXT(IFERROR(VALUE(RIGHT(LOOKUP("PED-9999",$B$5:B46),4)),1000)+1, "0000")))</f>
        <v/>
      </c>
      <c r="C47" s="36" t="s">
        <v>80</v>
      </c>
      <c r="D47" s="41"/>
      <c r="E47" s="36"/>
      <c r="F47" s="36" t="str">
        <f>IF(ISBLANK(E47),"",IFERROR(VLOOKUP(E47,'CADASTRO DE CLIENTES'!$C$6:$E$500,3,FALSE),""))</f>
        <v/>
      </c>
      <c r="G47" s="36"/>
      <c r="H47" s="36"/>
      <c r="I47" s="49" t="str">
        <f>IF(ISBLANK(G47),"",IFERROR(VLOOKUP(G47,'CADASTRO DE MATERIAL'!$C$6:$J$500,8,FALSE),""))</f>
        <v/>
      </c>
      <c r="J47" s="54" t="str">
        <f t="shared" si="0"/>
        <v/>
      </c>
      <c r="K47" s="36"/>
      <c r="L47" s="49">
        <f t="shared" si="1"/>
        <v>0</v>
      </c>
      <c r="M47" s="54">
        <f t="shared" si="2"/>
        <v>0</v>
      </c>
      <c r="N47" s="66"/>
      <c r="O47" s="54">
        <f t="shared" si="3"/>
        <v>0</v>
      </c>
      <c r="P47" s="54" t="str">
        <f t="shared" si="4"/>
        <v/>
      </c>
    </row>
    <row r="48" spans="2:16" ht="16.8" hidden="1" customHeight="1" x14ac:dyDescent="0.4">
      <c r="B48" s="30" t="str">
        <f>IF(AND(ISBLANK(D48), ISBLANK(E48), ISBLANK(G48)), "", IF(AND(E48&lt;&gt;"", E48=E47, D48&lt;&gt;"", D48=D47), B47, "PED-" &amp; TEXT(IFERROR(VALUE(RIGHT(LOOKUP("PED-9999",$B$5:B47),4)),1000)+1, "0000")))</f>
        <v/>
      </c>
      <c r="C48" s="30" t="s">
        <v>81</v>
      </c>
      <c r="D48" s="42"/>
      <c r="E48" s="30"/>
      <c r="F48" s="30" t="str">
        <f>IF(ISBLANK(E48),"",IFERROR(VLOOKUP(E48,'CADASTRO DE CLIENTES'!$C$6:$E$500,3,FALSE),""))</f>
        <v/>
      </c>
      <c r="G48" s="30"/>
      <c r="H48" s="30"/>
      <c r="I48" s="51" t="str">
        <f>IF(ISBLANK(G48),"",IFERROR(VLOOKUP(G48,'CADASTRO DE MATERIAL'!$C$6:$J$500,8,FALSE),""))</f>
        <v/>
      </c>
      <c r="J48" s="59" t="str">
        <f t="shared" si="0"/>
        <v/>
      </c>
      <c r="K48" s="30"/>
      <c r="L48" s="51">
        <f t="shared" si="1"/>
        <v>0</v>
      </c>
      <c r="M48" s="59">
        <f t="shared" si="2"/>
        <v>0</v>
      </c>
      <c r="N48" s="65"/>
      <c r="O48" s="59">
        <f t="shared" si="3"/>
        <v>0</v>
      </c>
      <c r="P48" s="59" t="str">
        <f t="shared" si="4"/>
        <v/>
      </c>
    </row>
    <row r="49" spans="2:16" ht="16.8" hidden="1" customHeight="1" x14ac:dyDescent="0.4">
      <c r="B49" s="36" t="str">
        <f>IF(AND(ISBLANK(D49), ISBLANK(E49), ISBLANK(G49)), "", IF(AND(E49&lt;&gt;"", E49=E48, D49&lt;&gt;"", D49=D48), B48, "PED-" &amp; TEXT(IFERROR(VALUE(RIGHT(LOOKUP("PED-9999",$B$5:B48),4)),1000)+1, "0000")))</f>
        <v/>
      </c>
      <c r="C49" s="36" t="s">
        <v>82</v>
      </c>
      <c r="D49" s="41"/>
      <c r="E49" s="36"/>
      <c r="F49" s="36" t="str">
        <f>IF(ISBLANK(E49),"",IFERROR(VLOOKUP(E49,'CADASTRO DE CLIENTES'!$C$6:$E$500,3,FALSE),""))</f>
        <v/>
      </c>
      <c r="G49" s="36"/>
      <c r="H49" s="36"/>
      <c r="I49" s="49" t="str">
        <f>IF(ISBLANK(G49),"",IFERROR(VLOOKUP(G49,'CADASTRO DE MATERIAL'!$C$6:$J$500,8,FALSE),""))</f>
        <v/>
      </c>
      <c r="J49" s="54" t="str">
        <f t="shared" si="0"/>
        <v/>
      </c>
      <c r="K49" s="36"/>
      <c r="L49" s="49">
        <f t="shared" si="1"/>
        <v>0</v>
      </c>
      <c r="M49" s="54">
        <f t="shared" si="2"/>
        <v>0</v>
      </c>
      <c r="N49" s="66"/>
      <c r="O49" s="54">
        <f t="shared" si="3"/>
        <v>0</v>
      </c>
      <c r="P49" s="54" t="str">
        <f t="shared" si="4"/>
        <v/>
      </c>
    </row>
    <row r="50" spans="2:16" ht="16.8" hidden="1" customHeight="1" x14ac:dyDescent="0.4">
      <c r="B50" s="30" t="str">
        <f>IF(AND(ISBLANK(D50), ISBLANK(E50), ISBLANK(G50)), "", IF(AND(E50&lt;&gt;"", E50=E49, D50&lt;&gt;"", D50=D49), B49, "PED-" &amp; TEXT(IFERROR(VALUE(RIGHT(LOOKUP("PED-9999",$B$5:B49),4)),1000)+1, "0000")))</f>
        <v/>
      </c>
      <c r="C50" s="30" t="s">
        <v>83</v>
      </c>
      <c r="D50" s="42"/>
      <c r="E50" s="30"/>
      <c r="F50" s="30" t="str">
        <f>IF(ISBLANK(E50),"",IFERROR(VLOOKUP(E50,'CADASTRO DE CLIENTES'!$C$6:$E$500,3,FALSE),""))</f>
        <v/>
      </c>
      <c r="G50" s="30"/>
      <c r="H50" s="30"/>
      <c r="I50" s="51" t="str">
        <f>IF(ISBLANK(G50),"",IFERROR(VLOOKUP(G50,'CADASTRO DE MATERIAL'!$C$6:$J$500,8,FALSE),""))</f>
        <v/>
      </c>
      <c r="J50" s="59" t="str">
        <f t="shared" si="0"/>
        <v/>
      </c>
      <c r="K50" s="30"/>
      <c r="L50" s="51">
        <f t="shared" si="1"/>
        <v>0</v>
      </c>
      <c r="M50" s="59">
        <f t="shared" si="2"/>
        <v>0</v>
      </c>
      <c r="N50" s="65"/>
      <c r="O50" s="59">
        <f t="shared" si="3"/>
        <v>0</v>
      </c>
      <c r="P50" s="59" t="str">
        <f t="shared" si="4"/>
        <v/>
      </c>
    </row>
    <row r="51" spans="2:16" ht="16.8" hidden="1" customHeight="1" x14ac:dyDescent="0.4">
      <c r="B51" s="36" t="str">
        <f>IF(AND(ISBLANK(D51), ISBLANK(E51), ISBLANK(G51)), "", IF(AND(E51&lt;&gt;"", E51=E50, D51&lt;&gt;"", D51=D50), B50, "PED-" &amp; TEXT(IFERROR(VALUE(RIGHT(LOOKUP("PED-9999",$B$5:B50),4)),1000)+1, "0000")))</f>
        <v/>
      </c>
      <c r="C51" s="36" t="s">
        <v>84</v>
      </c>
      <c r="D51" s="41"/>
      <c r="E51" s="36"/>
      <c r="F51" s="36" t="str">
        <f>IF(ISBLANK(E51),"",IFERROR(VLOOKUP(E51,'CADASTRO DE CLIENTES'!$C$6:$E$500,3,FALSE),""))</f>
        <v/>
      </c>
      <c r="G51" s="36"/>
      <c r="H51" s="36"/>
      <c r="I51" s="49" t="str">
        <f>IF(ISBLANK(G51),"",IFERROR(VLOOKUP(G51,'CADASTRO DE MATERIAL'!$C$6:$J$500,8,FALSE),""))</f>
        <v/>
      </c>
      <c r="J51" s="54" t="str">
        <f t="shared" si="0"/>
        <v/>
      </c>
      <c r="K51" s="36"/>
      <c r="L51" s="49">
        <f t="shared" si="1"/>
        <v>0</v>
      </c>
      <c r="M51" s="54">
        <f t="shared" si="2"/>
        <v>0</v>
      </c>
      <c r="N51" s="66"/>
      <c r="O51" s="54">
        <f t="shared" si="3"/>
        <v>0</v>
      </c>
      <c r="P51" s="54" t="str">
        <f t="shared" si="4"/>
        <v/>
      </c>
    </row>
    <row r="52" spans="2:16" ht="16.8" hidden="1" customHeight="1" x14ac:dyDescent="0.4">
      <c r="B52" s="30" t="str">
        <f>IF(AND(ISBLANK(D52), ISBLANK(E52), ISBLANK(G52)), "", IF(AND(E52&lt;&gt;"", E52=E51, D52&lt;&gt;"", D52=D51), B51, "PED-" &amp; TEXT(IFERROR(VALUE(RIGHT(LOOKUP("PED-9999",$B$5:B51),4)),1000)+1, "0000")))</f>
        <v/>
      </c>
      <c r="C52" s="30" t="s">
        <v>85</v>
      </c>
      <c r="D52" s="42"/>
      <c r="E52" s="30"/>
      <c r="F52" s="30" t="str">
        <f>IF(ISBLANK(E52),"",IFERROR(VLOOKUP(E52,'CADASTRO DE CLIENTES'!$C$6:$E$500,3,FALSE),""))</f>
        <v/>
      </c>
      <c r="G52" s="30"/>
      <c r="H52" s="30"/>
      <c r="I52" s="51" t="str">
        <f>IF(ISBLANK(G52),"",IFERROR(VLOOKUP(G52,'CADASTRO DE MATERIAL'!$C$6:$J$500,8,FALSE),""))</f>
        <v/>
      </c>
      <c r="J52" s="59" t="str">
        <f t="shared" si="0"/>
        <v/>
      </c>
      <c r="K52" s="30"/>
      <c r="L52" s="51">
        <f t="shared" si="1"/>
        <v>0</v>
      </c>
      <c r="M52" s="59">
        <f t="shared" si="2"/>
        <v>0</v>
      </c>
      <c r="N52" s="65"/>
      <c r="O52" s="59">
        <f t="shared" si="3"/>
        <v>0</v>
      </c>
      <c r="P52" s="59" t="str">
        <f t="shared" si="4"/>
        <v/>
      </c>
    </row>
    <row r="53" spans="2:16" ht="16.8" hidden="1" customHeight="1" x14ac:dyDescent="0.4">
      <c r="B53" s="36" t="str">
        <f>IF(AND(ISBLANK(D53), ISBLANK(E53), ISBLANK(G53)), "", IF(AND(E53&lt;&gt;"", E53=E52, D53&lt;&gt;"", D53=D52), B52, "PED-" &amp; TEXT(IFERROR(VALUE(RIGHT(LOOKUP("PED-9999",$B$5:B52),4)),1000)+1, "0000")))</f>
        <v/>
      </c>
      <c r="C53" s="36" t="s">
        <v>86</v>
      </c>
      <c r="D53" s="41"/>
      <c r="E53" s="36"/>
      <c r="F53" s="36" t="str">
        <f>IF(ISBLANK(E53),"",IFERROR(VLOOKUP(E53,'CADASTRO DE CLIENTES'!$C$6:$E$500,3,FALSE),""))</f>
        <v/>
      </c>
      <c r="G53" s="36"/>
      <c r="H53" s="36"/>
      <c r="I53" s="49" t="str">
        <f>IF(ISBLANK(G53),"",IFERROR(VLOOKUP(G53,'CADASTRO DE MATERIAL'!$C$6:$J$500,8,FALSE),""))</f>
        <v/>
      </c>
      <c r="J53" s="54" t="str">
        <f t="shared" si="0"/>
        <v/>
      </c>
      <c r="K53" s="36"/>
      <c r="L53" s="49">
        <f t="shared" si="1"/>
        <v>0</v>
      </c>
      <c r="M53" s="54">
        <f t="shared" si="2"/>
        <v>0</v>
      </c>
      <c r="N53" s="66"/>
      <c r="O53" s="54">
        <f t="shared" si="3"/>
        <v>0</v>
      </c>
      <c r="P53" s="54" t="str">
        <f t="shared" si="4"/>
        <v/>
      </c>
    </row>
    <row r="54" spans="2:16" ht="16.8" hidden="1" customHeight="1" x14ac:dyDescent="0.4">
      <c r="B54" s="30" t="str">
        <f>IF(AND(ISBLANK(D54), ISBLANK(E54), ISBLANK(G54)), "", IF(AND(E54&lt;&gt;"", E54=E53, D54&lt;&gt;"", D54=D53), B53, "PED-" &amp; TEXT(IFERROR(VALUE(RIGHT(LOOKUP("PED-9999",$B$5:B53),4)),1000)+1, "0000")))</f>
        <v/>
      </c>
      <c r="C54" s="30" t="s">
        <v>87</v>
      </c>
      <c r="D54" s="42"/>
      <c r="E54" s="30"/>
      <c r="F54" s="30" t="str">
        <f>IF(ISBLANK(E54),"",IFERROR(VLOOKUP(E54,'CADASTRO DE CLIENTES'!$C$6:$E$500,3,FALSE),""))</f>
        <v/>
      </c>
      <c r="G54" s="30"/>
      <c r="H54" s="30"/>
      <c r="I54" s="51" t="str">
        <f>IF(ISBLANK(G54),"",IFERROR(VLOOKUP(G54,'CADASTRO DE MATERIAL'!$C$6:$J$500,8,FALSE),""))</f>
        <v/>
      </c>
      <c r="J54" s="59" t="str">
        <f t="shared" si="0"/>
        <v/>
      </c>
      <c r="K54" s="30"/>
      <c r="L54" s="51">
        <f t="shared" si="1"/>
        <v>0</v>
      </c>
      <c r="M54" s="59">
        <f t="shared" si="2"/>
        <v>0</v>
      </c>
      <c r="N54" s="65"/>
      <c r="O54" s="59">
        <f t="shared" si="3"/>
        <v>0</v>
      </c>
      <c r="P54" s="59" t="str">
        <f t="shared" si="4"/>
        <v/>
      </c>
    </row>
    <row r="55" spans="2:16" ht="16.8" hidden="1" customHeight="1" x14ac:dyDescent="0.4">
      <c r="B55" s="36" t="str">
        <f>IF(AND(ISBLANK(D55), ISBLANK(E55), ISBLANK(G55)), "", IF(AND(E55&lt;&gt;"", E55=E54, D55&lt;&gt;"", D55=D54), B54, "PED-" &amp; TEXT(IFERROR(VALUE(RIGHT(LOOKUP("PED-9999",$B$5:B54),4)),1000)+1, "0000")))</f>
        <v/>
      </c>
      <c r="C55" s="36" t="s">
        <v>88</v>
      </c>
      <c r="D55" s="41"/>
      <c r="E55" s="36"/>
      <c r="F55" s="36" t="str">
        <f>IF(ISBLANK(E55),"",IFERROR(VLOOKUP(E55,'CADASTRO DE CLIENTES'!$C$6:$E$500,3,FALSE),""))</f>
        <v/>
      </c>
      <c r="G55" s="36"/>
      <c r="H55" s="36"/>
      <c r="I55" s="49" t="str">
        <f>IF(ISBLANK(G55),"",IFERROR(VLOOKUP(G55,'CADASTRO DE MATERIAL'!$C$6:$J$500,8,FALSE),""))</f>
        <v/>
      </c>
      <c r="J55" s="54" t="str">
        <f t="shared" si="0"/>
        <v/>
      </c>
      <c r="K55" s="36"/>
      <c r="L55" s="49">
        <f t="shared" si="1"/>
        <v>0</v>
      </c>
      <c r="M55" s="54">
        <f t="shared" si="2"/>
        <v>0</v>
      </c>
      <c r="N55" s="66"/>
      <c r="O55" s="54">
        <f t="shared" si="3"/>
        <v>0</v>
      </c>
      <c r="P55" s="54" t="str">
        <f t="shared" si="4"/>
        <v/>
      </c>
    </row>
    <row r="56" spans="2:16" ht="16.8" hidden="1" customHeight="1" x14ac:dyDescent="0.4">
      <c r="B56" s="30" t="str">
        <f>IF(AND(ISBLANK(D56), ISBLANK(E56), ISBLANK(G56)), "", IF(AND(E56&lt;&gt;"", E56=E55, D56&lt;&gt;"", D56=D55), B55, "PED-" &amp; TEXT(IFERROR(VALUE(RIGHT(LOOKUP("PED-9999",$B$5:B55),4)),1000)+1, "0000")))</f>
        <v/>
      </c>
      <c r="C56" s="30" t="s">
        <v>89</v>
      </c>
      <c r="D56" s="42"/>
      <c r="E56" s="30"/>
      <c r="F56" s="30" t="str">
        <f>IF(ISBLANK(E56),"",IFERROR(VLOOKUP(E56,'CADASTRO DE CLIENTES'!$C$6:$E$500,3,FALSE),""))</f>
        <v/>
      </c>
      <c r="G56" s="30"/>
      <c r="H56" s="30"/>
      <c r="I56" s="51" t="str">
        <f>IF(ISBLANK(G56),"",IFERROR(VLOOKUP(G56,'CADASTRO DE MATERIAL'!$C$6:$J$500,8,FALSE),""))</f>
        <v/>
      </c>
      <c r="J56" s="59" t="str">
        <f t="shared" si="0"/>
        <v/>
      </c>
      <c r="K56" s="30"/>
      <c r="L56" s="51">
        <f t="shared" si="1"/>
        <v>0</v>
      </c>
      <c r="M56" s="59">
        <f t="shared" si="2"/>
        <v>0</v>
      </c>
      <c r="N56" s="65"/>
      <c r="O56" s="59">
        <f t="shared" si="3"/>
        <v>0</v>
      </c>
      <c r="P56" s="59" t="str">
        <f t="shared" si="4"/>
        <v/>
      </c>
    </row>
    <row r="57" spans="2:16" ht="16.8" hidden="1" customHeight="1" x14ac:dyDescent="0.4">
      <c r="B57" s="36" t="str">
        <f>IF(AND(ISBLANK(D57), ISBLANK(E57), ISBLANK(G57)), "", IF(AND(E57&lt;&gt;"", E57=E56, D57&lt;&gt;"", D57=D56), B56, "PED-" &amp; TEXT(IFERROR(VALUE(RIGHT(LOOKUP("PED-9999",$B$5:B56),4)),1000)+1, "0000")))</f>
        <v/>
      </c>
      <c r="C57" s="36" t="s">
        <v>90</v>
      </c>
      <c r="D57" s="41"/>
      <c r="E57" s="36"/>
      <c r="F57" s="36" t="str">
        <f>IF(ISBLANK(E57),"",IFERROR(VLOOKUP(E57,'CADASTRO DE CLIENTES'!$C$6:$E$500,3,FALSE),""))</f>
        <v/>
      </c>
      <c r="G57" s="36"/>
      <c r="H57" s="36"/>
      <c r="I57" s="49" t="str">
        <f>IF(ISBLANK(G57),"",IFERROR(VLOOKUP(G57,'CADASTRO DE MATERIAL'!$C$6:$J$500,8,FALSE),""))</f>
        <v/>
      </c>
      <c r="J57" s="54" t="str">
        <f t="shared" si="0"/>
        <v/>
      </c>
      <c r="K57" s="36"/>
      <c r="L57" s="49">
        <f t="shared" si="1"/>
        <v>0</v>
      </c>
      <c r="M57" s="54">
        <f t="shared" si="2"/>
        <v>0</v>
      </c>
      <c r="N57" s="66"/>
      <c r="O57" s="54">
        <f t="shared" si="3"/>
        <v>0</v>
      </c>
      <c r="P57" s="54" t="str">
        <f t="shared" si="4"/>
        <v/>
      </c>
    </row>
    <row r="58" spans="2:16" ht="16.8" hidden="1" customHeight="1" x14ac:dyDescent="0.4">
      <c r="B58" s="30" t="str">
        <f>IF(AND(ISBLANK(D58), ISBLANK(E58), ISBLANK(G58)), "", IF(AND(E58&lt;&gt;"", E58=E57, D58&lt;&gt;"", D58=D57), B57, "PED-" &amp; TEXT(IFERROR(VALUE(RIGHT(LOOKUP("PED-9999",$B$5:B57),4)),1000)+1, "0000")))</f>
        <v/>
      </c>
      <c r="C58" s="30" t="s">
        <v>91</v>
      </c>
      <c r="D58" s="42"/>
      <c r="E58" s="30"/>
      <c r="F58" s="30" t="str">
        <f>IF(ISBLANK(E58),"",IFERROR(VLOOKUP(E58,'CADASTRO DE CLIENTES'!$C$6:$E$500,3,FALSE),""))</f>
        <v/>
      </c>
      <c r="G58" s="30"/>
      <c r="H58" s="30"/>
      <c r="I58" s="51" t="str">
        <f>IF(ISBLANK(G58),"",IFERROR(VLOOKUP(G58,'CADASTRO DE MATERIAL'!$C$6:$J$500,8,FALSE),""))</f>
        <v/>
      </c>
      <c r="J58" s="59" t="str">
        <f t="shared" si="0"/>
        <v/>
      </c>
      <c r="K58" s="30"/>
      <c r="L58" s="51">
        <f t="shared" si="1"/>
        <v>0</v>
      </c>
      <c r="M58" s="59">
        <f t="shared" si="2"/>
        <v>0</v>
      </c>
      <c r="N58" s="65"/>
      <c r="O58" s="59">
        <f t="shared" si="3"/>
        <v>0</v>
      </c>
      <c r="P58" s="59" t="str">
        <f t="shared" si="4"/>
        <v/>
      </c>
    </row>
    <row r="59" spans="2:16" ht="16.8" hidden="1" customHeight="1" x14ac:dyDescent="0.4">
      <c r="B59" s="36" t="str">
        <f>IF(AND(ISBLANK(D59), ISBLANK(E59), ISBLANK(G59)), "", IF(AND(E59&lt;&gt;"", E59=E58, D59&lt;&gt;"", D59=D58), B58, "PED-" &amp; TEXT(IFERROR(VALUE(RIGHT(LOOKUP("PED-9999",$B$5:B58),4)),1000)+1, "0000")))</f>
        <v/>
      </c>
      <c r="C59" s="36" t="s">
        <v>92</v>
      </c>
      <c r="D59" s="41"/>
      <c r="E59" s="36"/>
      <c r="F59" s="36" t="str">
        <f>IF(ISBLANK(E59),"",IFERROR(VLOOKUP(E59,'CADASTRO DE CLIENTES'!$C$6:$E$500,3,FALSE),""))</f>
        <v/>
      </c>
      <c r="G59" s="36"/>
      <c r="H59" s="36"/>
      <c r="I59" s="49" t="str">
        <f>IF(ISBLANK(G59),"",IFERROR(VLOOKUP(G59,'CADASTRO DE MATERIAL'!$C$6:$J$500,8,FALSE),""))</f>
        <v/>
      </c>
      <c r="J59" s="54" t="str">
        <f t="shared" si="0"/>
        <v/>
      </c>
      <c r="K59" s="36"/>
      <c r="L59" s="49">
        <f t="shared" si="1"/>
        <v>0</v>
      </c>
      <c r="M59" s="54">
        <f t="shared" si="2"/>
        <v>0</v>
      </c>
      <c r="N59" s="66"/>
      <c r="O59" s="54">
        <f t="shared" si="3"/>
        <v>0</v>
      </c>
      <c r="P59" s="54" t="str">
        <f t="shared" si="4"/>
        <v/>
      </c>
    </row>
    <row r="60" spans="2:16" ht="16.8" hidden="1" customHeight="1" x14ac:dyDescent="0.4">
      <c r="B60" s="30" t="str">
        <f>IF(AND(ISBLANK(D60), ISBLANK(E60), ISBLANK(G60)), "", IF(AND(E60&lt;&gt;"", E60=E59, D60&lt;&gt;"", D60=D59), B59, "PED-" &amp; TEXT(IFERROR(VALUE(RIGHT(LOOKUP("PED-9999",$B$5:B59),4)),1000)+1, "0000")))</f>
        <v/>
      </c>
      <c r="C60" s="30" t="s">
        <v>93</v>
      </c>
      <c r="D60" s="42"/>
      <c r="E60" s="30"/>
      <c r="F60" s="30" t="str">
        <f>IF(ISBLANK(E60),"",IFERROR(VLOOKUP(E60,'CADASTRO DE CLIENTES'!$C$6:$E$500,3,FALSE),""))</f>
        <v/>
      </c>
      <c r="G60" s="30"/>
      <c r="H60" s="30"/>
      <c r="I60" s="51" t="str">
        <f>IF(ISBLANK(G60),"",IFERROR(VLOOKUP(G60,'CADASTRO DE MATERIAL'!$C$6:$J$500,8,FALSE),""))</f>
        <v/>
      </c>
      <c r="J60" s="59" t="str">
        <f t="shared" si="0"/>
        <v/>
      </c>
      <c r="K60" s="30"/>
      <c r="L60" s="51">
        <f t="shared" si="1"/>
        <v>0</v>
      </c>
      <c r="M60" s="59">
        <f t="shared" si="2"/>
        <v>0</v>
      </c>
      <c r="N60" s="65"/>
      <c r="O60" s="59">
        <f t="shared" si="3"/>
        <v>0</v>
      </c>
      <c r="P60" s="59" t="str">
        <f t="shared" si="4"/>
        <v/>
      </c>
    </row>
    <row r="61" spans="2:16" ht="16.8" hidden="1" customHeight="1" x14ac:dyDescent="0.4">
      <c r="B61" s="36" t="str">
        <f>IF(AND(ISBLANK(D61), ISBLANK(E61), ISBLANK(G61)), "", IF(AND(E61&lt;&gt;"", E61=E60, D61&lt;&gt;"", D61=D60), B60, "PED-" &amp; TEXT(IFERROR(VALUE(RIGHT(LOOKUP("PED-9999",$B$5:B60),4)),1000)+1, "0000")))</f>
        <v/>
      </c>
      <c r="C61" s="36" t="s">
        <v>94</v>
      </c>
      <c r="D61" s="41"/>
      <c r="E61" s="36"/>
      <c r="F61" s="36" t="str">
        <f>IF(ISBLANK(E61),"",IFERROR(VLOOKUP(E61,'CADASTRO DE CLIENTES'!$C$6:$E$500,3,FALSE),""))</f>
        <v/>
      </c>
      <c r="G61" s="36"/>
      <c r="H61" s="36"/>
      <c r="I61" s="49" t="str">
        <f>IF(ISBLANK(G61),"",IFERROR(VLOOKUP(G61,'CADASTRO DE MATERIAL'!$C$6:$J$500,8,FALSE),""))</f>
        <v/>
      </c>
      <c r="J61" s="54" t="str">
        <f t="shared" si="0"/>
        <v/>
      </c>
      <c r="K61" s="36"/>
      <c r="L61" s="49">
        <f t="shared" si="1"/>
        <v>0</v>
      </c>
      <c r="M61" s="54">
        <f t="shared" si="2"/>
        <v>0</v>
      </c>
      <c r="N61" s="66"/>
      <c r="O61" s="54">
        <f t="shared" si="3"/>
        <v>0</v>
      </c>
      <c r="P61" s="54" t="str">
        <f t="shared" si="4"/>
        <v/>
      </c>
    </row>
    <row r="62" spans="2:16" ht="16.8" hidden="1" customHeight="1" x14ac:dyDescent="0.4">
      <c r="B62" s="30" t="str">
        <f>IF(AND(ISBLANK(D62), ISBLANK(E62), ISBLANK(G62)), "", IF(AND(E62&lt;&gt;"", E62=E61, D62&lt;&gt;"", D62=D61), B61, "PED-" &amp; TEXT(IFERROR(VALUE(RIGHT(LOOKUP("PED-9999",$B$5:B61),4)),1000)+1, "0000")))</f>
        <v/>
      </c>
      <c r="C62" s="30" t="s">
        <v>95</v>
      </c>
      <c r="D62" s="42"/>
      <c r="E62" s="30"/>
      <c r="F62" s="30" t="str">
        <f>IF(ISBLANK(E62),"",IFERROR(VLOOKUP(E62,'CADASTRO DE CLIENTES'!$C$6:$E$500,3,FALSE),""))</f>
        <v/>
      </c>
      <c r="G62" s="30"/>
      <c r="H62" s="30"/>
      <c r="I62" s="51" t="str">
        <f>IF(ISBLANK(G62),"",IFERROR(VLOOKUP(G62,'CADASTRO DE MATERIAL'!$C$6:$J$500,8,FALSE),""))</f>
        <v/>
      </c>
      <c r="J62" s="59" t="str">
        <f t="shared" si="0"/>
        <v/>
      </c>
      <c r="K62" s="30"/>
      <c r="L62" s="51">
        <f t="shared" si="1"/>
        <v>0</v>
      </c>
      <c r="M62" s="59">
        <f t="shared" si="2"/>
        <v>0</v>
      </c>
      <c r="N62" s="65"/>
      <c r="O62" s="59">
        <f t="shared" si="3"/>
        <v>0</v>
      </c>
      <c r="P62" s="59" t="str">
        <f t="shared" si="4"/>
        <v/>
      </c>
    </row>
    <row r="63" spans="2:16" ht="16.8" hidden="1" customHeight="1" x14ac:dyDescent="0.4">
      <c r="B63" s="36" t="str">
        <f>IF(AND(ISBLANK(D63), ISBLANK(E63), ISBLANK(G63)), "", IF(AND(E63&lt;&gt;"", E63=E62, D63&lt;&gt;"", D63=D62), B62, "PED-" &amp; TEXT(IFERROR(VALUE(RIGHT(LOOKUP("PED-9999",$B$5:B62),4)),1000)+1, "0000")))</f>
        <v/>
      </c>
      <c r="C63" s="36" t="s">
        <v>96</v>
      </c>
      <c r="D63" s="41"/>
      <c r="E63" s="36"/>
      <c r="F63" s="36" t="str">
        <f>IF(ISBLANK(E63),"",IFERROR(VLOOKUP(E63,'CADASTRO DE CLIENTES'!$C$6:$E$500,3,FALSE),""))</f>
        <v/>
      </c>
      <c r="G63" s="36"/>
      <c r="H63" s="36"/>
      <c r="I63" s="49" t="str">
        <f>IF(ISBLANK(G63),"",IFERROR(VLOOKUP(G63,'CADASTRO DE MATERIAL'!$C$6:$J$500,8,FALSE),""))</f>
        <v/>
      </c>
      <c r="J63" s="54" t="str">
        <f t="shared" si="0"/>
        <v/>
      </c>
      <c r="K63" s="36"/>
      <c r="L63" s="49">
        <f t="shared" si="1"/>
        <v>0</v>
      </c>
      <c r="M63" s="54">
        <f t="shared" si="2"/>
        <v>0</v>
      </c>
      <c r="N63" s="66"/>
      <c r="O63" s="54">
        <f t="shared" si="3"/>
        <v>0</v>
      </c>
      <c r="P63" s="54" t="str">
        <f t="shared" si="4"/>
        <v/>
      </c>
    </row>
    <row r="64" spans="2:16" ht="16.8" hidden="1" customHeight="1" x14ac:dyDescent="0.4">
      <c r="B64" s="30" t="str">
        <f>IF(AND(ISBLANK(D64), ISBLANK(E64), ISBLANK(G64)), "", IF(AND(E64&lt;&gt;"", E64=E63, D64&lt;&gt;"", D64=D63), B63, "PED-" &amp; TEXT(IFERROR(VALUE(RIGHT(LOOKUP("PED-9999",$B$5:B63),4)),1000)+1, "0000")))</f>
        <v/>
      </c>
      <c r="C64" s="30" t="s">
        <v>97</v>
      </c>
      <c r="D64" s="42"/>
      <c r="E64" s="30"/>
      <c r="F64" s="30" t="str">
        <f>IF(ISBLANK(E64),"",IFERROR(VLOOKUP(E64,'CADASTRO DE CLIENTES'!$C$6:$E$500,3,FALSE),""))</f>
        <v/>
      </c>
      <c r="G64" s="30"/>
      <c r="H64" s="30"/>
      <c r="I64" s="51" t="str">
        <f>IF(ISBLANK(G64),"",IFERROR(VLOOKUP(G64,'CADASTRO DE MATERIAL'!$C$6:$J$500,8,FALSE),""))</f>
        <v/>
      </c>
      <c r="J64" s="59" t="str">
        <f t="shared" si="0"/>
        <v/>
      </c>
      <c r="K64" s="30"/>
      <c r="L64" s="51">
        <f t="shared" si="1"/>
        <v>0</v>
      </c>
      <c r="M64" s="59">
        <f t="shared" si="2"/>
        <v>0</v>
      </c>
      <c r="N64" s="65"/>
      <c r="O64" s="59">
        <f t="shared" si="3"/>
        <v>0</v>
      </c>
      <c r="P64" s="59" t="str">
        <f t="shared" si="4"/>
        <v/>
      </c>
    </row>
    <row r="65" spans="2:16" ht="16.8" hidden="1" customHeight="1" x14ac:dyDescent="0.4">
      <c r="B65" s="36" t="str">
        <f>IF(AND(ISBLANK(D65), ISBLANK(E65), ISBLANK(G65)), "", IF(AND(E65&lt;&gt;"", E65=E64, D65&lt;&gt;"", D65=D64), B64, "PED-" &amp; TEXT(IFERROR(VALUE(RIGHT(LOOKUP("PED-9999",$B$5:B64),4)),1000)+1, "0000")))</f>
        <v/>
      </c>
      <c r="C65" s="36" t="s">
        <v>98</v>
      </c>
      <c r="D65" s="41"/>
      <c r="E65" s="36"/>
      <c r="F65" s="36" t="str">
        <f>IF(ISBLANK(E65),"",IFERROR(VLOOKUP(E65,'CADASTRO DE CLIENTES'!$C$6:$E$500,3,FALSE),""))</f>
        <v/>
      </c>
      <c r="G65" s="36"/>
      <c r="H65" s="36"/>
      <c r="I65" s="49" t="str">
        <f>IF(ISBLANK(G65),"",IFERROR(VLOOKUP(G65,'CADASTRO DE MATERIAL'!$C$6:$J$500,8,FALSE),""))</f>
        <v/>
      </c>
      <c r="J65" s="54" t="str">
        <f t="shared" si="0"/>
        <v/>
      </c>
      <c r="K65" s="36"/>
      <c r="L65" s="49">
        <f t="shared" si="1"/>
        <v>0</v>
      </c>
      <c r="M65" s="54">
        <f t="shared" si="2"/>
        <v>0</v>
      </c>
      <c r="N65" s="66"/>
      <c r="O65" s="54">
        <f t="shared" si="3"/>
        <v>0</v>
      </c>
      <c r="P65" s="54" t="str">
        <f t="shared" si="4"/>
        <v/>
      </c>
    </row>
    <row r="66" spans="2:16" ht="16.8" hidden="1" customHeight="1" x14ac:dyDescent="0.4">
      <c r="B66" s="30" t="str">
        <f>IF(AND(ISBLANK(D66), ISBLANK(E66), ISBLANK(G66)), "", IF(AND(E66&lt;&gt;"", E66=E65, D66&lt;&gt;"", D66=D65), B65, "PED-" &amp; TEXT(IFERROR(VALUE(RIGHT(LOOKUP("PED-9999",$B$5:B65),4)),1000)+1, "0000")))</f>
        <v/>
      </c>
      <c r="C66" s="30" t="s">
        <v>99</v>
      </c>
      <c r="D66" s="42"/>
      <c r="E66" s="30"/>
      <c r="F66" s="30" t="str">
        <f>IF(ISBLANK(E66),"",IFERROR(VLOOKUP(E66,'CADASTRO DE CLIENTES'!$C$6:$E$500,3,FALSE),""))</f>
        <v/>
      </c>
      <c r="G66" s="30"/>
      <c r="H66" s="30"/>
      <c r="I66" s="51" t="str">
        <f>IF(ISBLANK(G66),"",IFERROR(VLOOKUP(G66,'CADASTRO DE MATERIAL'!$C$6:$J$500,8,FALSE),""))</f>
        <v/>
      </c>
      <c r="J66" s="59" t="str">
        <f t="shared" si="0"/>
        <v/>
      </c>
      <c r="K66" s="30"/>
      <c r="L66" s="51">
        <f t="shared" si="1"/>
        <v>0</v>
      </c>
      <c r="M66" s="59">
        <f t="shared" si="2"/>
        <v>0</v>
      </c>
      <c r="N66" s="65"/>
      <c r="O66" s="59">
        <f t="shared" si="3"/>
        <v>0</v>
      </c>
      <c r="P66" s="59" t="str">
        <f t="shared" si="4"/>
        <v/>
      </c>
    </row>
    <row r="67" spans="2:16" ht="16.8" hidden="1" customHeight="1" x14ac:dyDescent="0.4">
      <c r="B67" s="36" t="str">
        <f>IF(AND(ISBLANK(D67), ISBLANK(E67), ISBLANK(G67)), "", IF(AND(E67&lt;&gt;"", E67=E66, D67&lt;&gt;"", D67=D66), B66, "PED-" &amp; TEXT(IFERROR(VALUE(RIGHT(LOOKUP("PED-9999",$B$5:B66),4)),1000)+1, "0000")))</f>
        <v/>
      </c>
      <c r="C67" s="36" t="s">
        <v>100</v>
      </c>
      <c r="D67" s="41"/>
      <c r="E67" s="36"/>
      <c r="F67" s="36" t="str">
        <f>IF(ISBLANK(E67),"",IFERROR(VLOOKUP(E67,'CADASTRO DE CLIENTES'!$C$6:$E$500,3,FALSE),""))</f>
        <v/>
      </c>
      <c r="G67" s="36"/>
      <c r="H67" s="36"/>
      <c r="I67" s="49" t="str">
        <f>IF(ISBLANK(G67),"",IFERROR(VLOOKUP(G67,'CADASTRO DE MATERIAL'!$C$6:$J$500,8,FALSE),""))</f>
        <v/>
      </c>
      <c r="J67" s="54" t="str">
        <f t="shared" si="0"/>
        <v/>
      </c>
      <c r="K67" s="36"/>
      <c r="L67" s="49">
        <f t="shared" si="1"/>
        <v>0</v>
      </c>
      <c r="M67" s="54">
        <f t="shared" si="2"/>
        <v>0</v>
      </c>
      <c r="N67" s="66"/>
      <c r="O67" s="54">
        <f t="shared" si="3"/>
        <v>0</v>
      </c>
      <c r="P67" s="54" t="str">
        <f t="shared" si="4"/>
        <v/>
      </c>
    </row>
    <row r="68" spans="2:16" ht="16.8" hidden="1" customHeight="1" x14ac:dyDescent="0.4">
      <c r="B68" s="30" t="str">
        <f>IF(AND(ISBLANK(D68), ISBLANK(E68), ISBLANK(G68)), "", IF(AND(E68&lt;&gt;"", E68=E67, D68&lt;&gt;"", D68=D67), B67, "PED-" &amp; TEXT(IFERROR(VALUE(RIGHT(LOOKUP("PED-9999",$B$5:B67),4)),1000)+1, "0000")))</f>
        <v/>
      </c>
      <c r="C68" s="30" t="s">
        <v>101</v>
      </c>
      <c r="D68" s="42"/>
      <c r="E68" s="30"/>
      <c r="F68" s="30" t="str">
        <f>IF(ISBLANK(E68),"",IFERROR(VLOOKUP(E68,'CADASTRO DE CLIENTES'!$C$6:$E$500,3,FALSE),""))</f>
        <v/>
      </c>
      <c r="G68" s="30"/>
      <c r="H68" s="30"/>
      <c r="I68" s="51" t="str">
        <f>IF(ISBLANK(G68),"",IFERROR(VLOOKUP(G68,'CADASTRO DE MATERIAL'!$C$6:$J$500,8,FALSE),""))</f>
        <v/>
      </c>
      <c r="J68" s="59" t="str">
        <f t="shared" si="0"/>
        <v/>
      </c>
      <c r="K68" s="30"/>
      <c r="L68" s="51">
        <f t="shared" si="1"/>
        <v>0</v>
      </c>
      <c r="M68" s="59">
        <f t="shared" si="2"/>
        <v>0</v>
      </c>
      <c r="N68" s="65"/>
      <c r="O68" s="59">
        <f t="shared" si="3"/>
        <v>0</v>
      </c>
      <c r="P68" s="59" t="str">
        <f t="shared" si="4"/>
        <v/>
      </c>
    </row>
    <row r="69" spans="2:16" ht="16.8" hidden="1" customHeight="1" x14ac:dyDescent="0.4">
      <c r="B69" s="36" t="str">
        <f>IF(AND(ISBLANK(D69), ISBLANK(E69), ISBLANK(G69)), "", IF(AND(E69&lt;&gt;"", E69=E68, D69&lt;&gt;"", D69=D68), B68, "PED-" &amp; TEXT(IFERROR(VALUE(RIGHT(LOOKUP("PED-9999",$B$5:B68),4)),1000)+1, "0000")))</f>
        <v/>
      </c>
      <c r="C69" s="36" t="s">
        <v>102</v>
      </c>
      <c r="D69" s="41"/>
      <c r="E69" s="36"/>
      <c r="F69" s="36" t="str">
        <f>IF(ISBLANK(E69),"",IFERROR(VLOOKUP(E69,'CADASTRO DE CLIENTES'!$C$6:$E$500,3,FALSE),""))</f>
        <v/>
      </c>
      <c r="G69" s="36"/>
      <c r="H69" s="36"/>
      <c r="I69" s="49" t="str">
        <f>IF(ISBLANK(G69),"",IFERROR(VLOOKUP(G69,'CADASTRO DE MATERIAL'!$C$6:$J$500,8,FALSE),""))</f>
        <v/>
      </c>
      <c r="J69" s="54" t="str">
        <f t="shared" si="0"/>
        <v/>
      </c>
      <c r="K69" s="36"/>
      <c r="L69" s="49">
        <f t="shared" si="1"/>
        <v>0</v>
      </c>
      <c r="M69" s="54">
        <f t="shared" si="2"/>
        <v>0</v>
      </c>
      <c r="N69" s="66"/>
      <c r="O69" s="54">
        <f t="shared" si="3"/>
        <v>0</v>
      </c>
      <c r="P69" s="54" t="str">
        <f t="shared" si="4"/>
        <v/>
      </c>
    </row>
    <row r="70" spans="2:16" ht="16.8" hidden="1" customHeight="1" x14ac:dyDescent="0.4">
      <c r="B70" s="30" t="str">
        <f>IF(AND(ISBLANK(D70), ISBLANK(E70), ISBLANK(G70)), "", IF(AND(E70&lt;&gt;"", E70=E69, D70&lt;&gt;"", D70=D69), B69, "PED-" &amp; TEXT(IFERROR(VALUE(RIGHT(LOOKUP("PED-9999",$B$5:B69),4)),1000)+1, "0000")))</f>
        <v/>
      </c>
      <c r="C70" s="30" t="s">
        <v>103</v>
      </c>
      <c r="D70" s="42"/>
      <c r="E70" s="30"/>
      <c r="F70" s="30" t="str">
        <f>IF(ISBLANK(E70),"",IFERROR(VLOOKUP(E70,'CADASTRO DE CLIENTES'!$C$6:$E$500,3,FALSE),""))</f>
        <v/>
      </c>
      <c r="G70" s="30"/>
      <c r="H70" s="30"/>
      <c r="I70" s="51" t="str">
        <f>IF(ISBLANK(G70),"",IFERROR(VLOOKUP(G70,'CADASTRO DE MATERIAL'!$C$6:$J$500,8,FALSE),""))</f>
        <v/>
      </c>
      <c r="J70" s="59" t="str">
        <f t="shared" ref="J70:J133" si="5">IF(OR(ISBLANK(H70),ISBLANK(I70)), "", H70*I70)</f>
        <v/>
      </c>
      <c r="K70" s="30"/>
      <c r="L70" s="51">
        <f t="shared" ref="L70:L133" si="6">IF(ISBLANK(B70), "", IF(K70="À Vista", O70, 0))</f>
        <v>0</v>
      </c>
      <c r="M70" s="59">
        <f t="shared" ref="M70:M133" si="7">IF(ISBLANK(B70),"", O70 - IF(ISBLANK(L70), 0, L70))</f>
        <v>0</v>
      </c>
      <c r="N70" s="65"/>
      <c r="O70" s="59">
        <f t="shared" ref="O70:O133" si="8">IF(ISBLANK(B70),"", SUMIF($B$6:$B$500, B70, $J$6:$J$500))</f>
        <v>0</v>
      </c>
      <c r="P70" s="59" t="str">
        <f t="shared" ref="P70:P133" si="9">IF(OR(ISBLANK(M70),ISBLANK(N70),N70=0), "", M70/N70)</f>
        <v/>
      </c>
    </row>
    <row r="71" spans="2:16" ht="16.8" hidden="1" customHeight="1" x14ac:dyDescent="0.4">
      <c r="B71" s="36" t="str">
        <f>IF(AND(ISBLANK(D71), ISBLANK(E71), ISBLANK(G71)), "", IF(AND(E71&lt;&gt;"", E71=E70, D71&lt;&gt;"", D71=D70), B70, "PED-" &amp; TEXT(IFERROR(VALUE(RIGHT(LOOKUP("PED-9999",$B$5:B70),4)),1000)+1, "0000")))</f>
        <v/>
      </c>
      <c r="C71" s="36" t="s">
        <v>104</v>
      </c>
      <c r="D71" s="41"/>
      <c r="E71" s="36"/>
      <c r="F71" s="36" t="str">
        <f>IF(ISBLANK(E71),"",IFERROR(VLOOKUP(E71,'CADASTRO DE CLIENTES'!$C$6:$E$500,3,FALSE),""))</f>
        <v/>
      </c>
      <c r="G71" s="36"/>
      <c r="H71" s="36"/>
      <c r="I71" s="49" t="str">
        <f>IF(ISBLANK(G71),"",IFERROR(VLOOKUP(G71,'CADASTRO DE MATERIAL'!$C$6:$J$500,8,FALSE),""))</f>
        <v/>
      </c>
      <c r="J71" s="54" t="str">
        <f t="shared" si="5"/>
        <v/>
      </c>
      <c r="K71" s="36"/>
      <c r="L71" s="49">
        <f t="shared" si="6"/>
        <v>0</v>
      </c>
      <c r="M71" s="54">
        <f t="shared" si="7"/>
        <v>0</v>
      </c>
      <c r="N71" s="66"/>
      <c r="O71" s="54">
        <f t="shared" si="8"/>
        <v>0</v>
      </c>
      <c r="P71" s="54" t="str">
        <f t="shared" si="9"/>
        <v/>
      </c>
    </row>
    <row r="72" spans="2:16" ht="16.8" hidden="1" customHeight="1" x14ac:dyDescent="0.4">
      <c r="B72" s="30" t="str">
        <f>IF(AND(ISBLANK(D72), ISBLANK(E72), ISBLANK(G72)), "", IF(AND(E72&lt;&gt;"", E72=E71, D72&lt;&gt;"", D72=D71), B71, "PED-" &amp; TEXT(IFERROR(VALUE(RIGHT(LOOKUP("PED-9999",$B$5:B71),4)),1000)+1, "0000")))</f>
        <v/>
      </c>
      <c r="C72" s="30" t="s">
        <v>105</v>
      </c>
      <c r="D72" s="42"/>
      <c r="E72" s="30"/>
      <c r="F72" s="30" t="str">
        <f>IF(ISBLANK(E72),"",IFERROR(VLOOKUP(E72,'CADASTRO DE CLIENTES'!$C$6:$E$500,3,FALSE),""))</f>
        <v/>
      </c>
      <c r="G72" s="30"/>
      <c r="H72" s="30"/>
      <c r="I72" s="51" t="str">
        <f>IF(ISBLANK(G72),"",IFERROR(VLOOKUP(G72,'CADASTRO DE MATERIAL'!$C$6:$J$500,8,FALSE),""))</f>
        <v/>
      </c>
      <c r="J72" s="59" t="str">
        <f t="shared" si="5"/>
        <v/>
      </c>
      <c r="K72" s="30"/>
      <c r="L72" s="51">
        <f t="shared" si="6"/>
        <v>0</v>
      </c>
      <c r="M72" s="59">
        <f t="shared" si="7"/>
        <v>0</v>
      </c>
      <c r="N72" s="65"/>
      <c r="O72" s="59">
        <f t="shared" si="8"/>
        <v>0</v>
      </c>
      <c r="P72" s="59" t="str">
        <f t="shared" si="9"/>
        <v/>
      </c>
    </row>
    <row r="73" spans="2:16" ht="16.8" hidden="1" customHeight="1" x14ac:dyDescent="0.4">
      <c r="B73" s="36" t="str">
        <f>IF(AND(ISBLANK(D73), ISBLANK(E73), ISBLANK(G73)), "", IF(AND(E73&lt;&gt;"", E73=E72, D73&lt;&gt;"", D73=D72), B72, "PED-" &amp; TEXT(IFERROR(VALUE(RIGHT(LOOKUP("PED-9999",$B$5:B72),4)),1000)+1, "0000")))</f>
        <v/>
      </c>
      <c r="C73" s="36" t="s">
        <v>106</v>
      </c>
      <c r="D73" s="41"/>
      <c r="E73" s="36"/>
      <c r="F73" s="36" t="str">
        <f>IF(ISBLANK(E73),"",IFERROR(VLOOKUP(E73,'CADASTRO DE CLIENTES'!$C$6:$E$500,3,FALSE),""))</f>
        <v/>
      </c>
      <c r="G73" s="36"/>
      <c r="H73" s="36"/>
      <c r="I73" s="49" t="str">
        <f>IF(ISBLANK(G73),"",IFERROR(VLOOKUP(G73,'CADASTRO DE MATERIAL'!$C$6:$J$500,8,FALSE),""))</f>
        <v/>
      </c>
      <c r="J73" s="54" t="str">
        <f t="shared" si="5"/>
        <v/>
      </c>
      <c r="K73" s="36"/>
      <c r="L73" s="49">
        <f t="shared" si="6"/>
        <v>0</v>
      </c>
      <c r="M73" s="54">
        <f t="shared" si="7"/>
        <v>0</v>
      </c>
      <c r="N73" s="66"/>
      <c r="O73" s="54">
        <f t="shared" si="8"/>
        <v>0</v>
      </c>
      <c r="P73" s="54" t="str">
        <f t="shared" si="9"/>
        <v/>
      </c>
    </row>
    <row r="74" spans="2:16" ht="16.8" hidden="1" customHeight="1" x14ac:dyDescent="0.4">
      <c r="B74" s="30" t="str">
        <f>IF(AND(ISBLANK(D74), ISBLANK(E74), ISBLANK(G74)), "", IF(AND(E74&lt;&gt;"", E74=E73, D74&lt;&gt;"", D74=D73), B73, "PED-" &amp; TEXT(IFERROR(VALUE(RIGHT(LOOKUP("PED-9999",$B$5:B73),4)),1000)+1, "0000")))</f>
        <v/>
      </c>
      <c r="C74" s="30" t="s">
        <v>107</v>
      </c>
      <c r="D74" s="42"/>
      <c r="E74" s="30"/>
      <c r="F74" s="30" t="str">
        <f>IF(ISBLANK(E74),"",IFERROR(VLOOKUP(E74,'CADASTRO DE CLIENTES'!$C$6:$E$500,3,FALSE),""))</f>
        <v/>
      </c>
      <c r="G74" s="30"/>
      <c r="H74" s="30"/>
      <c r="I74" s="51" t="str">
        <f>IF(ISBLANK(G74),"",IFERROR(VLOOKUP(G74,'CADASTRO DE MATERIAL'!$C$6:$J$500,8,FALSE),""))</f>
        <v/>
      </c>
      <c r="J74" s="59" t="str">
        <f t="shared" si="5"/>
        <v/>
      </c>
      <c r="K74" s="30"/>
      <c r="L74" s="51">
        <f t="shared" si="6"/>
        <v>0</v>
      </c>
      <c r="M74" s="59">
        <f t="shared" si="7"/>
        <v>0</v>
      </c>
      <c r="N74" s="65"/>
      <c r="O74" s="59">
        <f t="shared" si="8"/>
        <v>0</v>
      </c>
      <c r="P74" s="59" t="str">
        <f t="shared" si="9"/>
        <v/>
      </c>
    </row>
    <row r="75" spans="2:16" ht="16.8" hidden="1" customHeight="1" x14ac:dyDescent="0.4">
      <c r="B75" s="36" t="str">
        <f>IF(AND(ISBLANK(D75), ISBLANK(E75), ISBLANK(G75)), "", IF(AND(E75&lt;&gt;"", E75=E74, D75&lt;&gt;"", D75=D74), B74, "PED-" &amp; TEXT(IFERROR(VALUE(RIGHT(LOOKUP("PED-9999",$B$5:B74),4)),1000)+1, "0000")))</f>
        <v/>
      </c>
      <c r="C75" s="36" t="s">
        <v>108</v>
      </c>
      <c r="D75" s="41"/>
      <c r="E75" s="36"/>
      <c r="F75" s="36" t="str">
        <f>IF(ISBLANK(E75),"",IFERROR(VLOOKUP(E75,'CADASTRO DE CLIENTES'!$C$6:$E$500,3,FALSE),""))</f>
        <v/>
      </c>
      <c r="G75" s="36"/>
      <c r="H75" s="36"/>
      <c r="I75" s="49" t="str">
        <f>IF(ISBLANK(G75),"",IFERROR(VLOOKUP(G75,'CADASTRO DE MATERIAL'!$C$6:$J$500,8,FALSE),""))</f>
        <v/>
      </c>
      <c r="J75" s="54" t="str">
        <f t="shared" si="5"/>
        <v/>
      </c>
      <c r="K75" s="36"/>
      <c r="L75" s="49">
        <f t="shared" si="6"/>
        <v>0</v>
      </c>
      <c r="M75" s="54">
        <f t="shared" si="7"/>
        <v>0</v>
      </c>
      <c r="N75" s="66"/>
      <c r="O75" s="54">
        <f t="shared" si="8"/>
        <v>0</v>
      </c>
      <c r="P75" s="54" t="str">
        <f t="shared" si="9"/>
        <v/>
      </c>
    </row>
    <row r="76" spans="2:16" ht="16.8" hidden="1" customHeight="1" x14ac:dyDescent="0.4">
      <c r="B76" s="30" t="str">
        <f>IF(AND(ISBLANK(D76), ISBLANK(E76), ISBLANK(G76)), "", IF(AND(E76&lt;&gt;"", E76=E75, D76&lt;&gt;"", D76=D75), B75, "PED-" &amp; TEXT(IFERROR(VALUE(RIGHT(LOOKUP("PED-9999",$B$5:B75),4)),1000)+1, "0000")))</f>
        <v/>
      </c>
      <c r="C76" s="30" t="s">
        <v>109</v>
      </c>
      <c r="D76" s="42"/>
      <c r="E76" s="30"/>
      <c r="F76" s="30" t="str">
        <f>IF(ISBLANK(E76),"",IFERROR(VLOOKUP(E76,'CADASTRO DE CLIENTES'!$C$6:$E$500,3,FALSE),""))</f>
        <v/>
      </c>
      <c r="G76" s="30"/>
      <c r="H76" s="30"/>
      <c r="I76" s="51" t="str">
        <f>IF(ISBLANK(G76),"",IFERROR(VLOOKUP(G76,'CADASTRO DE MATERIAL'!$C$6:$J$500,8,FALSE),""))</f>
        <v/>
      </c>
      <c r="J76" s="59" t="str">
        <f t="shared" si="5"/>
        <v/>
      </c>
      <c r="K76" s="30"/>
      <c r="L76" s="51">
        <f t="shared" si="6"/>
        <v>0</v>
      </c>
      <c r="M76" s="59">
        <f t="shared" si="7"/>
        <v>0</v>
      </c>
      <c r="N76" s="65"/>
      <c r="O76" s="59">
        <f t="shared" si="8"/>
        <v>0</v>
      </c>
      <c r="P76" s="59" t="str">
        <f t="shared" si="9"/>
        <v/>
      </c>
    </row>
    <row r="77" spans="2:16" ht="16.8" hidden="1" customHeight="1" x14ac:dyDescent="0.4">
      <c r="B77" s="36" t="str">
        <f>IF(AND(ISBLANK(D77), ISBLANK(E77), ISBLANK(G77)), "", IF(AND(E77&lt;&gt;"", E77=E76, D77&lt;&gt;"", D77=D76), B76, "PED-" &amp; TEXT(IFERROR(VALUE(RIGHT(LOOKUP("PED-9999",$B$5:B76),4)),1000)+1, "0000")))</f>
        <v/>
      </c>
      <c r="C77" s="36" t="s">
        <v>110</v>
      </c>
      <c r="D77" s="41"/>
      <c r="E77" s="36"/>
      <c r="F77" s="36" t="str">
        <f>IF(ISBLANK(E77),"",IFERROR(VLOOKUP(E77,'CADASTRO DE CLIENTES'!$C$6:$E$500,3,FALSE),""))</f>
        <v/>
      </c>
      <c r="G77" s="36"/>
      <c r="H77" s="36"/>
      <c r="I77" s="49" t="str">
        <f>IF(ISBLANK(G77),"",IFERROR(VLOOKUP(G77,'CADASTRO DE MATERIAL'!$C$6:$J$500,8,FALSE),""))</f>
        <v/>
      </c>
      <c r="J77" s="54" t="str">
        <f t="shared" si="5"/>
        <v/>
      </c>
      <c r="K77" s="36"/>
      <c r="L77" s="49">
        <f t="shared" si="6"/>
        <v>0</v>
      </c>
      <c r="M77" s="54">
        <f t="shared" si="7"/>
        <v>0</v>
      </c>
      <c r="N77" s="66"/>
      <c r="O77" s="54">
        <f t="shared" si="8"/>
        <v>0</v>
      </c>
      <c r="P77" s="54" t="str">
        <f t="shared" si="9"/>
        <v/>
      </c>
    </row>
    <row r="78" spans="2:16" ht="16.8" hidden="1" customHeight="1" x14ac:dyDescent="0.4">
      <c r="B78" s="30" t="str">
        <f>IF(AND(ISBLANK(D78), ISBLANK(E78), ISBLANK(G78)), "", IF(AND(E78&lt;&gt;"", E78=E77, D78&lt;&gt;"", D78=D77), B77, "PED-" &amp; TEXT(IFERROR(VALUE(RIGHT(LOOKUP("PED-9999",$B$5:B77),4)),1000)+1, "0000")))</f>
        <v/>
      </c>
      <c r="C78" s="30" t="s">
        <v>111</v>
      </c>
      <c r="D78" s="42"/>
      <c r="E78" s="30"/>
      <c r="F78" s="30" t="str">
        <f>IF(ISBLANK(E78),"",IFERROR(VLOOKUP(E78,'CADASTRO DE CLIENTES'!$C$6:$E$500,3,FALSE),""))</f>
        <v/>
      </c>
      <c r="G78" s="30"/>
      <c r="H78" s="30"/>
      <c r="I78" s="51" t="str">
        <f>IF(ISBLANK(G78),"",IFERROR(VLOOKUP(G78,'CADASTRO DE MATERIAL'!$C$6:$J$500,8,FALSE),""))</f>
        <v/>
      </c>
      <c r="J78" s="59" t="str">
        <f t="shared" si="5"/>
        <v/>
      </c>
      <c r="K78" s="30"/>
      <c r="L78" s="51">
        <f t="shared" si="6"/>
        <v>0</v>
      </c>
      <c r="M78" s="59">
        <f t="shared" si="7"/>
        <v>0</v>
      </c>
      <c r="N78" s="65"/>
      <c r="O78" s="59">
        <f t="shared" si="8"/>
        <v>0</v>
      </c>
      <c r="P78" s="59" t="str">
        <f t="shared" si="9"/>
        <v/>
      </c>
    </row>
    <row r="79" spans="2:16" ht="16.8" hidden="1" customHeight="1" x14ac:dyDescent="0.4">
      <c r="B79" s="36" t="str">
        <f>IF(AND(ISBLANK(D79), ISBLANK(E79), ISBLANK(G79)), "", IF(AND(E79&lt;&gt;"", E79=E78, D79&lt;&gt;"", D79=D78), B78, "PED-" &amp; TEXT(IFERROR(VALUE(RIGHT(LOOKUP("PED-9999",$B$5:B78),4)),1000)+1, "0000")))</f>
        <v/>
      </c>
      <c r="C79" s="36" t="s">
        <v>112</v>
      </c>
      <c r="D79" s="41"/>
      <c r="E79" s="36"/>
      <c r="F79" s="36" t="str">
        <f>IF(ISBLANK(E79),"",IFERROR(VLOOKUP(E79,'CADASTRO DE CLIENTES'!$C$6:$E$500,3,FALSE),""))</f>
        <v/>
      </c>
      <c r="G79" s="36"/>
      <c r="H79" s="36"/>
      <c r="I79" s="49" t="str">
        <f>IF(ISBLANK(G79),"",IFERROR(VLOOKUP(G79,'CADASTRO DE MATERIAL'!$C$6:$J$500,8,FALSE),""))</f>
        <v/>
      </c>
      <c r="J79" s="54" t="str">
        <f t="shared" si="5"/>
        <v/>
      </c>
      <c r="K79" s="36"/>
      <c r="L79" s="49">
        <f t="shared" si="6"/>
        <v>0</v>
      </c>
      <c r="M79" s="54">
        <f t="shared" si="7"/>
        <v>0</v>
      </c>
      <c r="N79" s="66"/>
      <c r="O79" s="54">
        <f t="shared" si="8"/>
        <v>0</v>
      </c>
      <c r="P79" s="54" t="str">
        <f t="shared" si="9"/>
        <v/>
      </c>
    </row>
    <row r="80" spans="2:16" ht="16.8" hidden="1" customHeight="1" x14ac:dyDescent="0.4">
      <c r="B80" s="30" t="str">
        <f>IF(AND(ISBLANK(D80), ISBLANK(E80), ISBLANK(G80)), "", IF(AND(E80&lt;&gt;"", E80=E79, D80&lt;&gt;"", D80=D79), B79, "PED-" &amp; TEXT(IFERROR(VALUE(RIGHT(LOOKUP("PED-9999",$B$5:B79),4)),1000)+1, "0000")))</f>
        <v/>
      </c>
      <c r="C80" s="30" t="s">
        <v>113</v>
      </c>
      <c r="D80" s="42"/>
      <c r="E80" s="30"/>
      <c r="F80" s="30" t="str">
        <f>IF(ISBLANK(E80),"",IFERROR(VLOOKUP(E80,'CADASTRO DE CLIENTES'!$C$6:$E$500,3,FALSE),""))</f>
        <v/>
      </c>
      <c r="G80" s="30"/>
      <c r="H80" s="30"/>
      <c r="I80" s="51" t="str">
        <f>IF(ISBLANK(G80),"",IFERROR(VLOOKUP(G80,'CADASTRO DE MATERIAL'!$C$6:$J$500,8,FALSE),""))</f>
        <v/>
      </c>
      <c r="J80" s="59" t="str">
        <f t="shared" si="5"/>
        <v/>
      </c>
      <c r="K80" s="30"/>
      <c r="L80" s="51">
        <f t="shared" si="6"/>
        <v>0</v>
      </c>
      <c r="M80" s="59">
        <f t="shared" si="7"/>
        <v>0</v>
      </c>
      <c r="N80" s="65"/>
      <c r="O80" s="59">
        <f t="shared" si="8"/>
        <v>0</v>
      </c>
      <c r="P80" s="59" t="str">
        <f t="shared" si="9"/>
        <v/>
      </c>
    </row>
    <row r="81" spans="2:16" ht="16.8" hidden="1" customHeight="1" x14ac:dyDescent="0.4">
      <c r="B81" s="36" t="str">
        <f>IF(AND(ISBLANK(D81), ISBLANK(E81), ISBLANK(G81)), "", IF(AND(E81&lt;&gt;"", E81=E80, D81&lt;&gt;"", D81=D80), B80, "PED-" &amp; TEXT(IFERROR(VALUE(RIGHT(LOOKUP("PED-9999",$B$5:B80),4)),1000)+1, "0000")))</f>
        <v/>
      </c>
      <c r="C81" s="36" t="s">
        <v>114</v>
      </c>
      <c r="D81" s="41"/>
      <c r="E81" s="36"/>
      <c r="F81" s="36" t="str">
        <f>IF(ISBLANK(E81),"",IFERROR(VLOOKUP(E81,'CADASTRO DE CLIENTES'!$C$6:$E$500,3,FALSE),""))</f>
        <v/>
      </c>
      <c r="G81" s="36"/>
      <c r="H81" s="36"/>
      <c r="I81" s="49" t="str">
        <f>IF(ISBLANK(G81),"",IFERROR(VLOOKUP(G81,'CADASTRO DE MATERIAL'!$C$6:$J$500,8,FALSE),""))</f>
        <v/>
      </c>
      <c r="J81" s="54" t="str">
        <f t="shared" si="5"/>
        <v/>
      </c>
      <c r="K81" s="36"/>
      <c r="L81" s="49">
        <f t="shared" si="6"/>
        <v>0</v>
      </c>
      <c r="M81" s="54">
        <f t="shared" si="7"/>
        <v>0</v>
      </c>
      <c r="N81" s="66"/>
      <c r="O81" s="54">
        <f t="shared" si="8"/>
        <v>0</v>
      </c>
      <c r="P81" s="54" t="str">
        <f t="shared" si="9"/>
        <v/>
      </c>
    </row>
    <row r="82" spans="2:16" ht="16.8" hidden="1" customHeight="1" x14ac:dyDescent="0.4">
      <c r="B82" s="30" t="str">
        <f>IF(AND(ISBLANK(D82), ISBLANK(E82), ISBLANK(G82)), "", IF(AND(E82&lt;&gt;"", E82=E81, D82&lt;&gt;"", D82=D81), B81, "PED-" &amp; TEXT(IFERROR(VALUE(RIGHT(LOOKUP("PED-9999",$B$5:B81),4)),1000)+1, "0000")))</f>
        <v/>
      </c>
      <c r="C82" s="30" t="s">
        <v>115</v>
      </c>
      <c r="D82" s="42"/>
      <c r="E82" s="30"/>
      <c r="F82" s="30" t="str">
        <f>IF(ISBLANK(E82),"",IFERROR(VLOOKUP(E82,'CADASTRO DE CLIENTES'!$C$6:$E$500,3,FALSE),""))</f>
        <v/>
      </c>
      <c r="G82" s="30"/>
      <c r="H82" s="30"/>
      <c r="I82" s="51" t="str">
        <f>IF(ISBLANK(G82),"",IFERROR(VLOOKUP(G82,'CADASTRO DE MATERIAL'!$C$6:$J$500,8,FALSE),""))</f>
        <v/>
      </c>
      <c r="J82" s="59" t="str">
        <f t="shared" si="5"/>
        <v/>
      </c>
      <c r="K82" s="30"/>
      <c r="L82" s="51">
        <f t="shared" si="6"/>
        <v>0</v>
      </c>
      <c r="M82" s="59">
        <f t="shared" si="7"/>
        <v>0</v>
      </c>
      <c r="N82" s="65"/>
      <c r="O82" s="59">
        <f t="shared" si="8"/>
        <v>0</v>
      </c>
      <c r="P82" s="59" t="str">
        <f t="shared" si="9"/>
        <v/>
      </c>
    </row>
    <row r="83" spans="2:16" ht="16.8" hidden="1" customHeight="1" x14ac:dyDescent="0.4">
      <c r="B83" s="36" t="str">
        <f>IF(AND(ISBLANK(D83), ISBLANK(E83), ISBLANK(G83)), "", IF(AND(E83&lt;&gt;"", E83=E82, D83&lt;&gt;"", D83=D82), B82, "PED-" &amp; TEXT(IFERROR(VALUE(RIGHT(LOOKUP("PED-9999",$B$5:B82),4)),1000)+1, "0000")))</f>
        <v/>
      </c>
      <c r="C83" s="36" t="s">
        <v>116</v>
      </c>
      <c r="D83" s="41"/>
      <c r="E83" s="36"/>
      <c r="F83" s="36" t="str">
        <f>IF(ISBLANK(E83),"",IFERROR(VLOOKUP(E83,'CADASTRO DE CLIENTES'!$C$6:$E$500,3,FALSE),""))</f>
        <v/>
      </c>
      <c r="G83" s="36"/>
      <c r="H83" s="36"/>
      <c r="I83" s="49" t="str">
        <f>IF(ISBLANK(G83),"",IFERROR(VLOOKUP(G83,'CADASTRO DE MATERIAL'!$C$6:$J$500,8,FALSE),""))</f>
        <v/>
      </c>
      <c r="J83" s="54" t="str">
        <f t="shared" si="5"/>
        <v/>
      </c>
      <c r="K83" s="36"/>
      <c r="L83" s="49">
        <f t="shared" si="6"/>
        <v>0</v>
      </c>
      <c r="M83" s="54">
        <f t="shared" si="7"/>
        <v>0</v>
      </c>
      <c r="N83" s="66"/>
      <c r="O83" s="54">
        <f t="shared" si="8"/>
        <v>0</v>
      </c>
      <c r="P83" s="54" t="str">
        <f t="shared" si="9"/>
        <v/>
      </c>
    </row>
    <row r="84" spans="2:16" ht="16.8" hidden="1" customHeight="1" x14ac:dyDescent="0.4">
      <c r="B84" s="30" t="str">
        <f>IF(AND(ISBLANK(D84), ISBLANK(E84), ISBLANK(G84)), "", IF(AND(E84&lt;&gt;"", E84=E83, D84&lt;&gt;"", D84=D83), B83, "PED-" &amp; TEXT(IFERROR(VALUE(RIGHT(LOOKUP("PED-9999",$B$5:B83),4)),1000)+1, "0000")))</f>
        <v/>
      </c>
      <c r="C84" s="30" t="s">
        <v>117</v>
      </c>
      <c r="D84" s="42"/>
      <c r="E84" s="30"/>
      <c r="F84" s="30" t="str">
        <f>IF(ISBLANK(E84),"",IFERROR(VLOOKUP(E84,'CADASTRO DE CLIENTES'!$C$6:$E$500,3,FALSE),""))</f>
        <v/>
      </c>
      <c r="G84" s="30"/>
      <c r="H84" s="30"/>
      <c r="I84" s="51" t="str">
        <f>IF(ISBLANK(G84),"",IFERROR(VLOOKUP(G84,'CADASTRO DE MATERIAL'!$C$6:$J$500,8,FALSE),""))</f>
        <v/>
      </c>
      <c r="J84" s="59" t="str">
        <f t="shared" si="5"/>
        <v/>
      </c>
      <c r="K84" s="30"/>
      <c r="L84" s="51">
        <f t="shared" si="6"/>
        <v>0</v>
      </c>
      <c r="M84" s="59">
        <f t="shared" si="7"/>
        <v>0</v>
      </c>
      <c r="N84" s="65"/>
      <c r="O84" s="59">
        <f t="shared" si="8"/>
        <v>0</v>
      </c>
      <c r="P84" s="59" t="str">
        <f t="shared" si="9"/>
        <v/>
      </c>
    </row>
    <row r="85" spans="2:16" ht="16.8" hidden="1" customHeight="1" x14ac:dyDescent="0.4">
      <c r="B85" s="36" t="str">
        <f>IF(AND(ISBLANK(D85), ISBLANK(E85), ISBLANK(G85)), "", IF(AND(E85&lt;&gt;"", E85=E84, D85&lt;&gt;"", D85=D84), B84, "PED-" &amp; TEXT(IFERROR(VALUE(RIGHT(LOOKUP("PED-9999",$B$5:B84),4)),1000)+1, "0000")))</f>
        <v/>
      </c>
      <c r="C85" s="36" t="s">
        <v>118</v>
      </c>
      <c r="D85" s="41"/>
      <c r="E85" s="36"/>
      <c r="F85" s="36" t="str">
        <f>IF(ISBLANK(E85),"",IFERROR(VLOOKUP(E85,'CADASTRO DE CLIENTES'!$C$6:$E$500,3,FALSE),""))</f>
        <v/>
      </c>
      <c r="G85" s="36"/>
      <c r="H85" s="36"/>
      <c r="I85" s="49" t="str">
        <f>IF(ISBLANK(G85),"",IFERROR(VLOOKUP(G85,'CADASTRO DE MATERIAL'!$C$6:$J$500,8,FALSE),""))</f>
        <v/>
      </c>
      <c r="J85" s="54" t="str">
        <f t="shared" si="5"/>
        <v/>
      </c>
      <c r="K85" s="36"/>
      <c r="L85" s="49">
        <f t="shared" si="6"/>
        <v>0</v>
      </c>
      <c r="M85" s="54">
        <f t="shared" si="7"/>
        <v>0</v>
      </c>
      <c r="N85" s="66"/>
      <c r="O85" s="54">
        <f t="shared" si="8"/>
        <v>0</v>
      </c>
      <c r="P85" s="54" t="str">
        <f t="shared" si="9"/>
        <v/>
      </c>
    </row>
    <row r="86" spans="2:16" ht="16.8" hidden="1" customHeight="1" x14ac:dyDescent="0.4">
      <c r="B86" s="30" t="str">
        <f>IF(AND(ISBLANK(D86), ISBLANK(E86), ISBLANK(G86)), "", IF(AND(E86&lt;&gt;"", E86=E85, D86&lt;&gt;"", D86=D85), B85, "PED-" &amp; TEXT(IFERROR(VALUE(RIGHT(LOOKUP("PED-9999",$B$5:B85),4)),1000)+1, "0000")))</f>
        <v/>
      </c>
      <c r="C86" s="30" t="s">
        <v>119</v>
      </c>
      <c r="D86" s="42"/>
      <c r="E86" s="30"/>
      <c r="F86" s="30" t="str">
        <f>IF(ISBLANK(E86),"",IFERROR(VLOOKUP(E86,'CADASTRO DE CLIENTES'!$C$6:$E$500,3,FALSE),""))</f>
        <v/>
      </c>
      <c r="G86" s="30"/>
      <c r="H86" s="30"/>
      <c r="I86" s="51" t="str">
        <f>IF(ISBLANK(G86),"",IFERROR(VLOOKUP(G86,'CADASTRO DE MATERIAL'!$C$6:$J$500,8,FALSE),""))</f>
        <v/>
      </c>
      <c r="J86" s="59" t="str">
        <f t="shared" si="5"/>
        <v/>
      </c>
      <c r="K86" s="30"/>
      <c r="L86" s="51">
        <f t="shared" si="6"/>
        <v>0</v>
      </c>
      <c r="M86" s="59">
        <f t="shared" si="7"/>
        <v>0</v>
      </c>
      <c r="N86" s="65"/>
      <c r="O86" s="59">
        <f t="shared" si="8"/>
        <v>0</v>
      </c>
      <c r="P86" s="59" t="str">
        <f t="shared" si="9"/>
        <v/>
      </c>
    </row>
    <row r="87" spans="2:16" ht="16.8" hidden="1" customHeight="1" x14ac:dyDescent="0.4">
      <c r="B87" s="36" t="str">
        <f>IF(AND(ISBLANK(D87), ISBLANK(E87), ISBLANK(G87)), "", IF(AND(E87&lt;&gt;"", E87=E86, D87&lt;&gt;"", D87=D86), B86, "PED-" &amp; TEXT(IFERROR(VALUE(RIGHT(LOOKUP("PED-9999",$B$5:B86),4)),1000)+1, "0000")))</f>
        <v/>
      </c>
      <c r="C87" s="36" t="s">
        <v>120</v>
      </c>
      <c r="D87" s="41"/>
      <c r="E87" s="36"/>
      <c r="F87" s="36" t="str">
        <f>IF(ISBLANK(E87),"",IFERROR(VLOOKUP(E87,'CADASTRO DE CLIENTES'!$C$6:$E$500,3,FALSE),""))</f>
        <v/>
      </c>
      <c r="G87" s="36"/>
      <c r="H87" s="36"/>
      <c r="I87" s="49" t="str">
        <f>IF(ISBLANK(G87),"",IFERROR(VLOOKUP(G87,'CADASTRO DE MATERIAL'!$C$6:$J$500,8,FALSE),""))</f>
        <v/>
      </c>
      <c r="J87" s="54" t="str">
        <f t="shared" si="5"/>
        <v/>
      </c>
      <c r="K87" s="36"/>
      <c r="L87" s="49">
        <f t="shared" si="6"/>
        <v>0</v>
      </c>
      <c r="M87" s="54">
        <f t="shared" si="7"/>
        <v>0</v>
      </c>
      <c r="N87" s="66"/>
      <c r="O87" s="54">
        <f t="shared" si="8"/>
        <v>0</v>
      </c>
      <c r="P87" s="54" t="str">
        <f t="shared" si="9"/>
        <v/>
      </c>
    </row>
    <row r="88" spans="2:16" ht="16.8" hidden="1" customHeight="1" x14ac:dyDescent="0.4">
      <c r="B88" s="30" t="str">
        <f>IF(AND(ISBLANK(D88), ISBLANK(E88), ISBLANK(G88)), "", IF(AND(E88&lt;&gt;"", E88=E87, D88&lt;&gt;"", D88=D87), B87, "PED-" &amp; TEXT(IFERROR(VALUE(RIGHT(LOOKUP("PED-9999",$B$5:B87),4)),1000)+1, "0000")))</f>
        <v/>
      </c>
      <c r="C88" s="30" t="s">
        <v>121</v>
      </c>
      <c r="D88" s="42"/>
      <c r="E88" s="30"/>
      <c r="F88" s="30" t="str">
        <f>IF(ISBLANK(E88),"",IFERROR(VLOOKUP(E88,'CADASTRO DE CLIENTES'!$C$6:$E$500,3,FALSE),""))</f>
        <v/>
      </c>
      <c r="G88" s="30"/>
      <c r="H88" s="30"/>
      <c r="I88" s="51" t="str">
        <f>IF(ISBLANK(G88),"",IFERROR(VLOOKUP(G88,'CADASTRO DE MATERIAL'!$C$6:$J$500,8,FALSE),""))</f>
        <v/>
      </c>
      <c r="J88" s="59" t="str">
        <f t="shared" si="5"/>
        <v/>
      </c>
      <c r="K88" s="30"/>
      <c r="L88" s="51">
        <f t="shared" si="6"/>
        <v>0</v>
      </c>
      <c r="M88" s="59">
        <f t="shared" si="7"/>
        <v>0</v>
      </c>
      <c r="N88" s="65"/>
      <c r="O88" s="59">
        <f t="shared" si="8"/>
        <v>0</v>
      </c>
      <c r="P88" s="59" t="str">
        <f t="shared" si="9"/>
        <v/>
      </c>
    </row>
    <row r="89" spans="2:16" ht="16.8" hidden="1" customHeight="1" x14ac:dyDescent="0.4">
      <c r="B89" s="36" t="str">
        <f>IF(AND(ISBLANK(D89), ISBLANK(E89), ISBLANK(G89)), "", IF(AND(E89&lt;&gt;"", E89=E88, D89&lt;&gt;"", D89=D88), B88, "PED-" &amp; TEXT(IFERROR(VALUE(RIGHT(LOOKUP("PED-9999",$B$5:B88),4)),1000)+1, "0000")))</f>
        <v/>
      </c>
      <c r="C89" s="36" t="s">
        <v>122</v>
      </c>
      <c r="D89" s="41"/>
      <c r="E89" s="36"/>
      <c r="F89" s="36" t="str">
        <f>IF(ISBLANK(E89),"",IFERROR(VLOOKUP(E89,'CADASTRO DE CLIENTES'!$C$6:$E$500,3,FALSE),""))</f>
        <v/>
      </c>
      <c r="G89" s="36"/>
      <c r="H89" s="36"/>
      <c r="I89" s="49" t="str">
        <f>IF(ISBLANK(G89),"",IFERROR(VLOOKUP(G89,'CADASTRO DE MATERIAL'!$C$6:$J$500,8,FALSE),""))</f>
        <v/>
      </c>
      <c r="J89" s="54" t="str">
        <f t="shared" si="5"/>
        <v/>
      </c>
      <c r="K89" s="36"/>
      <c r="L89" s="49">
        <f t="shared" si="6"/>
        <v>0</v>
      </c>
      <c r="M89" s="54">
        <f t="shared" si="7"/>
        <v>0</v>
      </c>
      <c r="N89" s="66"/>
      <c r="O89" s="54">
        <f t="shared" si="8"/>
        <v>0</v>
      </c>
      <c r="P89" s="54" t="str">
        <f t="shared" si="9"/>
        <v/>
      </c>
    </row>
    <row r="90" spans="2:16" ht="16.8" hidden="1" customHeight="1" x14ac:dyDescent="0.4">
      <c r="B90" s="30" t="str">
        <f>IF(AND(ISBLANK(D90), ISBLANK(E90), ISBLANK(G90)), "", IF(AND(E90&lt;&gt;"", E90=E89, D90&lt;&gt;"", D90=D89), B89, "PED-" &amp; TEXT(IFERROR(VALUE(RIGHT(LOOKUP("PED-9999",$B$5:B89),4)),1000)+1, "0000")))</f>
        <v/>
      </c>
      <c r="C90" s="30" t="s">
        <v>123</v>
      </c>
      <c r="D90" s="42"/>
      <c r="E90" s="30"/>
      <c r="F90" s="30" t="str">
        <f>IF(ISBLANK(E90),"",IFERROR(VLOOKUP(E90,'CADASTRO DE CLIENTES'!$C$6:$E$500,3,FALSE),""))</f>
        <v/>
      </c>
      <c r="G90" s="30"/>
      <c r="H90" s="30"/>
      <c r="I90" s="51" t="str">
        <f>IF(ISBLANK(G90),"",IFERROR(VLOOKUP(G90,'CADASTRO DE MATERIAL'!$C$6:$J$500,8,FALSE),""))</f>
        <v/>
      </c>
      <c r="J90" s="59" t="str">
        <f t="shared" si="5"/>
        <v/>
      </c>
      <c r="K90" s="30"/>
      <c r="L90" s="51">
        <f t="shared" si="6"/>
        <v>0</v>
      </c>
      <c r="M90" s="59">
        <f t="shared" si="7"/>
        <v>0</v>
      </c>
      <c r="N90" s="65"/>
      <c r="O90" s="59">
        <f t="shared" si="8"/>
        <v>0</v>
      </c>
      <c r="P90" s="59" t="str">
        <f t="shared" si="9"/>
        <v/>
      </c>
    </row>
    <row r="91" spans="2:16" ht="16.8" hidden="1" customHeight="1" x14ac:dyDescent="0.4">
      <c r="B91" s="36" t="str">
        <f>IF(AND(ISBLANK(D91), ISBLANK(E91), ISBLANK(G91)), "", IF(AND(E91&lt;&gt;"", E91=E90, D91&lt;&gt;"", D91=D90), B90, "PED-" &amp; TEXT(IFERROR(VALUE(RIGHT(LOOKUP("PED-9999",$B$5:B90),4)),1000)+1, "0000")))</f>
        <v/>
      </c>
      <c r="C91" s="36" t="s">
        <v>124</v>
      </c>
      <c r="D91" s="41"/>
      <c r="E91" s="36"/>
      <c r="F91" s="36" t="str">
        <f>IF(ISBLANK(E91),"",IFERROR(VLOOKUP(E91,'CADASTRO DE CLIENTES'!$C$6:$E$500,3,FALSE),""))</f>
        <v/>
      </c>
      <c r="G91" s="36"/>
      <c r="H91" s="36"/>
      <c r="I91" s="49" t="str">
        <f>IF(ISBLANK(G91),"",IFERROR(VLOOKUP(G91,'CADASTRO DE MATERIAL'!$C$6:$J$500,8,FALSE),""))</f>
        <v/>
      </c>
      <c r="J91" s="54" t="str">
        <f t="shared" si="5"/>
        <v/>
      </c>
      <c r="K91" s="36"/>
      <c r="L91" s="49">
        <f t="shared" si="6"/>
        <v>0</v>
      </c>
      <c r="M91" s="54">
        <f t="shared" si="7"/>
        <v>0</v>
      </c>
      <c r="N91" s="66"/>
      <c r="O91" s="54">
        <f t="shared" si="8"/>
        <v>0</v>
      </c>
      <c r="P91" s="54" t="str">
        <f t="shared" si="9"/>
        <v/>
      </c>
    </row>
    <row r="92" spans="2:16" ht="16.8" hidden="1" customHeight="1" x14ac:dyDescent="0.4">
      <c r="B92" s="30" t="str">
        <f>IF(AND(ISBLANK(D92), ISBLANK(E92), ISBLANK(G92)), "", IF(AND(E92&lt;&gt;"", E92=E91, D92&lt;&gt;"", D92=D91), B91, "PED-" &amp; TEXT(IFERROR(VALUE(RIGHT(LOOKUP("PED-9999",$B$5:B91),4)),1000)+1, "0000")))</f>
        <v/>
      </c>
      <c r="C92" s="30" t="s">
        <v>125</v>
      </c>
      <c r="D92" s="42"/>
      <c r="E92" s="30"/>
      <c r="F92" s="30" t="str">
        <f>IF(ISBLANK(E92),"",IFERROR(VLOOKUP(E92,'CADASTRO DE CLIENTES'!$C$6:$E$500,3,FALSE),""))</f>
        <v/>
      </c>
      <c r="G92" s="30"/>
      <c r="H92" s="30"/>
      <c r="I92" s="51" t="str">
        <f>IF(ISBLANK(G92),"",IFERROR(VLOOKUP(G92,'CADASTRO DE MATERIAL'!$C$6:$J$500,8,FALSE),""))</f>
        <v/>
      </c>
      <c r="J92" s="59" t="str">
        <f t="shared" si="5"/>
        <v/>
      </c>
      <c r="K92" s="30"/>
      <c r="L92" s="51">
        <f t="shared" si="6"/>
        <v>0</v>
      </c>
      <c r="M92" s="59">
        <f t="shared" si="7"/>
        <v>0</v>
      </c>
      <c r="N92" s="65"/>
      <c r="O92" s="59">
        <f t="shared" si="8"/>
        <v>0</v>
      </c>
      <c r="P92" s="59" t="str">
        <f t="shared" si="9"/>
        <v/>
      </c>
    </row>
    <row r="93" spans="2:16" ht="16.8" hidden="1" customHeight="1" x14ac:dyDescent="0.4">
      <c r="B93" s="36" t="str">
        <f>IF(AND(ISBLANK(D93), ISBLANK(E93), ISBLANK(G93)), "", IF(AND(E93&lt;&gt;"", E93=E92, D93&lt;&gt;"", D93=D92), B92, "PED-" &amp; TEXT(IFERROR(VALUE(RIGHT(LOOKUP("PED-9999",$B$5:B92),4)),1000)+1, "0000")))</f>
        <v/>
      </c>
      <c r="C93" s="36" t="s">
        <v>126</v>
      </c>
      <c r="D93" s="41"/>
      <c r="E93" s="36"/>
      <c r="F93" s="36" t="str">
        <f>IF(ISBLANK(E93),"",IFERROR(VLOOKUP(E93,'CADASTRO DE CLIENTES'!$C$6:$E$500,3,FALSE),""))</f>
        <v/>
      </c>
      <c r="G93" s="36"/>
      <c r="H93" s="36"/>
      <c r="I93" s="49" t="str">
        <f>IF(ISBLANK(G93),"",IFERROR(VLOOKUP(G93,'CADASTRO DE MATERIAL'!$C$6:$J$500,8,FALSE),""))</f>
        <v/>
      </c>
      <c r="J93" s="54" t="str">
        <f t="shared" si="5"/>
        <v/>
      </c>
      <c r="K93" s="36"/>
      <c r="L93" s="49">
        <f t="shared" si="6"/>
        <v>0</v>
      </c>
      <c r="M93" s="54">
        <f t="shared" si="7"/>
        <v>0</v>
      </c>
      <c r="N93" s="66"/>
      <c r="O93" s="54">
        <f t="shared" si="8"/>
        <v>0</v>
      </c>
      <c r="P93" s="54" t="str">
        <f t="shared" si="9"/>
        <v/>
      </c>
    </row>
    <row r="94" spans="2:16" ht="16.8" hidden="1" customHeight="1" x14ac:dyDescent="0.4">
      <c r="B94" s="30" t="str">
        <f>IF(AND(ISBLANK(D94), ISBLANK(E94), ISBLANK(G94)), "", IF(AND(E94&lt;&gt;"", E94=E93, D94&lt;&gt;"", D94=D93), B93, "PED-" &amp; TEXT(IFERROR(VALUE(RIGHT(LOOKUP("PED-9999",$B$5:B93),4)),1000)+1, "0000")))</f>
        <v/>
      </c>
      <c r="C94" s="30" t="s">
        <v>127</v>
      </c>
      <c r="D94" s="42"/>
      <c r="E94" s="30"/>
      <c r="F94" s="30" t="str">
        <f>IF(ISBLANK(E94),"",IFERROR(VLOOKUP(E94,'CADASTRO DE CLIENTES'!$C$6:$E$500,3,FALSE),""))</f>
        <v/>
      </c>
      <c r="G94" s="30"/>
      <c r="H94" s="30"/>
      <c r="I94" s="51" t="str">
        <f>IF(ISBLANK(G94),"",IFERROR(VLOOKUP(G94,'CADASTRO DE MATERIAL'!$C$6:$J$500,8,FALSE),""))</f>
        <v/>
      </c>
      <c r="J94" s="59" t="str">
        <f t="shared" si="5"/>
        <v/>
      </c>
      <c r="K94" s="30"/>
      <c r="L94" s="51">
        <f t="shared" si="6"/>
        <v>0</v>
      </c>
      <c r="M94" s="59">
        <f t="shared" si="7"/>
        <v>0</v>
      </c>
      <c r="N94" s="65"/>
      <c r="O94" s="59">
        <f t="shared" si="8"/>
        <v>0</v>
      </c>
      <c r="P94" s="59" t="str">
        <f t="shared" si="9"/>
        <v/>
      </c>
    </row>
    <row r="95" spans="2:16" ht="16.8" hidden="1" customHeight="1" x14ac:dyDescent="0.4">
      <c r="B95" s="36" t="str">
        <f>IF(AND(ISBLANK(D95), ISBLANK(E95), ISBLANK(G95)), "", IF(AND(E95&lt;&gt;"", E95=E94, D95&lt;&gt;"", D95=D94), B94, "PED-" &amp; TEXT(IFERROR(VALUE(RIGHT(LOOKUP("PED-9999",$B$5:B94),4)),1000)+1, "0000")))</f>
        <v/>
      </c>
      <c r="C95" s="36" t="s">
        <v>128</v>
      </c>
      <c r="D95" s="41"/>
      <c r="E95" s="36"/>
      <c r="F95" s="36" t="str">
        <f>IF(ISBLANK(E95),"",IFERROR(VLOOKUP(E95,'CADASTRO DE CLIENTES'!$C$6:$E$500,3,FALSE),""))</f>
        <v/>
      </c>
      <c r="G95" s="36"/>
      <c r="H95" s="36"/>
      <c r="I95" s="49" t="str">
        <f>IF(ISBLANK(G95),"",IFERROR(VLOOKUP(G95,'CADASTRO DE MATERIAL'!$C$6:$J$500,8,FALSE),""))</f>
        <v/>
      </c>
      <c r="J95" s="54" t="str">
        <f t="shared" si="5"/>
        <v/>
      </c>
      <c r="K95" s="36"/>
      <c r="L95" s="49">
        <f t="shared" si="6"/>
        <v>0</v>
      </c>
      <c r="M95" s="54">
        <f t="shared" si="7"/>
        <v>0</v>
      </c>
      <c r="N95" s="66"/>
      <c r="O95" s="54">
        <f t="shared" si="8"/>
        <v>0</v>
      </c>
      <c r="P95" s="54" t="str">
        <f t="shared" si="9"/>
        <v/>
      </c>
    </row>
    <row r="96" spans="2:16" ht="16.8" hidden="1" customHeight="1" x14ac:dyDescent="0.4">
      <c r="B96" s="30" t="str">
        <f>IF(AND(ISBLANK(D96), ISBLANK(E96), ISBLANK(G96)), "", IF(AND(E96&lt;&gt;"", E96=E95, D96&lt;&gt;"", D96=D95), B95, "PED-" &amp; TEXT(IFERROR(VALUE(RIGHT(LOOKUP("PED-9999",$B$5:B95),4)),1000)+1, "0000")))</f>
        <v/>
      </c>
      <c r="C96" s="30" t="s">
        <v>129</v>
      </c>
      <c r="D96" s="42"/>
      <c r="E96" s="30"/>
      <c r="F96" s="30" t="str">
        <f>IF(ISBLANK(E96),"",IFERROR(VLOOKUP(E96,'CADASTRO DE CLIENTES'!$C$6:$E$500,3,FALSE),""))</f>
        <v/>
      </c>
      <c r="G96" s="30"/>
      <c r="H96" s="30"/>
      <c r="I96" s="51" t="str">
        <f>IF(ISBLANK(G96),"",IFERROR(VLOOKUP(G96,'CADASTRO DE MATERIAL'!$C$6:$J$500,8,FALSE),""))</f>
        <v/>
      </c>
      <c r="J96" s="59" t="str">
        <f t="shared" si="5"/>
        <v/>
      </c>
      <c r="K96" s="30"/>
      <c r="L96" s="51">
        <f t="shared" si="6"/>
        <v>0</v>
      </c>
      <c r="M96" s="59">
        <f t="shared" si="7"/>
        <v>0</v>
      </c>
      <c r="N96" s="65"/>
      <c r="O96" s="59">
        <f t="shared" si="8"/>
        <v>0</v>
      </c>
      <c r="P96" s="59" t="str">
        <f t="shared" si="9"/>
        <v/>
      </c>
    </row>
    <row r="97" spans="2:16" ht="16.8" hidden="1" customHeight="1" x14ac:dyDescent="0.4">
      <c r="B97" s="36" t="str">
        <f>IF(AND(ISBLANK(D97), ISBLANK(E97), ISBLANK(G97)), "", IF(AND(E97&lt;&gt;"", E97=E96, D97&lt;&gt;"", D97=D96), B96, "PED-" &amp; TEXT(IFERROR(VALUE(RIGHT(LOOKUP("PED-9999",$B$5:B96),4)),1000)+1, "0000")))</f>
        <v/>
      </c>
      <c r="C97" s="36" t="s">
        <v>130</v>
      </c>
      <c r="D97" s="41"/>
      <c r="E97" s="36"/>
      <c r="F97" s="36" t="str">
        <f>IF(ISBLANK(E97),"",IFERROR(VLOOKUP(E97,'CADASTRO DE CLIENTES'!$C$6:$E$500,3,FALSE),""))</f>
        <v/>
      </c>
      <c r="G97" s="36"/>
      <c r="H97" s="36"/>
      <c r="I97" s="49" t="str">
        <f>IF(ISBLANK(G97),"",IFERROR(VLOOKUP(G97,'CADASTRO DE MATERIAL'!$C$6:$J$500,8,FALSE),""))</f>
        <v/>
      </c>
      <c r="J97" s="54" t="str">
        <f t="shared" si="5"/>
        <v/>
      </c>
      <c r="K97" s="36"/>
      <c r="L97" s="49">
        <f t="shared" si="6"/>
        <v>0</v>
      </c>
      <c r="M97" s="54">
        <f t="shared" si="7"/>
        <v>0</v>
      </c>
      <c r="N97" s="66"/>
      <c r="O97" s="54">
        <f t="shared" si="8"/>
        <v>0</v>
      </c>
      <c r="P97" s="54" t="str">
        <f t="shared" si="9"/>
        <v/>
      </c>
    </row>
    <row r="98" spans="2:16" ht="16.8" hidden="1" customHeight="1" x14ac:dyDescent="0.4">
      <c r="B98" s="30" t="str">
        <f>IF(AND(ISBLANK(D98), ISBLANK(E98), ISBLANK(G98)), "", IF(AND(E98&lt;&gt;"", E98=E97, D98&lt;&gt;"", D98=D97), B97, "PED-" &amp; TEXT(IFERROR(VALUE(RIGHT(LOOKUP("PED-9999",$B$5:B97),4)),1000)+1, "0000")))</f>
        <v/>
      </c>
      <c r="C98" s="30" t="s">
        <v>131</v>
      </c>
      <c r="D98" s="42"/>
      <c r="E98" s="30"/>
      <c r="F98" s="30" t="str">
        <f>IF(ISBLANK(E98),"",IFERROR(VLOOKUP(E98,'CADASTRO DE CLIENTES'!$C$6:$E$500,3,FALSE),""))</f>
        <v/>
      </c>
      <c r="G98" s="30"/>
      <c r="H98" s="30"/>
      <c r="I98" s="51" t="str">
        <f>IF(ISBLANK(G98),"",IFERROR(VLOOKUP(G98,'CADASTRO DE MATERIAL'!$C$6:$J$500,8,FALSE),""))</f>
        <v/>
      </c>
      <c r="J98" s="59" t="str">
        <f t="shared" si="5"/>
        <v/>
      </c>
      <c r="K98" s="30"/>
      <c r="L98" s="51">
        <f t="shared" si="6"/>
        <v>0</v>
      </c>
      <c r="M98" s="59">
        <f t="shared" si="7"/>
        <v>0</v>
      </c>
      <c r="N98" s="65"/>
      <c r="O98" s="59">
        <f t="shared" si="8"/>
        <v>0</v>
      </c>
      <c r="P98" s="59" t="str">
        <f t="shared" si="9"/>
        <v/>
      </c>
    </row>
    <row r="99" spans="2:16" ht="16.8" hidden="1" customHeight="1" x14ac:dyDescent="0.4">
      <c r="B99" s="36" t="str">
        <f>IF(AND(ISBLANK(D99), ISBLANK(E99), ISBLANK(G99)), "", IF(AND(E99&lt;&gt;"", E99=E98, D99&lt;&gt;"", D99=D98), B98, "PED-" &amp; TEXT(IFERROR(VALUE(RIGHT(LOOKUP("PED-9999",$B$5:B98),4)),1000)+1, "0000")))</f>
        <v/>
      </c>
      <c r="C99" s="36" t="s">
        <v>132</v>
      </c>
      <c r="D99" s="41"/>
      <c r="E99" s="36"/>
      <c r="F99" s="36" t="str">
        <f>IF(ISBLANK(E99),"",IFERROR(VLOOKUP(E99,'CADASTRO DE CLIENTES'!$C$6:$E$500,3,FALSE),""))</f>
        <v/>
      </c>
      <c r="G99" s="36"/>
      <c r="H99" s="36"/>
      <c r="I99" s="49" t="str">
        <f>IF(ISBLANK(G99),"",IFERROR(VLOOKUP(G99,'CADASTRO DE MATERIAL'!$C$6:$J$500,8,FALSE),""))</f>
        <v/>
      </c>
      <c r="J99" s="54" t="str">
        <f t="shared" si="5"/>
        <v/>
      </c>
      <c r="K99" s="36"/>
      <c r="L99" s="49">
        <f t="shared" si="6"/>
        <v>0</v>
      </c>
      <c r="M99" s="54">
        <f t="shared" si="7"/>
        <v>0</v>
      </c>
      <c r="N99" s="66"/>
      <c r="O99" s="54">
        <f t="shared" si="8"/>
        <v>0</v>
      </c>
      <c r="P99" s="54" t="str">
        <f t="shared" si="9"/>
        <v/>
      </c>
    </row>
    <row r="100" spans="2:16" ht="16.8" hidden="1" customHeight="1" x14ac:dyDescent="0.4">
      <c r="B100" s="30" t="str">
        <f>IF(AND(ISBLANK(D100), ISBLANK(E100), ISBLANK(G100)), "", IF(AND(E100&lt;&gt;"", E100=E99, D100&lt;&gt;"", D100=D99), B99, "PED-" &amp; TEXT(IFERROR(VALUE(RIGHT(LOOKUP("PED-9999",$B$5:B99),4)),1000)+1, "0000")))</f>
        <v/>
      </c>
      <c r="C100" s="30" t="s">
        <v>133</v>
      </c>
      <c r="D100" s="42"/>
      <c r="E100" s="30"/>
      <c r="F100" s="30" t="str">
        <f>IF(ISBLANK(E100),"",IFERROR(VLOOKUP(E100,'CADASTRO DE CLIENTES'!$C$6:$E$500,3,FALSE),""))</f>
        <v/>
      </c>
      <c r="G100" s="30"/>
      <c r="H100" s="30"/>
      <c r="I100" s="51" t="str">
        <f>IF(ISBLANK(G100),"",IFERROR(VLOOKUP(G100,'CADASTRO DE MATERIAL'!$C$6:$J$500,8,FALSE),""))</f>
        <v/>
      </c>
      <c r="J100" s="59" t="str">
        <f t="shared" si="5"/>
        <v/>
      </c>
      <c r="K100" s="30"/>
      <c r="L100" s="51">
        <f t="shared" si="6"/>
        <v>0</v>
      </c>
      <c r="M100" s="59">
        <f t="shared" si="7"/>
        <v>0</v>
      </c>
      <c r="N100" s="65"/>
      <c r="O100" s="59">
        <f t="shared" si="8"/>
        <v>0</v>
      </c>
      <c r="P100" s="59" t="str">
        <f t="shared" si="9"/>
        <v/>
      </c>
    </row>
    <row r="101" spans="2:16" ht="16.8" hidden="1" customHeight="1" x14ac:dyDescent="0.4">
      <c r="B101" s="36" t="str">
        <f>IF(AND(ISBLANK(D101), ISBLANK(E101), ISBLANK(G101)), "", IF(AND(E101&lt;&gt;"", E101=E100, D101&lt;&gt;"", D101=D100), B100, "PED-" &amp; TEXT(IFERROR(VALUE(RIGHT(LOOKUP("PED-9999",$B$5:B100),4)),1000)+1, "0000")))</f>
        <v/>
      </c>
      <c r="C101" s="36" t="s">
        <v>134</v>
      </c>
      <c r="D101" s="41"/>
      <c r="E101" s="36"/>
      <c r="F101" s="36" t="str">
        <f>IF(ISBLANK(E101),"",IFERROR(VLOOKUP(E101,'CADASTRO DE CLIENTES'!$C$6:$E$500,3,FALSE),""))</f>
        <v/>
      </c>
      <c r="G101" s="36"/>
      <c r="H101" s="36"/>
      <c r="I101" s="49" t="str">
        <f>IF(ISBLANK(G101),"",IFERROR(VLOOKUP(G101,'CADASTRO DE MATERIAL'!$C$6:$J$500,8,FALSE),""))</f>
        <v/>
      </c>
      <c r="J101" s="54" t="str">
        <f t="shared" si="5"/>
        <v/>
      </c>
      <c r="K101" s="36"/>
      <c r="L101" s="49">
        <f t="shared" si="6"/>
        <v>0</v>
      </c>
      <c r="M101" s="54">
        <f t="shared" si="7"/>
        <v>0</v>
      </c>
      <c r="N101" s="66"/>
      <c r="O101" s="54">
        <f t="shared" si="8"/>
        <v>0</v>
      </c>
      <c r="P101" s="54" t="str">
        <f t="shared" si="9"/>
        <v/>
      </c>
    </row>
    <row r="102" spans="2:16" ht="16.8" hidden="1" customHeight="1" x14ac:dyDescent="0.4">
      <c r="B102" s="30" t="str">
        <f>IF(AND(ISBLANK(D102), ISBLANK(E102), ISBLANK(G102)), "", IF(AND(E102&lt;&gt;"", E102=E101, D102&lt;&gt;"", D102=D101), B101, "PED-" &amp; TEXT(IFERROR(VALUE(RIGHT(LOOKUP("PED-9999",$B$5:B101),4)),1000)+1, "0000")))</f>
        <v/>
      </c>
      <c r="C102" s="30" t="s">
        <v>135</v>
      </c>
      <c r="D102" s="42"/>
      <c r="E102" s="30"/>
      <c r="F102" s="30" t="str">
        <f>IF(ISBLANK(E102),"",IFERROR(VLOOKUP(E102,'CADASTRO DE CLIENTES'!$C$6:$E$500,3,FALSE),""))</f>
        <v/>
      </c>
      <c r="G102" s="30"/>
      <c r="H102" s="30"/>
      <c r="I102" s="51" t="str">
        <f>IF(ISBLANK(G102),"",IFERROR(VLOOKUP(G102,'CADASTRO DE MATERIAL'!$C$6:$J$500,8,FALSE),""))</f>
        <v/>
      </c>
      <c r="J102" s="59" t="str">
        <f t="shared" si="5"/>
        <v/>
      </c>
      <c r="K102" s="30"/>
      <c r="L102" s="51">
        <f t="shared" si="6"/>
        <v>0</v>
      </c>
      <c r="M102" s="59">
        <f t="shared" si="7"/>
        <v>0</v>
      </c>
      <c r="N102" s="65"/>
      <c r="O102" s="59">
        <f t="shared" si="8"/>
        <v>0</v>
      </c>
      <c r="P102" s="59" t="str">
        <f t="shared" si="9"/>
        <v/>
      </c>
    </row>
    <row r="103" spans="2:16" ht="16.8" hidden="1" customHeight="1" x14ac:dyDescent="0.4">
      <c r="B103" s="36" t="str">
        <f>IF(AND(ISBLANK(D103), ISBLANK(E103), ISBLANK(G103)), "", IF(AND(E103&lt;&gt;"", E103=E102, D103&lt;&gt;"", D103=D102), B102, "PED-" &amp; TEXT(IFERROR(VALUE(RIGHT(LOOKUP("PED-9999",$B$5:B102),4)),1000)+1, "0000")))</f>
        <v/>
      </c>
      <c r="C103" s="36" t="s">
        <v>136</v>
      </c>
      <c r="D103" s="41"/>
      <c r="E103" s="36"/>
      <c r="F103" s="36" t="str">
        <f>IF(ISBLANK(E103),"",IFERROR(VLOOKUP(E103,'CADASTRO DE CLIENTES'!$C$6:$E$500,3,FALSE),""))</f>
        <v/>
      </c>
      <c r="G103" s="36"/>
      <c r="H103" s="36"/>
      <c r="I103" s="49" t="str">
        <f>IF(ISBLANK(G103),"",IFERROR(VLOOKUP(G103,'CADASTRO DE MATERIAL'!$C$6:$J$500,8,FALSE),""))</f>
        <v/>
      </c>
      <c r="J103" s="54" t="str">
        <f t="shared" si="5"/>
        <v/>
      </c>
      <c r="K103" s="36"/>
      <c r="L103" s="49">
        <f t="shared" si="6"/>
        <v>0</v>
      </c>
      <c r="M103" s="54">
        <f t="shared" si="7"/>
        <v>0</v>
      </c>
      <c r="N103" s="66"/>
      <c r="O103" s="54">
        <f t="shared" si="8"/>
        <v>0</v>
      </c>
      <c r="P103" s="54" t="str">
        <f t="shared" si="9"/>
        <v/>
      </c>
    </row>
    <row r="104" spans="2:16" ht="16.8" hidden="1" customHeight="1" x14ac:dyDescent="0.4">
      <c r="B104" s="30" t="str">
        <f>IF(AND(ISBLANK(D104), ISBLANK(E104), ISBLANK(G104)), "", IF(AND(E104&lt;&gt;"", E104=E103, D104&lt;&gt;"", D104=D103), B103, "PED-" &amp; TEXT(IFERROR(VALUE(RIGHT(LOOKUP("PED-9999",$B$5:B103),4)),1000)+1, "0000")))</f>
        <v/>
      </c>
      <c r="C104" s="30" t="s">
        <v>137</v>
      </c>
      <c r="D104" s="42"/>
      <c r="E104" s="30"/>
      <c r="F104" s="30" t="str">
        <f>IF(ISBLANK(E104),"",IFERROR(VLOOKUP(E104,'CADASTRO DE CLIENTES'!$C$6:$E$500,3,FALSE),""))</f>
        <v/>
      </c>
      <c r="G104" s="30"/>
      <c r="H104" s="30"/>
      <c r="I104" s="51" t="str">
        <f>IF(ISBLANK(G104),"",IFERROR(VLOOKUP(G104,'CADASTRO DE MATERIAL'!$C$6:$J$500,8,FALSE),""))</f>
        <v/>
      </c>
      <c r="J104" s="59" t="str">
        <f t="shared" si="5"/>
        <v/>
      </c>
      <c r="K104" s="30"/>
      <c r="L104" s="51">
        <f t="shared" si="6"/>
        <v>0</v>
      </c>
      <c r="M104" s="59">
        <f t="shared" si="7"/>
        <v>0</v>
      </c>
      <c r="N104" s="65"/>
      <c r="O104" s="59">
        <f t="shared" si="8"/>
        <v>0</v>
      </c>
      <c r="P104" s="59" t="str">
        <f t="shared" si="9"/>
        <v/>
      </c>
    </row>
    <row r="105" spans="2:16" ht="16.8" hidden="1" customHeight="1" x14ac:dyDescent="0.4">
      <c r="B105" s="36" t="str">
        <f>IF(AND(ISBLANK(D105), ISBLANK(E105), ISBLANK(G105)), "", IF(AND(E105&lt;&gt;"", E105=E104, D105&lt;&gt;"", D105=D104), B104, "PED-" &amp; TEXT(IFERROR(VALUE(RIGHT(LOOKUP("PED-9999",$B$5:B104),4)),1000)+1, "0000")))</f>
        <v/>
      </c>
      <c r="C105" s="36" t="s">
        <v>138</v>
      </c>
      <c r="D105" s="41"/>
      <c r="E105" s="36"/>
      <c r="F105" s="36" t="str">
        <f>IF(ISBLANK(E105),"",IFERROR(VLOOKUP(E105,'CADASTRO DE CLIENTES'!$C$6:$E$500,3,FALSE),""))</f>
        <v/>
      </c>
      <c r="G105" s="36"/>
      <c r="H105" s="36"/>
      <c r="I105" s="49" t="str">
        <f>IF(ISBLANK(G105),"",IFERROR(VLOOKUP(G105,'CADASTRO DE MATERIAL'!$C$6:$J$500,8,FALSE),""))</f>
        <v/>
      </c>
      <c r="J105" s="54" t="str">
        <f t="shared" si="5"/>
        <v/>
      </c>
      <c r="K105" s="36"/>
      <c r="L105" s="49">
        <f t="shared" si="6"/>
        <v>0</v>
      </c>
      <c r="M105" s="54">
        <f t="shared" si="7"/>
        <v>0</v>
      </c>
      <c r="N105" s="66"/>
      <c r="O105" s="54">
        <f t="shared" si="8"/>
        <v>0</v>
      </c>
      <c r="P105" s="54" t="str">
        <f t="shared" si="9"/>
        <v/>
      </c>
    </row>
    <row r="106" spans="2:16" ht="16.8" hidden="1" customHeight="1" x14ac:dyDescent="0.4">
      <c r="B106" s="30" t="str">
        <f>IF(AND(ISBLANK(D106), ISBLANK(E106), ISBLANK(G106)), "", IF(AND(E106&lt;&gt;"", E106=E105, D106&lt;&gt;"", D106=D105), B105, "PED-" &amp; TEXT(IFERROR(VALUE(RIGHT(LOOKUP("PED-9999",$B$5:B105),4)),1000)+1, "0000")))</f>
        <v/>
      </c>
      <c r="C106" s="30" t="s">
        <v>139</v>
      </c>
      <c r="D106" s="42"/>
      <c r="E106" s="30"/>
      <c r="F106" s="30" t="str">
        <f>IF(ISBLANK(E106),"",IFERROR(VLOOKUP(E106,'CADASTRO DE CLIENTES'!$C$6:$E$500,3,FALSE),""))</f>
        <v/>
      </c>
      <c r="G106" s="30"/>
      <c r="H106" s="30"/>
      <c r="I106" s="51" t="str">
        <f>IF(ISBLANK(G106),"",IFERROR(VLOOKUP(G106,'CADASTRO DE MATERIAL'!$C$6:$J$500,8,FALSE),""))</f>
        <v/>
      </c>
      <c r="J106" s="59" t="str">
        <f t="shared" si="5"/>
        <v/>
      </c>
      <c r="K106" s="30"/>
      <c r="L106" s="51">
        <f t="shared" si="6"/>
        <v>0</v>
      </c>
      <c r="M106" s="59">
        <f t="shared" si="7"/>
        <v>0</v>
      </c>
      <c r="N106" s="65"/>
      <c r="O106" s="59">
        <f t="shared" si="8"/>
        <v>0</v>
      </c>
      <c r="P106" s="59" t="str">
        <f t="shared" si="9"/>
        <v/>
      </c>
    </row>
    <row r="107" spans="2:16" ht="16.8" hidden="1" customHeight="1" x14ac:dyDescent="0.4">
      <c r="B107" s="36" t="str">
        <f>IF(AND(ISBLANK(D107), ISBLANK(E107), ISBLANK(G107)), "", IF(AND(E107&lt;&gt;"", E107=E106, D107&lt;&gt;"", D107=D106), B106, "PED-" &amp; TEXT(IFERROR(VALUE(RIGHT(LOOKUP("PED-9999",$B$5:B106),4)),1000)+1, "0000")))</f>
        <v/>
      </c>
      <c r="C107" s="36" t="s">
        <v>140</v>
      </c>
      <c r="D107" s="41"/>
      <c r="E107" s="36"/>
      <c r="F107" s="36" t="str">
        <f>IF(ISBLANK(E107),"",IFERROR(VLOOKUP(E107,'CADASTRO DE CLIENTES'!$C$6:$E$500,3,FALSE),""))</f>
        <v/>
      </c>
      <c r="G107" s="36"/>
      <c r="H107" s="36"/>
      <c r="I107" s="49" t="str">
        <f>IF(ISBLANK(G107),"",IFERROR(VLOOKUP(G107,'CADASTRO DE MATERIAL'!$C$6:$J$500,8,FALSE),""))</f>
        <v/>
      </c>
      <c r="J107" s="54" t="str">
        <f t="shared" si="5"/>
        <v/>
      </c>
      <c r="K107" s="36"/>
      <c r="L107" s="49">
        <f t="shared" si="6"/>
        <v>0</v>
      </c>
      <c r="M107" s="54">
        <f t="shared" si="7"/>
        <v>0</v>
      </c>
      <c r="N107" s="66"/>
      <c r="O107" s="54">
        <f t="shared" si="8"/>
        <v>0</v>
      </c>
      <c r="P107" s="54" t="str">
        <f t="shared" si="9"/>
        <v/>
      </c>
    </row>
    <row r="108" spans="2:16" ht="16.8" hidden="1" customHeight="1" x14ac:dyDescent="0.4">
      <c r="B108" s="30" t="str">
        <f>IF(AND(ISBLANK(D108), ISBLANK(E108), ISBLANK(G108)), "", IF(AND(E108&lt;&gt;"", E108=E107, D108&lt;&gt;"", D108=D107), B107, "PED-" &amp; TEXT(IFERROR(VALUE(RIGHT(LOOKUP("PED-9999",$B$5:B107),4)),1000)+1, "0000")))</f>
        <v/>
      </c>
      <c r="C108" s="30" t="s">
        <v>141</v>
      </c>
      <c r="D108" s="42"/>
      <c r="E108" s="30"/>
      <c r="F108" s="30" t="str">
        <f>IF(ISBLANK(E108),"",IFERROR(VLOOKUP(E108,'CADASTRO DE CLIENTES'!$C$6:$E$500,3,FALSE),""))</f>
        <v/>
      </c>
      <c r="G108" s="30"/>
      <c r="H108" s="30"/>
      <c r="I108" s="51" t="str">
        <f>IF(ISBLANK(G108),"",IFERROR(VLOOKUP(G108,'CADASTRO DE MATERIAL'!$C$6:$J$500,8,FALSE),""))</f>
        <v/>
      </c>
      <c r="J108" s="59" t="str">
        <f t="shared" si="5"/>
        <v/>
      </c>
      <c r="K108" s="30"/>
      <c r="L108" s="51">
        <f t="shared" si="6"/>
        <v>0</v>
      </c>
      <c r="M108" s="59">
        <f t="shared" si="7"/>
        <v>0</v>
      </c>
      <c r="N108" s="65"/>
      <c r="O108" s="59">
        <f t="shared" si="8"/>
        <v>0</v>
      </c>
      <c r="P108" s="59" t="str">
        <f t="shared" si="9"/>
        <v/>
      </c>
    </row>
    <row r="109" spans="2:16" ht="16.8" hidden="1" customHeight="1" x14ac:dyDescent="0.4">
      <c r="B109" s="36" t="str">
        <f>IF(AND(ISBLANK(D109), ISBLANK(E109), ISBLANK(G109)), "", IF(AND(E109&lt;&gt;"", E109=E108, D109&lt;&gt;"", D109=D108), B108, "PED-" &amp; TEXT(IFERROR(VALUE(RIGHT(LOOKUP("PED-9999",$B$5:B108),4)),1000)+1, "0000")))</f>
        <v/>
      </c>
      <c r="C109" s="36" t="s">
        <v>142</v>
      </c>
      <c r="D109" s="41"/>
      <c r="E109" s="36"/>
      <c r="F109" s="36" t="str">
        <f>IF(ISBLANK(E109),"",IFERROR(VLOOKUP(E109,'CADASTRO DE CLIENTES'!$C$6:$E$500,3,FALSE),""))</f>
        <v/>
      </c>
      <c r="G109" s="36"/>
      <c r="H109" s="36"/>
      <c r="I109" s="49" t="str">
        <f>IF(ISBLANK(G109),"",IFERROR(VLOOKUP(G109,'CADASTRO DE MATERIAL'!$C$6:$J$500,8,FALSE),""))</f>
        <v/>
      </c>
      <c r="J109" s="54" t="str">
        <f t="shared" si="5"/>
        <v/>
      </c>
      <c r="K109" s="36"/>
      <c r="L109" s="49">
        <f t="shared" si="6"/>
        <v>0</v>
      </c>
      <c r="M109" s="54">
        <f t="shared" si="7"/>
        <v>0</v>
      </c>
      <c r="N109" s="66"/>
      <c r="O109" s="54">
        <f t="shared" si="8"/>
        <v>0</v>
      </c>
      <c r="P109" s="54" t="str">
        <f t="shared" si="9"/>
        <v/>
      </c>
    </row>
    <row r="110" spans="2:16" ht="16.8" hidden="1" customHeight="1" x14ac:dyDescent="0.4">
      <c r="B110" s="30" t="str">
        <f>IF(AND(ISBLANK(D110), ISBLANK(E110), ISBLANK(G110)), "", IF(AND(E110&lt;&gt;"", E110=E109, D110&lt;&gt;"", D110=D109), B109, "PED-" &amp; TEXT(IFERROR(VALUE(RIGHT(LOOKUP("PED-9999",$B$5:B109),4)),1000)+1, "0000")))</f>
        <v/>
      </c>
      <c r="C110" s="30" t="s">
        <v>143</v>
      </c>
      <c r="D110" s="42"/>
      <c r="E110" s="30"/>
      <c r="F110" s="30" t="str">
        <f>IF(ISBLANK(E110),"",IFERROR(VLOOKUP(E110,'CADASTRO DE CLIENTES'!$C$6:$E$500,3,FALSE),""))</f>
        <v/>
      </c>
      <c r="G110" s="30"/>
      <c r="H110" s="30"/>
      <c r="I110" s="51" t="str">
        <f>IF(ISBLANK(G110),"",IFERROR(VLOOKUP(G110,'CADASTRO DE MATERIAL'!$C$6:$J$500,8,FALSE),""))</f>
        <v/>
      </c>
      <c r="J110" s="59" t="str">
        <f t="shared" si="5"/>
        <v/>
      </c>
      <c r="K110" s="30"/>
      <c r="L110" s="51">
        <f t="shared" si="6"/>
        <v>0</v>
      </c>
      <c r="M110" s="59">
        <f t="shared" si="7"/>
        <v>0</v>
      </c>
      <c r="N110" s="65"/>
      <c r="O110" s="59">
        <f t="shared" si="8"/>
        <v>0</v>
      </c>
      <c r="P110" s="59" t="str">
        <f t="shared" si="9"/>
        <v/>
      </c>
    </row>
    <row r="111" spans="2:16" ht="16.8" hidden="1" customHeight="1" x14ac:dyDescent="0.4">
      <c r="B111" s="36" t="str">
        <f>IF(AND(ISBLANK(D111), ISBLANK(E111), ISBLANK(G111)), "", IF(AND(E111&lt;&gt;"", E111=E110, D111&lt;&gt;"", D111=D110), B110, "PED-" &amp; TEXT(IFERROR(VALUE(RIGHT(LOOKUP("PED-9999",$B$5:B110),4)),1000)+1, "0000")))</f>
        <v/>
      </c>
      <c r="C111" s="36" t="s">
        <v>144</v>
      </c>
      <c r="D111" s="41"/>
      <c r="E111" s="36"/>
      <c r="F111" s="36" t="str">
        <f>IF(ISBLANK(E111),"",IFERROR(VLOOKUP(E111,'CADASTRO DE CLIENTES'!$C$6:$E$500,3,FALSE),""))</f>
        <v/>
      </c>
      <c r="G111" s="36"/>
      <c r="H111" s="36"/>
      <c r="I111" s="49" t="str">
        <f>IF(ISBLANK(G111),"",IFERROR(VLOOKUP(G111,'CADASTRO DE MATERIAL'!$C$6:$J$500,8,FALSE),""))</f>
        <v/>
      </c>
      <c r="J111" s="54" t="str">
        <f t="shared" si="5"/>
        <v/>
      </c>
      <c r="K111" s="36"/>
      <c r="L111" s="49">
        <f t="shared" si="6"/>
        <v>0</v>
      </c>
      <c r="M111" s="54">
        <f t="shared" si="7"/>
        <v>0</v>
      </c>
      <c r="N111" s="66"/>
      <c r="O111" s="54">
        <f t="shared" si="8"/>
        <v>0</v>
      </c>
      <c r="P111" s="54" t="str">
        <f t="shared" si="9"/>
        <v/>
      </c>
    </row>
    <row r="112" spans="2:16" ht="16.8" hidden="1" customHeight="1" x14ac:dyDescent="0.4">
      <c r="B112" s="30" t="str">
        <f>IF(AND(ISBLANK(D112), ISBLANK(E112), ISBLANK(G112)), "", IF(AND(E112&lt;&gt;"", E112=E111, D112&lt;&gt;"", D112=D111), B111, "PED-" &amp; TEXT(IFERROR(VALUE(RIGHT(LOOKUP("PED-9999",$B$5:B111),4)),1000)+1, "0000")))</f>
        <v/>
      </c>
      <c r="C112" s="30" t="s">
        <v>145</v>
      </c>
      <c r="D112" s="42"/>
      <c r="E112" s="30"/>
      <c r="F112" s="30" t="str">
        <f>IF(ISBLANK(E112),"",IFERROR(VLOOKUP(E112,'CADASTRO DE CLIENTES'!$C$6:$E$500,3,FALSE),""))</f>
        <v/>
      </c>
      <c r="G112" s="30"/>
      <c r="H112" s="30"/>
      <c r="I112" s="51" t="str">
        <f>IF(ISBLANK(G112),"",IFERROR(VLOOKUP(G112,'CADASTRO DE MATERIAL'!$C$6:$J$500,8,FALSE),""))</f>
        <v/>
      </c>
      <c r="J112" s="59" t="str">
        <f t="shared" si="5"/>
        <v/>
      </c>
      <c r="K112" s="30"/>
      <c r="L112" s="51">
        <f t="shared" si="6"/>
        <v>0</v>
      </c>
      <c r="M112" s="59">
        <f t="shared" si="7"/>
        <v>0</v>
      </c>
      <c r="N112" s="65"/>
      <c r="O112" s="59">
        <f t="shared" si="8"/>
        <v>0</v>
      </c>
      <c r="P112" s="59" t="str">
        <f t="shared" si="9"/>
        <v/>
      </c>
    </row>
    <row r="113" spans="2:16" ht="16.8" hidden="1" customHeight="1" x14ac:dyDescent="0.4">
      <c r="B113" s="36" t="str">
        <f>IF(AND(ISBLANK(D113), ISBLANK(E113), ISBLANK(G113)), "", IF(AND(E113&lt;&gt;"", E113=E112, D113&lt;&gt;"", D113=D112), B112, "PED-" &amp; TEXT(IFERROR(VALUE(RIGHT(LOOKUP("PED-9999",$B$5:B112),4)),1000)+1, "0000")))</f>
        <v/>
      </c>
      <c r="C113" s="36" t="s">
        <v>146</v>
      </c>
      <c r="D113" s="41"/>
      <c r="E113" s="36"/>
      <c r="F113" s="36" t="str">
        <f>IF(ISBLANK(E113),"",IFERROR(VLOOKUP(E113,'CADASTRO DE CLIENTES'!$C$6:$E$500,3,FALSE),""))</f>
        <v/>
      </c>
      <c r="G113" s="36"/>
      <c r="H113" s="36"/>
      <c r="I113" s="49" t="str">
        <f>IF(ISBLANK(G113),"",IFERROR(VLOOKUP(G113,'CADASTRO DE MATERIAL'!$C$6:$J$500,8,FALSE),""))</f>
        <v/>
      </c>
      <c r="J113" s="54" t="str">
        <f t="shared" si="5"/>
        <v/>
      </c>
      <c r="K113" s="36"/>
      <c r="L113" s="49">
        <f t="shared" si="6"/>
        <v>0</v>
      </c>
      <c r="M113" s="54">
        <f t="shared" si="7"/>
        <v>0</v>
      </c>
      <c r="N113" s="66"/>
      <c r="O113" s="54">
        <f t="shared" si="8"/>
        <v>0</v>
      </c>
      <c r="P113" s="54" t="str">
        <f t="shared" si="9"/>
        <v/>
      </c>
    </row>
    <row r="114" spans="2:16" ht="16.8" hidden="1" customHeight="1" x14ac:dyDescent="0.4">
      <c r="B114" s="30" t="str">
        <f>IF(AND(ISBLANK(D114), ISBLANK(E114), ISBLANK(G114)), "", IF(AND(E114&lt;&gt;"", E114=E113, D114&lt;&gt;"", D114=D113), B113, "PED-" &amp; TEXT(IFERROR(VALUE(RIGHT(LOOKUP("PED-9999",$B$5:B113),4)),1000)+1, "0000")))</f>
        <v/>
      </c>
      <c r="C114" s="30" t="s">
        <v>147</v>
      </c>
      <c r="D114" s="42"/>
      <c r="E114" s="30"/>
      <c r="F114" s="30" t="str">
        <f>IF(ISBLANK(E114),"",IFERROR(VLOOKUP(E114,'CADASTRO DE CLIENTES'!$C$6:$E$500,3,FALSE),""))</f>
        <v/>
      </c>
      <c r="G114" s="30"/>
      <c r="H114" s="30"/>
      <c r="I114" s="51" t="str">
        <f>IF(ISBLANK(G114),"",IFERROR(VLOOKUP(G114,'CADASTRO DE MATERIAL'!$C$6:$J$500,8,FALSE),""))</f>
        <v/>
      </c>
      <c r="J114" s="59" t="str">
        <f t="shared" si="5"/>
        <v/>
      </c>
      <c r="K114" s="30"/>
      <c r="L114" s="51">
        <f t="shared" si="6"/>
        <v>0</v>
      </c>
      <c r="M114" s="59">
        <f t="shared" si="7"/>
        <v>0</v>
      </c>
      <c r="N114" s="65"/>
      <c r="O114" s="59">
        <f t="shared" si="8"/>
        <v>0</v>
      </c>
      <c r="P114" s="59" t="str">
        <f t="shared" si="9"/>
        <v/>
      </c>
    </row>
    <row r="115" spans="2:16" ht="16.8" hidden="1" customHeight="1" x14ac:dyDescent="0.4">
      <c r="B115" s="36" t="str">
        <f>IF(AND(ISBLANK(D115), ISBLANK(E115), ISBLANK(G115)), "", IF(AND(E115&lt;&gt;"", E115=E114, D115&lt;&gt;"", D115=D114), B114, "PED-" &amp; TEXT(IFERROR(VALUE(RIGHT(LOOKUP("PED-9999",$B$5:B114),4)),1000)+1, "0000")))</f>
        <v/>
      </c>
      <c r="C115" s="36" t="s">
        <v>148</v>
      </c>
      <c r="D115" s="41"/>
      <c r="E115" s="36"/>
      <c r="F115" s="36" t="str">
        <f>IF(ISBLANK(E115),"",IFERROR(VLOOKUP(E115,'CADASTRO DE CLIENTES'!$C$6:$E$500,3,FALSE),""))</f>
        <v/>
      </c>
      <c r="G115" s="36"/>
      <c r="H115" s="36"/>
      <c r="I115" s="49" t="str">
        <f>IF(ISBLANK(G115),"",IFERROR(VLOOKUP(G115,'CADASTRO DE MATERIAL'!$C$6:$J$500,8,FALSE),""))</f>
        <v/>
      </c>
      <c r="J115" s="54" t="str">
        <f t="shared" si="5"/>
        <v/>
      </c>
      <c r="K115" s="36"/>
      <c r="L115" s="49">
        <f t="shared" si="6"/>
        <v>0</v>
      </c>
      <c r="M115" s="54">
        <f t="shared" si="7"/>
        <v>0</v>
      </c>
      <c r="N115" s="66"/>
      <c r="O115" s="54">
        <f t="shared" si="8"/>
        <v>0</v>
      </c>
      <c r="P115" s="54" t="str">
        <f t="shared" si="9"/>
        <v/>
      </c>
    </row>
    <row r="116" spans="2:16" ht="16.8" hidden="1" customHeight="1" x14ac:dyDescent="0.4">
      <c r="B116" s="30" t="str">
        <f>IF(AND(ISBLANK(D116), ISBLANK(E116), ISBLANK(G116)), "", IF(AND(E116&lt;&gt;"", E116=E115, D116&lt;&gt;"", D116=D115), B115, "PED-" &amp; TEXT(IFERROR(VALUE(RIGHT(LOOKUP("PED-9999",$B$5:B115),4)),1000)+1, "0000")))</f>
        <v/>
      </c>
      <c r="C116" s="30" t="s">
        <v>149</v>
      </c>
      <c r="D116" s="42"/>
      <c r="E116" s="30"/>
      <c r="F116" s="30" t="str">
        <f>IF(ISBLANK(E116),"",IFERROR(VLOOKUP(E116,'CADASTRO DE CLIENTES'!$C$6:$E$500,3,FALSE),""))</f>
        <v/>
      </c>
      <c r="G116" s="30"/>
      <c r="H116" s="30"/>
      <c r="I116" s="51" t="str">
        <f>IF(ISBLANK(G116),"",IFERROR(VLOOKUP(G116,'CADASTRO DE MATERIAL'!$C$6:$J$500,8,FALSE),""))</f>
        <v/>
      </c>
      <c r="J116" s="59" t="str">
        <f t="shared" si="5"/>
        <v/>
      </c>
      <c r="K116" s="30"/>
      <c r="L116" s="51">
        <f t="shared" si="6"/>
        <v>0</v>
      </c>
      <c r="M116" s="59">
        <f t="shared" si="7"/>
        <v>0</v>
      </c>
      <c r="N116" s="65"/>
      <c r="O116" s="59">
        <f t="shared" si="8"/>
        <v>0</v>
      </c>
      <c r="P116" s="59" t="str">
        <f t="shared" si="9"/>
        <v/>
      </c>
    </row>
    <row r="117" spans="2:16" ht="16.8" hidden="1" customHeight="1" x14ac:dyDescent="0.4">
      <c r="B117" s="36" t="str">
        <f>IF(AND(ISBLANK(D117), ISBLANK(E117), ISBLANK(G117)), "", IF(AND(E117&lt;&gt;"", E117=E116, D117&lt;&gt;"", D117=D116), B116, "PED-" &amp; TEXT(IFERROR(VALUE(RIGHT(LOOKUP("PED-9999",$B$5:B116),4)),1000)+1, "0000")))</f>
        <v/>
      </c>
      <c r="C117" s="36" t="s">
        <v>150</v>
      </c>
      <c r="D117" s="41"/>
      <c r="E117" s="36"/>
      <c r="F117" s="36" t="str">
        <f>IF(ISBLANK(E117),"",IFERROR(VLOOKUP(E117,'CADASTRO DE CLIENTES'!$C$6:$E$500,3,FALSE),""))</f>
        <v/>
      </c>
      <c r="G117" s="36"/>
      <c r="H117" s="36"/>
      <c r="I117" s="49" t="str">
        <f>IF(ISBLANK(G117),"",IFERROR(VLOOKUP(G117,'CADASTRO DE MATERIAL'!$C$6:$J$500,8,FALSE),""))</f>
        <v/>
      </c>
      <c r="J117" s="54" t="str">
        <f t="shared" si="5"/>
        <v/>
      </c>
      <c r="K117" s="36"/>
      <c r="L117" s="49">
        <f t="shared" si="6"/>
        <v>0</v>
      </c>
      <c r="M117" s="54">
        <f t="shared" si="7"/>
        <v>0</v>
      </c>
      <c r="N117" s="66"/>
      <c r="O117" s="54">
        <f t="shared" si="8"/>
        <v>0</v>
      </c>
      <c r="P117" s="54" t="str">
        <f t="shared" si="9"/>
        <v/>
      </c>
    </row>
    <row r="118" spans="2:16" ht="16.8" hidden="1" customHeight="1" x14ac:dyDescent="0.4">
      <c r="B118" s="30" t="str">
        <f>IF(AND(ISBLANK(D118), ISBLANK(E118), ISBLANK(G118)), "", IF(AND(E118&lt;&gt;"", E118=E117, D118&lt;&gt;"", D118=D117), B117, "PED-" &amp; TEXT(IFERROR(VALUE(RIGHT(LOOKUP("PED-9999",$B$5:B117),4)),1000)+1, "0000")))</f>
        <v/>
      </c>
      <c r="C118" s="30" t="s">
        <v>151</v>
      </c>
      <c r="D118" s="42"/>
      <c r="E118" s="30"/>
      <c r="F118" s="30" t="str">
        <f>IF(ISBLANK(E118),"",IFERROR(VLOOKUP(E118,'CADASTRO DE CLIENTES'!$C$6:$E$500,3,FALSE),""))</f>
        <v/>
      </c>
      <c r="G118" s="30"/>
      <c r="H118" s="30"/>
      <c r="I118" s="51" t="str">
        <f>IF(ISBLANK(G118),"",IFERROR(VLOOKUP(G118,'CADASTRO DE MATERIAL'!$C$6:$J$500,8,FALSE),""))</f>
        <v/>
      </c>
      <c r="J118" s="59" t="str">
        <f t="shared" si="5"/>
        <v/>
      </c>
      <c r="K118" s="30"/>
      <c r="L118" s="51">
        <f t="shared" si="6"/>
        <v>0</v>
      </c>
      <c r="M118" s="59">
        <f t="shared" si="7"/>
        <v>0</v>
      </c>
      <c r="N118" s="65"/>
      <c r="O118" s="59">
        <f t="shared" si="8"/>
        <v>0</v>
      </c>
      <c r="P118" s="59" t="str">
        <f t="shared" si="9"/>
        <v/>
      </c>
    </row>
    <row r="119" spans="2:16" ht="16.8" hidden="1" customHeight="1" x14ac:dyDescent="0.4">
      <c r="B119" s="36" t="str">
        <f>IF(AND(ISBLANK(D119), ISBLANK(E119), ISBLANK(G119)), "", IF(AND(E119&lt;&gt;"", E119=E118, D119&lt;&gt;"", D119=D118), B118, "PED-" &amp; TEXT(IFERROR(VALUE(RIGHT(LOOKUP("PED-9999",$B$5:B118),4)),1000)+1, "0000")))</f>
        <v/>
      </c>
      <c r="C119" s="36" t="s">
        <v>152</v>
      </c>
      <c r="D119" s="41"/>
      <c r="E119" s="36"/>
      <c r="F119" s="36" t="str">
        <f>IF(ISBLANK(E119),"",IFERROR(VLOOKUP(E119,'CADASTRO DE CLIENTES'!$C$6:$E$500,3,FALSE),""))</f>
        <v/>
      </c>
      <c r="G119" s="36"/>
      <c r="H119" s="36"/>
      <c r="I119" s="49" t="str">
        <f>IF(ISBLANK(G119),"",IFERROR(VLOOKUP(G119,'CADASTRO DE MATERIAL'!$C$6:$J$500,8,FALSE),""))</f>
        <v/>
      </c>
      <c r="J119" s="54" t="str">
        <f t="shared" si="5"/>
        <v/>
      </c>
      <c r="K119" s="36"/>
      <c r="L119" s="49">
        <f t="shared" si="6"/>
        <v>0</v>
      </c>
      <c r="M119" s="54">
        <f t="shared" si="7"/>
        <v>0</v>
      </c>
      <c r="N119" s="66"/>
      <c r="O119" s="54">
        <f t="shared" si="8"/>
        <v>0</v>
      </c>
      <c r="P119" s="54" t="str">
        <f t="shared" si="9"/>
        <v/>
      </c>
    </row>
    <row r="120" spans="2:16" ht="16.8" hidden="1" customHeight="1" x14ac:dyDescent="0.4">
      <c r="B120" s="30" t="str">
        <f>IF(AND(ISBLANK(D120), ISBLANK(E120), ISBLANK(G120)), "", IF(AND(E120&lt;&gt;"", E120=E119, D120&lt;&gt;"", D120=D119), B119, "PED-" &amp; TEXT(IFERROR(VALUE(RIGHT(LOOKUP("PED-9999",$B$5:B119),4)),1000)+1, "0000")))</f>
        <v/>
      </c>
      <c r="C120" s="30" t="s">
        <v>153</v>
      </c>
      <c r="D120" s="42"/>
      <c r="E120" s="30"/>
      <c r="F120" s="30" t="str">
        <f>IF(ISBLANK(E120),"",IFERROR(VLOOKUP(E120,'CADASTRO DE CLIENTES'!$C$6:$E$500,3,FALSE),""))</f>
        <v/>
      </c>
      <c r="G120" s="30"/>
      <c r="H120" s="30"/>
      <c r="I120" s="51" t="str">
        <f>IF(ISBLANK(G120),"",IFERROR(VLOOKUP(G120,'CADASTRO DE MATERIAL'!$C$6:$J$500,8,FALSE),""))</f>
        <v/>
      </c>
      <c r="J120" s="59" t="str">
        <f t="shared" si="5"/>
        <v/>
      </c>
      <c r="K120" s="30"/>
      <c r="L120" s="51">
        <f t="shared" si="6"/>
        <v>0</v>
      </c>
      <c r="M120" s="59">
        <f t="shared" si="7"/>
        <v>0</v>
      </c>
      <c r="N120" s="65"/>
      <c r="O120" s="59">
        <f t="shared" si="8"/>
        <v>0</v>
      </c>
      <c r="P120" s="59" t="str">
        <f t="shared" si="9"/>
        <v/>
      </c>
    </row>
    <row r="121" spans="2:16" ht="16.8" hidden="1" customHeight="1" x14ac:dyDescent="0.4">
      <c r="B121" s="36" t="str">
        <f>IF(AND(ISBLANK(D121), ISBLANK(E121), ISBLANK(G121)), "", IF(AND(E121&lt;&gt;"", E121=E120, D121&lt;&gt;"", D121=D120), B120, "PED-" &amp; TEXT(IFERROR(VALUE(RIGHT(LOOKUP("PED-9999",$B$5:B120),4)),1000)+1, "0000")))</f>
        <v/>
      </c>
      <c r="C121" s="36" t="s">
        <v>154</v>
      </c>
      <c r="D121" s="41"/>
      <c r="E121" s="36"/>
      <c r="F121" s="36" t="str">
        <f>IF(ISBLANK(E121),"",IFERROR(VLOOKUP(E121,'CADASTRO DE CLIENTES'!$C$6:$E$500,3,FALSE),""))</f>
        <v/>
      </c>
      <c r="G121" s="36"/>
      <c r="H121" s="36"/>
      <c r="I121" s="49" t="str">
        <f>IF(ISBLANK(G121),"",IFERROR(VLOOKUP(G121,'CADASTRO DE MATERIAL'!$C$6:$J$500,8,FALSE),""))</f>
        <v/>
      </c>
      <c r="J121" s="54" t="str">
        <f t="shared" si="5"/>
        <v/>
      </c>
      <c r="K121" s="36"/>
      <c r="L121" s="49">
        <f t="shared" si="6"/>
        <v>0</v>
      </c>
      <c r="M121" s="54">
        <f t="shared" si="7"/>
        <v>0</v>
      </c>
      <c r="N121" s="66"/>
      <c r="O121" s="54">
        <f t="shared" si="8"/>
        <v>0</v>
      </c>
      <c r="P121" s="54" t="str">
        <f t="shared" si="9"/>
        <v/>
      </c>
    </row>
    <row r="122" spans="2:16" ht="16.8" hidden="1" customHeight="1" x14ac:dyDescent="0.4">
      <c r="B122" s="30" t="str">
        <f>IF(AND(ISBLANK(D122), ISBLANK(E122), ISBLANK(G122)), "", IF(AND(E122&lt;&gt;"", E122=E121, D122&lt;&gt;"", D122=D121), B121, "PED-" &amp; TEXT(IFERROR(VALUE(RIGHT(LOOKUP("PED-9999",$B$5:B121),4)),1000)+1, "0000")))</f>
        <v/>
      </c>
      <c r="C122" s="30" t="s">
        <v>155</v>
      </c>
      <c r="D122" s="42"/>
      <c r="E122" s="30"/>
      <c r="F122" s="30" t="str">
        <f>IF(ISBLANK(E122),"",IFERROR(VLOOKUP(E122,'CADASTRO DE CLIENTES'!$C$6:$E$500,3,FALSE),""))</f>
        <v/>
      </c>
      <c r="G122" s="30"/>
      <c r="H122" s="30"/>
      <c r="I122" s="51" t="str">
        <f>IF(ISBLANK(G122),"",IFERROR(VLOOKUP(G122,'CADASTRO DE MATERIAL'!$C$6:$J$500,8,FALSE),""))</f>
        <v/>
      </c>
      <c r="J122" s="59" t="str">
        <f t="shared" si="5"/>
        <v/>
      </c>
      <c r="K122" s="30"/>
      <c r="L122" s="51">
        <f t="shared" si="6"/>
        <v>0</v>
      </c>
      <c r="M122" s="59">
        <f t="shared" si="7"/>
        <v>0</v>
      </c>
      <c r="N122" s="65"/>
      <c r="O122" s="59">
        <f t="shared" si="8"/>
        <v>0</v>
      </c>
      <c r="P122" s="59" t="str">
        <f t="shared" si="9"/>
        <v/>
      </c>
    </row>
    <row r="123" spans="2:16" ht="16.8" hidden="1" customHeight="1" x14ac:dyDescent="0.4">
      <c r="B123" s="36" t="str">
        <f>IF(AND(ISBLANK(D123), ISBLANK(E123), ISBLANK(G123)), "", IF(AND(E123&lt;&gt;"", E123=E122, D123&lt;&gt;"", D123=D122), B122, "PED-" &amp; TEXT(IFERROR(VALUE(RIGHT(LOOKUP("PED-9999",$B$5:B122),4)),1000)+1, "0000")))</f>
        <v/>
      </c>
      <c r="C123" s="36" t="s">
        <v>156</v>
      </c>
      <c r="D123" s="41"/>
      <c r="E123" s="36"/>
      <c r="F123" s="36" t="str">
        <f>IF(ISBLANK(E123),"",IFERROR(VLOOKUP(E123,'CADASTRO DE CLIENTES'!$C$6:$E$500,3,FALSE),""))</f>
        <v/>
      </c>
      <c r="G123" s="36"/>
      <c r="H123" s="36"/>
      <c r="I123" s="49" t="str">
        <f>IF(ISBLANK(G123),"",IFERROR(VLOOKUP(G123,'CADASTRO DE MATERIAL'!$C$6:$J$500,8,FALSE),""))</f>
        <v/>
      </c>
      <c r="J123" s="54" t="str">
        <f t="shared" si="5"/>
        <v/>
      </c>
      <c r="K123" s="36"/>
      <c r="L123" s="49">
        <f t="shared" si="6"/>
        <v>0</v>
      </c>
      <c r="M123" s="54">
        <f t="shared" si="7"/>
        <v>0</v>
      </c>
      <c r="N123" s="66"/>
      <c r="O123" s="54">
        <f t="shared" si="8"/>
        <v>0</v>
      </c>
      <c r="P123" s="54" t="str">
        <f t="shared" si="9"/>
        <v/>
      </c>
    </row>
    <row r="124" spans="2:16" ht="16.8" hidden="1" customHeight="1" x14ac:dyDescent="0.4">
      <c r="B124" s="30" t="str">
        <f>IF(AND(ISBLANK(D124), ISBLANK(E124), ISBLANK(G124)), "", IF(AND(E124&lt;&gt;"", E124=E123, D124&lt;&gt;"", D124=D123), B123, "PED-" &amp; TEXT(IFERROR(VALUE(RIGHT(LOOKUP("PED-9999",$B$5:B123),4)),1000)+1, "0000")))</f>
        <v/>
      </c>
      <c r="C124" s="30" t="s">
        <v>157</v>
      </c>
      <c r="D124" s="42"/>
      <c r="E124" s="30"/>
      <c r="F124" s="30" t="str">
        <f>IF(ISBLANK(E124),"",IFERROR(VLOOKUP(E124,'CADASTRO DE CLIENTES'!$C$6:$E$500,3,FALSE),""))</f>
        <v/>
      </c>
      <c r="G124" s="30"/>
      <c r="H124" s="30"/>
      <c r="I124" s="51" t="str">
        <f>IF(ISBLANK(G124),"",IFERROR(VLOOKUP(G124,'CADASTRO DE MATERIAL'!$C$6:$J$500,8,FALSE),""))</f>
        <v/>
      </c>
      <c r="J124" s="59" t="str">
        <f t="shared" si="5"/>
        <v/>
      </c>
      <c r="K124" s="30"/>
      <c r="L124" s="51">
        <f t="shared" si="6"/>
        <v>0</v>
      </c>
      <c r="M124" s="59">
        <f t="shared" si="7"/>
        <v>0</v>
      </c>
      <c r="N124" s="65"/>
      <c r="O124" s="59">
        <f t="shared" si="8"/>
        <v>0</v>
      </c>
      <c r="P124" s="59" t="str">
        <f t="shared" si="9"/>
        <v/>
      </c>
    </row>
    <row r="125" spans="2:16" ht="16.8" hidden="1" customHeight="1" x14ac:dyDescent="0.4">
      <c r="B125" s="36" t="str">
        <f>IF(AND(ISBLANK(D125), ISBLANK(E125), ISBLANK(G125)), "", IF(AND(E125&lt;&gt;"", E125=E124, D125&lt;&gt;"", D125=D124), B124, "PED-" &amp; TEXT(IFERROR(VALUE(RIGHT(LOOKUP("PED-9999",$B$5:B124),4)),1000)+1, "0000")))</f>
        <v/>
      </c>
      <c r="C125" s="36" t="s">
        <v>158</v>
      </c>
      <c r="D125" s="41"/>
      <c r="E125" s="36"/>
      <c r="F125" s="36" t="str">
        <f>IF(ISBLANK(E125),"",IFERROR(VLOOKUP(E125,'CADASTRO DE CLIENTES'!$C$6:$E$500,3,FALSE),""))</f>
        <v/>
      </c>
      <c r="G125" s="36"/>
      <c r="H125" s="36"/>
      <c r="I125" s="49" t="str">
        <f>IF(ISBLANK(G125),"",IFERROR(VLOOKUP(G125,'CADASTRO DE MATERIAL'!$C$6:$J$500,8,FALSE),""))</f>
        <v/>
      </c>
      <c r="J125" s="54" t="str">
        <f t="shared" si="5"/>
        <v/>
      </c>
      <c r="K125" s="36"/>
      <c r="L125" s="49">
        <f t="shared" si="6"/>
        <v>0</v>
      </c>
      <c r="M125" s="54">
        <f t="shared" si="7"/>
        <v>0</v>
      </c>
      <c r="N125" s="66"/>
      <c r="O125" s="54">
        <f t="shared" si="8"/>
        <v>0</v>
      </c>
      <c r="P125" s="54" t="str">
        <f t="shared" si="9"/>
        <v/>
      </c>
    </row>
    <row r="126" spans="2:16" ht="16.8" hidden="1" customHeight="1" x14ac:dyDescent="0.4">
      <c r="B126" s="30" t="str">
        <f>IF(AND(ISBLANK(D126), ISBLANK(E126), ISBLANK(G126)), "", IF(AND(E126&lt;&gt;"", E126=E125, D126&lt;&gt;"", D126=D125), B125, "PED-" &amp; TEXT(IFERROR(VALUE(RIGHT(LOOKUP("PED-9999",$B$5:B125),4)),1000)+1, "0000")))</f>
        <v/>
      </c>
      <c r="C126" s="30" t="s">
        <v>159</v>
      </c>
      <c r="D126" s="42"/>
      <c r="E126" s="30"/>
      <c r="F126" s="30" t="str">
        <f>IF(ISBLANK(E126),"",IFERROR(VLOOKUP(E126,'CADASTRO DE CLIENTES'!$C$6:$E$500,3,FALSE),""))</f>
        <v/>
      </c>
      <c r="G126" s="30"/>
      <c r="H126" s="30"/>
      <c r="I126" s="51" t="str">
        <f>IF(ISBLANK(G126),"",IFERROR(VLOOKUP(G126,'CADASTRO DE MATERIAL'!$C$6:$J$500,8,FALSE),""))</f>
        <v/>
      </c>
      <c r="J126" s="59" t="str">
        <f t="shared" si="5"/>
        <v/>
      </c>
      <c r="K126" s="30"/>
      <c r="L126" s="51">
        <f t="shared" si="6"/>
        <v>0</v>
      </c>
      <c r="M126" s="59">
        <f t="shared" si="7"/>
        <v>0</v>
      </c>
      <c r="N126" s="65"/>
      <c r="O126" s="59">
        <f t="shared" si="8"/>
        <v>0</v>
      </c>
      <c r="P126" s="59" t="str">
        <f t="shared" si="9"/>
        <v/>
      </c>
    </row>
    <row r="127" spans="2:16" ht="16.8" hidden="1" customHeight="1" x14ac:dyDescent="0.4">
      <c r="B127" s="36" t="str">
        <f>IF(AND(ISBLANK(D127), ISBLANK(E127), ISBLANK(G127)), "", IF(AND(E127&lt;&gt;"", E127=E126, D127&lt;&gt;"", D127=D126), B126, "PED-" &amp; TEXT(IFERROR(VALUE(RIGHT(LOOKUP("PED-9999",$B$5:B126),4)),1000)+1, "0000")))</f>
        <v/>
      </c>
      <c r="C127" s="36" t="s">
        <v>160</v>
      </c>
      <c r="D127" s="41"/>
      <c r="E127" s="36"/>
      <c r="F127" s="36" t="str">
        <f>IF(ISBLANK(E127),"",IFERROR(VLOOKUP(E127,'CADASTRO DE CLIENTES'!$C$6:$E$500,3,FALSE),""))</f>
        <v/>
      </c>
      <c r="G127" s="36"/>
      <c r="H127" s="36"/>
      <c r="I127" s="49" t="str">
        <f>IF(ISBLANK(G127),"",IFERROR(VLOOKUP(G127,'CADASTRO DE MATERIAL'!$C$6:$J$500,8,FALSE),""))</f>
        <v/>
      </c>
      <c r="J127" s="54" t="str">
        <f t="shared" si="5"/>
        <v/>
      </c>
      <c r="K127" s="36"/>
      <c r="L127" s="49">
        <f t="shared" si="6"/>
        <v>0</v>
      </c>
      <c r="M127" s="54">
        <f t="shared" si="7"/>
        <v>0</v>
      </c>
      <c r="N127" s="66"/>
      <c r="O127" s="54">
        <f t="shared" si="8"/>
        <v>0</v>
      </c>
      <c r="P127" s="54" t="str">
        <f t="shared" si="9"/>
        <v/>
      </c>
    </row>
    <row r="128" spans="2:16" ht="16.8" hidden="1" customHeight="1" x14ac:dyDescent="0.4">
      <c r="B128" s="30" t="str">
        <f>IF(AND(ISBLANK(D128), ISBLANK(E128), ISBLANK(G128)), "", IF(AND(E128&lt;&gt;"", E128=E127, D128&lt;&gt;"", D128=D127), B127, "PED-" &amp; TEXT(IFERROR(VALUE(RIGHT(LOOKUP("PED-9999",$B$5:B127),4)),1000)+1, "0000")))</f>
        <v/>
      </c>
      <c r="C128" s="30" t="s">
        <v>161</v>
      </c>
      <c r="D128" s="42"/>
      <c r="E128" s="30"/>
      <c r="F128" s="30" t="str">
        <f>IF(ISBLANK(E128),"",IFERROR(VLOOKUP(E128,'CADASTRO DE CLIENTES'!$C$6:$E$500,3,FALSE),""))</f>
        <v/>
      </c>
      <c r="G128" s="30"/>
      <c r="H128" s="30"/>
      <c r="I128" s="51" t="str">
        <f>IF(ISBLANK(G128),"",IFERROR(VLOOKUP(G128,'CADASTRO DE MATERIAL'!$C$6:$J$500,8,FALSE),""))</f>
        <v/>
      </c>
      <c r="J128" s="59" t="str">
        <f t="shared" si="5"/>
        <v/>
      </c>
      <c r="K128" s="30"/>
      <c r="L128" s="51">
        <f t="shared" si="6"/>
        <v>0</v>
      </c>
      <c r="M128" s="59">
        <f t="shared" si="7"/>
        <v>0</v>
      </c>
      <c r="N128" s="65"/>
      <c r="O128" s="59">
        <f t="shared" si="8"/>
        <v>0</v>
      </c>
      <c r="P128" s="59" t="str">
        <f t="shared" si="9"/>
        <v/>
      </c>
    </row>
    <row r="129" spans="2:16" ht="16.8" hidden="1" customHeight="1" x14ac:dyDescent="0.4">
      <c r="B129" s="36" t="str">
        <f>IF(AND(ISBLANK(D129), ISBLANK(E129), ISBLANK(G129)), "", IF(AND(E129&lt;&gt;"", E129=E128, D129&lt;&gt;"", D129=D128), B128, "PED-" &amp; TEXT(IFERROR(VALUE(RIGHT(LOOKUP("PED-9999",$B$5:B128),4)),1000)+1, "0000")))</f>
        <v/>
      </c>
      <c r="C129" s="36" t="s">
        <v>162</v>
      </c>
      <c r="D129" s="41"/>
      <c r="E129" s="36"/>
      <c r="F129" s="36" t="str">
        <f>IF(ISBLANK(E129),"",IFERROR(VLOOKUP(E129,'CADASTRO DE CLIENTES'!$C$6:$E$500,3,FALSE),""))</f>
        <v/>
      </c>
      <c r="G129" s="36"/>
      <c r="H129" s="36"/>
      <c r="I129" s="49" t="str">
        <f>IF(ISBLANK(G129),"",IFERROR(VLOOKUP(G129,'CADASTRO DE MATERIAL'!$C$6:$J$500,8,FALSE),""))</f>
        <v/>
      </c>
      <c r="J129" s="54" t="str">
        <f t="shared" si="5"/>
        <v/>
      </c>
      <c r="K129" s="36"/>
      <c r="L129" s="49">
        <f t="shared" si="6"/>
        <v>0</v>
      </c>
      <c r="M129" s="54">
        <f t="shared" si="7"/>
        <v>0</v>
      </c>
      <c r="N129" s="66"/>
      <c r="O129" s="54">
        <f t="shared" si="8"/>
        <v>0</v>
      </c>
      <c r="P129" s="54" t="str">
        <f t="shared" si="9"/>
        <v/>
      </c>
    </row>
    <row r="130" spans="2:16" ht="16.8" hidden="1" customHeight="1" x14ac:dyDescent="0.4">
      <c r="B130" s="30" t="str">
        <f>IF(AND(ISBLANK(D130), ISBLANK(E130), ISBLANK(G130)), "", IF(AND(E130&lt;&gt;"", E130=E129, D130&lt;&gt;"", D130=D129), B129, "PED-" &amp; TEXT(IFERROR(VALUE(RIGHT(LOOKUP("PED-9999",$B$5:B129),4)),1000)+1, "0000")))</f>
        <v/>
      </c>
      <c r="C130" s="30" t="s">
        <v>163</v>
      </c>
      <c r="D130" s="42"/>
      <c r="E130" s="30"/>
      <c r="F130" s="30" t="str">
        <f>IF(ISBLANK(E130),"",IFERROR(VLOOKUP(E130,'CADASTRO DE CLIENTES'!$C$6:$E$500,3,FALSE),""))</f>
        <v/>
      </c>
      <c r="G130" s="30"/>
      <c r="H130" s="30"/>
      <c r="I130" s="51" t="str">
        <f>IF(ISBLANK(G130),"",IFERROR(VLOOKUP(G130,'CADASTRO DE MATERIAL'!$C$6:$J$500,8,FALSE),""))</f>
        <v/>
      </c>
      <c r="J130" s="59" t="str">
        <f t="shared" si="5"/>
        <v/>
      </c>
      <c r="K130" s="30"/>
      <c r="L130" s="51">
        <f t="shared" si="6"/>
        <v>0</v>
      </c>
      <c r="M130" s="59">
        <f t="shared" si="7"/>
        <v>0</v>
      </c>
      <c r="N130" s="65"/>
      <c r="O130" s="59">
        <f t="shared" si="8"/>
        <v>0</v>
      </c>
      <c r="P130" s="59" t="str">
        <f t="shared" si="9"/>
        <v/>
      </c>
    </row>
    <row r="131" spans="2:16" ht="16.8" hidden="1" customHeight="1" x14ac:dyDescent="0.4">
      <c r="B131" s="36" t="str">
        <f>IF(AND(ISBLANK(D131), ISBLANK(E131), ISBLANK(G131)), "", IF(AND(E131&lt;&gt;"", E131=E130, D131&lt;&gt;"", D131=D130), B130, "PED-" &amp; TEXT(IFERROR(VALUE(RIGHT(LOOKUP("PED-9999",$B$5:B130),4)),1000)+1, "0000")))</f>
        <v/>
      </c>
      <c r="C131" s="36" t="s">
        <v>164</v>
      </c>
      <c r="D131" s="41"/>
      <c r="E131" s="36"/>
      <c r="F131" s="36" t="str">
        <f>IF(ISBLANK(E131),"",IFERROR(VLOOKUP(E131,'CADASTRO DE CLIENTES'!$C$6:$E$500,3,FALSE),""))</f>
        <v/>
      </c>
      <c r="G131" s="36"/>
      <c r="H131" s="36"/>
      <c r="I131" s="49" t="str">
        <f>IF(ISBLANK(G131),"",IFERROR(VLOOKUP(G131,'CADASTRO DE MATERIAL'!$C$6:$J$500,8,FALSE),""))</f>
        <v/>
      </c>
      <c r="J131" s="54" t="str">
        <f t="shared" si="5"/>
        <v/>
      </c>
      <c r="K131" s="36"/>
      <c r="L131" s="49">
        <f t="shared" si="6"/>
        <v>0</v>
      </c>
      <c r="M131" s="54">
        <f t="shared" si="7"/>
        <v>0</v>
      </c>
      <c r="N131" s="66"/>
      <c r="O131" s="54">
        <f t="shared" si="8"/>
        <v>0</v>
      </c>
      <c r="P131" s="54" t="str">
        <f t="shared" si="9"/>
        <v/>
      </c>
    </row>
    <row r="132" spans="2:16" ht="16.8" hidden="1" customHeight="1" x14ac:dyDescent="0.4">
      <c r="B132" s="30" t="str">
        <f>IF(AND(ISBLANK(D132), ISBLANK(E132), ISBLANK(G132)), "", IF(AND(E132&lt;&gt;"", E132=E131, D132&lt;&gt;"", D132=D131), B131, "PED-" &amp; TEXT(IFERROR(VALUE(RIGHT(LOOKUP("PED-9999",$B$5:B131),4)),1000)+1, "0000")))</f>
        <v/>
      </c>
      <c r="C132" s="30" t="s">
        <v>165</v>
      </c>
      <c r="D132" s="42"/>
      <c r="E132" s="30"/>
      <c r="F132" s="30" t="str">
        <f>IF(ISBLANK(E132),"",IFERROR(VLOOKUP(E132,'CADASTRO DE CLIENTES'!$C$6:$E$500,3,FALSE),""))</f>
        <v/>
      </c>
      <c r="G132" s="30"/>
      <c r="H132" s="30"/>
      <c r="I132" s="51" t="str">
        <f>IF(ISBLANK(G132),"",IFERROR(VLOOKUP(G132,'CADASTRO DE MATERIAL'!$C$6:$J$500,8,FALSE),""))</f>
        <v/>
      </c>
      <c r="J132" s="59" t="str">
        <f t="shared" si="5"/>
        <v/>
      </c>
      <c r="K132" s="30"/>
      <c r="L132" s="51">
        <f t="shared" si="6"/>
        <v>0</v>
      </c>
      <c r="M132" s="59">
        <f t="shared" si="7"/>
        <v>0</v>
      </c>
      <c r="N132" s="65"/>
      <c r="O132" s="59">
        <f t="shared" si="8"/>
        <v>0</v>
      </c>
      <c r="P132" s="59" t="str">
        <f t="shared" si="9"/>
        <v/>
      </c>
    </row>
    <row r="133" spans="2:16" ht="16.8" hidden="1" customHeight="1" x14ac:dyDescent="0.4">
      <c r="B133" s="36" t="str">
        <f>IF(AND(ISBLANK(D133), ISBLANK(E133), ISBLANK(G133)), "", IF(AND(E133&lt;&gt;"", E133=E132, D133&lt;&gt;"", D133=D132), B132, "PED-" &amp; TEXT(IFERROR(VALUE(RIGHT(LOOKUP("PED-9999",$B$5:B132),4)),1000)+1, "0000")))</f>
        <v/>
      </c>
      <c r="C133" s="36" t="s">
        <v>166</v>
      </c>
      <c r="D133" s="41"/>
      <c r="E133" s="36"/>
      <c r="F133" s="36" t="str">
        <f>IF(ISBLANK(E133),"",IFERROR(VLOOKUP(E133,'CADASTRO DE CLIENTES'!$C$6:$E$500,3,FALSE),""))</f>
        <v/>
      </c>
      <c r="G133" s="36"/>
      <c r="H133" s="36"/>
      <c r="I133" s="49" t="str">
        <f>IF(ISBLANK(G133),"",IFERROR(VLOOKUP(G133,'CADASTRO DE MATERIAL'!$C$6:$J$500,8,FALSE),""))</f>
        <v/>
      </c>
      <c r="J133" s="54" t="str">
        <f t="shared" si="5"/>
        <v/>
      </c>
      <c r="K133" s="36"/>
      <c r="L133" s="49">
        <f t="shared" si="6"/>
        <v>0</v>
      </c>
      <c r="M133" s="54">
        <f t="shared" si="7"/>
        <v>0</v>
      </c>
      <c r="N133" s="66"/>
      <c r="O133" s="54">
        <f t="shared" si="8"/>
        <v>0</v>
      </c>
      <c r="P133" s="54" t="str">
        <f t="shared" si="9"/>
        <v/>
      </c>
    </row>
    <row r="134" spans="2:16" ht="16.8" hidden="1" customHeight="1" x14ac:dyDescent="0.4">
      <c r="B134" s="30" t="str">
        <f>IF(AND(ISBLANK(D134), ISBLANK(E134), ISBLANK(G134)), "", IF(AND(E134&lt;&gt;"", E134=E133, D134&lt;&gt;"", D134=D133), B133, "PED-" &amp; TEXT(IFERROR(VALUE(RIGHT(LOOKUP("PED-9999",$B$5:B133),4)),1000)+1, "0000")))</f>
        <v/>
      </c>
      <c r="C134" s="30" t="s">
        <v>167</v>
      </c>
      <c r="D134" s="42"/>
      <c r="E134" s="30"/>
      <c r="F134" s="30" t="str">
        <f>IF(ISBLANK(E134),"",IFERROR(VLOOKUP(E134,'CADASTRO DE CLIENTES'!$C$6:$E$500,3,FALSE),""))</f>
        <v/>
      </c>
      <c r="G134" s="30"/>
      <c r="H134" s="30"/>
      <c r="I134" s="51" t="str">
        <f>IF(ISBLANK(G134),"",IFERROR(VLOOKUP(G134,'CADASTRO DE MATERIAL'!$C$6:$J$500,8,FALSE),""))</f>
        <v/>
      </c>
      <c r="J134" s="59" t="str">
        <f t="shared" ref="J134:J197" si="10">IF(OR(ISBLANK(H134),ISBLANK(I134)), "", H134*I134)</f>
        <v/>
      </c>
      <c r="K134" s="30"/>
      <c r="L134" s="51">
        <f t="shared" ref="L134:L197" si="11">IF(ISBLANK(B134), "", IF(K134="À Vista", O134, 0))</f>
        <v>0</v>
      </c>
      <c r="M134" s="59">
        <f t="shared" ref="M134:M197" si="12">IF(ISBLANK(B134),"", O134 - IF(ISBLANK(L134), 0, L134))</f>
        <v>0</v>
      </c>
      <c r="N134" s="65"/>
      <c r="O134" s="59">
        <f t="shared" ref="O134:O197" si="13">IF(ISBLANK(B134),"", SUMIF($B$6:$B$500, B134, $J$6:$J$500))</f>
        <v>0</v>
      </c>
      <c r="P134" s="59" t="str">
        <f t="shared" ref="P134:P197" si="14">IF(OR(ISBLANK(M134),ISBLANK(N134),N134=0), "", M134/N134)</f>
        <v/>
      </c>
    </row>
    <row r="135" spans="2:16" ht="16.8" hidden="1" customHeight="1" x14ac:dyDescent="0.4">
      <c r="B135" s="36" t="str">
        <f>IF(AND(ISBLANK(D135), ISBLANK(E135), ISBLANK(G135)), "", IF(AND(E135&lt;&gt;"", E135=E134, D135&lt;&gt;"", D135=D134), B134, "PED-" &amp; TEXT(IFERROR(VALUE(RIGHT(LOOKUP("PED-9999",$B$5:B134),4)),1000)+1, "0000")))</f>
        <v/>
      </c>
      <c r="C135" s="36" t="s">
        <v>168</v>
      </c>
      <c r="D135" s="41"/>
      <c r="E135" s="36"/>
      <c r="F135" s="36" t="str">
        <f>IF(ISBLANK(E135),"",IFERROR(VLOOKUP(E135,'CADASTRO DE CLIENTES'!$C$6:$E$500,3,FALSE),""))</f>
        <v/>
      </c>
      <c r="G135" s="36"/>
      <c r="H135" s="36"/>
      <c r="I135" s="49" t="str">
        <f>IF(ISBLANK(G135),"",IFERROR(VLOOKUP(G135,'CADASTRO DE MATERIAL'!$C$6:$J$500,8,FALSE),""))</f>
        <v/>
      </c>
      <c r="J135" s="54" t="str">
        <f t="shared" si="10"/>
        <v/>
      </c>
      <c r="K135" s="36"/>
      <c r="L135" s="49">
        <f t="shared" si="11"/>
        <v>0</v>
      </c>
      <c r="M135" s="54">
        <f t="shared" si="12"/>
        <v>0</v>
      </c>
      <c r="N135" s="66"/>
      <c r="O135" s="54">
        <f t="shared" si="13"/>
        <v>0</v>
      </c>
      <c r="P135" s="54" t="str">
        <f t="shared" si="14"/>
        <v/>
      </c>
    </row>
    <row r="136" spans="2:16" ht="16.8" hidden="1" customHeight="1" x14ac:dyDescent="0.4">
      <c r="B136" s="30" t="str">
        <f>IF(AND(ISBLANK(D136), ISBLANK(E136), ISBLANK(G136)), "", IF(AND(E136&lt;&gt;"", E136=E135, D136&lt;&gt;"", D136=D135), B135, "PED-" &amp; TEXT(IFERROR(VALUE(RIGHT(LOOKUP("PED-9999",$B$5:B135),4)),1000)+1, "0000")))</f>
        <v/>
      </c>
      <c r="C136" s="30" t="s">
        <v>169</v>
      </c>
      <c r="D136" s="42"/>
      <c r="E136" s="30"/>
      <c r="F136" s="30" t="str">
        <f>IF(ISBLANK(E136),"",IFERROR(VLOOKUP(E136,'CADASTRO DE CLIENTES'!$C$6:$E$500,3,FALSE),""))</f>
        <v/>
      </c>
      <c r="G136" s="30"/>
      <c r="H136" s="30"/>
      <c r="I136" s="51" t="str">
        <f>IF(ISBLANK(G136),"",IFERROR(VLOOKUP(G136,'CADASTRO DE MATERIAL'!$C$6:$J$500,8,FALSE),""))</f>
        <v/>
      </c>
      <c r="J136" s="59" t="str">
        <f t="shared" si="10"/>
        <v/>
      </c>
      <c r="K136" s="30"/>
      <c r="L136" s="51">
        <f t="shared" si="11"/>
        <v>0</v>
      </c>
      <c r="M136" s="59">
        <f t="shared" si="12"/>
        <v>0</v>
      </c>
      <c r="N136" s="65"/>
      <c r="O136" s="59">
        <f t="shared" si="13"/>
        <v>0</v>
      </c>
      <c r="P136" s="59" t="str">
        <f t="shared" si="14"/>
        <v/>
      </c>
    </row>
    <row r="137" spans="2:16" ht="16.8" hidden="1" customHeight="1" x14ac:dyDescent="0.4">
      <c r="B137" s="36" t="str">
        <f>IF(AND(ISBLANK(D137), ISBLANK(E137), ISBLANK(G137)), "", IF(AND(E137&lt;&gt;"", E137=E136, D137&lt;&gt;"", D137=D136), B136, "PED-" &amp; TEXT(IFERROR(VALUE(RIGHT(LOOKUP("PED-9999",$B$5:B136),4)),1000)+1, "0000")))</f>
        <v/>
      </c>
      <c r="C137" s="36" t="s">
        <v>170</v>
      </c>
      <c r="D137" s="41"/>
      <c r="E137" s="36"/>
      <c r="F137" s="36" t="str">
        <f>IF(ISBLANK(E137),"",IFERROR(VLOOKUP(E137,'CADASTRO DE CLIENTES'!$C$6:$E$500,3,FALSE),""))</f>
        <v/>
      </c>
      <c r="G137" s="36"/>
      <c r="H137" s="36"/>
      <c r="I137" s="49" t="str">
        <f>IF(ISBLANK(G137),"",IFERROR(VLOOKUP(G137,'CADASTRO DE MATERIAL'!$C$6:$J$500,8,FALSE),""))</f>
        <v/>
      </c>
      <c r="J137" s="54" t="str">
        <f t="shared" si="10"/>
        <v/>
      </c>
      <c r="K137" s="36"/>
      <c r="L137" s="49">
        <f t="shared" si="11"/>
        <v>0</v>
      </c>
      <c r="M137" s="54">
        <f t="shared" si="12"/>
        <v>0</v>
      </c>
      <c r="N137" s="66"/>
      <c r="O137" s="54">
        <f t="shared" si="13"/>
        <v>0</v>
      </c>
      <c r="P137" s="54" t="str">
        <f t="shared" si="14"/>
        <v/>
      </c>
    </row>
    <row r="138" spans="2:16" ht="16.8" hidden="1" customHeight="1" x14ac:dyDescent="0.4">
      <c r="B138" s="30" t="str">
        <f>IF(AND(ISBLANK(D138), ISBLANK(E138), ISBLANK(G138)), "", IF(AND(E138&lt;&gt;"", E138=E137, D138&lt;&gt;"", D138=D137), B137, "PED-" &amp; TEXT(IFERROR(VALUE(RIGHT(LOOKUP("PED-9999",$B$5:B137),4)),1000)+1, "0000")))</f>
        <v/>
      </c>
      <c r="C138" s="30" t="s">
        <v>171</v>
      </c>
      <c r="D138" s="42"/>
      <c r="E138" s="30"/>
      <c r="F138" s="30" t="str">
        <f>IF(ISBLANK(E138),"",IFERROR(VLOOKUP(E138,'CADASTRO DE CLIENTES'!$C$6:$E$500,3,FALSE),""))</f>
        <v/>
      </c>
      <c r="G138" s="30"/>
      <c r="H138" s="30"/>
      <c r="I138" s="51" t="str">
        <f>IF(ISBLANK(G138),"",IFERROR(VLOOKUP(G138,'CADASTRO DE MATERIAL'!$C$6:$J$500,8,FALSE),""))</f>
        <v/>
      </c>
      <c r="J138" s="59" t="str">
        <f t="shared" si="10"/>
        <v/>
      </c>
      <c r="K138" s="30"/>
      <c r="L138" s="51">
        <f t="shared" si="11"/>
        <v>0</v>
      </c>
      <c r="M138" s="59">
        <f t="shared" si="12"/>
        <v>0</v>
      </c>
      <c r="N138" s="65"/>
      <c r="O138" s="59">
        <f t="shared" si="13"/>
        <v>0</v>
      </c>
      <c r="P138" s="59" t="str">
        <f t="shared" si="14"/>
        <v/>
      </c>
    </row>
    <row r="139" spans="2:16" ht="16.8" hidden="1" customHeight="1" x14ac:dyDescent="0.4">
      <c r="B139" s="36" t="str">
        <f>IF(AND(ISBLANK(D139), ISBLANK(E139), ISBLANK(G139)), "", IF(AND(E139&lt;&gt;"", E139=E138, D139&lt;&gt;"", D139=D138), B138, "PED-" &amp; TEXT(IFERROR(VALUE(RIGHT(LOOKUP("PED-9999",$B$5:B138),4)),1000)+1, "0000")))</f>
        <v/>
      </c>
      <c r="C139" s="36" t="s">
        <v>172</v>
      </c>
      <c r="D139" s="41"/>
      <c r="E139" s="36"/>
      <c r="F139" s="36" t="str">
        <f>IF(ISBLANK(E139),"",IFERROR(VLOOKUP(E139,'CADASTRO DE CLIENTES'!$C$6:$E$500,3,FALSE),""))</f>
        <v/>
      </c>
      <c r="G139" s="36"/>
      <c r="H139" s="36"/>
      <c r="I139" s="49" t="str">
        <f>IF(ISBLANK(G139),"",IFERROR(VLOOKUP(G139,'CADASTRO DE MATERIAL'!$C$6:$J$500,8,FALSE),""))</f>
        <v/>
      </c>
      <c r="J139" s="54" t="str">
        <f t="shared" si="10"/>
        <v/>
      </c>
      <c r="K139" s="36"/>
      <c r="L139" s="49">
        <f t="shared" si="11"/>
        <v>0</v>
      </c>
      <c r="M139" s="54">
        <f t="shared" si="12"/>
        <v>0</v>
      </c>
      <c r="N139" s="66"/>
      <c r="O139" s="54">
        <f t="shared" si="13"/>
        <v>0</v>
      </c>
      <c r="P139" s="54" t="str">
        <f t="shared" si="14"/>
        <v/>
      </c>
    </row>
    <row r="140" spans="2:16" ht="16.8" hidden="1" customHeight="1" x14ac:dyDescent="0.4">
      <c r="B140" s="30" t="str">
        <f>IF(AND(ISBLANK(D140), ISBLANK(E140), ISBLANK(G140)), "", IF(AND(E140&lt;&gt;"", E140=E139, D140&lt;&gt;"", D140=D139), B139, "PED-" &amp; TEXT(IFERROR(VALUE(RIGHT(LOOKUP("PED-9999",$B$5:B139),4)),1000)+1, "0000")))</f>
        <v/>
      </c>
      <c r="C140" s="30" t="s">
        <v>173</v>
      </c>
      <c r="D140" s="42"/>
      <c r="E140" s="30"/>
      <c r="F140" s="30" t="str">
        <f>IF(ISBLANK(E140),"",IFERROR(VLOOKUP(E140,'CADASTRO DE CLIENTES'!$C$6:$E$500,3,FALSE),""))</f>
        <v/>
      </c>
      <c r="G140" s="30"/>
      <c r="H140" s="30"/>
      <c r="I140" s="51" t="str">
        <f>IF(ISBLANK(G140),"",IFERROR(VLOOKUP(G140,'CADASTRO DE MATERIAL'!$C$6:$J$500,8,FALSE),""))</f>
        <v/>
      </c>
      <c r="J140" s="59" t="str">
        <f t="shared" si="10"/>
        <v/>
      </c>
      <c r="K140" s="30"/>
      <c r="L140" s="51">
        <f t="shared" si="11"/>
        <v>0</v>
      </c>
      <c r="M140" s="59">
        <f t="shared" si="12"/>
        <v>0</v>
      </c>
      <c r="N140" s="65"/>
      <c r="O140" s="59">
        <f t="shared" si="13"/>
        <v>0</v>
      </c>
      <c r="P140" s="59" t="str">
        <f t="shared" si="14"/>
        <v/>
      </c>
    </row>
    <row r="141" spans="2:16" ht="16.8" hidden="1" customHeight="1" x14ac:dyDescent="0.4">
      <c r="B141" s="36" t="str">
        <f>IF(AND(ISBLANK(D141), ISBLANK(E141), ISBLANK(G141)), "", IF(AND(E141&lt;&gt;"", E141=E140, D141&lt;&gt;"", D141=D140), B140, "PED-" &amp; TEXT(IFERROR(VALUE(RIGHT(LOOKUP("PED-9999",$B$5:B140),4)),1000)+1, "0000")))</f>
        <v/>
      </c>
      <c r="C141" s="36" t="s">
        <v>174</v>
      </c>
      <c r="D141" s="41"/>
      <c r="E141" s="36"/>
      <c r="F141" s="36" t="str">
        <f>IF(ISBLANK(E141),"",IFERROR(VLOOKUP(E141,'CADASTRO DE CLIENTES'!$C$6:$E$500,3,FALSE),""))</f>
        <v/>
      </c>
      <c r="G141" s="36"/>
      <c r="H141" s="36"/>
      <c r="I141" s="49" t="str">
        <f>IF(ISBLANK(G141),"",IFERROR(VLOOKUP(G141,'CADASTRO DE MATERIAL'!$C$6:$J$500,8,FALSE),""))</f>
        <v/>
      </c>
      <c r="J141" s="54" t="str">
        <f t="shared" si="10"/>
        <v/>
      </c>
      <c r="K141" s="36"/>
      <c r="L141" s="49">
        <f t="shared" si="11"/>
        <v>0</v>
      </c>
      <c r="M141" s="54">
        <f t="shared" si="12"/>
        <v>0</v>
      </c>
      <c r="N141" s="66"/>
      <c r="O141" s="54">
        <f t="shared" si="13"/>
        <v>0</v>
      </c>
      <c r="P141" s="54" t="str">
        <f t="shared" si="14"/>
        <v/>
      </c>
    </row>
    <row r="142" spans="2:16" ht="16.8" hidden="1" customHeight="1" x14ac:dyDescent="0.4">
      <c r="B142" s="30" t="str">
        <f>IF(AND(ISBLANK(D142), ISBLANK(E142), ISBLANK(G142)), "", IF(AND(E142&lt;&gt;"", E142=E141, D142&lt;&gt;"", D142=D141), B141, "PED-" &amp; TEXT(IFERROR(VALUE(RIGHT(LOOKUP("PED-9999",$B$5:B141),4)),1000)+1, "0000")))</f>
        <v/>
      </c>
      <c r="C142" s="30" t="s">
        <v>175</v>
      </c>
      <c r="D142" s="42"/>
      <c r="E142" s="30"/>
      <c r="F142" s="30" t="str">
        <f>IF(ISBLANK(E142),"",IFERROR(VLOOKUP(E142,'CADASTRO DE CLIENTES'!$C$6:$E$500,3,FALSE),""))</f>
        <v/>
      </c>
      <c r="G142" s="30"/>
      <c r="H142" s="30"/>
      <c r="I142" s="51" t="str">
        <f>IF(ISBLANK(G142),"",IFERROR(VLOOKUP(G142,'CADASTRO DE MATERIAL'!$C$6:$J$500,8,FALSE),""))</f>
        <v/>
      </c>
      <c r="J142" s="59" t="str">
        <f t="shared" si="10"/>
        <v/>
      </c>
      <c r="K142" s="30"/>
      <c r="L142" s="51">
        <f t="shared" si="11"/>
        <v>0</v>
      </c>
      <c r="M142" s="59">
        <f t="shared" si="12"/>
        <v>0</v>
      </c>
      <c r="N142" s="65"/>
      <c r="O142" s="59">
        <f t="shared" si="13"/>
        <v>0</v>
      </c>
      <c r="P142" s="59" t="str">
        <f t="shared" si="14"/>
        <v/>
      </c>
    </row>
    <row r="143" spans="2:16" ht="16.8" hidden="1" customHeight="1" x14ac:dyDescent="0.4">
      <c r="B143" s="36" t="str">
        <f>IF(AND(ISBLANK(D143), ISBLANK(E143), ISBLANK(G143)), "", IF(AND(E143&lt;&gt;"", E143=E142, D143&lt;&gt;"", D143=D142), B142, "PED-" &amp; TEXT(IFERROR(VALUE(RIGHT(LOOKUP("PED-9999",$B$5:B142),4)),1000)+1, "0000")))</f>
        <v/>
      </c>
      <c r="C143" s="36" t="s">
        <v>176</v>
      </c>
      <c r="D143" s="41"/>
      <c r="E143" s="36"/>
      <c r="F143" s="36" t="str">
        <f>IF(ISBLANK(E143),"",IFERROR(VLOOKUP(E143,'CADASTRO DE CLIENTES'!$C$6:$E$500,3,FALSE),""))</f>
        <v/>
      </c>
      <c r="G143" s="36"/>
      <c r="H143" s="36"/>
      <c r="I143" s="49" t="str">
        <f>IF(ISBLANK(G143),"",IFERROR(VLOOKUP(G143,'CADASTRO DE MATERIAL'!$C$6:$J$500,8,FALSE),""))</f>
        <v/>
      </c>
      <c r="J143" s="54" t="str">
        <f t="shared" si="10"/>
        <v/>
      </c>
      <c r="K143" s="36"/>
      <c r="L143" s="49">
        <f t="shared" si="11"/>
        <v>0</v>
      </c>
      <c r="M143" s="54">
        <f t="shared" si="12"/>
        <v>0</v>
      </c>
      <c r="N143" s="66"/>
      <c r="O143" s="54">
        <f t="shared" si="13"/>
        <v>0</v>
      </c>
      <c r="P143" s="54" t="str">
        <f t="shared" si="14"/>
        <v/>
      </c>
    </row>
    <row r="144" spans="2:16" ht="16.8" hidden="1" customHeight="1" x14ac:dyDescent="0.4">
      <c r="B144" s="30" t="str">
        <f>IF(AND(ISBLANK(D144), ISBLANK(E144), ISBLANK(G144)), "", IF(AND(E144&lt;&gt;"", E144=E143, D144&lt;&gt;"", D144=D143), B143, "PED-" &amp; TEXT(IFERROR(VALUE(RIGHT(LOOKUP("PED-9999",$B$5:B143),4)),1000)+1, "0000")))</f>
        <v/>
      </c>
      <c r="C144" s="30" t="s">
        <v>177</v>
      </c>
      <c r="D144" s="42"/>
      <c r="E144" s="30"/>
      <c r="F144" s="30" t="str">
        <f>IF(ISBLANK(E144),"",IFERROR(VLOOKUP(E144,'CADASTRO DE CLIENTES'!$C$6:$E$500,3,FALSE),""))</f>
        <v/>
      </c>
      <c r="G144" s="30"/>
      <c r="H144" s="30"/>
      <c r="I144" s="51" t="str">
        <f>IF(ISBLANK(G144),"",IFERROR(VLOOKUP(G144,'CADASTRO DE MATERIAL'!$C$6:$J$500,8,FALSE),""))</f>
        <v/>
      </c>
      <c r="J144" s="59" t="str">
        <f t="shared" si="10"/>
        <v/>
      </c>
      <c r="K144" s="30"/>
      <c r="L144" s="51">
        <f t="shared" si="11"/>
        <v>0</v>
      </c>
      <c r="M144" s="59">
        <f t="shared" si="12"/>
        <v>0</v>
      </c>
      <c r="N144" s="65"/>
      <c r="O144" s="59">
        <f t="shared" si="13"/>
        <v>0</v>
      </c>
      <c r="P144" s="59" t="str">
        <f t="shared" si="14"/>
        <v/>
      </c>
    </row>
    <row r="145" spans="2:16" ht="16.8" hidden="1" customHeight="1" x14ac:dyDescent="0.4">
      <c r="B145" s="36" t="str">
        <f>IF(AND(ISBLANK(D145), ISBLANK(E145), ISBLANK(G145)), "", IF(AND(E145&lt;&gt;"", E145=E144, D145&lt;&gt;"", D145=D144), B144, "PED-" &amp; TEXT(IFERROR(VALUE(RIGHT(LOOKUP("PED-9999",$B$5:B144),4)),1000)+1, "0000")))</f>
        <v/>
      </c>
      <c r="C145" s="36" t="s">
        <v>178</v>
      </c>
      <c r="D145" s="41"/>
      <c r="E145" s="36"/>
      <c r="F145" s="36" t="str">
        <f>IF(ISBLANK(E145),"",IFERROR(VLOOKUP(E145,'CADASTRO DE CLIENTES'!$C$6:$E$500,3,FALSE),""))</f>
        <v/>
      </c>
      <c r="G145" s="36"/>
      <c r="H145" s="36"/>
      <c r="I145" s="49" t="str">
        <f>IF(ISBLANK(G145),"",IFERROR(VLOOKUP(G145,'CADASTRO DE MATERIAL'!$C$6:$J$500,8,FALSE),""))</f>
        <v/>
      </c>
      <c r="J145" s="54" t="str">
        <f t="shared" si="10"/>
        <v/>
      </c>
      <c r="K145" s="36"/>
      <c r="L145" s="49">
        <f t="shared" si="11"/>
        <v>0</v>
      </c>
      <c r="M145" s="54">
        <f t="shared" si="12"/>
        <v>0</v>
      </c>
      <c r="N145" s="66"/>
      <c r="O145" s="54">
        <f t="shared" si="13"/>
        <v>0</v>
      </c>
      <c r="P145" s="54" t="str">
        <f t="shared" si="14"/>
        <v/>
      </c>
    </row>
    <row r="146" spans="2:16" ht="16.8" hidden="1" customHeight="1" x14ac:dyDescent="0.4">
      <c r="B146" s="30" t="str">
        <f>IF(AND(ISBLANK(D146), ISBLANK(E146), ISBLANK(G146)), "", IF(AND(E146&lt;&gt;"", E146=E145, D146&lt;&gt;"", D146=D145), B145, "PED-" &amp; TEXT(IFERROR(VALUE(RIGHT(LOOKUP("PED-9999",$B$5:B145),4)),1000)+1, "0000")))</f>
        <v/>
      </c>
      <c r="C146" s="30" t="s">
        <v>179</v>
      </c>
      <c r="D146" s="42"/>
      <c r="E146" s="30"/>
      <c r="F146" s="30" t="str">
        <f>IF(ISBLANK(E146),"",IFERROR(VLOOKUP(E146,'CADASTRO DE CLIENTES'!$C$6:$E$500,3,FALSE),""))</f>
        <v/>
      </c>
      <c r="G146" s="30"/>
      <c r="H146" s="30"/>
      <c r="I146" s="51" t="str">
        <f>IF(ISBLANK(G146),"",IFERROR(VLOOKUP(G146,'CADASTRO DE MATERIAL'!$C$6:$J$500,8,FALSE),""))</f>
        <v/>
      </c>
      <c r="J146" s="59" t="str">
        <f t="shared" si="10"/>
        <v/>
      </c>
      <c r="K146" s="30"/>
      <c r="L146" s="51">
        <f t="shared" si="11"/>
        <v>0</v>
      </c>
      <c r="M146" s="59">
        <f t="shared" si="12"/>
        <v>0</v>
      </c>
      <c r="N146" s="65"/>
      <c r="O146" s="59">
        <f t="shared" si="13"/>
        <v>0</v>
      </c>
      <c r="P146" s="59" t="str">
        <f t="shared" si="14"/>
        <v/>
      </c>
    </row>
    <row r="147" spans="2:16" ht="16.8" hidden="1" customHeight="1" x14ac:dyDescent="0.4">
      <c r="B147" s="36" t="str">
        <f>IF(AND(ISBLANK(D147), ISBLANK(E147), ISBLANK(G147)), "", IF(AND(E147&lt;&gt;"", E147=E146, D147&lt;&gt;"", D147=D146), B146, "PED-" &amp; TEXT(IFERROR(VALUE(RIGHT(LOOKUP("PED-9999",$B$5:B146),4)),1000)+1, "0000")))</f>
        <v/>
      </c>
      <c r="C147" s="36" t="s">
        <v>180</v>
      </c>
      <c r="D147" s="41"/>
      <c r="E147" s="36"/>
      <c r="F147" s="36" t="str">
        <f>IF(ISBLANK(E147),"",IFERROR(VLOOKUP(E147,'CADASTRO DE CLIENTES'!$C$6:$E$500,3,FALSE),""))</f>
        <v/>
      </c>
      <c r="G147" s="36"/>
      <c r="H147" s="36"/>
      <c r="I147" s="49" t="str">
        <f>IF(ISBLANK(G147),"",IFERROR(VLOOKUP(G147,'CADASTRO DE MATERIAL'!$C$6:$J$500,8,FALSE),""))</f>
        <v/>
      </c>
      <c r="J147" s="54" t="str">
        <f t="shared" si="10"/>
        <v/>
      </c>
      <c r="K147" s="36"/>
      <c r="L147" s="49">
        <f t="shared" si="11"/>
        <v>0</v>
      </c>
      <c r="M147" s="54">
        <f t="shared" si="12"/>
        <v>0</v>
      </c>
      <c r="N147" s="66"/>
      <c r="O147" s="54">
        <f t="shared" si="13"/>
        <v>0</v>
      </c>
      <c r="P147" s="54" t="str">
        <f t="shared" si="14"/>
        <v/>
      </c>
    </row>
    <row r="148" spans="2:16" ht="16.8" hidden="1" customHeight="1" x14ac:dyDescent="0.4">
      <c r="B148" s="30" t="str">
        <f>IF(AND(ISBLANK(D148), ISBLANK(E148), ISBLANK(G148)), "", IF(AND(E148&lt;&gt;"", E148=E147, D148&lt;&gt;"", D148=D147), B147, "PED-" &amp; TEXT(IFERROR(VALUE(RIGHT(LOOKUP("PED-9999",$B$5:B147),4)),1000)+1, "0000")))</f>
        <v/>
      </c>
      <c r="C148" s="30" t="s">
        <v>181</v>
      </c>
      <c r="D148" s="42"/>
      <c r="E148" s="30"/>
      <c r="F148" s="30" t="str">
        <f>IF(ISBLANK(E148),"",IFERROR(VLOOKUP(E148,'CADASTRO DE CLIENTES'!$C$6:$E$500,3,FALSE),""))</f>
        <v/>
      </c>
      <c r="G148" s="30"/>
      <c r="H148" s="30"/>
      <c r="I148" s="51" t="str">
        <f>IF(ISBLANK(G148),"",IFERROR(VLOOKUP(G148,'CADASTRO DE MATERIAL'!$C$6:$J$500,8,FALSE),""))</f>
        <v/>
      </c>
      <c r="J148" s="59" t="str">
        <f t="shared" si="10"/>
        <v/>
      </c>
      <c r="K148" s="30"/>
      <c r="L148" s="51">
        <f t="shared" si="11"/>
        <v>0</v>
      </c>
      <c r="M148" s="59">
        <f t="shared" si="12"/>
        <v>0</v>
      </c>
      <c r="N148" s="65"/>
      <c r="O148" s="59">
        <f t="shared" si="13"/>
        <v>0</v>
      </c>
      <c r="P148" s="59" t="str">
        <f t="shared" si="14"/>
        <v/>
      </c>
    </row>
    <row r="149" spans="2:16" ht="16.8" hidden="1" customHeight="1" x14ac:dyDescent="0.4">
      <c r="B149" s="36" t="str">
        <f>IF(AND(ISBLANK(D149), ISBLANK(E149), ISBLANK(G149)), "", IF(AND(E149&lt;&gt;"", E149=E148, D149&lt;&gt;"", D149=D148), B148, "PED-" &amp; TEXT(IFERROR(VALUE(RIGHT(LOOKUP("PED-9999",$B$5:B148),4)),1000)+1, "0000")))</f>
        <v/>
      </c>
      <c r="C149" s="36" t="s">
        <v>182</v>
      </c>
      <c r="D149" s="41"/>
      <c r="E149" s="36"/>
      <c r="F149" s="36" t="str">
        <f>IF(ISBLANK(E149),"",IFERROR(VLOOKUP(E149,'CADASTRO DE CLIENTES'!$C$6:$E$500,3,FALSE),""))</f>
        <v/>
      </c>
      <c r="G149" s="36"/>
      <c r="H149" s="36"/>
      <c r="I149" s="49" t="str">
        <f>IF(ISBLANK(G149),"",IFERROR(VLOOKUP(G149,'CADASTRO DE MATERIAL'!$C$6:$J$500,8,FALSE),""))</f>
        <v/>
      </c>
      <c r="J149" s="54" t="str">
        <f t="shared" si="10"/>
        <v/>
      </c>
      <c r="K149" s="36"/>
      <c r="L149" s="49">
        <f t="shared" si="11"/>
        <v>0</v>
      </c>
      <c r="M149" s="54">
        <f t="shared" si="12"/>
        <v>0</v>
      </c>
      <c r="N149" s="66"/>
      <c r="O149" s="54">
        <f t="shared" si="13"/>
        <v>0</v>
      </c>
      <c r="P149" s="54" t="str">
        <f t="shared" si="14"/>
        <v/>
      </c>
    </row>
    <row r="150" spans="2:16" ht="16.8" hidden="1" customHeight="1" x14ac:dyDescent="0.4">
      <c r="B150" s="30" t="str">
        <f>IF(AND(ISBLANK(D150), ISBLANK(E150), ISBLANK(G150)), "", IF(AND(E150&lt;&gt;"", E150=E149, D150&lt;&gt;"", D150=D149), B149, "PED-" &amp; TEXT(IFERROR(VALUE(RIGHT(LOOKUP("PED-9999",$B$5:B149),4)),1000)+1, "0000")))</f>
        <v/>
      </c>
      <c r="C150" s="30" t="s">
        <v>183</v>
      </c>
      <c r="D150" s="42"/>
      <c r="E150" s="30"/>
      <c r="F150" s="30" t="str">
        <f>IF(ISBLANK(E150),"",IFERROR(VLOOKUP(E150,'CADASTRO DE CLIENTES'!$C$6:$E$500,3,FALSE),""))</f>
        <v/>
      </c>
      <c r="G150" s="30"/>
      <c r="H150" s="30"/>
      <c r="I150" s="51" t="str">
        <f>IF(ISBLANK(G150),"",IFERROR(VLOOKUP(G150,'CADASTRO DE MATERIAL'!$C$6:$J$500,8,FALSE),""))</f>
        <v/>
      </c>
      <c r="J150" s="59" t="str">
        <f t="shared" si="10"/>
        <v/>
      </c>
      <c r="K150" s="30"/>
      <c r="L150" s="51">
        <f t="shared" si="11"/>
        <v>0</v>
      </c>
      <c r="M150" s="59">
        <f t="shared" si="12"/>
        <v>0</v>
      </c>
      <c r="N150" s="65"/>
      <c r="O150" s="59">
        <f t="shared" si="13"/>
        <v>0</v>
      </c>
      <c r="P150" s="59" t="str">
        <f t="shared" si="14"/>
        <v/>
      </c>
    </row>
    <row r="151" spans="2:16" ht="16.8" hidden="1" customHeight="1" x14ac:dyDescent="0.4">
      <c r="B151" s="36" t="str">
        <f>IF(AND(ISBLANK(D151), ISBLANK(E151), ISBLANK(G151)), "", IF(AND(E151&lt;&gt;"", E151=E150, D151&lt;&gt;"", D151=D150), B150, "PED-" &amp; TEXT(IFERROR(VALUE(RIGHT(LOOKUP("PED-9999",$B$5:B150),4)),1000)+1, "0000")))</f>
        <v/>
      </c>
      <c r="C151" s="36" t="s">
        <v>184</v>
      </c>
      <c r="D151" s="41"/>
      <c r="E151" s="36"/>
      <c r="F151" s="36" t="str">
        <f>IF(ISBLANK(E151),"",IFERROR(VLOOKUP(E151,'CADASTRO DE CLIENTES'!$C$6:$E$500,3,FALSE),""))</f>
        <v/>
      </c>
      <c r="G151" s="36"/>
      <c r="H151" s="36"/>
      <c r="I151" s="49" t="str">
        <f>IF(ISBLANK(G151),"",IFERROR(VLOOKUP(G151,'CADASTRO DE MATERIAL'!$C$6:$J$500,8,FALSE),""))</f>
        <v/>
      </c>
      <c r="J151" s="54" t="str">
        <f t="shared" si="10"/>
        <v/>
      </c>
      <c r="K151" s="36"/>
      <c r="L151" s="49">
        <f t="shared" si="11"/>
        <v>0</v>
      </c>
      <c r="M151" s="54">
        <f t="shared" si="12"/>
        <v>0</v>
      </c>
      <c r="N151" s="66"/>
      <c r="O151" s="54">
        <f t="shared" si="13"/>
        <v>0</v>
      </c>
      <c r="P151" s="54" t="str">
        <f t="shared" si="14"/>
        <v/>
      </c>
    </row>
    <row r="152" spans="2:16" ht="16.8" hidden="1" customHeight="1" x14ac:dyDescent="0.4">
      <c r="B152" s="30" t="str">
        <f>IF(AND(ISBLANK(D152), ISBLANK(E152), ISBLANK(G152)), "", IF(AND(E152&lt;&gt;"", E152=E151, D152&lt;&gt;"", D152=D151), B151, "PED-" &amp; TEXT(IFERROR(VALUE(RIGHT(LOOKUP("PED-9999",$B$5:B151),4)),1000)+1, "0000")))</f>
        <v/>
      </c>
      <c r="C152" s="30" t="s">
        <v>185</v>
      </c>
      <c r="D152" s="42"/>
      <c r="E152" s="30"/>
      <c r="F152" s="30" t="str">
        <f>IF(ISBLANK(E152),"",IFERROR(VLOOKUP(E152,'CADASTRO DE CLIENTES'!$C$6:$E$500,3,FALSE),""))</f>
        <v/>
      </c>
      <c r="G152" s="30"/>
      <c r="H152" s="30"/>
      <c r="I152" s="51" t="str">
        <f>IF(ISBLANK(G152),"",IFERROR(VLOOKUP(G152,'CADASTRO DE MATERIAL'!$C$6:$J$500,8,FALSE),""))</f>
        <v/>
      </c>
      <c r="J152" s="59" t="str">
        <f t="shared" si="10"/>
        <v/>
      </c>
      <c r="K152" s="30"/>
      <c r="L152" s="51">
        <f t="shared" si="11"/>
        <v>0</v>
      </c>
      <c r="M152" s="59">
        <f t="shared" si="12"/>
        <v>0</v>
      </c>
      <c r="N152" s="65"/>
      <c r="O152" s="59">
        <f t="shared" si="13"/>
        <v>0</v>
      </c>
      <c r="P152" s="59" t="str">
        <f t="shared" si="14"/>
        <v/>
      </c>
    </row>
    <row r="153" spans="2:16" ht="16.8" hidden="1" customHeight="1" x14ac:dyDescent="0.4">
      <c r="B153" s="36" t="str">
        <f>IF(AND(ISBLANK(D153), ISBLANK(E153), ISBLANK(G153)), "", IF(AND(E153&lt;&gt;"", E153=E152, D153&lt;&gt;"", D153=D152), B152, "PED-" &amp; TEXT(IFERROR(VALUE(RIGHT(LOOKUP("PED-9999",$B$5:B152),4)),1000)+1, "0000")))</f>
        <v/>
      </c>
      <c r="C153" s="36" t="s">
        <v>186</v>
      </c>
      <c r="D153" s="41"/>
      <c r="E153" s="36"/>
      <c r="F153" s="36" t="str">
        <f>IF(ISBLANK(E153),"",IFERROR(VLOOKUP(E153,'CADASTRO DE CLIENTES'!$C$6:$E$500,3,FALSE),""))</f>
        <v/>
      </c>
      <c r="G153" s="36"/>
      <c r="H153" s="36"/>
      <c r="I153" s="49" t="str">
        <f>IF(ISBLANK(G153),"",IFERROR(VLOOKUP(G153,'CADASTRO DE MATERIAL'!$C$6:$J$500,8,FALSE),""))</f>
        <v/>
      </c>
      <c r="J153" s="54" t="str">
        <f t="shared" si="10"/>
        <v/>
      </c>
      <c r="K153" s="36"/>
      <c r="L153" s="49">
        <f t="shared" si="11"/>
        <v>0</v>
      </c>
      <c r="M153" s="54">
        <f t="shared" si="12"/>
        <v>0</v>
      </c>
      <c r="N153" s="66"/>
      <c r="O153" s="54">
        <f t="shared" si="13"/>
        <v>0</v>
      </c>
      <c r="P153" s="54" t="str">
        <f t="shared" si="14"/>
        <v/>
      </c>
    </row>
    <row r="154" spans="2:16" ht="16.8" hidden="1" customHeight="1" x14ac:dyDescent="0.4">
      <c r="B154" s="30" t="str">
        <f>IF(AND(ISBLANK(D154), ISBLANK(E154), ISBLANK(G154)), "", IF(AND(E154&lt;&gt;"", E154=E153, D154&lt;&gt;"", D154=D153), B153, "PED-" &amp; TEXT(IFERROR(VALUE(RIGHT(LOOKUP("PED-9999",$B$5:B153),4)),1000)+1, "0000")))</f>
        <v/>
      </c>
      <c r="C154" s="30" t="s">
        <v>187</v>
      </c>
      <c r="D154" s="42"/>
      <c r="E154" s="30"/>
      <c r="F154" s="30" t="str">
        <f>IF(ISBLANK(E154),"",IFERROR(VLOOKUP(E154,'CADASTRO DE CLIENTES'!$C$6:$E$500,3,FALSE),""))</f>
        <v/>
      </c>
      <c r="G154" s="30"/>
      <c r="H154" s="30"/>
      <c r="I154" s="51" t="str">
        <f>IF(ISBLANK(G154),"",IFERROR(VLOOKUP(G154,'CADASTRO DE MATERIAL'!$C$6:$J$500,8,FALSE),""))</f>
        <v/>
      </c>
      <c r="J154" s="59" t="str">
        <f t="shared" si="10"/>
        <v/>
      </c>
      <c r="K154" s="30"/>
      <c r="L154" s="51">
        <f t="shared" si="11"/>
        <v>0</v>
      </c>
      <c r="M154" s="59">
        <f t="shared" si="12"/>
        <v>0</v>
      </c>
      <c r="N154" s="65"/>
      <c r="O154" s="59">
        <f t="shared" si="13"/>
        <v>0</v>
      </c>
      <c r="P154" s="59" t="str">
        <f t="shared" si="14"/>
        <v/>
      </c>
    </row>
    <row r="155" spans="2:16" ht="16.8" hidden="1" customHeight="1" x14ac:dyDescent="0.4">
      <c r="B155" s="36" t="str">
        <f>IF(AND(ISBLANK(D155), ISBLANK(E155), ISBLANK(G155)), "", IF(AND(E155&lt;&gt;"", E155=E154, D155&lt;&gt;"", D155=D154), B154, "PED-" &amp; TEXT(IFERROR(VALUE(RIGHT(LOOKUP("PED-9999",$B$5:B154),4)),1000)+1, "0000")))</f>
        <v/>
      </c>
      <c r="C155" s="36" t="s">
        <v>188</v>
      </c>
      <c r="D155" s="41"/>
      <c r="E155" s="36"/>
      <c r="F155" s="36" t="str">
        <f>IF(ISBLANK(E155),"",IFERROR(VLOOKUP(E155,'CADASTRO DE CLIENTES'!$C$6:$E$500,3,FALSE),""))</f>
        <v/>
      </c>
      <c r="G155" s="36"/>
      <c r="H155" s="36"/>
      <c r="I155" s="49" t="str">
        <f>IF(ISBLANK(G155),"",IFERROR(VLOOKUP(G155,'CADASTRO DE MATERIAL'!$C$6:$J$500,8,FALSE),""))</f>
        <v/>
      </c>
      <c r="J155" s="54" t="str">
        <f t="shared" si="10"/>
        <v/>
      </c>
      <c r="K155" s="36"/>
      <c r="L155" s="49">
        <f t="shared" si="11"/>
        <v>0</v>
      </c>
      <c r="M155" s="54">
        <f t="shared" si="12"/>
        <v>0</v>
      </c>
      <c r="N155" s="66"/>
      <c r="O155" s="54">
        <f t="shared" si="13"/>
        <v>0</v>
      </c>
      <c r="P155" s="54" t="str">
        <f t="shared" si="14"/>
        <v/>
      </c>
    </row>
    <row r="156" spans="2:16" ht="16.8" hidden="1" customHeight="1" x14ac:dyDescent="0.4">
      <c r="B156" s="30" t="str">
        <f>IF(AND(ISBLANK(D156), ISBLANK(E156), ISBLANK(G156)), "", IF(AND(E156&lt;&gt;"", E156=E155, D156&lt;&gt;"", D156=D155), B155, "PED-" &amp; TEXT(IFERROR(VALUE(RIGHT(LOOKUP("PED-9999",$B$5:B155),4)),1000)+1, "0000")))</f>
        <v/>
      </c>
      <c r="C156" s="30" t="s">
        <v>189</v>
      </c>
      <c r="D156" s="42"/>
      <c r="E156" s="30"/>
      <c r="F156" s="30" t="str">
        <f>IF(ISBLANK(E156),"",IFERROR(VLOOKUP(E156,'CADASTRO DE CLIENTES'!$C$6:$E$500,3,FALSE),""))</f>
        <v/>
      </c>
      <c r="G156" s="30"/>
      <c r="H156" s="30"/>
      <c r="I156" s="51" t="str">
        <f>IF(ISBLANK(G156),"",IFERROR(VLOOKUP(G156,'CADASTRO DE MATERIAL'!$C$6:$J$500,8,FALSE),""))</f>
        <v/>
      </c>
      <c r="J156" s="59" t="str">
        <f t="shared" si="10"/>
        <v/>
      </c>
      <c r="K156" s="30"/>
      <c r="L156" s="51">
        <f t="shared" si="11"/>
        <v>0</v>
      </c>
      <c r="M156" s="59">
        <f t="shared" si="12"/>
        <v>0</v>
      </c>
      <c r="N156" s="65"/>
      <c r="O156" s="59">
        <f t="shared" si="13"/>
        <v>0</v>
      </c>
      <c r="P156" s="59" t="str">
        <f t="shared" si="14"/>
        <v/>
      </c>
    </row>
    <row r="157" spans="2:16" ht="16.8" hidden="1" customHeight="1" x14ac:dyDescent="0.4">
      <c r="B157" s="36" t="str">
        <f>IF(AND(ISBLANK(D157), ISBLANK(E157), ISBLANK(G157)), "", IF(AND(E157&lt;&gt;"", E157=E156, D157&lt;&gt;"", D157=D156), B156, "PED-" &amp; TEXT(IFERROR(VALUE(RIGHT(LOOKUP("PED-9999",$B$5:B156),4)),1000)+1, "0000")))</f>
        <v/>
      </c>
      <c r="C157" s="36" t="s">
        <v>190</v>
      </c>
      <c r="D157" s="41"/>
      <c r="E157" s="36"/>
      <c r="F157" s="36" t="str">
        <f>IF(ISBLANK(E157),"",IFERROR(VLOOKUP(E157,'CADASTRO DE CLIENTES'!$C$6:$E$500,3,FALSE),""))</f>
        <v/>
      </c>
      <c r="G157" s="36"/>
      <c r="H157" s="36"/>
      <c r="I157" s="49" t="str">
        <f>IF(ISBLANK(G157),"",IFERROR(VLOOKUP(G157,'CADASTRO DE MATERIAL'!$C$6:$J$500,8,FALSE),""))</f>
        <v/>
      </c>
      <c r="J157" s="54" t="str">
        <f t="shared" si="10"/>
        <v/>
      </c>
      <c r="K157" s="36"/>
      <c r="L157" s="49">
        <f t="shared" si="11"/>
        <v>0</v>
      </c>
      <c r="M157" s="54">
        <f t="shared" si="12"/>
        <v>0</v>
      </c>
      <c r="N157" s="66"/>
      <c r="O157" s="54">
        <f t="shared" si="13"/>
        <v>0</v>
      </c>
      <c r="P157" s="54" t="str">
        <f t="shared" si="14"/>
        <v/>
      </c>
    </row>
    <row r="158" spans="2:16" ht="16.8" hidden="1" customHeight="1" x14ac:dyDescent="0.4">
      <c r="B158" s="30" t="str">
        <f>IF(AND(ISBLANK(D158), ISBLANK(E158), ISBLANK(G158)), "", IF(AND(E158&lt;&gt;"", E158=E157, D158&lt;&gt;"", D158=D157), B157, "PED-" &amp; TEXT(IFERROR(VALUE(RIGHT(LOOKUP("PED-9999",$B$5:B157),4)),1000)+1, "0000")))</f>
        <v/>
      </c>
      <c r="C158" s="30" t="s">
        <v>191</v>
      </c>
      <c r="D158" s="42"/>
      <c r="E158" s="30"/>
      <c r="F158" s="30" t="str">
        <f>IF(ISBLANK(E158),"",IFERROR(VLOOKUP(E158,'CADASTRO DE CLIENTES'!$C$6:$E$500,3,FALSE),""))</f>
        <v/>
      </c>
      <c r="G158" s="30"/>
      <c r="H158" s="30"/>
      <c r="I158" s="51" t="str">
        <f>IF(ISBLANK(G158),"",IFERROR(VLOOKUP(G158,'CADASTRO DE MATERIAL'!$C$6:$J$500,8,FALSE),""))</f>
        <v/>
      </c>
      <c r="J158" s="59" t="str">
        <f t="shared" si="10"/>
        <v/>
      </c>
      <c r="K158" s="30"/>
      <c r="L158" s="51">
        <f t="shared" si="11"/>
        <v>0</v>
      </c>
      <c r="M158" s="59">
        <f t="shared" si="12"/>
        <v>0</v>
      </c>
      <c r="N158" s="65"/>
      <c r="O158" s="59">
        <f t="shared" si="13"/>
        <v>0</v>
      </c>
      <c r="P158" s="59" t="str">
        <f t="shared" si="14"/>
        <v/>
      </c>
    </row>
    <row r="159" spans="2:16" ht="16.8" hidden="1" customHeight="1" x14ac:dyDescent="0.4">
      <c r="B159" s="36" t="str">
        <f>IF(AND(ISBLANK(D159), ISBLANK(E159), ISBLANK(G159)), "", IF(AND(E159&lt;&gt;"", E159=E158, D159&lt;&gt;"", D159=D158), B158, "PED-" &amp; TEXT(IFERROR(VALUE(RIGHT(LOOKUP("PED-9999",$B$5:B158),4)),1000)+1, "0000")))</f>
        <v/>
      </c>
      <c r="C159" s="36" t="s">
        <v>192</v>
      </c>
      <c r="D159" s="41"/>
      <c r="E159" s="36"/>
      <c r="F159" s="36" t="str">
        <f>IF(ISBLANK(E159),"",IFERROR(VLOOKUP(E159,'CADASTRO DE CLIENTES'!$C$6:$E$500,3,FALSE),""))</f>
        <v/>
      </c>
      <c r="G159" s="36"/>
      <c r="H159" s="36"/>
      <c r="I159" s="49" t="str">
        <f>IF(ISBLANK(G159),"",IFERROR(VLOOKUP(G159,'CADASTRO DE MATERIAL'!$C$6:$J$500,8,FALSE),""))</f>
        <v/>
      </c>
      <c r="J159" s="54" t="str">
        <f t="shared" si="10"/>
        <v/>
      </c>
      <c r="K159" s="36"/>
      <c r="L159" s="49">
        <f t="shared" si="11"/>
        <v>0</v>
      </c>
      <c r="M159" s="54">
        <f t="shared" si="12"/>
        <v>0</v>
      </c>
      <c r="N159" s="66"/>
      <c r="O159" s="54">
        <f t="shared" si="13"/>
        <v>0</v>
      </c>
      <c r="P159" s="54" t="str">
        <f t="shared" si="14"/>
        <v/>
      </c>
    </row>
    <row r="160" spans="2:16" ht="16.8" hidden="1" customHeight="1" x14ac:dyDescent="0.4">
      <c r="B160" s="30" t="str">
        <f>IF(AND(ISBLANK(D160), ISBLANK(E160), ISBLANK(G160)), "", IF(AND(E160&lt;&gt;"", E160=E159, D160&lt;&gt;"", D160=D159), B159, "PED-" &amp; TEXT(IFERROR(VALUE(RIGHT(LOOKUP("PED-9999",$B$5:B159),4)),1000)+1, "0000")))</f>
        <v/>
      </c>
      <c r="C160" s="30" t="s">
        <v>193</v>
      </c>
      <c r="D160" s="42"/>
      <c r="E160" s="30"/>
      <c r="F160" s="30" t="str">
        <f>IF(ISBLANK(E160),"",IFERROR(VLOOKUP(E160,'CADASTRO DE CLIENTES'!$C$6:$E$500,3,FALSE),""))</f>
        <v/>
      </c>
      <c r="G160" s="30"/>
      <c r="H160" s="30"/>
      <c r="I160" s="51" t="str">
        <f>IF(ISBLANK(G160),"",IFERROR(VLOOKUP(G160,'CADASTRO DE MATERIAL'!$C$6:$J$500,8,FALSE),""))</f>
        <v/>
      </c>
      <c r="J160" s="59" t="str">
        <f t="shared" si="10"/>
        <v/>
      </c>
      <c r="K160" s="30"/>
      <c r="L160" s="51">
        <f t="shared" si="11"/>
        <v>0</v>
      </c>
      <c r="M160" s="59">
        <f t="shared" si="12"/>
        <v>0</v>
      </c>
      <c r="N160" s="65"/>
      <c r="O160" s="59">
        <f t="shared" si="13"/>
        <v>0</v>
      </c>
      <c r="P160" s="59" t="str">
        <f t="shared" si="14"/>
        <v/>
      </c>
    </row>
    <row r="161" spans="2:16" ht="16.8" hidden="1" customHeight="1" x14ac:dyDescent="0.4">
      <c r="B161" s="36" t="str">
        <f>IF(AND(ISBLANK(D161), ISBLANK(E161), ISBLANK(G161)), "", IF(AND(E161&lt;&gt;"", E161=E160, D161&lt;&gt;"", D161=D160), B160, "PED-" &amp; TEXT(IFERROR(VALUE(RIGHT(LOOKUP("PED-9999",$B$5:B160),4)),1000)+1, "0000")))</f>
        <v/>
      </c>
      <c r="C161" s="36" t="s">
        <v>194</v>
      </c>
      <c r="D161" s="41"/>
      <c r="E161" s="36"/>
      <c r="F161" s="36" t="str">
        <f>IF(ISBLANK(E161),"",IFERROR(VLOOKUP(E161,'CADASTRO DE CLIENTES'!$C$6:$E$500,3,FALSE),""))</f>
        <v/>
      </c>
      <c r="G161" s="36"/>
      <c r="H161" s="36"/>
      <c r="I161" s="49" t="str">
        <f>IF(ISBLANK(G161),"",IFERROR(VLOOKUP(G161,'CADASTRO DE MATERIAL'!$C$6:$J$500,8,FALSE),""))</f>
        <v/>
      </c>
      <c r="J161" s="54" t="str">
        <f t="shared" si="10"/>
        <v/>
      </c>
      <c r="K161" s="36"/>
      <c r="L161" s="49">
        <f t="shared" si="11"/>
        <v>0</v>
      </c>
      <c r="M161" s="54">
        <f t="shared" si="12"/>
        <v>0</v>
      </c>
      <c r="N161" s="66"/>
      <c r="O161" s="54">
        <f t="shared" si="13"/>
        <v>0</v>
      </c>
      <c r="P161" s="54" t="str">
        <f t="shared" si="14"/>
        <v/>
      </c>
    </row>
    <row r="162" spans="2:16" ht="16.8" hidden="1" customHeight="1" x14ac:dyDescent="0.4">
      <c r="B162" s="30" t="str">
        <f>IF(AND(ISBLANK(D162), ISBLANK(E162), ISBLANK(G162)), "", IF(AND(E162&lt;&gt;"", E162=E161, D162&lt;&gt;"", D162=D161), B161, "PED-" &amp; TEXT(IFERROR(VALUE(RIGHT(LOOKUP("PED-9999",$B$5:B161),4)),1000)+1, "0000")))</f>
        <v/>
      </c>
      <c r="C162" s="30" t="s">
        <v>195</v>
      </c>
      <c r="D162" s="42"/>
      <c r="E162" s="30"/>
      <c r="F162" s="30" t="str">
        <f>IF(ISBLANK(E162),"",IFERROR(VLOOKUP(E162,'CADASTRO DE CLIENTES'!$C$6:$E$500,3,FALSE),""))</f>
        <v/>
      </c>
      <c r="G162" s="30"/>
      <c r="H162" s="30"/>
      <c r="I162" s="51" t="str">
        <f>IF(ISBLANK(G162),"",IFERROR(VLOOKUP(G162,'CADASTRO DE MATERIAL'!$C$6:$J$500,8,FALSE),""))</f>
        <v/>
      </c>
      <c r="J162" s="59" t="str">
        <f t="shared" si="10"/>
        <v/>
      </c>
      <c r="K162" s="30"/>
      <c r="L162" s="51">
        <f t="shared" si="11"/>
        <v>0</v>
      </c>
      <c r="M162" s="59">
        <f t="shared" si="12"/>
        <v>0</v>
      </c>
      <c r="N162" s="65"/>
      <c r="O162" s="59">
        <f t="shared" si="13"/>
        <v>0</v>
      </c>
      <c r="P162" s="59" t="str">
        <f t="shared" si="14"/>
        <v/>
      </c>
    </row>
    <row r="163" spans="2:16" ht="16.8" hidden="1" customHeight="1" x14ac:dyDescent="0.4">
      <c r="B163" s="36" t="str">
        <f>IF(AND(ISBLANK(D163), ISBLANK(E163), ISBLANK(G163)), "", IF(AND(E163&lt;&gt;"", E163=E162, D163&lt;&gt;"", D163=D162), B162, "PED-" &amp; TEXT(IFERROR(VALUE(RIGHT(LOOKUP("PED-9999",$B$5:B162),4)),1000)+1, "0000")))</f>
        <v/>
      </c>
      <c r="C163" s="36" t="s">
        <v>196</v>
      </c>
      <c r="D163" s="41"/>
      <c r="E163" s="36"/>
      <c r="F163" s="36" t="str">
        <f>IF(ISBLANK(E163),"",IFERROR(VLOOKUP(E163,'CADASTRO DE CLIENTES'!$C$6:$E$500,3,FALSE),""))</f>
        <v/>
      </c>
      <c r="G163" s="36"/>
      <c r="H163" s="36"/>
      <c r="I163" s="49" t="str">
        <f>IF(ISBLANK(G163),"",IFERROR(VLOOKUP(G163,'CADASTRO DE MATERIAL'!$C$6:$J$500,8,FALSE),""))</f>
        <v/>
      </c>
      <c r="J163" s="54" t="str">
        <f t="shared" si="10"/>
        <v/>
      </c>
      <c r="K163" s="36"/>
      <c r="L163" s="49">
        <f t="shared" si="11"/>
        <v>0</v>
      </c>
      <c r="M163" s="54">
        <f t="shared" si="12"/>
        <v>0</v>
      </c>
      <c r="N163" s="66"/>
      <c r="O163" s="54">
        <f t="shared" si="13"/>
        <v>0</v>
      </c>
      <c r="P163" s="54" t="str">
        <f t="shared" si="14"/>
        <v/>
      </c>
    </row>
    <row r="164" spans="2:16" ht="16.8" hidden="1" customHeight="1" x14ac:dyDescent="0.4">
      <c r="B164" s="30" t="str">
        <f>IF(AND(ISBLANK(D164), ISBLANK(E164), ISBLANK(G164)), "", IF(AND(E164&lt;&gt;"", E164=E163, D164&lt;&gt;"", D164=D163), B163, "PED-" &amp; TEXT(IFERROR(VALUE(RIGHT(LOOKUP("PED-9999",$B$5:B163),4)),1000)+1, "0000")))</f>
        <v/>
      </c>
      <c r="C164" s="30" t="s">
        <v>197</v>
      </c>
      <c r="D164" s="42"/>
      <c r="E164" s="30"/>
      <c r="F164" s="30" t="str">
        <f>IF(ISBLANK(E164),"",IFERROR(VLOOKUP(E164,'CADASTRO DE CLIENTES'!$C$6:$E$500,3,FALSE),""))</f>
        <v/>
      </c>
      <c r="G164" s="30"/>
      <c r="H164" s="30"/>
      <c r="I164" s="51" t="str">
        <f>IF(ISBLANK(G164),"",IFERROR(VLOOKUP(G164,'CADASTRO DE MATERIAL'!$C$6:$J$500,8,FALSE),""))</f>
        <v/>
      </c>
      <c r="J164" s="59" t="str">
        <f t="shared" si="10"/>
        <v/>
      </c>
      <c r="K164" s="30"/>
      <c r="L164" s="51">
        <f t="shared" si="11"/>
        <v>0</v>
      </c>
      <c r="M164" s="59">
        <f t="shared" si="12"/>
        <v>0</v>
      </c>
      <c r="N164" s="65"/>
      <c r="O164" s="59">
        <f t="shared" si="13"/>
        <v>0</v>
      </c>
      <c r="P164" s="59" t="str">
        <f t="shared" si="14"/>
        <v/>
      </c>
    </row>
    <row r="165" spans="2:16" ht="16.8" hidden="1" customHeight="1" x14ac:dyDescent="0.4">
      <c r="B165" s="36" t="str">
        <f>IF(AND(ISBLANK(D165), ISBLANK(E165), ISBLANK(G165)), "", IF(AND(E165&lt;&gt;"", E165=E164, D165&lt;&gt;"", D165=D164), B164, "PED-" &amp; TEXT(IFERROR(VALUE(RIGHT(LOOKUP("PED-9999",$B$5:B164),4)),1000)+1, "0000")))</f>
        <v/>
      </c>
      <c r="C165" s="36" t="s">
        <v>198</v>
      </c>
      <c r="D165" s="41"/>
      <c r="E165" s="36"/>
      <c r="F165" s="36" t="str">
        <f>IF(ISBLANK(E165),"",IFERROR(VLOOKUP(E165,'CADASTRO DE CLIENTES'!$C$6:$E$500,3,FALSE),""))</f>
        <v/>
      </c>
      <c r="G165" s="36"/>
      <c r="H165" s="36"/>
      <c r="I165" s="49" t="str">
        <f>IF(ISBLANK(G165),"",IFERROR(VLOOKUP(G165,'CADASTRO DE MATERIAL'!$C$6:$J$500,8,FALSE),""))</f>
        <v/>
      </c>
      <c r="J165" s="54" t="str">
        <f t="shared" si="10"/>
        <v/>
      </c>
      <c r="K165" s="36"/>
      <c r="L165" s="49">
        <f t="shared" si="11"/>
        <v>0</v>
      </c>
      <c r="M165" s="54">
        <f t="shared" si="12"/>
        <v>0</v>
      </c>
      <c r="N165" s="66"/>
      <c r="O165" s="54">
        <f t="shared" si="13"/>
        <v>0</v>
      </c>
      <c r="P165" s="54" t="str">
        <f t="shared" si="14"/>
        <v/>
      </c>
    </row>
    <row r="166" spans="2:16" ht="16.8" hidden="1" customHeight="1" x14ac:dyDescent="0.4">
      <c r="B166" s="30" t="str">
        <f>IF(AND(ISBLANK(D166), ISBLANK(E166), ISBLANK(G166)), "", IF(AND(E166&lt;&gt;"", E166=E165, D166&lt;&gt;"", D166=D165), B165, "PED-" &amp; TEXT(IFERROR(VALUE(RIGHT(LOOKUP("PED-9999",$B$5:B165),4)),1000)+1, "0000")))</f>
        <v/>
      </c>
      <c r="C166" s="30" t="s">
        <v>199</v>
      </c>
      <c r="D166" s="42"/>
      <c r="E166" s="30"/>
      <c r="F166" s="30" t="str">
        <f>IF(ISBLANK(E166),"",IFERROR(VLOOKUP(E166,'CADASTRO DE CLIENTES'!$C$6:$E$500,3,FALSE),""))</f>
        <v/>
      </c>
      <c r="G166" s="30"/>
      <c r="H166" s="30"/>
      <c r="I166" s="51" t="str">
        <f>IF(ISBLANK(G166),"",IFERROR(VLOOKUP(G166,'CADASTRO DE MATERIAL'!$C$6:$J$500,8,FALSE),""))</f>
        <v/>
      </c>
      <c r="J166" s="59" t="str">
        <f t="shared" si="10"/>
        <v/>
      </c>
      <c r="K166" s="30"/>
      <c r="L166" s="51">
        <f t="shared" si="11"/>
        <v>0</v>
      </c>
      <c r="M166" s="59">
        <f t="shared" si="12"/>
        <v>0</v>
      </c>
      <c r="N166" s="65"/>
      <c r="O166" s="59">
        <f t="shared" si="13"/>
        <v>0</v>
      </c>
      <c r="P166" s="59" t="str">
        <f t="shared" si="14"/>
        <v/>
      </c>
    </row>
    <row r="167" spans="2:16" ht="16.8" hidden="1" customHeight="1" x14ac:dyDescent="0.4">
      <c r="B167" s="36" t="str">
        <f>IF(AND(ISBLANK(D167), ISBLANK(E167), ISBLANK(G167)), "", IF(AND(E167&lt;&gt;"", E167=E166, D167&lt;&gt;"", D167=D166), B166, "PED-" &amp; TEXT(IFERROR(VALUE(RIGHT(LOOKUP("PED-9999",$B$5:B166),4)),1000)+1, "0000")))</f>
        <v/>
      </c>
      <c r="C167" s="36" t="s">
        <v>200</v>
      </c>
      <c r="D167" s="41"/>
      <c r="E167" s="36"/>
      <c r="F167" s="36" t="str">
        <f>IF(ISBLANK(E167),"",IFERROR(VLOOKUP(E167,'CADASTRO DE CLIENTES'!$C$6:$E$500,3,FALSE),""))</f>
        <v/>
      </c>
      <c r="G167" s="36"/>
      <c r="H167" s="36"/>
      <c r="I167" s="49" t="str">
        <f>IF(ISBLANK(G167),"",IFERROR(VLOOKUP(G167,'CADASTRO DE MATERIAL'!$C$6:$J$500,8,FALSE),""))</f>
        <v/>
      </c>
      <c r="J167" s="54" t="str">
        <f t="shared" si="10"/>
        <v/>
      </c>
      <c r="K167" s="36"/>
      <c r="L167" s="49">
        <f t="shared" si="11"/>
        <v>0</v>
      </c>
      <c r="M167" s="54">
        <f t="shared" si="12"/>
        <v>0</v>
      </c>
      <c r="N167" s="66"/>
      <c r="O167" s="54">
        <f t="shared" si="13"/>
        <v>0</v>
      </c>
      <c r="P167" s="54" t="str">
        <f t="shared" si="14"/>
        <v/>
      </c>
    </row>
    <row r="168" spans="2:16" ht="16.8" hidden="1" customHeight="1" x14ac:dyDescent="0.4">
      <c r="B168" s="30" t="str">
        <f>IF(AND(ISBLANK(D168), ISBLANK(E168), ISBLANK(G168)), "", IF(AND(E168&lt;&gt;"", E168=E167, D168&lt;&gt;"", D168=D167), B167, "PED-" &amp; TEXT(IFERROR(VALUE(RIGHT(LOOKUP("PED-9999",$B$5:B167),4)),1000)+1, "0000")))</f>
        <v/>
      </c>
      <c r="C168" s="30" t="s">
        <v>201</v>
      </c>
      <c r="D168" s="42"/>
      <c r="E168" s="30"/>
      <c r="F168" s="30" t="str">
        <f>IF(ISBLANK(E168),"",IFERROR(VLOOKUP(E168,'CADASTRO DE CLIENTES'!$C$6:$E$500,3,FALSE),""))</f>
        <v/>
      </c>
      <c r="G168" s="30"/>
      <c r="H168" s="30"/>
      <c r="I168" s="51" t="str">
        <f>IF(ISBLANK(G168),"",IFERROR(VLOOKUP(G168,'CADASTRO DE MATERIAL'!$C$6:$J$500,8,FALSE),""))</f>
        <v/>
      </c>
      <c r="J168" s="59" t="str">
        <f t="shared" si="10"/>
        <v/>
      </c>
      <c r="K168" s="30"/>
      <c r="L168" s="51">
        <f t="shared" si="11"/>
        <v>0</v>
      </c>
      <c r="M168" s="59">
        <f t="shared" si="12"/>
        <v>0</v>
      </c>
      <c r="N168" s="65"/>
      <c r="O168" s="59">
        <f t="shared" si="13"/>
        <v>0</v>
      </c>
      <c r="P168" s="59" t="str">
        <f t="shared" si="14"/>
        <v/>
      </c>
    </row>
    <row r="169" spans="2:16" ht="16.8" hidden="1" customHeight="1" x14ac:dyDescent="0.4">
      <c r="B169" s="36" t="str">
        <f>IF(AND(ISBLANK(D169), ISBLANK(E169), ISBLANK(G169)), "", IF(AND(E169&lt;&gt;"", E169=E168, D169&lt;&gt;"", D169=D168), B168, "PED-" &amp; TEXT(IFERROR(VALUE(RIGHT(LOOKUP("PED-9999",$B$5:B168),4)),1000)+1, "0000")))</f>
        <v/>
      </c>
      <c r="C169" s="36" t="s">
        <v>202</v>
      </c>
      <c r="D169" s="41"/>
      <c r="E169" s="36"/>
      <c r="F169" s="36" t="str">
        <f>IF(ISBLANK(E169),"",IFERROR(VLOOKUP(E169,'CADASTRO DE CLIENTES'!$C$6:$E$500,3,FALSE),""))</f>
        <v/>
      </c>
      <c r="G169" s="36"/>
      <c r="H169" s="36"/>
      <c r="I169" s="49" t="str">
        <f>IF(ISBLANK(G169),"",IFERROR(VLOOKUP(G169,'CADASTRO DE MATERIAL'!$C$6:$J$500,8,FALSE),""))</f>
        <v/>
      </c>
      <c r="J169" s="54" t="str">
        <f t="shared" si="10"/>
        <v/>
      </c>
      <c r="K169" s="36"/>
      <c r="L169" s="49">
        <f t="shared" si="11"/>
        <v>0</v>
      </c>
      <c r="M169" s="54">
        <f t="shared" si="12"/>
        <v>0</v>
      </c>
      <c r="N169" s="66"/>
      <c r="O169" s="54">
        <f t="shared" si="13"/>
        <v>0</v>
      </c>
      <c r="P169" s="54" t="str">
        <f t="shared" si="14"/>
        <v/>
      </c>
    </row>
    <row r="170" spans="2:16" ht="16.8" hidden="1" customHeight="1" x14ac:dyDescent="0.4">
      <c r="B170" s="30" t="str">
        <f>IF(AND(ISBLANK(D170), ISBLANK(E170), ISBLANK(G170)), "", IF(AND(E170&lt;&gt;"", E170=E169, D170&lt;&gt;"", D170=D169), B169, "PED-" &amp; TEXT(IFERROR(VALUE(RIGHT(LOOKUP("PED-9999",$B$5:B169),4)),1000)+1, "0000")))</f>
        <v/>
      </c>
      <c r="C170" s="30" t="s">
        <v>203</v>
      </c>
      <c r="D170" s="42"/>
      <c r="E170" s="30"/>
      <c r="F170" s="30" t="str">
        <f>IF(ISBLANK(E170),"",IFERROR(VLOOKUP(E170,'CADASTRO DE CLIENTES'!$C$6:$E$500,3,FALSE),""))</f>
        <v/>
      </c>
      <c r="G170" s="30"/>
      <c r="H170" s="30"/>
      <c r="I170" s="51" t="str">
        <f>IF(ISBLANK(G170),"",IFERROR(VLOOKUP(G170,'CADASTRO DE MATERIAL'!$C$6:$J$500,8,FALSE),""))</f>
        <v/>
      </c>
      <c r="J170" s="59" t="str">
        <f t="shared" si="10"/>
        <v/>
      </c>
      <c r="K170" s="30"/>
      <c r="L170" s="51">
        <f t="shared" si="11"/>
        <v>0</v>
      </c>
      <c r="M170" s="59">
        <f t="shared" si="12"/>
        <v>0</v>
      </c>
      <c r="N170" s="65"/>
      <c r="O170" s="59">
        <f t="shared" si="13"/>
        <v>0</v>
      </c>
      <c r="P170" s="59" t="str">
        <f t="shared" si="14"/>
        <v/>
      </c>
    </row>
    <row r="171" spans="2:16" ht="16.8" hidden="1" customHeight="1" x14ac:dyDescent="0.4">
      <c r="B171" s="36" t="str">
        <f>IF(AND(ISBLANK(D171), ISBLANK(E171), ISBLANK(G171)), "", IF(AND(E171&lt;&gt;"", E171=E170, D171&lt;&gt;"", D171=D170), B170, "PED-" &amp; TEXT(IFERROR(VALUE(RIGHT(LOOKUP("PED-9999",$B$5:B170),4)),1000)+1, "0000")))</f>
        <v/>
      </c>
      <c r="C171" s="36" t="s">
        <v>204</v>
      </c>
      <c r="D171" s="41"/>
      <c r="E171" s="36"/>
      <c r="F171" s="36" t="str">
        <f>IF(ISBLANK(E171),"",IFERROR(VLOOKUP(E171,'CADASTRO DE CLIENTES'!$C$6:$E$500,3,FALSE),""))</f>
        <v/>
      </c>
      <c r="G171" s="36"/>
      <c r="H171" s="36"/>
      <c r="I171" s="49" t="str">
        <f>IF(ISBLANK(G171),"",IFERROR(VLOOKUP(G171,'CADASTRO DE MATERIAL'!$C$6:$J$500,8,FALSE),""))</f>
        <v/>
      </c>
      <c r="J171" s="54" t="str">
        <f t="shared" si="10"/>
        <v/>
      </c>
      <c r="K171" s="36"/>
      <c r="L171" s="49">
        <f t="shared" si="11"/>
        <v>0</v>
      </c>
      <c r="M171" s="54">
        <f t="shared" si="12"/>
        <v>0</v>
      </c>
      <c r="N171" s="66"/>
      <c r="O171" s="54">
        <f t="shared" si="13"/>
        <v>0</v>
      </c>
      <c r="P171" s="54" t="str">
        <f t="shared" si="14"/>
        <v/>
      </c>
    </row>
    <row r="172" spans="2:16" ht="16.8" hidden="1" customHeight="1" x14ac:dyDescent="0.4">
      <c r="B172" s="30" t="str">
        <f>IF(AND(ISBLANK(D172), ISBLANK(E172), ISBLANK(G172)), "", IF(AND(E172&lt;&gt;"", E172=E171, D172&lt;&gt;"", D172=D171), B171, "PED-" &amp; TEXT(IFERROR(VALUE(RIGHT(LOOKUP("PED-9999",$B$5:B171),4)),1000)+1, "0000")))</f>
        <v/>
      </c>
      <c r="C172" s="30" t="s">
        <v>205</v>
      </c>
      <c r="D172" s="42"/>
      <c r="E172" s="30"/>
      <c r="F172" s="30" t="str">
        <f>IF(ISBLANK(E172),"",IFERROR(VLOOKUP(E172,'CADASTRO DE CLIENTES'!$C$6:$E$500,3,FALSE),""))</f>
        <v/>
      </c>
      <c r="G172" s="30"/>
      <c r="H172" s="30"/>
      <c r="I172" s="51" t="str">
        <f>IF(ISBLANK(G172),"",IFERROR(VLOOKUP(G172,'CADASTRO DE MATERIAL'!$C$6:$J$500,8,FALSE),""))</f>
        <v/>
      </c>
      <c r="J172" s="59" t="str">
        <f t="shared" si="10"/>
        <v/>
      </c>
      <c r="K172" s="30"/>
      <c r="L172" s="51">
        <f t="shared" si="11"/>
        <v>0</v>
      </c>
      <c r="M172" s="59">
        <f t="shared" si="12"/>
        <v>0</v>
      </c>
      <c r="N172" s="65"/>
      <c r="O172" s="59">
        <f t="shared" si="13"/>
        <v>0</v>
      </c>
      <c r="P172" s="59" t="str">
        <f t="shared" si="14"/>
        <v/>
      </c>
    </row>
    <row r="173" spans="2:16" ht="16.8" hidden="1" customHeight="1" x14ac:dyDescent="0.4">
      <c r="B173" s="36" t="str">
        <f>IF(AND(ISBLANK(D173), ISBLANK(E173), ISBLANK(G173)), "", IF(AND(E173&lt;&gt;"", E173=E172, D173&lt;&gt;"", D173=D172), B172, "PED-" &amp; TEXT(IFERROR(VALUE(RIGHT(LOOKUP("PED-9999",$B$5:B172),4)),1000)+1, "0000")))</f>
        <v/>
      </c>
      <c r="C173" s="36" t="s">
        <v>206</v>
      </c>
      <c r="D173" s="41"/>
      <c r="E173" s="36"/>
      <c r="F173" s="36" t="str">
        <f>IF(ISBLANK(E173),"",IFERROR(VLOOKUP(E173,'CADASTRO DE CLIENTES'!$C$6:$E$500,3,FALSE),""))</f>
        <v/>
      </c>
      <c r="G173" s="36"/>
      <c r="H173" s="36"/>
      <c r="I173" s="49" t="str">
        <f>IF(ISBLANK(G173),"",IFERROR(VLOOKUP(G173,'CADASTRO DE MATERIAL'!$C$6:$J$500,8,FALSE),""))</f>
        <v/>
      </c>
      <c r="J173" s="54" t="str">
        <f t="shared" si="10"/>
        <v/>
      </c>
      <c r="K173" s="36"/>
      <c r="L173" s="49">
        <f t="shared" si="11"/>
        <v>0</v>
      </c>
      <c r="M173" s="54">
        <f t="shared" si="12"/>
        <v>0</v>
      </c>
      <c r="N173" s="66"/>
      <c r="O173" s="54">
        <f t="shared" si="13"/>
        <v>0</v>
      </c>
      <c r="P173" s="54" t="str">
        <f t="shared" si="14"/>
        <v/>
      </c>
    </row>
    <row r="174" spans="2:16" ht="16.8" hidden="1" customHeight="1" x14ac:dyDescent="0.4">
      <c r="B174" s="30" t="str">
        <f>IF(AND(ISBLANK(D174), ISBLANK(E174), ISBLANK(G174)), "", IF(AND(E174&lt;&gt;"", E174=E173, D174&lt;&gt;"", D174=D173), B173, "PED-" &amp; TEXT(IFERROR(VALUE(RIGHT(LOOKUP("PED-9999",$B$5:B173),4)),1000)+1, "0000")))</f>
        <v/>
      </c>
      <c r="C174" s="30" t="s">
        <v>207</v>
      </c>
      <c r="D174" s="42"/>
      <c r="E174" s="30"/>
      <c r="F174" s="30" t="str">
        <f>IF(ISBLANK(E174),"",IFERROR(VLOOKUP(E174,'CADASTRO DE CLIENTES'!$C$6:$E$500,3,FALSE),""))</f>
        <v/>
      </c>
      <c r="G174" s="30"/>
      <c r="H174" s="30"/>
      <c r="I174" s="51" t="str">
        <f>IF(ISBLANK(G174),"",IFERROR(VLOOKUP(G174,'CADASTRO DE MATERIAL'!$C$6:$J$500,8,FALSE),""))</f>
        <v/>
      </c>
      <c r="J174" s="59" t="str">
        <f t="shared" si="10"/>
        <v/>
      </c>
      <c r="K174" s="30"/>
      <c r="L174" s="51">
        <f t="shared" si="11"/>
        <v>0</v>
      </c>
      <c r="M174" s="59">
        <f t="shared" si="12"/>
        <v>0</v>
      </c>
      <c r="N174" s="65"/>
      <c r="O174" s="59">
        <f t="shared" si="13"/>
        <v>0</v>
      </c>
      <c r="P174" s="59" t="str">
        <f t="shared" si="14"/>
        <v/>
      </c>
    </row>
    <row r="175" spans="2:16" ht="16.8" hidden="1" customHeight="1" x14ac:dyDescent="0.4">
      <c r="B175" s="36" t="str">
        <f>IF(AND(ISBLANK(D175), ISBLANK(E175), ISBLANK(G175)), "", IF(AND(E175&lt;&gt;"", E175=E174, D175&lt;&gt;"", D175=D174), B174, "PED-" &amp; TEXT(IFERROR(VALUE(RIGHT(LOOKUP("PED-9999",$B$5:B174),4)),1000)+1, "0000")))</f>
        <v/>
      </c>
      <c r="C175" s="36" t="s">
        <v>208</v>
      </c>
      <c r="D175" s="41"/>
      <c r="E175" s="36"/>
      <c r="F175" s="36" t="str">
        <f>IF(ISBLANK(E175),"",IFERROR(VLOOKUP(E175,'CADASTRO DE CLIENTES'!$C$6:$E$500,3,FALSE),""))</f>
        <v/>
      </c>
      <c r="G175" s="36"/>
      <c r="H175" s="36"/>
      <c r="I175" s="49" t="str">
        <f>IF(ISBLANK(G175),"",IFERROR(VLOOKUP(G175,'CADASTRO DE MATERIAL'!$C$6:$J$500,8,FALSE),""))</f>
        <v/>
      </c>
      <c r="J175" s="54" t="str">
        <f t="shared" si="10"/>
        <v/>
      </c>
      <c r="K175" s="36"/>
      <c r="L175" s="49">
        <f t="shared" si="11"/>
        <v>0</v>
      </c>
      <c r="M175" s="54">
        <f t="shared" si="12"/>
        <v>0</v>
      </c>
      <c r="N175" s="66"/>
      <c r="O175" s="54">
        <f t="shared" si="13"/>
        <v>0</v>
      </c>
      <c r="P175" s="54" t="str">
        <f t="shared" si="14"/>
        <v/>
      </c>
    </row>
    <row r="176" spans="2:16" ht="16.8" hidden="1" customHeight="1" x14ac:dyDescent="0.4">
      <c r="B176" s="30" t="str">
        <f>IF(AND(ISBLANK(D176), ISBLANK(E176), ISBLANK(G176)), "", IF(AND(E176&lt;&gt;"", E176=E175, D176&lt;&gt;"", D176=D175), B175, "PED-" &amp; TEXT(IFERROR(VALUE(RIGHT(LOOKUP("PED-9999",$B$5:B175),4)),1000)+1, "0000")))</f>
        <v/>
      </c>
      <c r="C176" s="30" t="s">
        <v>209</v>
      </c>
      <c r="D176" s="42"/>
      <c r="E176" s="30"/>
      <c r="F176" s="30" t="str">
        <f>IF(ISBLANK(E176),"",IFERROR(VLOOKUP(E176,'CADASTRO DE CLIENTES'!$C$6:$E$500,3,FALSE),""))</f>
        <v/>
      </c>
      <c r="G176" s="30"/>
      <c r="H176" s="30"/>
      <c r="I176" s="51" t="str">
        <f>IF(ISBLANK(G176),"",IFERROR(VLOOKUP(G176,'CADASTRO DE MATERIAL'!$C$6:$J$500,8,FALSE),""))</f>
        <v/>
      </c>
      <c r="J176" s="59" t="str">
        <f t="shared" si="10"/>
        <v/>
      </c>
      <c r="K176" s="30"/>
      <c r="L176" s="51">
        <f t="shared" si="11"/>
        <v>0</v>
      </c>
      <c r="M176" s="59">
        <f t="shared" si="12"/>
        <v>0</v>
      </c>
      <c r="N176" s="65"/>
      <c r="O176" s="59">
        <f t="shared" si="13"/>
        <v>0</v>
      </c>
      <c r="P176" s="59" t="str">
        <f t="shared" si="14"/>
        <v/>
      </c>
    </row>
    <row r="177" spans="2:16" ht="16.8" hidden="1" customHeight="1" x14ac:dyDescent="0.4">
      <c r="B177" s="36" t="str">
        <f>IF(AND(ISBLANK(D177), ISBLANK(E177), ISBLANK(G177)), "", IF(AND(E177&lt;&gt;"", E177=E176, D177&lt;&gt;"", D177=D176), B176, "PED-" &amp; TEXT(IFERROR(VALUE(RIGHT(LOOKUP("PED-9999",$B$5:B176),4)),1000)+1, "0000")))</f>
        <v/>
      </c>
      <c r="C177" s="36" t="s">
        <v>210</v>
      </c>
      <c r="D177" s="41"/>
      <c r="E177" s="36"/>
      <c r="F177" s="36" t="str">
        <f>IF(ISBLANK(E177),"",IFERROR(VLOOKUP(E177,'CADASTRO DE CLIENTES'!$C$6:$E$500,3,FALSE),""))</f>
        <v/>
      </c>
      <c r="G177" s="36"/>
      <c r="H177" s="36"/>
      <c r="I177" s="49" t="str">
        <f>IF(ISBLANK(G177),"",IFERROR(VLOOKUP(G177,'CADASTRO DE MATERIAL'!$C$6:$J$500,8,FALSE),""))</f>
        <v/>
      </c>
      <c r="J177" s="54" t="str">
        <f t="shared" si="10"/>
        <v/>
      </c>
      <c r="K177" s="36"/>
      <c r="L177" s="49">
        <f t="shared" si="11"/>
        <v>0</v>
      </c>
      <c r="M177" s="54">
        <f t="shared" si="12"/>
        <v>0</v>
      </c>
      <c r="N177" s="66"/>
      <c r="O177" s="54">
        <f t="shared" si="13"/>
        <v>0</v>
      </c>
      <c r="P177" s="54" t="str">
        <f t="shared" si="14"/>
        <v/>
      </c>
    </row>
    <row r="178" spans="2:16" ht="16.8" hidden="1" customHeight="1" x14ac:dyDescent="0.4">
      <c r="B178" s="30" t="str">
        <f>IF(AND(ISBLANK(D178), ISBLANK(E178), ISBLANK(G178)), "", IF(AND(E178&lt;&gt;"", E178=E177, D178&lt;&gt;"", D178=D177), B177, "PED-" &amp; TEXT(IFERROR(VALUE(RIGHT(LOOKUP("PED-9999",$B$5:B177),4)),1000)+1, "0000")))</f>
        <v/>
      </c>
      <c r="C178" s="30" t="s">
        <v>211</v>
      </c>
      <c r="D178" s="42"/>
      <c r="E178" s="30"/>
      <c r="F178" s="30" t="str">
        <f>IF(ISBLANK(E178),"",IFERROR(VLOOKUP(E178,'CADASTRO DE CLIENTES'!$C$6:$E$500,3,FALSE),""))</f>
        <v/>
      </c>
      <c r="G178" s="30"/>
      <c r="H178" s="30"/>
      <c r="I178" s="51" t="str">
        <f>IF(ISBLANK(G178),"",IFERROR(VLOOKUP(G178,'CADASTRO DE MATERIAL'!$C$6:$J$500,8,FALSE),""))</f>
        <v/>
      </c>
      <c r="J178" s="59" t="str">
        <f t="shared" si="10"/>
        <v/>
      </c>
      <c r="K178" s="30"/>
      <c r="L178" s="51">
        <f t="shared" si="11"/>
        <v>0</v>
      </c>
      <c r="M178" s="59">
        <f t="shared" si="12"/>
        <v>0</v>
      </c>
      <c r="N178" s="65"/>
      <c r="O178" s="59">
        <f t="shared" si="13"/>
        <v>0</v>
      </c>
      <c r="P178" s="59" t="str">
        <f t="shared" si="14"/>
        <v/>
      </c>
    </row>
    <row r="179" spans="2:16" ht="16.8" hidden="1" customHeight="1" x14ac:dyDescent="0.4">
      <c r="B179" s="36" t="str">
        <f>IF(AND(ISBLANK(D179), ISBLANK(E179), ISBLANK(G179)), "", IF(AND(E179&lt;&gt;"", E179=E178, D179&lt;&gt;"", D179=D178), B178, "PED-" &amp; TEXT(IFERROR(VALUE(RIGHT(LOOKUP("PED-9999",$B$5:B178),4)),1000)+1, "0000")))</f>
        <v/>
      </c>
      <c r="C179" s="36" t="s">
        <v>212</v>
      </c>
      <c r="D179" s="41"/>
      <c r="E179" s="36"/>
      <c r="F179" s="36" t="str">
        <f>IF(ISBLANK(E179),"",IFERROR(VLOOKUP(E179,'CADASTRO DE CLIENTES'!$C$6:$E$500,3,FALSE),""))</f>
        <v/>
      </c>
      <c r="G179" s="36"/>
      <c r="H179" s="36"/>
      <c r="I179" s="49" t="str">
        <f>IF(ISBLANK(G179),"",IFERROR(VLOOKUP(G179,'CADASTRO DE MATERIAL'!$C$6:$J$500,8,FALSE),""))</f>
        <v/>
      </c>
      <c r="J179" s="54" t="str">
        <f t="shared" si="10"/>
        <v/>
      </c>
      <c r="K179" s="36"/>
      <c r="L179" s="49">
        <f t="shared" si="11"/>
        <v>0</v>
      </c>
      <c r="M179" s="54">
        <f t="shared" si="12"/>
        <v>0</v>
      </c>
      <c r="N179" s="66"/>
      <c r="O179" s="54">
        <f t="shared" si="13"/>
        <v>0</v>
      </c>
      <c r="P179" s="54" t="str">
        <f t="shared" si="14"/>
        <v/>
      </c>
    </row>
    <row r="180" spans="2:16" ht="16.8" hidden="1" customHeight="1" x14ac:dyDescent="0.4">
      <c r="B180" s="30" t="str">
        <f>IF(AND(ISBLANK(D180), ISBLANK(E180), ISBLANK(G180)), "", IF(AND(E180&lt;&gt;"", E180=E179, D180&lt;&gt;"", D180=D179), B179, "PED-" &amp; TEXT(IFERROR(VALUE(RIGHT(LOOKUP("PED-9999",$B$5:B179),4)),1000)+1, "0000")))</f>
        <v/>
      </c>
      <c r="C180" s="30" t="s">
        <v>213</v>
      </c>
      <c r="D180" s="42"/>
      <c r="E180" s="30"/>
      <c r="F180" s="30" t="str">
        <f>IF(ISBLANK(E180),"",IFERROR(VLOOKUP(E180,'CADASTRO DE CLIENTES'!$C$6:$E$500,3,FALSE),""))</f>
        <v/>
      </c>
      <c r="G180" s="30"/>
      <c r="H180" s="30"/>
      <c r="I180" s="51" t="str">
        <f>IF(ISBLANK(G180),"",IFERROR(VLOOKUP(G180,'CADASTRO DE MATERIAL'!$C$6:$J$500,8,FALSE),""))</f>
        <v/>
      </c>
      <c r="J180" s="59" t="str">
        <f t="shared" si="10"/>
        <v/>
      </c>
      <c r="K180" s="30"/>
      <c r="L180" s="51">
        <f t="shared" si="11"/>
        <v>0</v>
      </c>
      <c r="M180" s="59">
        <f t="shared" si="12"/>
        <v>0</v>
      </c>
      <c r="N180" s="65"/>
      <c r="O180" s="59">
        <f t="shared" si="13"/>
        <v>0</v>
      </c>
      <c r="P180" s="59" t="str">
        <f t="shared" si="14"/>
        <v/>
      </c>
    </row>
    <row r="181" spans="2:16" ht="16.8" hidden="1" customHeight="1" x14ac:dyDescent="0.4">
      <c r="B181" s="36" t="str">
        <f>IF(AND(ISBLANK(D181), ISBLANK(E181), ISBLANK(G181)), "", IF(AND(E181&lt;&gt;"", E181=E180, D181&lt;&gt;"", D181=D180), B180, "PED-" &amp; TEXT(IFERROR(VALUE(RIGHT(LOOKUP("PED-9999",$B$5:B180),4)),1000)+1, "0000")))</f>
        <v/>
      </c>
      <c r="C181" s="36" t="s">
        <v>214</v>
      </c>
      <c r="D181" s="41"/>
      <c r="E181" s="36"/>
      <c r="F181" s="36" t="str">
        <f>IF(ISBLANK(E181),"",IFERROR(VLOOKUP(E181,'CADASTRO DE CLIENTES'!$C$6:$E$500,3,FALSE),""))</f>
        <v/>
      </c>
      <c r="G181" s="36"/>
      <c r="H181" s="36"/>
      <c r="I181" s="49" t="str">
        <f>IF(ISBLANK(G181),"",IFERROR(VLOOKUP(G181,'CADASTRO DE MATERIAL'!$C$6:$J$500,8,FALSE),""))</f>
        <v/>
      </c>
      <c r="J181" s="54" t="str">
        <f t="shared" si="10"/>
        <v/>
      </c>
      <c r="K181" s="36"/>
      <c r="L181" s="49">
        <f t="shared" si="11"/>
        <v>0</v>
      </c>
      <c r="M181" s="54">
        <f t="shared" si="12"/>
        <v>0</v>
      </c>
      <c r="N181" s="66"/>
      <c r="O181" s="54">
        <f t="shared" si="13"/>
        <v>0</v>
      </c>
      <c r="P181" s="54" t="str">
        <f t="shared" si="14"/>
        <v/>
      </c>
    </row>
    <row r="182" spans="2:16" ht="16.8" hidden="1" customHeight="1" x14ac:dyDescent="0.4">
      <c r="B182" s="30" t="str">
        <f>IF(AND(ISBLANK(D182), ISBLANK(E182), ISBLANK(G182)), "", IF(AND(E182&lt;&gt;"", E182=E181, D182&lt;&gt;"", D182=D181), B181, "PED-" &amp; TEXT(IFERROR(VALUE(RIGHT(LOOKUP("PED-9999",$B$5:B181),4)),1000)+1, "0000")))</f>
        <v/>
      </c>
      <c r="C182" s="30" t="s">
        <v>215</v>
      </c>
      <c r="D182" s="42"/>
      <c r="E182" s="30"/>
      <c r="F182" s="30" t="str">
        <f>IF(ISBLANK(E182),"",IFERROR(VLOOKUP(E182,'CADASTRO DE CLIENTES'!$C$6:$E$500,3,FALSE),""))</f>
        <v/>
      </c>
      <c r="G182" s="30"/>
      <c r="H182" s="30"/>
      <c r="I182" s="51" t="str">
        <f>IF(ISBLANK(G182),"",IFERROR(VLOOKUP(G182,'CADASTRO DE MATERIAL'!$C$6:$J$500,8,FALSE),""))</f>
        <v/>
      </c>
      <c r="J182" s="59" t="str">
        <f t="shared" si="10"/>
        <v/>
      </c>
      <c r="K182" s="30"/>
      <c r="L182" s="51">
        <f t="shared" si="11"/>
        <v>0</v>
      </c>
      <c r="M182" s="59">
        <f t="shared" si="12"/>
        <v>0</v>
      </c>
      <c r="N182" s="65"/>
      <c r="O182" s="59">
        <f t="shared" si="13"/>
        <v>0</v>
      </c>
      <c r="P182" s="59" t="str">
        <f t="shared" si="14"/>
        <v/>
      </c>
    </row>
    <row r="183" spans="2:16" ht="16.8" hidden="1" customHeight="1" x14ac:dyDescent="0.4">
      <c r="B183" s="36" t="str">
        <f>IF(AND(ISBLANK(D183), ISBLANK(E183), ISBLANK(G183)), "", IF(AND(E183&lt;&gt;"", E183=E182, D183&lt;&gt;"", D183=D182), B182, "PED-" &amp; TEXT(IFERROR(VALUE(RIGHT(LOOKUP("PED-9999",$B$5:B182),4)),1000)+1, "0000")))</f>
        <v/>
      </c>
      <c r="C183" s="36" t="s">
        <v>216</v>
      </c>
      <c r="D183" s="41"/>
      <c r="E183" s="36"/>
      <c r="F183" s="36" t="str">
        <f>IF(ISBLANK(E183),"",IFERROR(VLOOKUP(E183,'CADASTRO DE CLIENTES'!$C$6:$E$500,3,FALSE),""))</f>
        <v/>
      </c>
      <c r="G183" s="36"/>
      <c r="H183" s="36"/>
      <c r="I183" s="49" t="str">
        <f>IF(ISBLANK(G183),"",IFERROR(VLOOKUP(G183,'CADASTRO DE MATERIAL'!$C$6:$J$500,8,FALSE),""))</f>
        <v/>
      </c>
      <c r="J183" s="54" t="str">
        <f t="shared" si="10"/>
        <v/>
      </c>
      <c r="K183" s="36"/>
      <c r="L183" s="49">
        <f t="shared" si="11"/>
        <v>0</v>
      </c>
      <c r="M183" s="54">
        <f t="shared" si="12"/>
        <v>0</v>
      </c>
      <c r="N183" s="66"/>
      <c r="O183" s="54">
        <f t="shared" si="13"/>
        <v>0</v>
      </c>
      <c r="P183" s="54" t="str">
        <f t="shared" si="14"/>
        <v/>
      </c>
    </row>
    <row r="184" spans="2:16" ht="16.8" hidden="1" customHeight="1" x14ac:dyDescent="0.4">
      <c r="B184" s="30" t="str">
        <f>IF(AND(ISBLANK(D184), ISBLANK(E184), ISBLANK(G184)), "", IF(AND(E184&lt;&gt;"", E184=E183, D184&lt;&gt;"", D184=D183), B183, "PED-" &amp; TEXT(IFERROR(VALUE(RIGHT(LOOKUP("PED-9999",$B$5:B183),4)),1000)+1, "0000")))</f>
        <v/>
      </c>
      <c r="C184" s="30" t="s">
        <v>217</v>
      </c>
      <c r="D184" s="42"/>
      <c r="E184" s="30"/>
      <c r="F184" s="30" t="str">
        <f>IF(ISBLANK(E184),"",IFERROR(VLOOKUP(E184,'CADASTRO DE CLIENTES'!$C$6:$E$500,3,FALSE),""))</f>
        <v/>
      </c>
      <c r="G184" s="30"/>
      <c r="H184" s="30"/>
      <c r="I184" s="51" t="str">
        <f>IF(ISBLANK(G184),"",IFERROR(VLOOKUP(G184,'CADASTRO DE MATERIAL'!$C$6:$J$500,8,FALSE),""))</f>
        <v/>
      </c>
      <c r="J184" s="59" t="str">
        <f t="shared" si="10"/>
        <v/>
      </c>
      <c r="K184" s="30"/>
      <c r="L184" s="51">
        <f t="shared" si="11"/>
        <v>0</v>
      </c>
      <c r="M184" s="59">
        <f t="shared" si="12"/>
        <v>0</v>
      </c>
      <c r="N184" s="65"/>
      <c r="O184" s="59">
        <f t="shared" si="13"/>
        <v>0</v>
      </c>
      <c r="P184" s="59" t="str">
        <f t="shared" si="14"/>
        <v/>
      </c>
    </row>
    <row r="185" spans="2:16" ht="16.8" hidden="1" customHeight="1" x14ac:dyDescent="0.4">
      <c r="B185" s="36" t="str">
        <f>IF(AND(ISBLANK(D185), ISBLANK(E185), ISBLANK(G185)), "", IF(AND(E185&lt;&gt;"", E185=E184, D185&lt;&gt;"", D185=D184), B184, "PED-" &amp; TEXT(IFERROR(VALUE(RIGHT(LOOKUP("PED-9999",$B$5:B184),4)),1000)+1, "0000")))</f>
        <v/>
      </c>
      <c r="C185" s="36" t="s">
        <v>218</v>
      </c>
      <c r="D185" s="41"/>
      <c r="E185" s="36"/>
      <c r="F185" s="36" t="str">
        <f>IF(ISBLANK(E185),"",IFERROR(VLOOKUP(E185,'CADASTRO DE CLIENTES'!$C$6:$E$500,3,FALSE),""))</f>
        <v/>
      </c>
      <c r="G185" s="36"/>
      <c r="H185" s="36"/>
      <c r="I185" s="49" t="str">
        <f>IF(ISBLANK(G185),"",IFERROR(VLOOKUP(G185,'CADASTRO DE MATERIAL'!$C$6:$J$500,8,FALSE),""))</f>
        <v/>
      </c>
      <c r="J185" s="54" t="str">
        <f t="shared" si="10"/>
        <v/>
      </c>
      <c r="K185" s="36"/>
      <c r="L185" s="49">
        <f t="shared" si="11"/>
        <v>0</v>
      </c>
      <c r="M185" s="54">
        <f t="shared" si="12"/>
        <v>0</v>
      </c>
      <c r="N185" s="66"/>
      <c r="O185" s="54">
        <f t="shared" si="13"/>
        <v>0</v>
      </c>
      <c r="P185" s="54" t="str">
        <f t="shared" si="14"/>
        <v/>
      </c>
    </row>
    <row r="186" spans="2:16" ht="16.8" hidden="1" customHeight="1" x14ac:dyDescent="0.4">
      <c r="B186" s="30" t="str">
        <f>IF(AND(ISBLANK(D186), ISBLANK(E186), ISBLANK(G186)), "", IF(AND(E186&lt;&gt;"", E186=E185, D186&lt;&gt;"", D186=D185), B185, "PED-" &amp; TEXT(IFERROR(VALUE(RIGHT(LOOKUP("PED-9999",$B$5:B185),4)),1000)+1, "0000")))</f>
        <v/>
      </c>
      <c r="C186" s="30" t="s">
        <v>219</v>
      </c>
      <c r="D186" s="42"/>
      <c r="E186" s="30"/>
      <c r="F186" s="30" t="str">
        <f>IF(ISBLANK(E186),"",IFERROR(VLOOKUP(E186,'CADASTRO DE CLIENTES'!$C$6:$E$500,3,FALSE),""))</f>
        <v/>
      </c>
      <c r="G186" s="30"/>
      <c r="H186" s="30"/>
      <c r="I186" s="51" t="str">
        <f>IF(ISBLANK(G186),"",IFERROR(VLOOKUP(G186,'CADASTRO DE MATERIAL'!$C$6:$J$500,8,FALSE),""))</f>
        <v/>
      </c>
      <c r="J186" s="59" t="str">
        <f t="shared" si="10"/>
        <v/>
      </c>
      <c r="K186" s="30"/>
      <c r="L186" s="51">
        <f t="shared" si="11"/>
        <v>0</v>
      </c>
      <c r="M186" s="59">
        <f t="shared" si="12"/>
        <v>0</v>
      </c>
      <c r="N186" s="65"/>
      <c r="O186" s="59">
        <f t="shared" si="13"/>
        <v>0</v>
      </c>
      <c r="P186" s="59" t="str">
        <f t="shared" si="14"/>
        <v/>
      </c>
    </row>
    <row r="187" spans="2:16" ht="16.8" hidden="1" customHeight="1" x14ac:dyDescent="0.4">
      <c r="B187" s="36" t="str">
        <f>IF(AND(ISBLANK(D187), ISBLANK(E187), ISBLANK(G187)), "", IF(AND(E187&lt;&gt;"", E187=E186, D187&lt;&gt;"", D187=D186), B186, "PED-" &amp; TEXT(IFERROR(VALUE(RIGHT(LOOKUP("PED-9999",$B$5:B186),4)),1000)+1, "0000")))</f>
        <v/>
      </c>
      <c r="C187" s="36" t="s">
        <v>220</v>
      </c>
      <c r="D187" s="41"/>
      <c r="E187" s="36"/>
      <c r="F187" s="36" t="str">
        <f>IF(ISBLANK(E187),"",IFERROR(VLOOKUP(E187,'CADASTRO DE CLIENTES'!$C$6:$E$500,3,FALSE),""))</f>
        <v/>
      </c>
      <c r="G187" s="36"/>
      <c r="H187" s="36"/>
      <c r="I187" s="49" t="str">
        <f>IF(ISBLANK(G187),"",IFERROR(VLOOKUP(G187,'CADASTRO DE MATERIAL'!$C$6:$J$500,8,FALSE),""))</f>
        <v/>
      </c>
      <c r="J187" s="54" t="str">
        <f t="shared" si="10"/>
        <v/>
      </c>
      <c r="K187" s="36"/>
      <c r="L187" s="49">
        <f t="shared" si="11"/>
        <v>0</v>
      </c>
      <c r="M187" s="54">
        <f t="shared" si="12"/>
        <v>0</v>
      </c>
      <c r="N187" s="66"/>
      <c r="O187" s="54">
        <f t="shared" si="13"/>
        <v>0</v>
      </c>
      <c r="P187" s="54" t="str">
        <f t="shared" si="14"/>
        <v/>
      </c>
    </row>
    <row r="188" spans="2:16" ht="16.8" hidden="1" customHeight="1" x14ac:dyDescent="0.4">
      <c r="B188" s="30" t="str">
        <f>IF(AND(ISBLANK(D188), ISBLANK(E188), ISBLANK(G188)), "", IF(AND(E188&lt;&gt;"", E188=E187, D188&lt;&gt;"", D188=D187), B187, "PED-" &amp; TEXT(IFERROR(VALUE(RIGHT(LOOKUP("PED-9999",$B$5:B187),4)),1000)+1, "0000")))</f>
        <v/>
      </c>
      <c r="C188" s="30" t="s">
        <v>221</v>
      </c>
      <c r="D188" s="42"/>
      <c r="E188" s="30"/>
      <c r="F188" s="30" t="str">
        <f>IF(ISBLANK(E188),"",IFERROR(VLOOKUP(E188,'CADASTRO DE CLIENTES'!$C$6:$E$500,3,FALSE),""))</f>
        <v/>
      </c>
      <c r="G188" s="30"/>
      <c r="H188" s="30"/>
      <c r="I188" s="51" t="str">
        <f>IF(ISBLANK(G188),"",IFERROR(VLOOKUP(G188,'CADASTRO DE MATERIAL'!$C$6:$J$500,8,FALSE),""))</f>
        <v/>
      </c>
      <c r="J188" s="59" t="str">
        <f t="shared" si="10"/>
        <v/>
      </c>
      <c r="K188" s="30"/>
      <c r="L188" s="51">
        <f t="shared" si="11"/>
        <v>0</v>
      </c>
      <c r="M188" s="59">
        <f t="shared" si="12"/>
        <v>0</v>
      </c>
      <c r="N188" s="65"/>
      <c r="O188" s="59">
        <f t="shared" si="13"/>
        <v>0</v>
      </c>
      <c r="P188" s="59" t="str">
        <f t="shared" si="14"/>
        <v/>
      </c>
    </row>
    <row r="189" spans="2:16" ht="16.8" hidden="1" customHeight="1" x14ac:dyDescent="0.4">
      <c r="B189" s="36" t="str">
        <f>IF(AND(ISBLANK(D189), ISBLANK(E189), ISBLANK(G189)), "", IF(AND(E189&lt;&gt;"", E189=E188, D189&lt;&gt;"", D189=D188), B188, "PED-" &amp; TEXT(IFERROR(VALUE(RIGHT(LOOKUP("PED-9999",$B$5:B188),4)),1000)+1, "0000")))</f>
        <v/>
      </c>
      <c r="C189" s="36" t="s">
        <v>222</v>
      </c>
      <c r="D189" s="41"/>
      <c r="E189" s="36"/>
      <c r="F189" s="36" t="str">
        <f>IF(ISBLANK(E189),"",IFERROR(VLOOKUP(E189,'CADASTRO DE CLIENTES'!$C$6:$E$500,3,FALSE),""))</f>
        <v/>
      </c>
      <c r="G189" s="36"/>
      <c r="H189" s="36"/>
      <c r="I189" s="49" t="str">
        <f>IF(ISBLANK(G189),"",IFERROR(VLOOKUP(G189,'CADASTRO DE MATERIAL'!$C$6:$J$500,8,FALSE),""))</f>
        <v/>
      </c>
      <c r="J189" s="54" t="str">
        <f t="shared" si="10"/>
        <v/>
      </c>
      <c r="K189" s="36"/>
      <c r="L189" s="49">
        <f t="shared" si="11"/>
        <v>0</v>
      </c>
      <c r="M189" s="54">
        <f t="shared" si="12"/>
        <v>0</v>
      </c>
      <c r="N189" s="66"/>
      <c r="O189" s="54">
        <f t="shared" si="13"/>
        <v>0</v>
      </c>
      <c r="P189" s="54" t="str">
        <f t="shared" si="14"/>
        <v/>
      </c>
    </row>
    <row r="190" spans="2:16" ht="16.8" hidden="1" customHeight="1" x14ac:dyDescent="0.4">
      <c r="B190" s="30" t="str">
        <f>IF(AND(ISBLANK(D190), ISBLANK(E190), ISBLANK(G190)), "", IF(AND(E190&lt;&gt;"", E190=E189, D190&lt;&gt;"", D190=D189), B189, "PED-" &amp; TEXT(IFERROR(VALUE(RIGHT(LOOKUP("PED-9999",$B$5:B189),4)),1000)+1, "0000")))</f>
        <v/>
      </c>
      <c r="C190" s="30" t="s">
        <v>223</v>
      </c>
      <c r="D190" s="42"/>
      <c r="E190" s="30"/>
      <c r="F190" s="30" t="str">
        <f>IF(ISBLANK(E190),"",IFERROR(VLOOKUP(E190,'CADASTRO DE CLIENTES'!$C$6:$E$500,3,FALSE),""))</f>
        <v/>
      </c>
      <c r="G190" s="30"/>
      <c r="H190" s="30"/>
      <c r="I190" s="51" t="str">
        <f>IF(ISBLANK(G190),"",IFERROR(VLOOKUP(G190,'CADASTRO DE MATERIAL'!$C$6:$J$500,8,FALSE),""))</f>
        <v/>
      </c>
      <c r="J190" s="59" t="str">
        <f t="shared" si="10"/>
        <v/>
      </c>
      <c r="K190" s="30"/>
      <c r="L190" s="51">
        <f t="shared" si="11"/>
        <v>0</v>
      </c>
      <c r="M190" s="59">
        <f t="shared" si="12"/>
        <v>0</v>
      </c>
      <c r="N190" s="65"/>
      <c r="O190" s="59">
        <f t="shared" si="13"/>
        <v>0</v>
      </c>
      <c r="P190" s="59" t="str">
        <f t="shared" si="14"/>
        <v/>
      </c>
    </row>
    <row r="191" spans="2:16" ht="16.8" hidden="1" customHeight="1" x14ac:dyDescent="0.4">
      <c r="B191" s="36" t="str">
        <f>IF(AND(ISBLANK(D191), ISBLANK(E191), ISBLANK(G191)), "", IF(AND(E191&lt;&gt;"", E191=E190, D191&lt;&gt;"", D191=D190), B190, "PED-" &amp; TEXT(IFERROR(VALUE(RIGHT(LOOKUP("PED-9999",$B$5:B190),4)),1000)+1, "0000")))</f>
        <v/>
      </c>
      <c r="C191" s="36" t="s">
        <v>224</v>
      </c>
      <c r="D191" s="41"/>
      <c r="E191" s="36"/>
      <c r="F191" s="36" t="str">
        <f>IF(ISBLANK(E191),"",IFERROR(VLOOKUP(E191,'CADASTRO DE CLIENTES'!$C$6:$E$500,3,FALSE),""))</f>
        <v/>
      </c>
      <c r="G191" s="36"/>
      <c r="H191" s="36"/>
      <c r="I191" s="49" t="str">
        <f>IF(ISBLANK(G191),"",IFERROR(VLOOKUP(G191,'CADASTRO DE MATERIAL'!$C$6:$J$500,8,FALSE),""))</f>
        <v/>
      </c>
      <c r="J191" s="54" t="str">
        <f t="shared" si="10"/>
        <v/>
      </c>
      <c r="K191" s="36"/>
      <c r="L191" s="49">
        <f t="shared" si="11"/>
        <v>0</v>
      </c>
      <c r="M191" s="54">
        <f t="shared" si="12"/>
        <v>0</v>
      </c>
      <c r="N191" s="66"/>
      <c r="O191" s="54">
        <f t="shared" si="13"/>
        <v>0</v>
      </c>
      <c r="P191" s="54" t="str">
        <f t="shared" si="14"/>
        <v/>
      </c>
    </row>
    <row r="192" spans="2:16" ht="16.8" hidden="1" customHeight="1" x14ac:dyDescent="0.4">
      <c r="B192" s="30" t="str">
        <f>IF(AND(ISBLANK(D192), ISBLANK(E192), ISBLANK(G192)), "", IF(AND(E192&lt;&gt;"", E192=E191, D192&lt;&gt;"", D192=D191), B191, "PED-" &amp; TEXT(IFERROR(VALUE(RIGHT(LOOKUP("PED-9999",$B$5:B191),4)),1000)+1, "0000")))</f>
        <v/>
      </c>
      <c r="C192" s="30" t="s">
        <v>225</v>
      </c>
      <c r="D192" s="42"/>
      <c r="E192" s="30"/>
      <c r="F192" s="30" t="str">
        <f>IF(ISBLANK(E192),"",IFERROR(VLOOKUP(E192,'CADASTRO DE CLIENTES'!$C$6:$E$500,3,FALSE),""))</f>
        <v/>
      </c>
      <c r="G192" s="30"/>
      <c r="H192" s="30"/>
      <c r="I192" s="51" t="str">
        <f>IF(ISBLANK(G192),"",IFERROR(VLOOKUP(G192,'CADASTRO DE MATERIAL'!$C$6:$J$500,8,FALSE),""))</f>
        <v/>
      </c>
      <c r="J192" s="59" t="str">
        <f t="shared" si="10"/>
        <v/>
      </c>
      <c r="K192" s="30"/>
      <c r="L192" s="51">
        <f t="shared" si="11"/>
        <v>0</v>
      </c>
      <c r="M192" s="59">
        <f t="shared" si="12"/>
        <v>0</v>
      </c>
      <c r="N192" s="65"/>
      <c r="O192" s="59">
        <f t="shared" si="13"/>
        <v>0</v>
      </c>
      <c r="P192" s="59" t="str">
        <f t="shared" si="14"/>
        <v/>
      </c>
    </row>
    <row r="193" spans="2:16" ht="16.8" hidden="1" customHeight="1" x14ac:dyDescent="0.4">
      <c r="B193" s="36" t="str">
        <f>IF(AND(ISBLANK(D193), ISBLANK(E193), ISBLANK(G193)), "", IF(AND(E193&lt;&gt;"", E193=E192, D193&lt;&gt;"", D193=D192), B192, "PED-" &amp; TEXT(IFERROR(VALUE(RIGHT(LOOKUP("PED-9999",$B$5:B192),4)),1000)+1, "0000")))</f>
        <v/>
      </c>
      <c r="C193" s="36" t="s">
        <v>226</v>
      </c>
      <c r="D193" s="41"/>
      <c r="E193" s="36"/>
      <c r="F193" s="36" t="str">
        <f>IF(ISBLANK(E193),"",IFERROR(VLOOKUP(E193,'CADASTRO DE CLIENTES'!$C$6:$E$500,3,FALSE),""))</f>
        <v/>
      </c>
      <c r="G193" s="36"/>
      <c r="H193" s="36"/>
      <c r="I193" s="49" t="str">
        <f>IF(ISBLANK(G193),"",IFERROR(VLOOKUP(G193,'CADASTRO DE MATERIAL'!$C$6:$J$500,8,FALSE),""))</f>
        <v/>
      </c>
      <c r="J193" s="54" t="str">
        <f t="shared" si="10"/>
        <v/>
      </c>
      <c r="K193" s="36"/>
      <c r="L193" s="49">
        <f t="shared" si="11"/>
        <v>0</v>
      </c>
      <c r="M193" s="54">
        <f t="shared" si="12"/>
        <v>0</v>
      </c>
      <c r="N193" s="66"/>
      <c r="O193" s="54">
        <f t="shared" si="13"/>
        <v>0</v>
      </c>
      <c r="P193" s="54" t="str">
        <f t="shared" si="14"/>
        <v/>
      </c>
    </row>
    <row r="194" spans="2:16" ht="16.8" hidden="1" customHeight="1" x14ac:dyDescent="0.4">
      <c r="B194" s="30" t="str">
        <f>IF(AND(ISBLANK(D194), ISBLANK(E194), ISBLANK(G194)), "", IF(AND(E194&lt;&gt;"", E194=E193, D194&lt;&gt;"", D194=D193), B193, "PED-" &amp; TEXT(IFERROR(VALUE(RIGHT(LOOKUP("PED-9999",$B$5:B193),4)),1000)+1, "0000")))</f>
        <v/>
      </c>
      <c r="C194" s="30" t="s">
        <v>227</v>
      </c>
      <c r="D194" s="42"/>
      <c r="E194" s="30"/>
      <c r="F194" s="30" t="str">
        <f>IF(ISBLANK(E194),"",IFERROR(VLOOKUP(E194,'CADASTRO DE CLIENTES'!$C$6:$E$500,3,FALSE),""))</f>
        <v/>
      </c>
      <c r="G194" s="30"/>
      <c r="H194" s="30"/>
      <c r="I194" s="51" t="str">
        <f>IF(ISBLANK(G194),"",IFERROR(VLOOKUP(G194,'CADASTRO DE MATERIAL'!$C$6:$J$500,8,FALSE),""))</f>
        <v/>
      </c>
      <c r="J194" s="59" t="str">
        <f t="shared" si="10"/>
        <v/>
      </c>
      <c r="K194" s="30"/>
      <c r="L194" s="51">
        <f t="shared" si="11"/>
        <v>0</v>
      </c>
      <c r="M194" s="59">
        <f t="shared" si="12"/>
        <v>0</v>
      </c>
      <c r="N194" s="65"/>
      <c r="O194" s="59">
        <f t="shared" si="13"/>
        <v>0</v>
      </c>
      <c r="P194" s="59" t="str">
        <f t="shared" si="14"/>
        <v/>
      </c>
    </row>
    <row r="195" spans="2:16" ht="16.8" hidden="1" customHeight="1" x14ac:dyDescent="0.4">
      <c r="B195" s="36" t="str">
        <f>IF(AND(ISBLANK(D195), ISBLANK(E195), ISBLANK(G195)), "", IF(AND(E195&lt;&gt;"", E195=E194, D195&lt;&gt;"", D195=D194), B194, "PED-" &amp; TEXT(IFERROR(VALUE(RIGHT(LOOKUP("PED-9999",$B$5:B194),4)),1000)+1, "0000")))</f>
        <v/>
      </c>
      <c r="C195" s="36" t="s">
        <v>228</v>
      </c>
      <c r="D195" s="41"/>
      <c r="E195" s="36"/>
      <c r="F195" s="36" t="str">
        <f>IF(ISBLANK(E195),"",IFERROR(VLOOKUP(E195,'CADASTRO DE CLIENTES'!$C$6:$E$500,3,FALSE),""))</f>
        <v/>
      </c>
      <c r="G195" s="36"/>
      <c r="H195" s="36"/>
      <c r="I195" s="49" t="str">
        <f>IF(ISBLANK(G195),"",IFERROR(VLOOKUP(G195,'CADASTRO DE MATERIAL'!$C$6:$J$500,8,FALSE),""))</f>
        <v/>
      </c>
      <c r="J195" s="54" t="str">
        <f t="shared" si="10"/>
        <v/>
      </c>
      <c r="K195" s="36"/>
      <c r="L195" s="49">
        <f t="shared" si="11"/>
        <v>0</v>
      </c>
      <c r="M195" s="54">
        <f t="shared" si="12"/>
        <v>0</v>
      </c>
      <c r="N195" s="66"/>
      <c r="O195" s="54">
        <f t="shared" si="13"/>
        <v>0</v>
      </c>
      <c r="P195" s="54" t="str">
        <f t="shared" si="14"/>
        <v/>
      </c>
    </row>
    <row r="196" spans="2:16" ht="16.8" hidden="1" customHeight="1" x14ac:dyDescent="0.4">
      <c r="B196" s="30" t="str">
        <f>IF(AND(ISBLANK(D196), ISBLANK(E196), ISBLANK(G196)), "", IF(AND(E196&lt;&gt;"", E196=E195, D196&lt;&gt;"", D196=D195), B195, "PED-" &amp; TEXT(IFERROR(VALUE(RIGHT(LOOKUP("PED-9999",$B$5:B195),4)),1000)+1, "0000")))</f>
        <v/>
      </c>
      <c r="C196" s="30" t="s">
        <v>229</v>
      </c>
      <c r="D196" s="42"/>
      <c r="E196" s="30"/>
      <c r="F196" s="30" t="str">
        <f>IF(ISBLANK(E196),"",IFERROR(VLOOKUP(E196,'CADASTRO DE CLIENTES'!$C$6:$E$500,3,FALSE),""))</f>
        <v/>
      </c>
      <c r="G196" s="30"/>
      <c r="H196" s="30"/>
      <c r="I196" s="51" t="str">
        <f>IF(ISBLANK(G196),"",IFERROR(VLOOKUP(G196,'CADASTRO DE MATERIAL'!$C$6:$J$500,8,FALSE),""))</f>
        <v/>
      </c>
      <c r="J196" s="59" t="str">
        <f t="shared" si="10"/>
        <v/>
      </c>
      <c r="K196" s="30"/>
      <c r="L196" s="51">
        <f t="shared" si="11"/>
        <v>0</v>
      </c>
      <c r="M196" s="59">
        <f t="shared" si="12"/>
        <v>0</v>
      </c>
      <c r="N196" s="65"/>
      <c r="O196" s="59">
        <f t="shared" si="13"/>
        <v>0</v>
      </c>
      <c r="P196" s="59" t="str">
        <f t="shared" si="14"/>
        <v/>
      </c>
    </row>
    <row r="197" spans="2:16" ht="16.8" hidden="1" customHeight="1" x14ac:dyDescent="0.4">
      <c r="B197" s="36" t="str">
        <f>IF(AND(ISBLANK(D197), ISBLANK(E197), ISBLANK(G197)), "", IF(AND(E197&lt;&gt;"", E197=E196, D197&lt;&gt;"", D197=D196), B196, "PED-" &amp; TEXT(IFERROR(VALUE(RIGHT(LOOKUP("PED-9999",$B$5:B196),4)),1000)+1, "0000")))</f>
        <v/>
      </c>
      <c r="C197" s="36" t="s">
        <v>230</v>
      </c>
      <c r="D197" s="41"/>
      <c r="E197" s="36"/>
      <c r="F197" s="36" t="str">
        <f>IF(ISBLANK(E197),"",IFERROR(VLOOKUP(E197,'CADASTRO DE CLIENTES'!$C$6:$E$500,3,FALSE),""))</f>
        <v/>
      </c>
      <c r="G197" s="36"/>
      <c r="H197" s="36"/>
      <c r="I197" s="49" t="str">
        <f>IF(ISBLANK(G197),"",IFERROR(VLOOKUP(G197,'CADASTRO DE MATERIAL'!$C$6:$J$500,8,FALSE),""))</f>
        <v/>
      </c>
      <c r="J197" s="54" t="str">
        <f t="shared" si="10"/>
        <v/>
      </c>
      <c r="K197" s="36"/>
      <c r="L197" s="49">
        <f t="shared" si="11"/>
        <v>0</v>
      </c>
      <c r="M197" s="54">
        <f t="shared" si="12"/>
        <v>0</v>
      </c>
      <c r="N197" s="66"/>
      <c r="O197" s="54">
        <f t="shared" si="13"/>
        <v>0</v>
      </c>
      <c r="P197" s="54" t="str">
        <f t="shared" si="14"/>
        <v/>
      </c>
    </row>
    <row r="198" spans="2:16" ht="16.8" hidden="1" customHeight="1" x14ac:dyDescent="0.4">
      <c r="B198" s="30" t="str">
        <f>IF(AND(ISBLANK(D198), ISBLANK(E198), ISBLANK(G198)), "", IF(AND(E198&lt;&gt;"", E198=E197, D198&lt;&gt;"", D198=D197), B197, "PED-" &amp; TEXT(IFERROR(VALUE(RIGHT(LOOKUP("PED-9999",$B$5:B197),4)),1000)+1, "0000")))</f>
        <v/>
      </c>
      <c r="C198" s="30" t="s">
        <v>231</v>
      </c>
      <c r="D198" s="42"/>
      <c r="E198" s="30"/>
      <c r="F198" s="30" t="str">
        <f>IF(ISBLANK(E198),"",IFERROR(VLOOKUP(E198,'CADASTRO DE CLIENTES'!$C$6:$E$500,3,FALSE),""))</f>
        <v/>
      </c>
      <c r="G198" s="30"/>
      <c r="H198" s="30"/>
      <c r="I198" s="51" t="str">
        <f>IF(ISBLANK(G198),"",IFERROR(VLOOKUP(G198,'CADASTRO DE MATERIAL'!$C$6:$J$500,8,FALSE),""))</f>
        <v/>
      </c>
      <c r="J198" s="59" t="str">
        <f t="shared" ref="J198:J261" si="15">IF(OR(ISBLANK(H198),ISBLANK(I198)), "", H198*I198)</f>
        <v/>
      </c>
      <c r="K198" s="30"/>
      <c r="L198" s="51">
        <f t="shared" ref="L198:L261" si="16">IF(ISBLANK(B198), "", IF(K198="À Vista", O198, 0))</f>
        <v>0</v>
      </c>
      <c r="M198" s="59">
        <f t="shared" ref="M198:M261" si="17">IF(ISBLANK(B198),"", O198 - IF(ISBLANK(L198), 0, L198))</f>
        <v>0</v>
      </c>
      <c r="N198" s="65"/>
      <c r="O198" s="59">
        <f t="shared" ref="O198:O261" si="18">IF(ISBLANK(B198),"", SUMIF($B$6:$B$500, B198, $J$6:$J$500))</f>
        <v>0</v>
      </c>
      <c r="P198" s="59" t="str">
        <f t="shared" ref="P198:P261" si="19">IF(OR(ISBLANK(M198),ISBLANK(N198),N198=0), "", M198/N198)</f>
        <v/>
      </c>
    </row>
    <row r="199" spans="2:16" ht="16.8" hidden="1" customHeight="1" x14ac:dyDescent="0.4">
      <c r="B199" s="36" t="str">
        <f>IF(AND(ISBLANK(D199), ISBLANK(E199), ISBLANK(G199)), "", IF(AND(E199&lt;&gt;"", E199=E198, D199&lt;&gt;"", D199=D198), B198, "PED-" &amp; TEXT(IFERROR(VALUE(RIGHT(LOOKUP("PED-9999",$B$5:B198),4)),1000)+1, "0000")))</f>
        <v/>
      </c>
      <c r="C199" s="36" t="s">
        <v>232</v>
      </c>
      <c r="D199" s="41"/>
      <c r="E199" s="36"/>
      <c r="F199" s="36" t="str">
        <f>IF(ISBLANK(E199),"",IFERROR(VLOOKUP(E199,'CADASTRO DE CLIENTES'!$C$6:$E$500,3,FALSE),""))</f>
        <v/>
      </c>
      <c r="G199" s="36"/>
      <c r="H199" s="36"/>
      <c r="I199" s="49" t="str">
        <f>IF(ISBLANK(G199),"",IFERROR(VLOOKUP(G199,'CADASTRO DE MATERIAL'!$C$6:$J$500,8,FALSE),""))</f>
        <v/>
      </c>
      <c r="J199" s="54" t="str">
        <f t="shared" si="15"/>
        <v/>
      </c>
      <c r="K199" s="36"/>
      <c r="L199" s="49">
        <f t="shared" si="16"/>
        <v>0</v>
      </c>
      <c r="M199" s="54">
        <f t="shared" si="17"/>
        <v>0</v>
      </c>
      <c r="N199" s="66"/>
      <c r="O199" s="54">
        <f t="shared" si="18"/>
        <v>0</v>
      </c>
      <c r="P199" s="54" t="str">
        <f t="shared" si="19"/>
        <v/>
      </c>
    </row>
    <row r="200" spans="2:16" ht="16.8" hidden="1" customHeight="1" x14ac:dyDescent="0.4">
      <c r="B200" s="30" t="str">
        <f>IF(AND(ISBLANK(D200), ISBLANK(E200), ISBLANK(G200)), "", IF(AND(E200&lt;&gt;"", E200=E199, D200&lt;&gt;"", D200=D199), B199, "PED-" &amp; TEXT(IFERROR(VALUE(RIGHT(LOOKUP("PED-9999",$B$5:B199),4)),1000)+1, "0000")))</f>
        <v/>
      </c>
      <c r="C200" s="30" t="s">
        <v>233</v>
      </c>
      <c r="D200" s="42"/>
      <c r="E200" s="30"/>
      <c r="F200" s="30" t="str">
        <f>IF(ISBLANK(E200),"",IFERROR(VLOOKUP(E200,'CADASTRO DE CLIENTES'!$C$6:$E$500,3,FALSE),""))</f>
        <v/>
      </c>
      <c r="G200" s="30"/>
      <c r="H200" s="30"/>
      <c r="I200" s="51" t="str">
        <f>IF(ISBLANK(G200),"",IFERROR(VLOOKUP(G200,'CADASTRO DE MATERIAL'!$C$6:$J$500,8,FALSE),""))</f>
        <v/>
      </c>
      <c r="J200" s="59" t="str">
        <f t="shared" si="15"/>
        <v/>
      </c>
      <c r="K200" s="30"/>
      <c r="L200" s="51">
        <f t="shared" si="16"/>
        <v>0</v>
      </c>
      <c r="M200" s="59">
        <f t="shared" si="17"/>
        <v>0</v>
      </c>
      <c r="N200" s="65"/>
      <c r="O200" s="59">
        <f t="shared" si="18"/>
        <v>0</v>
      </c>
      <c r="P200" s="59" t="str">
        <f t="shared" si="19"/>
        <v/>
      </c>
    </row>
    <row r="201" spans="2:16" ht="16.8" hidden="1" customHeight="1" x14ac:dyDescent="0.4">
      <c r="B201" s="36" t="str">
        <f>IF(AND(ISBLANK(D201), ISBLANK(E201), ISBLANK(G201)), "", IF(AND(E201&lt;&gt;"", E201=E200, D201&lt;&gt;"", D201=D200), B200, "PED-" &amp; TEXT(IFERROR(VALUE(RIGHT(LOOKUP("PED-9999",$B$5:B200),4)),1000)+1, "0000")))</f>
        <v/>
      </c>
      <c r="C201" s="36" t="s">
        <v>234</v>
      </c>
      <c r="D201" s="41"/>
      <c r="E201" s="36"/>
      <c r="F201" s="36" t="str">
        <f>IF(ISBLANK(E201),"",IFERROR(VLOOKUP(E201,'CADASTRO DE CLIENTES'!$C$6:$E$500,3,FALSE),""))</f>
        <v/>
      </c>
      <c r="G201" s="36"/>
      <c r="H201" s="36"/>
      <c r="I201" s="49" t="str">
        <f>IF(ISBLANK(G201),"",IFERROR(VLOOKUP(G201,'CADASTRO DE MATERIAL'!$C$6:$J$500,8,FALSE),""))</f>
        <v/>
      </c>
      <c r="J201" s="54" t="str">
        <f t="shared" si="15"/>
        <v/>
      </c>
      <c r="K201" s="36"/>
      <c r="L201" s="49">
        <f t="shared" si="16"/>
        <v>0</v>
      </c>
      <c r="M201" s="54">
        <f t="shared" si="17"/>
        <v>0</v>
      </c>
      <c r="N201" s="66"/>
      <c r="O201" s="54">
        <f t="shared" si="18"/>
        <v>0</v>
      </c>
      <c r="P201" s="54" t="str">
        <f t="shared" si="19"/>
        <v/>
      </c>
    </row>
    <row r="202" spans="2:16" ht="16.8" hidden="1" customHeight="1" x14ac:dyDescent="0.4">
      <c r="B202" s="30" t="str">
        <f>IF(AND(ISBLANK(D202), ISBLANK(E202), ISBLANK(G202)), "", IF(AND(E202&lt;&gt;"", E202=E201, D202&lt;&gt;"", D202=D201), B201, "PED-" &amp; TEXT(IFERROR(VALUE(RIGHT(LOOKUP("PED-9999",$B$5:B201),4)),1000)+1, "0000")))</f>
        <v/>
      </c>
      <c r="C202" s="30" t="s">
        <v>235</v>
      </c>
      <c r="D202" s="42"/>
      <c r="E202" s="30"/>
      <c r="F202" s="30" t="str">
        <f>IF(ISBLANK(E202),"",IFERROR(VLOOKUP(E202,'CADASTRO DE CLIENTES'!$C$6:$E$500,3,FALSE),""))</f>
        <v/>
      </c>
      <c r="G202" s="30"/>
      <c r="H202" s="30"/>
      <c r="I202" s="51" t="str">
        <f>IF(ISBLANK(G202),"",IFERROR(VLOOKUP(G202,'CADASTRO DE MATERIAL'!$C$6:$J$500,8,FALSE),""))</f>
        <v/>
      </c>
      <c r="J202" s="59" t="str">
        <f t="shared" si="15"/>
        <v/>
      </c>
      <c r="K202" s="30"/>
      <c r="L202" s="51">
        <f t="shared" si="16"/>
        <v>0</v>
      </c>
      <c r="M202" s="59">
        <f t="shared" si="17"/>
        <v>0</v>
      </c>
      <c r="N202" s="65"/>
      <c r="O202" s="59">
        <f t="shared" si="18"/>
        <v>0</v>
      </c>
      <c r="P202" s="59" t="str">
        <f t="shared" si="19"/>
        <v/>
      </c>
    </row>
    <row r="203" spans="2:16" ht="16.8" hidden="1" customHeight="1" x14ac:dyDescent="0.4">
      <c r="B203" s="36" t="str">
        <f>IF(AND(ISBLANK(D203), ISBLANK(E203), ISBLANK(G203)), "", IF(AND(E203&lt;&gt;"", E203=E202, D203&lt;&gt;"", D203=D202), B202, "PED-" &amp; TEXT(IFERROR(VALUE(RIGHT(LOOKUP("PED-9999",$B$5:B202),4)),1000)+1, "0000")))</f>
        <v/>
      </c>
      <c r="C203" s="36" t="s">
        <v>236</v>
      </c>
      <c r="D203" s="41"/>
      <c r="E203" s="36"/>
      <c r="F203" s="36" t="str">
        <f>IF(ISBLANK(E203),"",IFERROR(VLOOKUP(E203,'CADASTRO DE CLIENTES'!$C$6:$E$500,3,FALSE),""))</f>
        <v/>
      </c>
      <c r="G203" s="36"/>
      <c r="H203" s="36"/>
      <c r="I203" s="49" t="str">
        <f>IF(ISBLANK(G203),"",IFERROR(VLOOKUP(G203,'CADASTRO DE MATERIAL'!$C$6:$J$500,8,FALSE),""))</f>
        <v/>
      </c>
      <c r="J203" s="54" t="str">
        <f t="shared" si="15"/>
        <v/>
      </c>
      <c r="K203" s="36"/>
      <c r="L203" s="49">
        <f t="shared" si="16"/>
        <v>0</v>
      </c>
      <c r="M203" s="54">
        <f t="shared" si="17"/>
        <v>0</v>
      </c>
      <c r="N203" s="66"/>
      <c r="O203" s="54">
        <f t="shared" si="18"/>
        <v>0</v>
      </c>
      <c r="P203" s="54" t="str">
        <f t="shared" si="19"/>
        <v/>
      </c>
    </row>
    <row r="204" spans="2:16" ht="16.8" hidden="1" customHeight="1" x14ac:dyDescent="0.4">
      <c r="B204" s="30" t="str">
        <f>IF(AND(ISBLANK(D204), ISBLANK(E204), ISBLANK(G204)), "", IF(AND(E204&lt;&gt;"", E204=E203, D204&lt;&gt;"", D204=D203), B203, "PED-" &amp; TEXT(IFERROR(VALUE(RIGHT(LOOKUP("PED-9999",$B$5:B203),4)),1000)+1, "0000")))</f>
        <v/>
      </c>
      <c r="C204" s="30" t="s">
        <v>237</v>
      </c>
      <c r="D204" s="42"/>
      <c r="E204" s="30"/>
      <c r="F204" s="30" t="str">
        <f>IF(ISBLANK(E204),"",IFERROR(VLOOKUP(E204,'CADASTRO DE CLIENTES'!$C$6:$E$500,3,FALSE),""))</f>
        <v/>
      </c>
      <c r="G204" s="30"/>
      <c r="H204" s="30"/>
      <c r="I204" s="51" t="str">
        <f>IF(ISBLANK(G204),"",IFERROR(VLOOKUP(G204,'CADASTRO DE MATERIAL'!$C$6:$J$500,8,FALSE),""))</f>
        <v/>
      </c>
      <c r="J204" s="59" t="str">
        <f t="shared" si="15"/>
        <v/>
      </c>
      <c r="K204" s="30"/>
      <c r="L204" s="51">
        <f t="shared" si="16"/>
        <v>0</v>
      </c>
      <c r="M204" s="59">
        <f t="shared" si="17"/>
        <v>0</v>
      </c>
      <c r="N204" s="65"/>
      <c r="O204" s="59">
        <f t="shared" si="18"/>
        <v>0</v>
      </c>
      <c r="P204" s="59" t="str">
        <f t="shared" si="19"/>
        <v/>
      </c>
    </row>
    <row r="205" spans="2:16" ht="16.8" hidden="1" customHeight="1" x14ac:dyDescent="0.4">
      <c r="B205" s="36" t="str">
        <f>IF(AND(ISBLANK(D205), ISBLANK(E205), ISBLANK(G205)), "", IF(AND(E205&lt;&gt;"", E205=E204, D205&lt;&gt;"", D205=D204), B204, "PED-" &amp; TEXT(IFERROR(VALUE(RIGHT(LOOKUP("PED-9999",$B$5:B204),4)),1000)+1, "0000")))</f>
        <v/>
      </c>
      <c r="C205" s="36" t="s">
        <v>238</v>
      </c>
      <c r="D205" s="41"/>
      <c r="E205" s="36"/>
      <c r="F205" s="36" t="str">
        <f>IF(ISBLANK(E205),"",IFERROR(VLOOKUP(E205,'CADASTRO DE CLIENTES'!$C$6:$E$500,3,FALSE),""))</f>
        <v/>
      </c>
      <c r="G205" s="36"/>
      <c r="H205" s="36"/>
      <c r="I205" s="49" t="str">
        <f>IF(ISBLANK(G205),"",IFERROR(VLOOKUP(G205,'CADASTRO DE MATERIAL'!$C$6:$J$500,8,FALSE),""))</f>
        <v/>
      </c>
      <c r="J205" s="54" t="str">
        <f t="shared" si="15"/>
        <v/>
      </c>
      <c r="K205" s="36"/>
      <c r="L205" s="49">
        <f t="shared" si="16"/>
        <v>0</v>
      </c>
      <c r="M205" s="54">
        <f t="shared" si="17"/>
        <v>0</v>
      </c>
      <c r="N205" s="66"/>
      <c r="O205" s="54">
        <f t="shared" si="18"/>
        <v>0</v>
      </c>
      <c r="P205" s="54" t="str">
        <f t="shared" si="19"/>
        <v/>
      </c>
    </row>
    <row r="206" spans="2:16" ht="16.8" hidden="1" customHeight="1" x14ac:dyDescent="0.4">
      <c r="B206" s="30" t="str">
        <f>IF(AND(ISBLANK(D206), ISBLANK(E206), ISBLANK(G206)), "", IF(AND(E206&lt;&gt;"", E206=E205, D206&lt;&gt;"", D206=D205), B205, "PED-" &amp; TEXT(IFERROR(VALUE(RIGHT(LOOKUP("PED-9999",$B$5:B205),4)),1000)+1, "0000")))</f>
        <v/>
      </c>
      <c r="C206" s="30" t="s">
        <v>239</v>
      </c>
      <c r="D206" s="42"/>
      <c r="E206" s="30"/>
      <c r="F206" s="30" t="str">
        <f>IF(ISBLANK(E206),"",IFERROR(VLOOKUP(E206,'CADASTRO DE CLIENTES'!$C$6:$E$500,3,FALSE),""))</f>
        <v/>
      </c>
      <c r="G206" s="30"/>
      <c r="H206" s="30"/>
      <c r="I206" s="51" t="str">
        <f>IF(ISBLANK(G206),"",IFERROR(VLOOKUP(G206,'CADASTRO DE MATERIAL'!$C$6:$J$500,8,FALSE),""))</f>
        <v/>
      </c>
      <c r="J206" s="59" t="str">
        <f t="shared" si="15"/>
        <v/>
      </c>
      <c r="K206" s="30"/>
      <c r="L206" s="51">
        <f t="shared" si="16"/>
        <v>0</v>
      </c>
      <c r="M206" s="59">
        <f t="shared" si="17"/>
        <v>0</v>
      </c>
      <c r="N206" s="65"/>
      <c r="O206" s="59">
        <f t="shared" si="18"/>
        <v>0</v>
      </c>
      <c r="P206" s="59" t="str">
        <f t="shared" si="19"/>
        <v/>
      </c>
    </row>
    <row r="207" spans="2:16" ht="16.8" hidden="1" customHeight="1" x14ac:dyDescent="0.4">
      <c r="B207" s="36" t="str">
        <f>IF(AND(ISBLANK(D207), ISBLANK(E207), ISBLANK(G207)), "", IF(AND(E207&lt;&gt;"", E207=E206, D207&lt;&gt;"", D207=D206), B206, "PED-" &amp; TEXT(IFERROR(VALUE(RIGHT(LOOKUP("PED-9999",$B$5:B206),4)),1000)+1, "0000")))</f>
        <v/>
      </c>
      <c r="C207" s="36" t="s">
        <v>240</v>
      </c>
      <c r="D207" s="41"/>
      <c r="E207" s="36"/>
      <c r="F207" s="36" t="str">
        <f>IF(ISBLANK(E207),"",IFERROR(VLOOKUP(E207,'CADASTRO DE CLIENTES'!$C$6:$E$500,3,FALSE),""))</f>
        <v/>
      </c>
      <c r="G207" s="36"/>
      <c r="H207" s="36"/>
      <c r="I207" s="49" t="str">
        <f>IF(ISBLANK(G207),"",IFERROR(VLOOKUP(G207,'CADASTRO DE MATERIAL'!$C$6:$J$500,8,FALSE),""))</f>
        <v/>
      </c>
      <c r="J207" s="54" t="str">
        <f t="shared" si="15"/>
        <v/>
      </c>
      <c r="K207" s="36"/>
      <c r="L207" s="49">
        <f t="shared" si="16"/>
        <v>0</v>
      </c>
      <c r="M207" s="54">
        <f t="shared" si="17"/>
        <v>0</v>
      </c>
      <c r="N207" s="66"/>
      <c r="O207" s="54">
        <f t="shared" si="18"/>
        <v>0</v>
      </c>
      <c r="P207" s="54" t="str">
        <f t="shared" si="19"/>
        <v/>
      </c>
    </row>
    <row r="208" spans="2:16" ht="16.8" hidden="1" customHeight="1" x14ac:dyDescent="0.4">
      <c r="B208" s="30" t="str">
        <f>IF(AND(ISBLANK(D208), ISBLANK(E208), ISBLANK(G208)), "", IF(AND(E208&lt;&gt;"", E208=E207, D208&lt;&gt;"", D208=D207), B207, "PED-" &amp; TEXT(IFERROR(VALUE(RIGHT(LOOKUP("PED-9999",$B$5:B207),4)),1000)+1, "0000")))</f>
        <v/>
      </c>
      <c r="C208" s="30" t="s">
        <v>241</v>
      </c>
      <c r="D208" s="42"/>
      <c r="E208" s="30"/>
      <c r="F208" s="30" t="str">
        <f>IF(ISBLANK(E208),"",IFERROR(VLOOKUP(E208,'CADASTRO DE CLIENTES'!$C$6:$E$500,3,FALSE),""))</f>
        <v/>
      </c>
      <c r="G208" s="30"/>
      <c r="H208" s="30"/>
      <c r="I208" s="51" t="str">
        <f>IF(ISBLANK(G208),"",IFERROR(VLOOKUP(G208,'CADASTRO DE MATERIAL'!$C$6:$J$500,8,FALSE),""))</f>
        <v/>
      </c>
      <c r="J208" s="59" t="str">
        <f t="shared" si="15"/>
        <v/>
      </c>
      <c r="K208" s="30"/>
      <c r="L208" s="51">
        <f t="shared" si="16"/>
        <v>0</v>
      </c>
      <c r="M208" s="59">
        <f t="shared" si="17"/>
        <v>0</v>
      </c>
      <c r="N208" s="65"/>
      <c r="O208" s="59">
        <f t="shared" si="18"/>
        <v>0</v>
      </c>
      <c r="P208" s="59" t="str">
        <f t="shared" si="19"/>
        <v/>
      </c>
    </row>
    <row r="209" spans="2:16" ht="16.8" hidden="1" customHeight="1" x14ac:dyDescent="0.4">
      <c r="B209" s="36" t="str">
        <f>IF(AND(ISBLANK(D209), ISBLANK(E209), ISBLANK(G209)), "", IF(AND(E209&lt;&gt;"", E209=E208, D209&lt;&gt;"", D209=D208), B208, "PED-" &amp; TEXT(IFERROR(VALUE(RIGHT(LOOKUP("PED-9999",$B$5:B208),4)),1000)+1, "0000")))</f>
        <v/>
      </c>
      <c r="C209" s="36" t="s">
        <v>242</v>
      </c>
      <c r="D209" s="41"/>
      <c r="E209" s="36"/>
      <c r="F209" s="36" t="str">
        <f>IF(ISBLANK(E209),"",IFERROR(VLOOKUP(E209,'CADASTRO DE CLIENTES'!$C$6:$E$500,3,FALSE),""))</f>
        <v/>
      </c>
      <c r="G209" s="36"/>
      <c r="H209" s="36"/>
      <c r="I209" s="49" t="str">
        <f>IF(ISBLANK(G209),"",IFERROR(VLOOKUP(G209,'CADASTRO DE MATERIAL'!$C$6:$J$500,8,FALSE),""))</f>
        <v/>
      </c>
      <c r="J209" s="54" t="str">
        <f t="shared" si="15"/>
        <v/>
      </c>
      <c r="K209" s="36"/>
      <c r="L209" s="49">
        <f t="shared" si="16"/>
        <v>0</v>
      </c>
      <c r="M209" s="54">
        <f t="shared" si="17"/>
        <v>0</v>
      </c>
      <c r="N209" s="66"/>
      <c r="O209" s="54">
        <f t="shared" si="18"/>
        <v>0</v>
      </c>
      <c r="P209" s="54" t="str">
        <f t="shared" si="19"/>
        <v/>
      </c>
    </row>
    <row r="210" spans="2:16" ht="16.8" hidden="1" customHeight="1" x14ac:dyDescent="0.4">
      <c r="B210" s="30" t="str">
        <f>IF(AND(ISBLANK(D210), ISBLANK(E210), ISBLANK(G210)), "", IF(AND(E210&lt;&gt;"", E210=E209, D210&lt;&gt;"", D210=D209), B209, "PED-" &amp; TEXT(IFERROR(VALUE(RIGHT(LOOKUP("PED-9999",$B$5:B209),4)),1000)+1, "0000")))</f>
        <v/>
      </c>
      <c r="C210" s="30" t="s">
        <v>243</v>
      </c>
      <c r="D210" s="42"/>
      <c r="E210" s="30"/>
      <c r="F210" s="30" t="str">
        <f>IF(ISBLANK(E210),"",IFERROR(VLOOKUP(E210,'CADASTRO DE CLIENTES'!$C$6:$E$500,3,FALSE),""))</f>
        <v/>
      </c>
      <c r="G210" s="30"/>
      <c r="H210" s="30"/>
      <c r="I210" s="51" t="str">
        <f>IF(ISBLANK(G210),"",IFERROR(VLOOKUP(G210,'CADASTRO DE MATERIAL'!$C$6:$J$500,8,FALSE),""))</f>
        <v/>
      </c>
      <c r="J210" s="59" t="str">
        <f t="shared" si="15"/>
        <v/>
      </c>
      <c r="K210" s="30"/>
      <c r="L210" s="51">
        <f t="shared" si="16"/>
        <v>0</v>
      </c>
      <c r="M210" s="59">
        <f t="shared" si="17"/>
        <v>0</v>
      </c>
      <c r="N210" s="65"/>
      <c r="O210" s="59">
        <f t="shared" si="18"/>
        <v>0</v>
      </c>
      <c r="P210" s="59" t="str">
        <f t="shared" si="19"/>
        <v/>
      </c>
    </row>
    <row r="211" spans="2:16" ht="16.8" hidden="1" customHeight="1" x14ac:dyDescent="0.4">
      <c r="B211" s="36" t="str">
        <f>IF(AND(ISBLANK(D211), ISBLANK(E211), ISBLANK(G211)), "", IF(AND(E211&lt;&gt;"", E211=E210, D211&lt;&gt;"", D211=D210), B210, "PED-" &amp; TEXT(IFERROR(VALUE(RIGHT(LOOKUP("PED-9999",$B$5:B210),4)),1000)+1, "0000")))</f>
        <v/>
      </c>
      <c r="C211" s="36" t="s">
        <v>244</v>
      </c>
      <c r="D211" s="41"/>
      <c r="E211" s="36"/>
      <c r="F211" s="36" t="str">
        <f>IF(ISBLANK(E211),"",IFERROR(VLOOKUP(E211,'CADASTRO DE CLIENTES'!$C$6:$E$500,3,FALSE),""))</f>
        <v/>
      </c>
      <c r="G211" s="36"/>
      <c r="H211" s="36"/>
      <c r="I211" s="49" t="str">
        <f>IF(ISBLANK(G211),"",IFERROR(VLOOKUP(G211,'CADASTRO DE MATERIAL'!$C$6:$J$500,8,FALSE),""))</f>
        <v/>
      </c>
      <c r="J211" s="54" t="str">
        <f t="shared" si="15"/>
        <v/>
      </c>
      <c r="K211" s="36"/>
      <c r="L211" s="49">
        <f t="shared" si="16"/>
        <v>0</v>
      </c>
      <c r="M211" s="54">
        <f t="shared" si="17"/>
        <v>0</v>
      </c>
      <c r="N211" s="66"/>
      <c r="O211" s="54">
        <f t="shared" si="18"/>
        <v>0</v>
      </c>
      <c r="P211" s="54" t="str">
        <f t="shared" si="19"/>
        <v/>
      </c>
    </row>
    <row r="212" spans="2:16" ht="16.8" hidden="1" customHeight="1" x14ac:dyDescent="0.4">
      <c r="B212" s="30" t="str">
        <f>IF(AND(ISBLANK(D212), ISBLANK(E212), ISBLANK(G212)), "", IF(AND(E212&lt;&gt;"", E212=E211, D212&lt;&gt;"", D212=D211), B211, "PED-" &amp; TEXT(IFERROR(VALUE(RIGHT(LOOKUP("PED-9999",$B$5:B211),4)),1000)+1, "0000")))</f>
        <v/>
      </c>
      <c r="C212" s="30" t="s">
        <v>245</v>
      </c>
      <c r="D212" s="42"/>
      <c r="E212" s="30"/>
      <c r="F212" s="30" t="str">
        <f>IF(ISBLANK(E212),"",IFERROR(VLOOKUP(E212,'CADASTRO DE CLIENTES'!$C$6:$E$500,3,FALSE),""))</f>
        <v/>
      </c>
      <c r="G212" s="30"/>
      <c r="H212" s="30"/>
      <c r="I212" s="51" t="str">
        <f>IF(ISBLANK(G212),"",IFERROR(VLOOKUP(G212,'CADASTRO DE MATERIAL'!$C$6:$J$500,8,FALSE),""))</f>
        <v/>
      </c>
      <c r="J212" s="59" t="str">
        <f t="shared" si="15"/>
        <v/>
      </c>
      <c r="K212" s="30"/>
      <c r="L212" s="51">
        <f t="shared" si="16"/>
        <v>0</v>
      </c>
      <c r="M212" s="59">
        <f t="shared" si="17"/>
        <v>0</v>
      </c>
      <c r="N212" s="65"/>
      <c r="O212" s="59">
        <f t="shared" si="18"/>
        <v>0</v>
      </c>
      <c r="P212" s="59" t="str">
        <f t="shared" si="19"/>
        <v/>
      </c>
    </row>
    <row r="213" spans="2:16" ht="16.8" hidden="1" customHeight="1" x14ac:dyDescent="0.4">
      <c r="B213" s="36" t="str">
        <f>IF(AND(ISBLANK(D213), ISBLANK(E213), ISBLANK(G213)), "", IF(AND(E213&lt;&gt;"", E213=E212, D213&lt;&gt;"", D213=D212), B212, "PED-" &amp; TEXT(IFERROR(VALUE(RIGHT(LOOKUP("PED-9999",$B$5:B212),4)),1000)+1, "0000")))</f>
        <v/>
      </c>
      <c r="C213" s="36" t="s">
        <v>246</v>
      </c>
      <c r="D213" s="41"/>
      <c r="E213" s="36"/>
      <c r="F213" s="36" t="str">
        <f>IF(ISBLANK(E213),"",IFERROR(VLOOKUP(E213,'CADASTRO DE CLIENTES'!$C$6:$E$500,3,FALSE),""))</f>
        <v/>
      </c>
      <c r="G213" s="36"/>
      <c r="H213" s="36"/>
      <c r="I213" s="49" t="str">
        <f>IF(ISBLANK(G213),"",IFERROR(VLOOKUP(G213,'CADASTRO DE MATERIAL'!$C$6:$J$500,8,FALSE),""))</f>
        <v/>
      </c>
      <c r="J213" s="54" t="str">
        <f t="shared" si="15"/>
        <v/>
      </c>
      <c r="K213" s="36"/>
      <c r="L213" s="49">
        <f t="shared" si="16"/>
        <v>0</v>
      </c>
      <c r="M213" s="54">
        <f t="shared" si="17"/>
        <v>0</v>
      </c>
      <c r="N213" s="66"/>
      <c r="O213" s="54">
        <f t="shared" si="18"/>
        <v>0</v>
      </c>
      <c r="P213" s="54" t="str">
        <f t="shared" si="19"/>
        <v/>
      </c>
    </row>
    <row r="214" spans="2:16" ht="16.8" hidden="1" customHeight="1" x14ac:dyDescent="0.4">
      <c r="B214" s="30" t="str">
        <f>IF(AND(ISBLANK(D214), ISBLANK(E214), ISBLANK(G214)), "", IF(AND(E214&lt;&gt;"", E214=E213, D214&lt;&gt;"", D214=D213), B213, "PED-" &amp; TEXT(IFERROR(VALUE(RIGHT(LOOKUP("PED-9999",$B$5:B213),4)),1000)+1, "0000")))</f>
        <v/>
      </c>
      <c r="C214" s="30" t="s">
        <v>247</v>
      </c>
      <c r="D214" s="42"/>
      <c r="E214" s="30"/>
      <c r="F214" s="30" t="str">
        <f>IF(ISBLANK(E214),"",IFERROR(VLOOKUP(E214,'CADASTRO DE CLIENTES'!$C$6:$E$500,3,FALSE),""))</f>
        <v/>
      </c>
      <c r="G214" s="30"/>
      <c r="H214" s="30"/>
      <c r="I214" s="51" t="str">
        <f>IF(ISBLANK(G214),"",IFERROR(VLOOKUP(G214,'CADASTRO DE MATERIAL'!$C$6:$J$500,8,FALSE),""))</f>
        <v/>
      </c>
      <c r="J214" s="59" t="str">
        <f t="shared" si="15"/>
        <v/>
      </c>
      <c r="K214" s="30"/>
      <c r="L214" s="51">
        <f t="shared" si="16"/>
        <v>0</v>
      </c>
      <c r="M214" s="59">
        <f t="shared" si="17"/>
        <v>0</v>
      </c>
      <c r="N214" s="65"/>
      <c r="O214" s="59">
        <f t="shared" si="18"/>
        <v>0</v>
      </c>
      <c r="P214" s="59" t="str">
        <f t="shared" si="19"/>
        <v/>
      </c>
    </row>
    <row r="215" spans="2:16" ht="16.8" hidden="1" customHeight="1" x14ac:dyDescent="0.4">
      <c r="B215" s="36" t="str">
        <f>IF(AND(ISBLANK(D215), ISBLANK(E215), ISBLANK(G215)), "", IF(AND(E215&lt;&gt;"", E215=E214, D215&lt;&gt;"", D215=D214), B214, "PED-" &amp; TEXT(IFERROR(VALUE(RIGHT(LOOKUP("PED-9999",$B$5:B214),4)),1000)+1, "0000")))</f>
        <v/>
      </c>
      <c r="C215" s="36" t="s">
        <v>248</v>
      </c>
      <c r="D215" s="41"/>
      <c r="E215" s="36"/>
      <c r="F215" s="36" t="str">
        <f>IF(ISBLANK(E215),"",IFERROR(VLOOKUP(E215,'CADASTRO DE CLIENTES'!$C$6:$E$500,3,FALSE),""))</f>
        <v/>
      </c>
      <c r="G215" s="36"/>
      <c r="H215" s="36"/>
      <c r="I215" s="49" t="str">
        <f>IF(ISBLANK(G215),"",IFERROR(VLOOKUP(G215,'CADASTRO DE MATERIAL'!$C$6:$J$500,8,FALSE),""))</f>
        <v/>
      </c>
      <c r="J215" s="54" t="str">
        <f t="shared" si="15"/>
        <v/>
      </c>
      <c r="K215" s="36"/>
      <c r="L215" s="49">
        <f t="shared" si="16"/>
        <v>0</v>
      </c>
      <c r="M215" s="54">
        <f t="shared" si="17"/>
        <v>0</v>
      </c>
      <c r="N215" s="66"/>
      <c r="O215" s="54">
        <f t="shared" si="18"/>
        <v>0</v>
      </c>
      <c r="P215" s="54" t="str">
        <f t="shared" si="19"/>
        <v/>
      </c>
    </row>
    <row r="216" spans="2:16" ht="16.8" hidden="1" customHeight="1" x14ac:dyDescent="0.4">
      <c r="B216" s="30" t="str">
        <f>IF(AND(ISBLANK(D216), ISBLANK(E216), ISBLANK(G216)), "", IF(AND(E216&lt;&gt;"", E216=E215, D216&lt;&gt;"", D216=D215), B215, "PED-" &amp; TEXT(IFERROR(VALUE(RIGHT(LOOKUP("PED-9999",$B$5:B215),4)),1000)+1, "0000")))</f>
        <v/>
      </c>
      <c r="C216" s="30" t="s">
        <v>249</v>
      </c>
      <c r="D216" s="42"/>
      <c r="E216" s="30"/>
      <c r="F216" s="30" t="str">
        <f>IF(ISBLANK(E216),"",IFERROR(VLOOKUP(E216,'CADASTRO DE CLIENTES'!$C$6:$E$500,3,FALSE),""))</f>
        <v/>
      </c>
      <c r="G216" s="30"/>
      <c r="H216" s="30"/>
      <c r="I216" s="51" t="str">
        <f>IF(ISBLANK(G216),"",IFERROR(VLOOKUP(G216,'CADASTRO DE MATERIAL'!$C$6:$J$500,8,FALSE),""))</f>
        <v/>
      </c>
      <c r="J216" s="59" t="str">
        <f t="shared" si="15"/>
        <v/>
      </c>
      <c r="K216" s="30"/>
      <c r="L216" s="51">
        <f t="shared" si="16"/>
        <v>0</v>
      </c>
      <c r="M216" s="59">
        <f t="shared" si="17"/>
        <v>0</v>
      </c>
      <c r="N216" s="65"/>
      <c r="O216" s="59">
        <f t="shared" si="18"/>
        <v>0</v>
      </c>
      <c r="P216" s="59" t="str">
        <f t="shared" si="19"/>
        <v/>
      </c>
    </row>
    <row r="217" spans="2:16" ht="16.8" hidden="1" customHeight="1" x14ac:dyDescent="0.4">
      <c r="B217" s="36" t="str">
        <f>IF(AND(ISBLANK(D217), ISBLANK(E217), ISBLANK(G217)), "", IF(AND(E217&lt;&gt;"", E217=E216, D217&lt;&gt;"", D217=D216), B216, "PED-" &amp; TEXT(IFERROR(VALUE(RIGHT(LOOKUP("PED-9999",$B$5:B216),4)),1000)+1, "0000")))</f>
        <v/>
      </c>
      <c r="C217" s="36" t="s">
        <v>250</v>
      </c>
      <c r="D217" s="41"/>
      <c r="E217" s="36"/>
      <c r="F217" s="36" t="str">
        <f>IF(ISBLANK(E217),"",IFERROR(VLOOKUP(E217,'CADASTRO DE CLIENTES'!$C$6:$E$500,3,FALSE),""))</f>
        <v/>
      </c>
      <c r="G217" s="36"/>
      <c r="H217" s="36"/>
      <c r="I217" s="49" t="str">
        <f>IF(ISBLANK(G217),"",IFERROR(VLOOKUP(G217,'CADASTRO DE MATERIAL'!$C$6:$J$500,8,FALSE),""))</f>
        <v/>
      </c>
      <c r="J217" s="54" t="str">
        <f t="shared" si="15"/>
        <v/>
      </c>
      <c r="K217" s="36"/>
      <c r="L217" s="49">
        <f t="shared" si="16"/>
        <v>0</v>
      </c>
      <c r="M217" s="54">
        <f t="shared" si="17"/>
        <v>0</v>
      </c>
      <c r="N217" s="66"/>
      <c r="O217" s="54">
        <f t="shared" si="18"/>
        <v>0</v>
      </c>
      <c r="P217" s="54" t="str">
        <f t="shared" si="19"/>
        <v/>
      </c>
    </row>
    <row r="218" spans="2:16" ht="16.8" hidden="1" customHeight="1" x14ac:dyDescent="0.4">
      <c r="B218" s="30" t="str">
        <f>IF(AND(ISBLANK(D218), ISBLANK(E218), ISBLANK(G218)), "", IF(AND(E218&lt;&gt;"", E218=E217, D218&lt;&gt;"", D218=D217), B217, "PED-" &amp; TEXT(IFERROR(VALUE(RIGHT(LOOKUP("PED-9999",$B$5:B217),4)),1000)+1, "0000")))</f>
        <v/>
      </c>
      <c r="C218" s="30" t="s">
        <v>251</v>
      </c>
      <c r="D218" s="42"/>
      <c r="E218" s="30"/>
      <c r="F218" s="30" t="str">
        <f>IF(ISBLANK(E218),"",IFERROR(VLOOKUP(E218,'CADASTRO DE CLIENTES'!$C$6:$E$500,3,FALSE),""))</f>
        <v/>
      </c>
      <c r="G218" s="30"/>
      <c r="H218" s="30"/>
      <c r="I218" s="51" t="str">
        <f>IF(ISBLANK(G218),"",IFERROR(VLOOKUP(G218,'CADASTRO DE MATERIAL'!$C$6:$J$500,8,FALSE),""))</f>
        <v/>
      </c>
      <c r="J218" s="59" t="str">
        <f t="shared" si="15"/>
        <v/>
      </c>
      <c r="K218" s="30"/>
      <c r="L218" s="51">
        <f t="shared" si="16"/>
        <v>0</v>
      </c>
      <c r="M218" s="59">
        <f t="shared" si="17"/>
        <v>0</v>
      </c>
      <c r="N218" s="65"/>
      <c r="O218" s="59">
        <f t="shared" si="18"/>
        <v>0</v>
      </c>
      <c r="P218" s="59" t="str">
        <f t="shared" si="19"/>
        <v/>
      </c>
    </row>
    <row r="219" spans="2:16" ht="16.8" hidden="1" customHeight="1" x14ac:dyDescent="0.4">
      <c r="B219" s="36" t="str">
        <f>IF(AND(ISBLANK(D219), ISBLANK(E219), ISBLANK(G219)), "", IF(AND(E219&lt;&gt;"", E219=E218, D219&lt;&gt;"", D219=D218), B218, "PED-" &amp; TEXT(IFERROR(VALUE(RIGHT(LOOKUP("PED-9999",$B$5:B218),4)),1000)+1, "0000")))</f>
        <v/>
      </c>
      <c r="C219" s="36" t="s">
        <v>252</v>
      </c>
      <c r="D219" s="41"/>
      <c r="E219" s="36"/>
      <c r="F219" s="36" t="str">
        <f>IF(ISBLANK(E219),"",IFERROR(VLOOKUP(E219,'CADASTRO DE CLIENTES'!$C$6:$E$500,3,FALSE),""))</f>
        <v/>
      </c>
      <c r="G219" s="36"/>
      <c r="H219" s="36"/>
      <c r="I219" s="49" t="str">
        <f>IF(ISBLANK(G219),"",IFERROR(VLOOKUP(G219,'CADASTRO DE MATERIAL'!$C$6:$J$500,8,FALSE),""))</f>
        <v/>
      </c>
      <c r="J219" s="54" t="str">
        <f t="shared" si="15"/>
        <v/>
      </c>
      <c r="K219" s="36"/>
      <c r="L219" s="49">
        <f t="shared" si="16"/>
        <v>0</v>
      </c>
      <c r="M219" s="54">
        <f t="shared" si="17"/>
        <v>0</v>
      </c>
      <c r="N219" s="66"/>
      <c r="O219" s="54">
        <f t="shared" si="18"/>
        <v>0</v>
      </c>
      <c r="P219" s="54" t="str">
        <f t="shared" si="19"/>
        <v/>
      </c>
    </row>
    <row r="220" spans="2:16" ht="16.8" hidden="1" customHeight="1" x14ac:dyDescent="0.4">
      <c r="B220" s="30" t="str">
        <f>IF(AND(ISBLANK(D220), ISBLANK(E220), ISBLANK(G220)), "", IF(AND(E220&lt;&gt;"", E220=E219, D220&lt;&gt;"", D220=D219), B219, "PED-" &amp; TEXT(IFERROR(VALUE(RIGHT(LOOKUP("PED-9999",$B$5:B219),4)),1000)+1, "0000")))</f>
        <v/>
      </c>
      <c r="C220" s="30" t="s">
        <v>253</v>
      </c>
      <c r="D220" s="42"/>
      <c r="E220" s="30"/>
      <c r="F220" s="30" t="str">
        <f>IF(ISBLANK(E220),"",IFERROR(VLOOKUP(E220,'CADASTRO DE CLIENTES'!$C$6:$E$500,3,FALSE),""))</f>
        <v/>
      </c>
      <c r="G220" s="30"/>
      <c r="H220" s="30"/>
      <c r="I220" s="51" t="str">
        <f>IF(ISBLANK(G220),"",IFERROR(VLOOKUP(G220,'CADASTRO DE MATERIAL'!$C$6:$J$500,8,FALSE),""))</f>
        <v/>
      </c>
      <c r="J220" s="59" t="str">
        <f t="shared" si="15"/>
        <v/>
      </c>
      <c r="K220" s="30"/>
      <c r="L220" s="51">
        <f t="shared" si="16"/>
        <v>0</v>
      </c>
      <c r="M220" s="59">
        <f t="shared" si="17"/>
        <v>0</v>
      </c>
      <c r="N220" s="65"/>
      <c r="O220" s="59">
        <f t="shared" si="18"/>
        <v>0</v>
      </c>
      <c r="P220" s="59" t="str">
        <f t="shared" si="19"/>
        <v/>
      </c>
    </row>
    <row r="221" spans="2:16" ht="16.8" hidden="1" customHeight="1" x14ac:dyDescent="0.4">
      <c r="B221" s="36" t="str">
        <f>IF(AND(ISBLANK(D221), ISBLANK(E221), ISBLANK(G221)), "", IF(AND(E221&lt;&gt;"", E221=E220, D221&lt;&gt;"", D221=D220), B220, "PED-" &amp; TEXT(IFERROR(VALUE(RIGHT(LOOKUP("PED-9999",$B$5:B220),4)),1000)+1, "0000")))</f>
        <v/>
      </c>
      <c r="C221" s="36" t="s">
        <v>254</v>
      </c>
      <c r="D221" s="41"/>
      <c r="E221" s="36"/>
      <c r="F221" s="36" t="str">
        <f>IF(ISBLANK(E221),"",IFERROR(VLOOKUP(E221,'CADASTRO DE CLIENTES'!$C$6:$E$500,3,FALSE),""))</f>
        <v/>
      </c>
      <c r="G221" s="36"/>
      <c r="H221" s="36"/>
      <c r="I221" s="49" t="str">
        <f>IF(ISBLANK(G221),"",IFERROR(VLOOKUP(G221,'CADASTRO DE MATERIAL'!$C$6:$J$500,8,FALSE),""))</f>
        <v/>
      </c>
      <c r="J221" s="54" t="str">
        <f t="shared" si="15"/>
        <v/>
      </c>
      <c r="K221" s="36"/>
      <c r="L221" s="49">
        <f t="shared" si="16"/>
        <v>0</v>
      </c>
      <c r="M221" s="54">
        <f t="shared" si="17"/>
        <v>0</v>
      </c>
      <c r="N221" s="66"/>
      <c r="O221" s="54">
        <f t="shared" si="18"/>
        <v>0</v>
      </c>
      <c r="P221" s="54" t="str">
        <f t="shared" si="19"/>
        <v/>
      </c>
    </row>
    <row r="222" spans="2:16" ht="16.8" hidden="1" customHeight="1" x14ac:dyDescent="0.4">
      <c r="B222" s="30" t="str">
        <f>IF(AND(ISBLANK(D222), ISBLANK(E222), ISBLANK(G222)), "", IF(AND(E222&lt;&gt;"", E222=E221, D222&lt;&gt;"", D222=D221), B221, "PED-" &amp; TEXT(IFERROR(VALUE(RIGHT(LOOKUP("PED-9999",$B$5:B221),4)),1000)+1, "0000")))</f>
        <v/>
      </c>
      <c r="C222" s="30" t="s">
        <v>255</v>
      </c>
      <c r="D222" s="42"/>
      <c r="E222" s="30"/>
      <c r="F222" s="30" t="str">
        <f>IF(ISBLANK(E222),"",IFERROR(VLOOKUP(E222,'CADASTRO DE CLIENTES'!$C$6:$E$500,3,FALSE),""))</f>
        <v/>
      </c>
      <c r="G222" s="30"/>
      <c r="H222" s="30"/>
      <c r="I222" s="51" t="str">
        <f>IF(ISBLANK(G222),"",IFERROR(VLOOKUP(G222,'CADASTRO DE MATERIAL'!$C$6:$J$500,8,FALSE),""))</f>
        <v/>
      </c>
      <c r="J222" s="59" t="str">
        <f t="shared" si="15"/>
        <v/>
      </c>
      <c r="K222" s="30"/>
      <c r="L222" s="51">
        <f t="shared" si="16"/>
        <v>0</v>
      </c>
      <c r="M222" s="59">
        <f t="shared" si="17"/>
        <v>0</v>
      </c>
      <c r="N222" s="65"/>
      <c r="O222" s="59">
        <f t="shared" si="18"/>
        <v>0</v>
      </c>
      <c r="P222" s="59" t="str">
        <f t="shared" si="19"/>
        <v/>
      </c>
    </row>
    <row r="223" spans="2:16" ht="16.8" hidden="1" customHeight="1" x14ac:dyDescent="0.4">
      <c r="B223" s="36" t="str">
        <f>IF(AND(ISBLANK(D223), ISBLANK(E223), ISBLANK(G223)), "", IF(AND(E223&lt;&gt;"", E223=E222, D223&lt;&gt;"", D223=D222), B222, "PED-" &amp; TEXT(IFERROR(VALUE(RIGHT(LOOKUP("PED-9999",$B$5:B222),4)),1000)+1, "0000")))</f>
        <v/>
      </c>
      <c r="C223" s="36" t="s">
        <v>256</v>
      </c>
      <c r="D223" s="41"/>
      <c r="E223" s="36"/>
      <c r="F223" s="36" t="str">
        <f>IF(ISBLANK(E223),"",IFERROR(VLOOKUP(E223,'CADASTRO DE CLIENTES'!$C$6:$E$500,3,FALSE),""))</f>
        <v/>
      </c>
      <c r="G223" s="36"/>
      <c r="H223" s="36"/>
      <c r="I223" s="49" t="str">
        <f>IF(ISBLANK(G223),"",IFERROR(VLOOKUP(G223,'CADASTRO DE MATERIAL'!$C$6:$J$500,8,FALSE),""))</f>
        <v/>
      </c>
      <c r="J223" s="54" t="str">
        <f t="shared" si="15"/>
        <v/>
      </c>
      <c r="K223" s="36"/>
      <c r="L223" s="49">
        <f t="shared" si="16"/>
        <v>0</v>
      </c>
      <c r="M223" s="54">
        <f t="shared" si="17"/>
        <v>0</v>
      </c>
      <c r="N223" s="66"/>
      <c r="O223" s="54">
        <f t="shared" si="18"/>
        <v>0</v>
      </c>
      <c r="P223" s="54" t="str">
        <f t="shared" si="19"/>
        <v/>
      </c>
    </row>
    <row r="224" spans="2:16" ht="16.8" hidden="1" customHeight="1" x14ac:dyDescent="0.4">
      <c r="B224" s="30" t="str">
        <f>IF(AND(ISBLANK(D224), ISBLANK(E224), ISBLANK(G224)), "", IF(AND(E224&lt;&gt;"", E224=E223, D224&lt;&gt;"", D224=D223), B223, "PED-" &amp; TEXT(IFERROR(VALUE(RIGHT(LOOKUP("PED-9999",$B$5:B223),4)),1000)+1, "0000")))</f>
        <v/>
      </c>
      <c r="C224" s="30" t="s">
        <v>257</v>
      </c>
      <c r="D224" s="42"/>
      <c r="E224" s="30"/>
      <c r="F224" s="30" t="str">
        <f>IF(ISBLANK(E224),"",IFERROR(VLOOKUP(E224,'CADASTRO DE CLIENTES'!$C$6:$E$500,3,FALSE),""))</f>
        <v/>
      </c>
      <c r="G224" s="30"/>
      <c r="H224" s="30"/>
      <c r="I224" s="51" t="str">
        <f>IF(ISBLANK(G224),"",IFERROR(VLOOKUP(G224,'CADASTRO DE MATERIAL'!$C$6:$J$500,8,FALSE),""))</f>
        <v/>
      </c>
      <c r="J224" s="59" t="str">
        <f t="shared" si="15"/>
        <v/>
      </c>
      <c r="K224" s="30"/>
      <c r="L224" s="51">
        <f t="shared" si="16"/>
        <v>0</v>
      </c>
      <c r="M224" s="59">
        <f t="shared" si="17"/>
        <v>0</v>
      </c>
      <c r="N224" s="65"/>
      <c r="O224" s="59">
        <f t="shared" si="18"/>
        <v>0</v>
      </c>
      <c r="P224" s="59" t="str">
        <f t="shared" si="19"/>
        <v/>
      </c>
    </row>
    <row r="225" spans="2:16" ht="16.8" hidden="1" customHeight="1" x14ac:dyDescent="0.4">
      <c r="B225" s="36" t="str">
        <f>IF(AND(ISBLANK(D225), ISBLANK(E225), ISBLANK(G225)), "", IF(AND(E225&lt;&gt;"", E225=E224, D225&lt;&gt;"", D225=D224), B224, "PED-" &amp; TEXT(IFERROR(VALUE(RIGHT(LOOKUP("PED-9999",$B$5:B224),4)),1000)+1, "0000")))</f>
        <v/>
      </c>
      <c r="C225" s="36" t="s">
        <v>258</v>
      </c>
      <c r="D225" s="41"/>
      <c r="E225" s="36"/>
      <c r="F225" s="36" t="str">
        <f>IF(ISBLANK(E225),"",IFERROR(VLOOKUP(E225,'CADASTRO DE CLIENTES'!$C$6:$E$500,3,FALSE),""))</f>
        <v/>
      </c>
      <c r="G225" s="36"/>
      <c r="H225" s="36"/>
      <c r="I225" s="49" t="str">
        <f>IF(ISBLANK(G225),"",IFERROR(VLOOKUP(G225,'CADASTRO DE MATERIAL'!$C$6:$J$500,8,FALSE),""))</f>
        <v/>
      </c>
      <c r="J225" s="54" t="str">
        <f t="shared" si="15"/>
        <v/>
      </c>
      <c r="K225" s="36"/>
      <c r="L225" s="49">
        <f t="shared" si="16"/>
        <v>0</v>
      </c>
      <c r="M225" s="54">
        <f t="shared" si="17"/>
        <v>0</v>
      </c>
      <c r="N225" s="66"/>
      <c r="O225" s="54">
        <f t="shared" si="18"/>
        <v>0</v>
      </c>
      <c r="P225" s="54" t="str">
        <f t="shared" si="19"/>
        <v/>
      </c>
    </row>
    <row r="226" spans="2:16" ht="16.8" hidden="1" customHeight="1" x14ac:dyDescent="0.4">
      <c r="B226" s="30" t="str">
        <f>IF(AND(ISBLANK(D226), ISBLANK(E226), ISBLANK(G226)), "", IF(AND(E226&lt;&gt;"", E226=E225, D226&lt;&gt;"", D226=D225), B225, "PED-" &amp; TEXT(IFERROR(VALUE(RIGHT(LOOKUP("PED-9999",$B$5:B225),4)),1000)+1, "0000")))</f>
        <v/>
      </c>
      <c r="C226" s="30" t="s">
        <v>259</v>
      </c>
      <c r="D226" s="42"/>
      <c r="E226" s="30"/>
      <c r="F226" s="30" t="str">
        <f>IF(ISBLANK(E226),"",IFERROR(VLOOKUP(E226,'CADASTRO DE CLIENTES'!$C$6:$E$500,3,FALSE),""))</f>
        <v/>
      </c>
      <c r="G226" s="30"/>
      <c r="H226" s="30"/>
      <c r="I226" s="51" t="str">
        <f>IF(ISBLANK(G226),"",IFERROR(VLOOKUP(G226,'CADASTRO DE MATERIAL'!$C$6:$J$500,8,FALSE),""))</f>
        <v/>
      </c>
      <c r="J226" s="59" t="str">
        <f t="shared" si="15"/>
        <v/>
      </c>
      <c r="K226" s="30"/>
      <c r="L226" s="51">
        <f t="shared" si="16"/>
        <v>0</v>
      </c>
      <c r="M226" s="59">
        <f t="shared" si="17"/>
        <v>0</v>
      </c>
      <c r="N226" s="65"/>
      <c r="O226" s="59">
        <f t="shared" si="18"/>
        <v>0</v>
      </c>
      <c r="P226" s="59" t="str">
        <f t="shared" si="19"/>
        <v/>
      </c>
    </row>
    <row r="227" spans="2:16" ht="16.8" hidden="1" customHeight="1" x14ac:dyDescent="0.4">
      <c r="B227" s="36" t="str">
        <f>IF(AND(ISBLANK(D227), ISBLANK(E227), ISBLANK(G227)), "", IF(AND(E227&lt;&gt;"", E227=E226, D227&lt;&gt;"", D227=D226), B226, "PED-" &amp; TEXT(IFERROR(VALUE(RIGHT(LOOKUP("PED-9999",$B$5:B226),4)),1000)+1, "0000")))</f>
        <v/>
      </c>
      <c r="C227" s="36" t="s">
        <v>260</v>
      </c>
      <c r="D227" s="41"/>
      <c r="E227" s="36"/>
      <c r="F227" s="36" t="str">
        <f>IF(ISBLANK(E227),"",IFERROR(VLOOKUP(E227,'CADASTRO DE CLIENTES'!$C$6:$E$500,3,FALSE),""))</f>
        <v/>
      </c>
      <c r="G227" s="36"/>
      <c r="H227" s="36"/>
      <c r="I227" s="49" t="str">
        <f>IF(ISBLANK(G227),"",IFERROR(VLOOKUP(G227,'CADASTRO DE MATERIAL'!$C$6:$J$500,8,FALSE),""))</f>
        <v/>
      </c>
      <c r="J227" s="54" t="str">
        <f t="shared" si="15"/>
        <v/>
      </c>
      <c r="K227" s="36"/>
      <c r="L227" s="49">
        <f t="shared" si="16"/>
        <v>0</v>
      </c>
      <c r="M227" s="54">
        <f t="shared" si="17"/>
        <v>0</v>
      </c>
      <c r="N227" s="66"/>
      <c r="O227" s="54">
        <f t="shared" si="18"/>
        <v>0</v>
      </c>
      <c r="P227" s="54" t="str">
        <f t="shared" si="19"/>
        <v/>
      </c>
    </row>
    <row r="228" spans="2:16" ht="16.8" hidden="1" customHeight="1" x14ac:dyDescent="0.4">
      <c r="B228" s="30" t="str">
        <f>IF(AND(ISBLANK(D228), ISBLANK(E228), ISBLANK(G228)), "", IF(AND(E228&lt;&gt;"", E228=E227, D228&lt;&gt;"", D228=D227), B227, "PED-" &amp; TEXT(IFERROR(VALUE(RIGHT(LOOKUP("PED-9999",$B$5:B227),4)),1000)+1, "0000")))</f>
        <v/>
      </c>
      <c r="C228" s="30" t="s">
        <v>261</v>
      </c>
      <c r="D228" s="42"/>
      <c r="E228" s="30"/>
      <c r="F228" s="30" t="str">
        <f>IF(ISBLANK(E228),"",IFERROR(VLOOKUP(E228,'CADASTRO DE CLIENTES'!$C$6:$E$500,3,FALSE),""))</f>
        <v/>
      </c>
      <c r="G228" s="30"/>
      <c r="H228" s="30"/>
      <c r="I228" s="51" t="str">
        <f>IF(ISBLANK(G228),"",IFERROR(VLOOKUP(G228,'CADASTRO DE MATERIAL'!$C$6:$J$500,8,FALSE),""))</f>
        <v/>
      </c>
      <c r="J228" s="59" t="str">
        <f t="shared" si="15"/>
        <v/>
      </c>
      <c r="K228" s="30"/>
      <c r="L228" s="51">
        <f t="shared" si="16"/>
        <v>0</v>
      </c>
      <c r="M228" s="59">
        <f t="shared" si="17"/>
        <v>0</v>
      </c>
      <c r="N228" s="65"/>
      <c r="O228" s="59">
        <f t="shared" si="18"/>
        <v>0</v>
      </c>
      <c r="P228" s="59" t="str">
        <f t="shared" si="19"/>
        <v/>
      </c>
    </row>
    <row r="229" spans="2:16" ht="16.8" hidden="1" customHeight="1" x14ac:dyDescent="0.4">
      <c r="B229" s="36" t="str">
        <f>IF(AND(ISBLANK(D229), ISBLANK(E229), ISBLANK(G229)), "", IF(AND(E229&lt;&gt;"", E229=E228, D229&lt;&gt;"", D229=D228), B228, "PED-" &amp; TEXT(IFERROR(VALUE(RIGHT(LOOKUP("PED-9999",$B$5:B228),4)),1000)+1, "0000")))</f>
        <v/>
      </c>
      <c r="C229" s="36" t="s">
        <v>262</v>
      </c>
      <c r="D229" s="41"/>
      <c r="E229" s="36"/>
      <c r="F229" s="36" t="str">
        <f>IF(ISBLANK(E229),"",IFERROR(VLOOKUP(E229,'CADASTRO DE CLIENTES'!$C$6:$E$500,3,FALSE),""))</f>
        <v/>
      </c>
      <c r="G229" s="36"/>
      <c r="H229" s="36"/>
      <c r="I229" s="49" t="str">
        <f>IF(ISBLANK(G229),"",IFERROR(VLOOKUP(G229,'CADASTRO DE MATERIAL'!$C$6:$J$500,8,FALSE),""))</f>
        <v/>
      </c>
      <c r="J229" s="54" t="str">
        <f t="shared" si="15"/>
        <v/>
      </c>
      <c r="K229" s="36"/>
      <c r="L229" s="49">
        <f t="shared" si="16"/>
        <v>0</v>
      </c>
      <c r="M229" s="54">
        <f t="shared" si="17"/>
        <v>0</v>
      </c>
      <c r="N229" s="66"/>
      <c r="O229" s="54">
        <f t="shared" si="18"/>
        <v>0</v>
      </c>
      <c r="P229" s="54" t="str">
        <f t="shared" si="19"/>
        <v/>
      </c>
    </row>
    <row r="230" spans="2:16" ht="16.8" hidden="1" customHeight="1" x14ac:dyDescent="0.4">
      <c r="B230" s="30" t="str">
        <f>IF(AND(ISBLANK(D230), ISBLANK(E230), ISBLANK(G230)), "", IF(AND(E230&lt;&gt;"", E230=E229, D230&lt;&gt;"", D230=D229), B229, "PED-" &amp; TEXT(IFERROR(VALUE(RIGHT(LOOKUP("PED-9999",$B$5:B229),4)),1000)+1, "0000")))</f>
        <v/>
      </c>
      <c r="C230" s="30" t="s">
        <v>263</v>
      </c>
      <c r="D230" s="42"/>
      <c r="E230" s="30"/>
      <c r="F230" s="30" t="str">
        <f>IF(ISBLANK(E230),"",IFERROR(VLOOKUP(E230,'CADASTRO DE CLIENTES'!$C$6:$E$500,3,FALSE),""))</f>
        <v/>
      </c>
      <c r="G230" s="30"/>
      <c r="H230" s="30"/>
      <c r="I230" s="51" t="str">
        <f>IF(ISBLANK(G230),"",IFERROR(VLOOKUP(G230,'CADASTRO DE MATERIAL'!$C$6:$J$500,8,FALSE),""))</f>
        <v/>
      </c>
      <c r="J230" s="59" t="str">
        <f t="shared" si="15"/>
        <v/>
      </c>
      <c r="K230" s="30"/>
      <c r="L230" s="51">
        <f t="shared" si="16"/>
        <v>0</v>
      </c>
      <c r="M230" s="59">
        <f t="shared" si="17"/>
        <v>0</v>
      </c>
      <c r="N230" s="65"/>
      <c r="O230" s="59">
        <f t="shared" si="18"/>
        <v>0</v>
      </c>
      <c r="P230" s="59" t="str">
        <f t="shared" si="19"/>
        <v/>
      </c>
    </row>
    <row r="231" spans="2:16" ht="16.8" hidden="1" customHeight="1" x14ac:dyDescent="0.4">
      <c r="B231" s="36" t="str">
        <f>IF(AND(ISBLANK(D231), ISBLANK(E231), ISBLANK(G231)), "", IF(AND(E231&lt;&gt;"", E231=E230, D231&lt;&gt;"", D231=D230), B230, "PED-" &amp; TEXT(IFERROR(VALUE(RIGHT(LOOKUP("PED-9999",$B$5:B230),4)),1000)+1, "0000")))</f>
        <v/>
      </c>
      <c r="C231" s="36" t="s">
        <v>264</v>
      </c>
      <c r="D231" s="41"/>
      <c r="E231" s="36"/>
      <c r="F231" s="36" t="str">
        <f>IF(ISBLANK(E231),"",IFERROR(VLOOKUP(E231,'CADASTRO DE CLIENTES'!$C$6:$E$500,3,FALSE),""))</f>
        <v/>
      </c>
      <c r="G231" s="36"/>
      <c r="H231" s="36"/>
      <c r="I231" s="49" t="str">
        <f>IF(ISBLANK(G231),"",IFERROR(VLOOKUP(G231,'CADASTRO DE MATERIAL'!$C$6:$J$500,8,FALSE),""))</f>
        <v/>
      </c>
      <c r="J231" s="54" t="str">
        <f t="shared" si="15"/>
        <v/>
      </c>
      <c r="K231" s="36"/>
      <c r="L231" s="49">
        <f t="shared" si="16"/>
        <v>0</v>
      </c>
      <c r="M231" s="54">
        <f t="shared" si="17"/>
        <v>0</v>
      </c>
      <c r="N231" s="66"/>
      <c r="O231" s="54">
        <f t="shared" si="18"/>
        <v>0</v>
      </c>
      <c r="P231" s="54" t="str">
        <f t="shared" si="19"/>
        <v/>
      </c>
    </row>
    <row r="232" spans="2:16" ht="16.8" hidden="1" customHeight="1" x14ac:dyDescent="0.4">
      <c r="B232" s="30" t="str">
        <f>IF(AND(ISBLANK(D232), ISBLANK(E232), ISBLANK(G232)), "", IF(AND(E232&lt;&gt;"", E232=E231, D232&lt;&gt;"", D232=D231), B231, "PED-" &amp; TEXT(IFERROR(VALUE(RIGHT(LOOKUP("PED-9999",$B$5:B231),4)),1000)+1, "0000")))</f>
        <v/>
      </c>
      <c r="C232" s="30" t="s">
        <v>265</v>
      </c>
      <c r="D232" s="42"/>
      <c r="E232" s="30"/>
      <c r="F232" s="30" t="str">
        <f>IF(ISBLANK(E232),"",IFERROR(VLOOKUP(E232,'CADASTRO DE CLIENTES'!$C$6:$E$500,3,FALSE),""))</f>
        <v/>
      </c>
      <c r="G232" s="30"/>
      <c r="H232" s="30"/>
      <c r="I232" s="51" t="str">
        <f>IF(ISBLANK(G232),"",IFERROR(VLOOKUP(G232,'CADASTRO DE MATERIAL'!$C$6:$J$500,8,FALSE),""))</f>
        <v/>
      </c>
      <c r="J232" s="59" t="str">
        <f t="shared" si="15"/>
        <v/>
      </c>
      <c r="K232" s="30"/>
      <c r="L232" s="51">
        <f t="shared" si="16"/>
        <v>0</v>
      </c>
      <c r="M232" s="59">
        <f t="shared" si="17"/>
        <v>0</v>
      </c>
      <c r="N232" s="65"/>
      <c r="O232" s="59">
        <f t="shared" si="18"/>
        <v>0</v>
      </c>
      <c r="P232" s="59" t="str">
        <f t="shared" si="19"/>
        <v/>
      </c>
    </row>
    <row r="233" spans="2:16" ht="16.8" hidden="1" customHeight="1" x14ac:dyDescent="0.4">
      <c r="B233" s="36" t="str">
        <f>IF(AND(ISBLANK(D233), ISBLANK(E233), ISBLANK(G233)), "", IF(AND(E233&lt;&gt;"", E233=E232, D233&lt;&gt;"", D233=D232), B232, "PED-" &amp; TEXT(IFERROR(VALUE(RIGHT(LOOKUP("PED-9999",$B$5:B232),4)),1000)+1, "0000")))</f>
        <v/>
      </c>
      <c r="C233" s="36" t="s">
        <v>266</v>
      </c>
      <c r="D233" s="41"/>
      <c r="E233" s="36"/>
      <c r="F233" s="36" t="str">
        <f>IF(ISBLANK(E233),"",IFERROR(VLOOKUP(E233,'CADASTRO DE CLIENTES'!$C$6:$E$500,3,FALSE),""))</f>
        <v/>
      </c>
      <c r="G233" s="36"/>
      <c r="H233" s="36"/>
      <c r="I233" s="49" t="str">
        <f>IF(ISBLANK(G233),"",IFERROR(VLOOKUP(G233,'CADASTRO DE MATERIAL'!$C$6:$J$500,8,FALSE),""))</f>
        <v/>
      </c>
      <c r="J233" s="54" t="str">
        <f t="shared" si="15"/>
        <v/>
      </c>
      <c r="K233" s="36"/>
      <c r="L233" s="49">
        <f t="shared" si="16"/>
        <v>0</v>
      </c>
      <c r="M233" s="54">
        <f t="shared" si="17"/>
        <v>0</v>
      </c>
      <c r="N233" s="66"/>
      <c r="O233" s="54">
        <f t="shared" si="18"/>
        <v>0</v>
      </c>
      <c r="P233" s="54" t="str">
        <f t="shared" si="19"/>
        <v/>
      </c>
    </row>
    <row r="234" spans="2:16" ht="16.8" hidden="1" customHeight="1" x14ac:dyDescent="0.4">
      <c r="B234" s="30" t="str">
        <f>IF(AND(ISBLANK(D234), ISBLANK(E234), ISBLANK(G234)), "", IF(AND(E234&lt;&gt;"", E234=E233, D234&lt;&gt;"", D234=D233), B233, "PED-" &amp; TEXT(IFERROR(VALUE(RIGHT(LOOKUP("PED-9999",$B$5:B233),4)),1000)+1, "0000")))</f>
        <v/>
      </c>
      <c r="C234" s="30" t="s">
        <v>267</v>
      </c>
      <c r="D234" s="42"/>
      <c r="E234" s="30"/>
      <c r="F234" s="30" t="str">
        <f>IF(ISBLANK(E234),"",IFERROR(VLOOKUP(E234,'CADASTRO DE CLIENTES'!$C$6:$E$500,3,FALSE),""))</f>
        <v/>
      </c>
      <c r="G234" s="30"/>
      <c r="H234" s="30"/>
      <c r="I234" s="51" t="str">
        <f>IF(ISBLANK(G234),"",IFERROR(VLOOKUP(G234,'CADASTRO DE MATERIAL'!$C$6:$J$500,8,FALSE),""))</f>
        <v/>
      </c>
      <c r="J234" s="59" t="str">
        <f t="shared" si="15"/>
        <v/>
      </c>
      <c r="K234" s="30"/>
      <c r="L234" s="51">
        <f t="shared" si="16"/>
        <v>0</v>
      </c>
      <c r="M234" s="59">
        <f t="shared" si="17"/>
        <v>0</v>
      </c>
      <c r="N234" s="65"/>
      <c r="O234" s="59">
        <f t="shared" si="18"/>
        <v>0</v>
      </c>
      <c r="P234" s="59" t="str">
        <f t="shared" si="19"/>
        <v/>
      </c>
    </row>
    <row r="235" spans="2:16" ht="16.8" hidden="1" customHeight="1" x14ac:dyDescent="0.4">
      <c r="B235" s="36" t="str">
        <f>IF(AND(ISBLANK(D235), ISBLANK(E235), ISBLANK(G235)), "", IF(AND(E235&lt;&gt;"", E235=E234, D235&lt;&gt;"", D235=D234), B234, "PED-" &amp; TEXT(IFERROR(VALUE(RIGHT(LOOKUP("PED-9999",$B$5:B234),4)),1000)+1, "0000")))</f>
        <v/>
      </c>
      <c r="C235" s="36" t="s">
        <v>268</v>
      </c>
      <c r="D235" s="41"/>
      <c r="E235" s="36"/>
      <c r="F235" s="36" t="str">
        <f>IF(ISBLANK(E235),"",IFERROR(VLOOKUP(E235,'CADASTRO DE CLIENTES'!$C$6:$E$500,3,FALSE),""))</f>
        <v/>
      </c>
      <c r="G235" s="36"/>
      <c r="H235" s="36"/>
      <c r="I235" s="49" t="str">
        <f>IF(ISBLANK(G235),"",IFERROR(VLOOKUP(G235,'CADASTRO DE MATERIAL'!$C$6:$J$500,8,FALSE),""))</f>
        <v/>
      </c>
      <c r="J235" s="54" t="str">
        <f t="shared" si="15"/>
        <v/>
      </c>
      <c r="K235" s="36"/>
      <c r="L235" s="49">
        <f t="shared" si="16"/>
        <v>0</v>
      </c>
      <c r="M235" s="54">
        <f t="shared" si="17"/>
        <v>0</v>
      </c>
      <c r="N235" s="66"/>
      <c r="O235" s="54">
        <f t="shared" si="18"/>
        <v>0</v>
      </c>
      <c r="P235" s="54" t="str">
        <f t="shared" si="19"/>
        <v/>
      </c>
    </row>
    <row r="236" spans="2:16" ht="16.8" hidden="1" customHeight="1" x14ac:dyDescent="0.4">
      <c r="B236" s="30" t="str">
        <f>IF(AND(ISBLANK(D236), ISBLANK(E236), ISBLANK(G236)), "", IF(AND(E236&lt;&gt;"", E236=E235, D236&lt;&gt;"", D236=D235), B235, "PED-" &amp; TEXT(IFERROR(VALUE(RIGHT(LOOKUP("PED-9999",$B$5:B235),4)),1000)+1, "0000")))</f>
        <v/>
      </c>
      <c r="C236" s="30" t="s">
        <v>269</v>
      </c>
      <c r="D236" s="42"/>
      <c r="E236" s="30"/>
      <c r="F236" s="30" t="str">
        <f>IF(ISBLANK(E236),"",IFERROR(VLOOKUP(E236,'CADASTRO DE CLIENTES'!$C$6:$E$500,3,FALSE),""))</f>
        <v/>
      </c>
      <c r="G236" s="30"/>
      <c r="H236" s="30"/>
      <c r="I236" s="51" t="str">
        <f>IF(ISBLANK(G236),"",IFERROR(VLOOKUP(G236,'CADASTRO DE MATERIAL'!$C$6:$J$500,8,FALSE),""))</f>
        <v/>
      </c>
      <c r="J236" s="59" t="str">
        <f t="shared" si="15"/>
        <v/>
      </c>
      <c r="K236" s="30"/>
      <c r="L236" s="51">
        <f t="shared" si="16"/>
        <v>0</v>
      </c>
      <c r="M236" s="59">
        <f t="shared" si="17"/>
        <v>0</v>
      </c>
      <c r="N236" s="65"/>
      <c r="O236" s="59">
        <f t="shared" si="18"/>
        <v>0</v>
      </c>
      <c r="P236" s="59" t="str">
        <f t="shared" si="19"/>
        <v/>
      </c>
    </row>
    <row r="237" spans="2:16" ht="16.8" hidden="1" customHeight="1" x14ac:dyDescent="0.4">
      <c r="B237" s="36" t="str">
        <f>IF(AND(ISBLANK(D237), ISBLANK(E237), ISBLANK(G237)), "", IF(AND(E237&lt;&gt;"", E237=E236, D237&lt;&gt;"", D237=D236), B236, "PED-" &amp; TEXT(IFERROR(VALUE(RIGHT(LOOKUP("PED-9999",$B$5:B236),4)),1000)+1, "0000")))</f>
        <v/>
      </c>
      <c r="C237" s="36" t="s">
        <v>270</v>
      </c>
      <c r="D237" s="41"/>
      <c r="E237" s="36"/>
      <c r="F237" s="36" t="str">
        <f>IF(ISBLANK(E237),"",IFERROR(VLOOKUP(E237,'CADASTRO DE CLIENTES'!$C$6:$E$500,3,FALSE),""))</f>
        <v/>
      </c>
      <c r="G237" s="36"/>
      <c r="H237" s="36"/>
      <c r="I237" s="49" t="str">
        <f>IF(ISBLANK(G237),"",IFERROR(VLOOKUP(G237,'CADASTRO DE MATERIAL'!$C$6:$J$500,8,FALSE),""))</f>
        <v/>
      </c>
      <c r="J237" s="54" t="str">
        <f t="shared" si="15"/>
        <v/>
      </c>
      <c r="K237" s="36"/>
      <c r="L237" s="49">
        <f t="shared" si="16"/>
        <v>0</v>
      </c>
      <c r="M237" s="54">
        <f t="shared" si="17"/>
        <v>0</v>
      </c>
      <c r="N237" s="66"/>
      <c r="O237" s="54">
        <f t="shared" si="18"/>
        <v>0</v>
      </c>
      <c r="P237" s="54" t="str">
        <f t="shared" si="19"/>
        <v/>
      </c>
    </row>
    <row r="238" spans="2:16" ht="16.8" hidden="1" customHeight="1" x14ac:dyDescent="0.4">
      <c r="B238" s="30" t="str">
        <f>IF(AND(ISBLANK(D238), ISBLANK(E238), ISBLANK(G238)), "", IF(AND(E238&lt;&gt;"", E238=E237, D238&lt;&gt;"", D238=D237), B237, "PED-" &amp; TEXT(IFERROR(VALUE(RIGHT(LOOKUP("PED-9999",$B$5:B237),4)),1000)+1, "0000")))</f>
        <v/>
      </c>
      <c r="C238" s="30" t="s">
        <v>271</v>
      </c>
      <c r="D238" s="42"/>
      <c r="E238" s="30"/>
      <c r="F238" s="30" t="str">
        <f>IF(ISBLANK(E238),"",IFERROR(VLOOKUP(E238,'CADASTRO DE CLIENTES'!$C$6:$E$500,3,FALSE),""))</f>
        <v/>
      </c>
      <c r="G238" s="30"/>
      <c r="H238" s="30"/>
      <c r="I238" s="51" t="str">
        <f>IF(ISBLANK(G238),"",IFERROR(VLOOKUP(G238,'CADASTRO DE MATERIAL'!$C$6:$J$500,8,FALSE),""))</f>
        <v/>
      </c>
      <c r="J238" s="59" t="str">
        <f t="shared" si="15"/>
        <v/>
      </c>
      <c r="K238" s="30"/>
      <c r="L238" s="51">
        <f t="shared" si="16"/>
        <v>0</v>
      </c>
      <c r="M238" s="59">
        <f t="shared" si="17"/>
        <v>0</v>
      </c>
      <c r="N238" s="65"/>
      <c r="O238" s="59">
        <f t="shared" si="18"/>
        <v>0</v>
      </c>
      <c r="P238" s="59" t="str">
        <f t="shared" si="19"/>
        <v/>
      </c>
    </row>
    <row r="239" spans="2:16" ht="16.8" hidden="1" customHeight="1" x14ac:dyDescent="0.4">
      <c r="B239" s="36" t="str">
        <f>IF(AND(ISBLANK(D239), ISBLANK(E239), ISBLANK(G239)), "", IF(AND(E239&lt;&gt;"", E239=E238, D239&lt;&gt;"", D239=D238), B238, "PED-" &amp; TEXT(IFERROR(VALUE(RIGHT(LOOKUP("PED-9999",$B$5:B238),4)),1000)+1, "0000")))</f>
        <v/>
      </c>
      <c r="C239" s="36" t="s">
        <v>272</v>
      </c>
      <c r="D239" s="41"/>
      <c r="E239" s="36"/>
      <c r="F239" s="36" t="str">
        <f>IF(ISBLANK(E239),"",IFERROR(VLOOKUP(E239,'CADASTRO DE CLIENTES'!$C$6:$E$500,3,FALSE),""))</f>
        <v/>
      </c>
      <c r="G239" s="36"/>
      <c r="H239" s="36"/>
      <c r="I239" s="49" t="str">
        <f>IF(ISBLANK(G239),"",IFERROR(VLOOKUP(G239,'CADASTRO DE MATERIAL'!$C$6:$J$500,8,FALSE),""))</f>
        <v/>
      </c>
      <c r="J239" s="54" t="str">
        <f t="shared" si="15"/>
        <v/>
      </c>
      <c r="K239" s="36"/>
      <c r="L239" s="49">
        <f t="shared" si="16"/>
        <v>0</v>
      </c>
      <c r="M239" s="54">
        <f t="shared" si="17"/>
        <v>0</v>
      </c>
      <c r="N239" s="66"/>
      <c r="O239" s="54">
        <f t="shared" si="18"/>
        <v>0</v>
      </c>
      <c r="P239" s="54" t="str">
        <f t="shared" si="19"/>
        <v/>
      </c>
    </row>
    <row r="240" spans="2:16" ht="16.8" hidden="1" customHeight="1" x14ac:dyDescent="0.4">
      <c r="B240" s="30" t="str">
        <f>IF(AND(ISBLANK(D240), ISBLANK(E240), ISBLANK(G240)), "", IF(AND(E240&lt;&gt;"", E240=E239, D240&lt;&gt;"", D240=D239), B239, "PED-" &amp; TEXT(IFERROR(VALUE(RIGHT(LOOKUP("PED-9999",$B$5:B239),4)),1000)+1, "0000")))</f>
        <v/>
      </c>
      <c r="C240" s="30" t="s">
        <v>273</v>
      </c>
      <c r="D240" s="42"/>
      <c r="E240" s="30"/>
      <c r="F240" s="30" t="str">
        <f>IF(ISBLANK(E240),"",IFERROR(VLOOKUP(E240,'CADASTRO DE CLIENTES'!$C$6:$E$500,3,FALSE),""))</f>
        <v/>
      </c>
      <c r="G240" s="30"/>
      <c r="H240" s="30"/>
      <c r="I240" s="51" t="str">
        <f>IF(ISBLANK(G240),"",IFERROR(VLOOKUP(G240,'CADASTRO DE MATERIAL'!$C$6:$J$500,8,FALSE),""))</f>
        <v/>
      </c>
      <c r="J240" s="59" t="str">
        <f t="shared" si="15"/>
        <v/>
      </c>
      <c r="K240" s="30"/>
      <c r="L240" s="51">
        <f t="shared" si="16"/>
        <v>0</v>
      </c>
      <c r="M240" s="59">
        <f t="shared" si="17"/>
        <v>0</v>
      </c>
      <c r="N240" s="65"/>
      <c r="O240" s="59">
        <f t="shared" si="18"/>
        <v>0</v>
      </c>
      <c r="P240" s="59" t="str">
        <f t="shared" si="19"/>
        <v/>
      </c>
    </row>
    <row r="241" spans="2:16" ht="16.8" hidden="1" customHeight="1" x14ac:dyDescent="0.4">
      <c r="B241" s="36" t="str">
        <f>IF(AND(ISBLANK(D241), ISBLANK(E241), ISBLANK(G241)), "", IF(AND(E241&lt;&gt;"", E241=E240, D241&lt;&gt;"", D241=D240), B240, "PED-" &amp; TEXT(IFERROR(VALUE(RIGHT(LOOKUP("PED-9999",$B$5:B240),4)),1000)+1, "0000")))</f>
        <v/>
      </c>
      <c r="C241" s="36" t="s">
        <v>274</v>
      </c>
      <c r="D241" s="41"/>
      <c r="E241" s="36"/>
      <c r="F241" s="36" t="str">
        <f>IF(ISBLANK(E241),"",IFERROR(VLOOKUP(E241,'CADASTRO DE CLIENTES'!$C$6:$E$500,3,FALSE),""))</f>
        <v/>
      </c>
      <c r="G241" s="36"/>
      <c r="H241" s="36"/>
      <c r="I241" s="49" t="str">
        <f>IF(ISBLANK(G241),"",IFERROR(VLOOKUP(G241,'CADASTRO DE MATERIAL'!$C$6:$J$500,8,FALSE),""))</f>
        <v/>
      </c>
      <c r="J241" s="54" t="str">
        <f t="shared" si="15"/>
        <v/>
      </c>
      <c r="K241" s="36"/>
      <c r="L241" s="49">
        <f t="shared" si="16"/>
        <v>0</v>
      </c>
      <c r="M241" s="54">
        <f t="shared" si="17"/>
        <v>0</v>
      </c>
      <c r="N241" s="66"/>
      <c r="O241" s="54">
        <f t="shared" si="18"/>
        <v>0</v>
      </c>
      <c r="P241" s="54" t="str">
        <f t="shared" si="19"/>
        <v/>
      </c>
    </row>
    <row r="242" spans="2:16" ht="16.8" hidden="1" customHeight="1" x14ac:dyDescent="0.4">
      <c r="B242" s="30" t="str">
        <f>IF(AND(ISBLANK(D242), ISBLANK(E242), ISBLANK(G242)), "", IF(AND(E242&lt;&gt;"", E242=E241, D242&lt;&gt;"", D242=D241), B241, "PED-" &amp; TEXT(IFERROR(VALUE(RIGHT(LOOKUP("PED-9999",$B$5:B241),4)),1000)+1, "0000")))</f>
        <v/>
      </c>
      <c r="C242" s="30" t="s">
        <v>275</v>
      </c>
      <c r="D242" s="42"/>
      <c r="E242" s="30"/>
      <c r="F242" s="30" t="str">
        <f>IF(ISBLANK(E242),"",IFERROR(VLOOKUP(E242,'CADASTRO DE CLIENTES'!$C$6:$E$500,3,FALSE),""))</f>
        <v/>
      </c>
      <c r="G242" s="30"/>
      <c r="H242" s="30"/>
      <c r="I242" s="51" t="str">
        <f>IF(ISBLANK(G242),"",IFERROR(VLOOKUP(G242,'CADASTRO DE MATERIAL'!$C$6:$J$500,8,FALSE),""))</f>
        <v/>
      </c>
      <c r="J242" s="59" t="str">
        <f t="shared" si="15"/>
        <v/>
      </c>
      <c r="K242" s="30"/>
      <c r="L242" s="51">
        <f t="shared" si="16"/>
        <v>0</v>
      </c>
      <c r="M242" s="59">
        <f t="shared" si="17"/>
        <v>0</v>
      </c>
      <c r="N242" s="65"/>
      <c r="O242" s="59">
        <f t="shared" si="18"/>
        <v>0</v>
      </c>
      <c r="P242" s="59" t="str">
        <f t="shared" si="19"/>
        <v/>
      </c>
    </row>
    <row r="243" spans="2:16" ht="16.8" hidden="1" customHeight="1" x14ac:dyDescent="0.4">
      <c r="B243" s="36" t="str">
        <f>IF(AND(ISBLANK(D243), ISBLANK(E243), ISBLANK(G243)), "", IF(AND(E243&lt;&gt;"", E243=E242, D243&lt;&gt;"", D243=D242), B242, "PED-" &amp; TEXT(IFERROR(VALUE(RIGHT(LOOKUP("PED-9999",$B$5:B242),4)),1000)+1, "0000")))</f>
        <v/>
      </c>
      <c r="C243" s="36" t="s">
        <v>276</v>
      </c>
      <c r="D243" s="41"/>
      <c r="E243" s="36"/>
      <c r="F243" s="36" t="str">
        <f>IF(ISBLANK(E243),"",IFERROR(VLOOKUP(E243,'CADASTRO DE CLIENTES'!$C$6:$E$500,3,FALSE),""))</f>
        <v/>
      </c>
      <c r="G243" s="36"/>
      <c r="H243" s="36"/>
      <c r="I243" s="49" t="str">
        <f>IF(ISBLANK(G243),"",IFERROR(VLOOKUP(G243,'CADASTRO DE MATERIAL'!$C$6:$J$500,8,FALSE),""))</f>
        <v/>
      </c>
      <c r="J243" s="54" t="str">
        <f t="shared" si="15"/>
        <v/>
      </c>
      <c r="K243" s="36"/>
      <c r="L243" s="49">
        <f t="shared" si="16"/>
        <v>0</v>
      </c>
      <c r="M243" s="54">
        <f t="shared" si="17"/>
        <v>0</v>
      </c>
      <c r="N243" s="66"/>
      <c r="O243" s="54">
        <f t="shared" si="18"/>
        <v>0</v>
      </c>
      <c r="P243" s="54" t="str">
        <f t="shared" si="19"/>
        <v/>
      </c>
    </row>
    <row r="244" spans="2:16" ht="16.8" hidden="1" customHeight="1" x14ac:dyDescent="0.4">
      <c r="B244" s="30" t="str">
        <f>IF(AND(ISBLANK(D244), ISBLANK(E244), ISBLANK(G244)), "", IF(AND(E244&lt;&gt;"", E244=E243, D244&lt;&gt;"", D244=D243), B243, "PED-" &amp; TEXT(IFERROR(VALUE(RIGHT(LOOKUP("PED-9999",$B$5:B243),4)),1000)+1, "0000")))</f>
        <v/>
      </c>
      <c r="C244" s="30" t="s">
        <v>277</v>
      </c>
      <c r="D244" s="42"/>
      <c r="E244" s="30"/>
      <c r="F244" s="30" t="str">
        <f>IF(ISBLANK(E244),"",IFERROR(VLOOKUP(E244,'CADASTRO DE CLIENTES'!$C$6:$E$500,3,FALSE),""))</f>
        <v/>
      </c>
      <c r="G244" s="30"/>
      <c r="H244" s="30"/>
      <c r="I244" s="51" t="str">
        <f>IF(ISBLANK(G244),"",IFERROR(VLOOKUP(G244,'CADASTRO DE MATERIAL'!$C$6:$J$500,8,FALSE),""))</f>
        <v/>
      </c>
      <c r="J244" s="59" t="str">
        <f t="shared" si="15"/>
        <v/>
      </c>
      <c r="K244" s="30"/>
      <c r="L244" s="51">
        <f t="shared" si="16"/>
        <v>0</v>
      </c>
      <c r="M244" s="59">
        <f t="shared" si="17"/>
        <v>0</v>
      </c>
      <c r="N244" s="65"/>
      <c r="O244" s="59">
        <f t="shared" si="18"/>
        <v>0</v>
      </c>
      <c r="P244" s="59" t="str">
        <f t="shared" si="19"/>
        <v/>
      </c>
    </row>
    <row r="245" spans="2:16" ht="16.8" hidden="1" customHeight="1" x14ac:dyDescent="0.4">
      <c r="B245" s="36" t="str">
        <f>IF(AND(ISBLANK(D245), ISBLANK(E245), ISBLANK(G245)), "", IF(AND(E245&lt;&gt;"", E245=E244, D245&lt;&gt;"", D245=D244), B244, "PED-" &amp; TEXT(IFERROR(VALUE(RIGHT(LOOKUP("PED-9999",$B$5:B244),4)),1000)+1, "0000")))</f>
        <v/>
      </c>
      <c r="C245" s="36" t="s">
        <v>278</v>
      </c>
      <c r="D245" s="41"/>
      <c r="E245" s="36"/>
      <c r="F245" s="36" t="str">
        <f>IF(ISBLANK(E245),"",IFERROR(VLOOKUP(E245,'CADASTRO DE CLIENTES'!$C$6:$E$500,3,FALSE),""))</f>
        <v/>
      </c>
      <c r="G245" s="36"/>
      <c r="H245" s="36"/>
      <c r="I245" s="49" t="str">
        <f>IF(ISBLANK(G245),"",IFERROR(VLOOKUP(G245,'CADASTRO DE MATERIAL'!$C$6:$J$500,8,FALSE),""))</f>
        <v/>
      </c>
      <c r="J245" s="54" t="str">
        <f t="shared" si="15"/>
        <v/>
      </c>
      <c r="K245" s="36"/>
      <c r="L245" s="49">
        <f t="shared" si="16"/>
        <v>0</v>
      </c>
      <c r="M245" s="54">
        <f t="shared" si="17"/>
        <v>0</v>
      </c>
      <c r="N245" s="66"/>
      <c r="O245" s="54">
        <f t="shared" si="18"/>
        <v>0</v>
      </c>
      <c r="P245" s="54" t="str">
        <f t="shared" si="19"/>
        <v/>
      </c>
    </row>
    <row r="246" spans="2:16" ht="16.8" hidden="1" customHeight="1" x14ac:dyDescent="0.4">
      <c r="B246" s="30" t="str">
        <f>IF(AND(ISBLANK(D246), ISBLANK(E246), ISBLANK(G246)), "", IF(AND(E246&lt;&gt;"", E246=E245, D246&lt;&gt;"", D246=D245), B245, "PED-" &amp; TEXT(IFERROR(VALUE(RIGHT(LOOKUP("PED-9999",$B$5:B245),4)),1000)+1, "0000")))</f>
        <v/>
      </c>
      <c r="C246" s="30" t="s">
        <v>279</v>
      </c>
      <c r="D246" s="42"/>
      <c r="E246" s="30"/>
      <c r="F246" s="30" t="str">
        <f>IF(ISBLANK(E246),"",IFERROR(VLOOKUP(E246,'CADASTRO DE CLIENTES'!$C$6:$E$500,3,FALSE),""))</f>
        <v/>
      </c>
      <c r="G246" s="30"/>
      <c r="H246" s="30"/>
      <c r="I246" s="51" t="str">
        <f>IF(ISBLANK(G246),"",IFERROR(VLOOKUP(G246,'CADASTRO DE MATERIAL'!$C$6:$J$500,8,FALSE),""))</f>
        <v/>
      </c>
      <c r="J246" s="59" t="str">
        <f t="shared" si="15"/>
        <v/>
      </c>
      <c r="K246" s="30"/>
      <c r="L246" s="51">
        <f t="shared" si="16"/>
        <v>0</v>
      </c>
      <c r="M246" s="59">
        <f t="shared" si="17"/>
        <v>0</v>
      </c>
      <c r="N246" s="65"/>
      <c r="O246" s="59">
        <f t="shared" si="18"/>
        <v>0</v>
      </c>
      <c r="P246" s="59" t="str">
        <f t="shared" si="19"/>
        <v/>
      </c>
    </row>
    <row r="247" spans="2:16" ht="16.8" hidden="1" customHeight="1" x14ac:dyDescent="0.4">
      <c r="B247" s="36" t="str">
        <f>IF(AND(ISBLANK(D247), ISBLANK(E247), ISBLANK(G247)), "", IF(AND(E247&lt;&gt;"", E247=E246, D247&lt;&gt;"", D247=D246), B246, "PED-" &amp; TEXT(IFERROR(VALUE(RIGHT(LOOKUP("PED-9999",$B$5:B246),4)),1000)+1, "0000")))</f>
        <v/>
      </c>
      <c r="C247" s="36" t="s">
        <v>280</v>
      </c>
      <c r="D247" s="41"/>
      <c r="E247" s="36"/>
      <c r="F247" s="36" t="str">
        <f>IF(ISBLANK(E247),"",IFERROR(VLOOKUP(E247,'CADASTRO DE CLIENTES'!$C$6:$E$500,3,FALSE),""))</f>
        <v/>
      </c>
      <c r="G247" s="36"/>
      <c r="H247" s="36"/>
      <c r="I247" s="49" t="str">
        <f>IF(ISBLANK(G247),"",IFERROR(VLOOKUP(G247,'CADASTRO DE MATERIAL'!$C$6:$J$500,8,FALSE),""))</f>
        <v/>
      </c>
      <c r="J247" s="54" t="str">
        <f t="shared" si="15"/>
        <v/>
      </c>
      <c r="K247" s="36"/>
      <c r="L247" s="49">
        <f t="shared" si="16"/>
        <v>0</v>
      </c>
      <c r="M247" s="54">
        <f t="shared" si="17"/>
        <v>0</v>
      </c>
      <c r="N247" s="66"/>
      <c r="O247" s="54">
        <f t="shared" si="18"/>
        <v>0</v>
      </c>
      <c r="P247" s="54" t="str">
        <f t="shared" si="19"/>
        <v/>
      </c>
    </row>
    <row r="248" spans="2:16" ht="16.8" hidden="1" customHeight="1" x14ac:dyDescent="0.4">
      <c r="B248" s="30" t="str">
        <f>IF(AND(ISBLANK(D248), ISBLANK(E248), ISBLANK(G248)), "", IF(AND(E248&lt;&gt;"", E248=E247, D248&lt;&gt;"", D248=D247), B247, "PED-" &amp; TEXT(IFERROR(VALUE(RIGHT(LOOKUP("PED-9999",$B$5:B247),4)),1000)+1, "0000")))</f>
        <v/>
      </c>
      <c r="C248" s="30" t="s">
        <v>281</v>
      </c>
      <c r="D248" s="42"/>
      <c r="E248" s="30"/>
      <c r="F248" s="30" t="str">
        <f>IF(ISBLANK(E248),"",IFERROR(VLOOKUP(E248,'CADASTRO DE CLIENTES'!$C$6:$E$500,3,FALSE),""))</f>
        <v/>
      </c>
      <c r="G248" s="30"/>
      <c r="H248" s="30"/>
      <c r="I248" s="51" t="str">
        <f>IF(ISBLANK(G248),"",IFERROR(VLOOKUP(G248,'CADASTRO DE MATERIAL'!$C$6:$J$500,8,FALSE),""))</f>
        <v/>
      </c>
      <c r="J248" s="59" t="str">
        <f t="shared" si="15"/>
        <v/>
      </c>
      <c r="K248" s="30"/>
      <c r="L248" s="51">
        <f t="shared" si="16"/>
        <v>0</v>
      </c>
      <c r="M248" s="59">
        <f t="shared" si="17"/>
        <v>0</v>
      </c>
      <c r="N248" s="65"/>
      <c r="O248" s="59">
        <f t="shared" si="18"/>
        <v>0</v>
      </c>
      <c r="P248" s="59" t="str">
        <f t="shared" si="19"/>
        <v/>
      </c>
    </row>
    <row r="249" spans="2:16" ht="16.8" hidden="1" customHeight="1" x14ac:dyDescent="0.4">
      <c r="B249" s="36" t="str">
        <f>IF(AND(ISBLANK(D249), ISBLANK(E249), ISBLANK(G249)), "", IF(AND(E249&lt;&gt;"", E249=E248, D249&lt;&gt;"", D249=D248), B248, "PED-" &amp; TEXT(IFERROR(VALUE(RIGHT(LOOKUP("PED-9999",$B$5:B248),4)),1000)+1, "0000")))</f>
        <v/>
      </c>
      <c r="C249" s="36" t="s">
        <v>282</v>
      </c>
      <c r="D249" s="41"/>
      <c r="E249" s="36"/>
      <c r="F249" s="36" t="str">
        <f>IF(ISBLANK(E249),"",IFERROR(VLOOKUP(E249,'CADASTRO DE CLIENTES'!$C$6:$E$500,3,FALSE),""))</f>
        <v/>
      </c>
      <c r="G249" s="36"/>
      <c r="H249" s="36"/>
      <c r="I249" s="49" t="str">
        <f>IF(ISBLANK(G249),"",IFERROR(VLOOKUP(G249,'CADASTRO DE MATERIAL'!$C$6:$J$500,8,FALSE),""))</f>
        <v/>
      </c>
      <c r="J249" s="54" t="str">
        <f t="shared" si="15"/>
        <v/>
      </c>
      <c r="K249" s="36"/>
      <c r="L249" s="49">
        <f t="shared" si="16"/>
        <v>0</v>
      </c>
      <c r="M249" s="54">
        <f t="shared" si="17"/>
        <v>0</v>
      </c>
      <c r="N249" s="66"/>
      <c r="O249" s="54">
        <f t="shared" si="18"/>
        <v>0</v>
      </c>
      <c r="P249" s="54" t="str">
        <f t="shared" si="19"/>
        <v/>
      </c>
    </row>
    <row r="250" spans="2:16" ht="16.8" hidden="1" customHeight="1" x14ac:dyDescent="0.4">
      <c r="B250" s="30" t="str">
        <f>IF(AND(ISBLANK(D250), ISBLANK(E250), ISBLANK(G250)), "", IF(AND(E250&lt;&gt;"", E250=E249, D250&lt;&gt;"", D250=D249), B249, "PED-" &amp; TEXT(IFERROR(VALUE(RIGHT(LOOKUP("PED-9999",$B$5:B249),4)),1000)+1, "0000")))</f>
        <v/>
      </c>
      <c r="C250" s="30" t="s">
        <v>283</v>
      </c>
      <c r="D250" s="42"/>
      <c r="E250" s="30"/>
      <c r="F250" s="30" t="str">
        <f>IF(ISBLANK(E250),"",IFERROR(VLOOKUP(E250,'CADASTRO DE CLIENTES'!$C$6:$E$500,3,FALSE),""))</f>
        <v/>
      </c>
      <c r="G250" s="30"/>
      <c r="H250" s="30"/>
      <c r="I250" s="51" t="str">
        <f>IF(ISBLANK(G250),"",IFERROR(VLOOKUP(G250,'CADASTRO DE MATERIAL'!$C$6:$J$500,8,FALSE),""))</f>
        <v/>
      </c>
      <c r="J250" s="59" t="str">
        <f t="shared" si="15"/>
        <v/>
      </c>
      <c r="K250" s="30"/>
      <c r="L250" s="51">
        <f t="shared" si="16"/>
        <v>0</v>
      </c>
      <c r="M250" s="59">
        <f t="shared" si="17"/>
        <v>0</v>
      </c>
      <c r="N250" s="65"/>
      <c r="O250" s="59">
        <f t="shared" si="18"/>
        <v>0</v>
      </c>
      <c r="P250" s="59" t="str">
        <f t="shared" si="19"/>
        <v/>
      </c>
    </row>
    <row r="251" spans="2:16" ht="16.8" hidden="1" customHeight="1" x14ac:dyDescent="0.4">
      <c r="B251" s="36" t="str">
        <f>IF(AND(ISBLANK(D251), ISBLANK(E251), ISBLANK(G251)), "", IF(AND(E251&lt;&gt;"", E251=E250, D251&lt;&gt;"", D251=D250), B250, "PED-" &amp; TEXT(IFERROR(VALUE(RIGHT(LOOKUP("PED-9999",$B$5:B250),4)),1000)+1, "0000")))</f>
        <v/>
      </c>
      <c r="C251" s="36" t="s">
        <v>284</v>
      </c>
      <c r="D251" s="41"/>
      <c r="E251" s="36"/>
      <c r="F251" s="36" t="str">
        <f>IF(ISBLANK(E251),"",IFERROR(VLOOKUP(E251,'CADASTRO DE CLIENTES'!$C$6:$E$500,3,FALSE),""))</f>
        <v/>
      </c>
      <c r="G251" s="36"/>
      <c r="H251" s="36"/>
      <c r="I251" s="49" t="str">
        <f>IF(ISBLANK(G251),"",IFERROR(VLOOKUP(G251,'CADASTRO DE MATERIAL'!$C$6:$J$500,8,FALSE),""))</f>
        <v/>
      </c>
      <c r="J251" s="54" t="str">
        <f t="shared" si="15"/>
        <v/>
      </c>
      <c r="K251" s="36"/>
      <c r="L251" s="49">
        <f t="shared" si="16"/>
        <v>0</v>
      </c>
      <c r="M251" s="54">
        <f t="shared" si="17"/>
        <v>0</v>
      </c>
      <c r="N251" s="66"/>
      <c r="O251" s="54">
        <f t="shared" si="18"/>
        <v>0</v>
      </c>
      <c r="P251" s="54" t="str">
        <f t="shared" si="19"/>
        <v/>
      </c>
    </row>
    <row r="252" spans="2:16" ht="16.8" hidden="1" customHeight="1" x14ac:dyDescent="0.4">
      <c r="B252" s="30" t="str">
        <f>IF(AND(ISBLANK(D252), ISBLANK(E252), ISBLANK(G252)), "", IF(AND(E252&lt;&gt;"", E252=E251, D252&lt;&gt;"", D252=D251), B251, "PED-" &amp; TEXT(IFERROR(VALUE(RIGHT(LOOKUP("PED-9999",$B$5:B251),4)),1000)+1, "0000")))</f>
        <v/>
      </c>
      <c r="C252" s="30" t="s">
        <v>285</v>
      </c>
      <c r="D252" s="42"/>
      <c r="E252" s="30"/>
      <c r="F252" s="30" t="str">
        <f>IF(ISBLANK(E252),"",IFERROR(VLOOKUP(E252,'CADASTRO DE CLIENTES'!$C$6:$E$500,3,FALSE),""))</f>
        <v/>
      </c>
      <c r="G252" s="30"/>
      <c r="H252" s="30"/>
      <c r="I252" s="51" t="str">
        <f>IF(ISBLANK(G252),"",IFERROR(VLOOKUP(G252,'CADASTRO DE MATERIAL'!$C$6:$J$500,8,FALSE),""))</f>
        <v/>
      </c>
      <c r="J252" s="59" t="str">
        <f t="shared" si="15"/>
        <v/>
      </c>
      <c r="K252" s="30"/>
      <c r="L252" s="51">
        <f t="shared" si="16"/>
        <v>0</v>
      </c>
      <c r="M252" s="59">
        <f t="shared" si="17"/>
        <v>0</v>
      </c>
      <c r="N252" s="65"/>
      <c r="O252" s="59">
        <f t="shared" si="18"/>
        <v>0</v>
      </c>
      <c r="P252" s="59" t="str">
        <f t="shared" si="19"/>
        <v/>
      </c>
    </row>
    <row r="253" spans="2:16" ht="16.8" hidden="1" customHeight="1" x14ac:dyDescent="0.4">
      <c r="B253" s="36" t="str">
        <f>IF(AND(ISBLANK(D253), ISBLANK(E253), ISBLANK(G253)), "", IF(AND(E253&lt;&gt;"", E253=E252, D253&lt;&gt;"", D253=D252), B252, "PED-" &amp; TEXT(IFERROR(VALUE(RIGHT(LOOKUP("PED-9999",$B$5:B252),4)),1000)+1, "0000")))</f>
        <v/>
      </c>
      <c r="C253" s="36" t="s">
        <v>286</v>
      </c>
      <c r="D253" s="41"/>
      <c r="E253" s="36"/>
      <c r="F253" s="36" t="str">
        <f>IF(ISBLANK(E253),"",IFERROR(VLOOKUP(E253,'CADASTRO DE CLIENTES'!$C$6:$E$500,3,FALSE),""))</f>
        <v/>
      </c>
      <c r="G253" s="36"/>
      <c r="H253" s="36"/>
      <c r="I253" s="49" t="str">
        <f>IF(ISBLANK(G253),"",IFERROR(VLOOKUP(G253,'CADASTRO DE MATERIAL'!$C$6:$J$500,8,FALSE),""))</f>
        <v/>
      </c>
      <c r="J253" s="54" t="str">
        <f t="shared" si="15"/>
        <v/>
      </c>
      <c r="K253" s="36"/>
      <c r="L253" s="49">
        <f t="shared" si="16"/>
        <v>0</v>
      </c>
      <c r="M253" s="54">
        <f t="shared" si="17"/>
        <v>0</v>
      </c>
      <c r="N253" s="66"/>
      <c r="O253" s="54">
        <f t="shared" si="18"/>
        <v>0</v>
      </c>
      <c r="P253" s="54" t="str">
        <f t="shared" si="19"/>
        <v/>
      </c>
    </row>
    <row r="254" spans="2:16" ht="16.8" hidden="1" customHeight="1" x14ac:dyDescent="0.4">
      <c r="B254" s="30" t="str">
        <f>IF(AND(ISBLANK(D254), ISBLANK(E254), ISBLANK(G254)), "", IF(AND(E254&lt;&gt;"", E254=E253, D254&lt;&gt;"", D254=D253), B253, "PED-" &amp; TEXT(IFERROR(VALUE(RIGHT(LOOKUP("PED-9999",$B$5:B253),4)),1000)+1, "0000")))</f>
        <v/>
      </c>
      <c r="C254" s="30" t="s">
        <v>287</v>
      </c>
      <c r="D254" s="42"/>
      <c r="E254" s="30"/>
      <c r="F254" s="30" t="str">
        <f>IF(ISBLANK(E254),"",IFERROR(VLOOKUP(E254,'CADASTRO DE CLIENTES'!$C$6:$E$500,3,FALSE),""))</f>
        <v/>
      </c>
      <c r="G254" s="30"/>
      <c r="H254" s="30"/>
      <c r="I254" s="51" t="str">
        <f>IF(ISBLANK(G254),"",IFERROR(VLOOKUP(G254,'CADASTRO DE MATERIAL'!$C$6:$J$500,8,FALSE),""))</f>
        <v/>
      </c>
      <c r="J254" s="59" t="str">
        <f t="shared" si="15"/>
        <v/>
      </c>
      <c r="K254" s="30"/>
      <c r="L254" s="51">
        <f t="shared" si="16"/>
        <v>0</v>
      </c>
      <c r="M254" s="59">
        <f t="shared" si="17"/>
        <v>0</v>
      </c>
      <c r="N254" s="65"/>
      <c r="O254" s="59">
        <f t="shared" si="18"/>
        <v>0</v>
      </c>
      <c r="P254" s="59" t="str">
        <f t="shared" si="19"/>
        <v/>
      </c>
    </row>
    <row r="255" spans="2:16" ht="16.8" hidden="1" customHeight="1" x14ac:dyDescent="0.4">
      <c r="B255" s="36" t="str">
        <f>IF(AND(ISBLANK(D255), ISBLANK(E255), ISBLANK(G255)), "", IF(AND(E255&lt;&gt;"", E255=E254, D255&lt;&gt;"", D255=D254), B254, "PED-" &amp; TEXT(IFERROR(VALUE(RIGHT(LOOKUP("PED-9999",$B$5:B254),4)),1000)+1, "0000")))</f>
        <v/>
      </c>
      <c r="C255" s="36" t="s">
        <v>288</v>
      </c>
      <c r="D255" s="41"/>
      <c r="E255" s="36"/>
      <c r="F255" s="36" t="str">
        <f>IF(ISBLANK(E255),"",IFERROR(VLOOKUP(E255,'CADASTRO DE CLIENTES'!$C$6:$E$500,3,FALSE),""))</f>
        <v/>
      </c>
      <c r="G255" s="36"/>
      <c r="H255" s="36"/>
      <c r="I255" s="49" t="str">
        <f>IF(ISBLANK(G255),"",IFERROR(VLOOKUP(G255,'CADASTRO DE MATERIAL'!$C$6:$J$500,8,FALSE),""))</f>
        <v/>
      </c>
      <c r="J255" s="54" t="str">
        <f t="shared" si="15"/>
        <v/>
      </c>
      <c r="K255" s="36"/>
      <c r="L255" s="49">
        <f t="shared" si="16"/>
        <v>0</v>
      </c>
      <c r="M255" s="54">
        <f t="shared" si="17"/>
        <v>0</v>
      </c>
      <c r="N255" s="66"/>
      <c r="O255" s="54">
        <f t="shared" si="18"/>
        <v>0</v>
      </c>
      <c r="P255" s="54" t="str">
        <f t="shared" si="19"/>
        <v/>
      </c>
    </row>
    <row r="256" spans="2:16" ht="16.8" hidden="1" customHeight="1" x14ac:dyDescent="0.4">
      <c r="B256" s="30" t="str">
        <f>IF(AND(ISBLANK(D256), ISBLANK(E256), ISBLANK(G256)), "", IF(AND(E256&lt;&gt;"", E256=E255, D256&lt;&gt;"", D256=D255), B255, "PED-" &amp; TEXT(IFERROR(VALUE(RIGHT(LOOKUP("PED-9999",$B$5:B255),4)),1000)+1, "0000")))</f>
        <v/>
      </c>
      <c r="C256" s="30" t="s">
        <v>289</v>
      </c>
      <c r="D256" s="42"/>
      <c r="E256" s="30"/>
      <c r="F256" s="30" t="str">
        <f>IF(ISBLANK(E256),"",IFERROR(VLOOKUP(E256,'CADASTRO DE CLIENTES'!$C$6:$E$500,3,FALSE),""))</f>
        <v/>
      </c>
      <c r="G256" s="30"/>
      <c r="H256" s="30"/>
      <c r="I256" s="51" t="str">
        <f>IF(ISBLANK(G256),"",IFERROR(VLOOKUP(G256,'CADASTRO DE MATERIAL'!$C$6:$J$500,8,FALSE),""))</f>
        <v/>
      </c>
      <c r="J256" s="59" t="str">
        <f t="shared" si="15"/>
        <v/>
      </c>
      <c r="K256" s="30"/>
      <c r="L256" s="51">
        <f t="shared" si="16"/>
        <v>0</v>
      </c>
      <c r="M256" s="59">
        <f t="shared" si="17"/>
        <v>0</v>
      </c>
      <c r="N256" s="65"/>
      <c r="O256" s="59">
        <f t="shared" si="18"/>
        <v>0</v>
      </c>
      <c r="P256" s="59" t="str">
        <f t="shared" si="19"/>
        <v/>
      </c>
    </row>
    <row r="257" spans="2:16" ht="16.8" hidden="1" customHeight="1" x14ac:dyDescent="0.4">
      <c r="B257" s="36" t="str">
        <f>IF(AND(ISBLANK(D257), ISBLANK(E257), ISBLANK(G257)), "", IF(AND(E257&lt;&gt;"", E257=E256, D257&lt;&gt;"", D257=D256), B256, "PED-" &amp; TEXT(IFERROR(VALUE(RIGHT(LOOKUP("PED-9999",$B$5:B256),4)),1000)+1, "0000")))</f>
        <v/>
      </c>
      <c r="C257" s="36" t="s">
        <v>290</v>
      </c>
      <c r="D257" s="41"/>
      <c r="E257" s="36"/>
      <c r="F257" s="36" t="str">
        <f>IF(ISBLANK(E257),"",IFERROR(VLOOKUP(E257,'CADASTRO DE CLIENTES'!$C$6:$E$500,3,FALSE),""))</f>
        <v/>
      </c>
      <c r="G257" s="36"/>
      <c r="H257" s="36"/>
      <c r="I257" s="49" t="str">
        <f>IF(ISBLANK(G257),"",IFERROR(VLOOKUP(G257,'CADASTRO DE MATERIAL'!$C$6:$J$500,8,FALSE),""))</f>
        <v/>
      </c>
      <c r="J257" s="54" t="str">
        <f t="shared" si="15"/>
        <v/>
      </c>
      <c r="K257" s="36"/>
      <c r="L257" s="49">
        <f t="shared" si="16"/>
        <v>0</v>
      </c>
      <c r="M257" s="54">
        <f t="shared" si="17"/>
        <v>0</v>
      </c>
      <c r="N257" s="66"/>
      <c r="O257" s="54">
        <f t="shared" si="18"/>
        <v>0</v>
      </c>
      <c r="P257" s="54" t="str">
        <f t="shared" si="19"/>
        <v/>
      </c>
    </row>
    <row r="258" spans="2:16" ht="16.8" hidden="1" customHeight="1" x14ac:dyDescent="0.4">
      <c r="B258" s="30" t="str">
        <f>IF(AND(ISBLANK(D258), ISBLANK(E258), ISBLANK(G258)), "", IF(AND(E258&lt;&gt;"", E258=E257, D258&lt;&gt;"", D258=D257), B257, "PED-" &amp; TEXT(IFERROR(VALUE(RIGHT(LOOKUP("PED-9999",$B$5:B257),4)),1000)+1, "0000")))</f>
        <v/>
      </c>
      <c r="C258" s="30" t="s">
        <v>291</v>
      </c>
      <c r="D258" s="42"/>
      <c r="E258" s="30"/>
      <c r="F258" s="30" t="str">
        <f>IF(ISBLANK(E258),"",IFERROR(VLOOKUP(E258,'CADASTRO DE CLIENTES'!$C$6:$E$500,3,FALSE),""))</f>
        <v/>
      </c>
      <c r="G258" s="30"/>
      <c r="H258" s="30"/>
      <c r="I258" s="51" t="str">
        <f>IF(ISBLANK(G258),"",IFERROR(VLOOKUP(G258,'CADASTRO DE MATERIAL'!$C$6:$J$500,8,FALSE),""))</f>
        <v/>
      </c>
      <c r="J258" s="59" t="str">
        <f t="shared" si="15"/>
        <v/>
      </c>
      <c r="K258" s="30"/>
      <c r="L258" s="51">
        <f t="shared" si="16"/>
        <v>0</v>
      </c>
      <c r="M258" s="59">
        <f t="shared" si="17"/>
        <v>0</v>
      </c>
      <c r="N258" s="65"/>
      <c r="O258" s="59">
        <f t="shared" si="18"/>
        <v>0</v>
      </c>
      <c r="P258" s="59" t="str">
        <f t="shared" si="19"/>
        <v/>
      </c>
    </row>
    <row r="259" spans="2:16" ht="16.8" hidden="1" customHeight="1" x14ac:dyDescent="0.4">
      <c r="B259" s="36" t="str">
        <f>IF(AND(ISBLANK(D259), ISBLANK(E259), ISBLANK(G259)), "", IF(AND(E259&lt;&gt;"", E259=E258, D259&lt;&gt;"", D259=D258), B258, "PED-" &amp; TEXT(IFERROR(VALUE(RIGHT(LOOKUP("PED-9999",$B$5:B258),4)),1000)+1, "0000")))</f>
        <v/>
      </c>
      <c r="C259" s="36" t="s">
        <v>292</v>
      </c>
      <c r="D259" s="41"/>
      <c r="E259" s="36"/>
      <c r="F259" s="36" t="str">
        <f>IF(ISBLANK(E259),"",IFERROR(VLOOKUP(E259,'CADASTRO DE CLIENTES'!$C$6:$E$500,3,FALSE),""))</f>
        <v/>
      </c>
      <c r="G259" s="36"/>
      <c r="H259" s="36"/>
      <c r="I259" s="49" t="str">
        <f>IF(ISBLANK(G259),"",IFERROR(VLOOKUP(G259,'CADASTRO DE MATERIAL'!$C$6:$J$500,8,FALSE),""))</f>
        <v/>
      </c>
      <c r="J259" s="54" t="str">
        <f t="shared" si="15"/>
        <v/>
      </c>
      <c r="K259" s="36"/>
      <c r="L259" s="49">
        <f t="shared" si="16"/>
        <v>0</v>
      </c>
      <c r="M259" s="54">
        <f t="shared" si="17"/>
        <v>0</v>
      </c>
      <c r="N259" s="66"/>
      <c r="O259" s="54">
        <f t="shared" si="18"/>
        <v>0</v>
      </c>
      <c r="P259" s="54" t="str">
        <f t="shared" si="19"/>
        <v/>
      </c>
    </row>
    <row r="260" spans="2:16" ht="16.8" hidden="1" customHeight="1" x14ac:dyDescent="0.4">
      <c r="B260" s="30" t="str">
        <f>IF(AND(ISBLANK(D260), ISBLANK(E260), ISBLANK(G260)), "", IF(AND(E260&lt;&gt;"", E260=E259, D260&lt;&gt;"", D260=D259), B259, "PED-" &amp; TEXT(IFERROR(VALUE(RIGHT(LOOKUP("PED-9999",$B$5:B259),4)),1000)+1, "0000")))</f>
        <v/>
      </c>
      <c r="C260" s="30" t="s">
        <v>293</v>
      </c>
      <c r="D260" s="42"/>
      <c r="E260" s="30"/>
      <c r="F260" s="30" t="str">
        <f>IF(ISBLANK(E260),"",IFERROR(VLOOKUP(E260,'CADASTRO DE CLIENTES'!$C$6:$E$500,3,FALSE),""))</f>
        <v/>
      </c>
      <c r="G260" s="30"/>
      <c r="H260" s="30"/>
      <c r="I260" s="51" t="str">
        <f>IF(ISBLANK(G260),"",IFERROR(VLOOKUP(G260,'CADASTRO DE MATERIAL'!$C$6:$J$500,8,FALSE),""))</f>
        <v/>
      </c>
      <c r="J260" s="59" t="str">
        <f t="shared" si="15"/>
        <v/>
      </c>
      <c r="K260" s="30"/>
      <c r="L260" s="51">
        <f t="shared" si="16"/>
        <v>0</v>
      </c>
      <c r="M260" s="59">
        <f t="shared" si="17"/>
        <v>0</v>
      </c>
      <c r="N260" s="65"/>
      <c r="O260" s="59">
        <f t="shared" si="18"/>
        <v>0</v>
      </c>
      <c r="P260" s="59" t="str">
        <f t="shared" si="19"/>
        <v/>
      </c>
    </row>
    <row r="261" spans="2:16" ht="16.8" hidden="1" customHeight="1" x14ac:dyDescent="0.4">
      <c r="B261" s="36" t="str">
        <f>IF(AND(ISBLANK(D261), ISBLANK(E261), ISBLANK(G261)), "", IF(AND(E261&lt;&gt;"", E261=E260, D261&lt;&gt;"", D261=D260), B260, "PED-" &amp; TEXT(IFERROR(VALUE(RIGHT(LOOKUP("PED-9999",$B$5:B260),4)),1000)+1, "0000")))</f>
        <v/>
      </c>
      <c r="C261" s="36" t="s">
        <v>294</v>
      </c>
      <c r="D261" s="41"/>
      <c r="E261" s="36"/>
      <c r="F261" s="36" t="str">
        <f>IF(ISBLANK(E261),"",IFERROR(VLOOKUP(E261,'CADASTRO DE CLIENTES'!$C$6:$E$500,3,FALSE),""))</f>
        <v/>
      </c>
      <c r="G261" s="36"/>
      <c r="H261" s="36"/>
      <c r="I261" s="49" t="str">
        <f>IF(ISBLANK(G261),"",IFERROR(VLOOKUP(G261,'CADASTRO DE MATERIAL'!$C$6:$J$500,8,FALSE),""))</f>
        <v/>
      </c>
      <c r="J261" s="54" t="str">
        <f t="shared" si="15"/>
        <v/>
      </c>
      <c r="K261" s="36"/>
      <c r="L261" s="49">
        <f t="shared" si="16"/>
        <v>0</v>
      </c>
      <c r="M261" s="54">
        <f t="shared" si="17"/>
        <v>0</v>
      </c>
      <c r="N261" s="66"/>
      <c r="O261" s="54">
        <f t="shared" si="18"/>
        <v>0</v>
      </c>
      <c r="P261" s="54" t="str">
        <f t="shared" si="19"/>
        <v/>
      </c>
    </row>
    <row r="262" spans="2:16" ht="16.8" hidden="1" customHeight="1" x14ac:dyDescent="0.4">
      <c r="B262" s="30" t="str">
        <f>IF(AND(ISBLANK(D262), ISBLANK(E262), ISBLANK(G262)), "", IF(AND(E262&lt;&gt;"", E262=E261, D262&lt;&gt;"", D262=D261), B261, "PED-" &amp; TEXT(IFERROR(VALUE(RIGHT(LOOKUP("PED-9999",$B$5:B261),4)),1000)+1, "0000")))</f>
        <v/>
      </c>
      <c r="C262" s="30" t="s">
        <v>295</v>
      </c>
      <c r="D262" s="42"/>
      <c r="E262" s="30"/>
      <c r="F262" s="30" t="str">
        <f>IF(ISBLANK(E262),"",IFERROR(VLOOKUP(E262,'CADASTRO DE CLIENTES'!$C$6:$E$500,3,FALSE),""))</f>
        <v/>
      </c>
      <c r="G262" s="30"/>
      <c r="H262" s="30"/>
      <c r="I262" s="51" t="str">
        <f>IF(ISBLANK(G262),"",IFERROR(VLOOKUP(G262,'CADASTRO DE MATERIAL'!$C$6:$J$500,8,FALSE),""))</f>
        <v/>
      </c>
      <c r="J262" s="59" t="str">
        <f t="shared" ref="J262:J325" si="20">IF(OR(ISBLANK(H262),ISBLANK(I262)), "", H262*I262)</f>
        <v/>
      </c>
      <c r="K262" s="30"/>
      <c r="L262" s="51">
        <f t="shared" ref="L262:L325" si="21">IF(ISBLANK(B262), "", IF(K262="À Vista", O262, 0))</f>
        <v>0</v>
      </c>
      <c r="M262" s="59">
        <f t="shared" ref="M262:M325" si="22">IF(ISBLANK(B262),"", O262 - IF(ISBLANK(L262), 0, L262))</f>
        <v>0</v>
      </c>
      <c r="N262" s="65"/>
      <c r="O262" s="59">
        <f t="shared" ref="O262:O325" si="23">IF(ISBLANK(B262),"", SUMIF($B$6:$B$500, B262, $J$6:$J$500))</f>
        <v>0</v>
      </c>
      <c r="P262" s="59" t="str">
        <f t="shared" ref="P262:P325" si="24">IF(OR(ISBLANK(M262),ISBLANK(N262),N262=0), "", M262/N262)</f>
        <v/>
      </c>
    </row>
    <row r="263" spans="2:16" ht="16.8" hidden="1" customHeight="1" x14ac:dyDescent="0.4">
      <c r="B263" s="36" t="str">
        <f>IF(AND(ISBLANK(D263), ISBLANK(E263), ISBLANK(G263)), "", IF(AND(E263&lt;&gt;"", E263=E262, D263&lt;&gt;"", D263=D262), B262, "PED-" &amp; TEXT(IFERROR(VALUE(RIGHT(LOOKUP("PED-9999",$B$5:B262),4)),1000)+1, "0000")))</f>
        <v/>
      </c>
      <c r="C263" s="36" t="s">
        <v>296</v>
      </c>
      <c r="D263" s="41"/>
      <c r="E263" s="36"/>
      <c r="F263" s="36" t="str">
        <f>IF(ISBLANK(E263),"",IFERROR(VLOOKUP(E263,'CADASTRO DE CLIENTES'!$C$6:$E$500,3,FALSE),""))</f>
        <v/>
      </c>
      <c r="G263" s="36"/>
      <c r="H263" s="36"/>
      <c r="I263" s="49" t="str">
        <f>IF(ISBLANK(G263),"",IFERROR(VLOOKUP(G263,'CADASTRO DE MATERIAL'!$C$6:$J$500,8,FALSE),""))</f>
        <v/>
      </c>
      <c r="J263" s="54" t="str">
        <f t="shared" si="20"/>
        <v/>
      </c>
      <c r="K263" s="36"/>
      <c r="L263" s="49">
        <f t="shared" si="21"/>
        <v>0</v>
      </c>
      <c r="M263" s="54">
        <f t="shared" si="22"/>
        <v>0</v>
      </c>
      <c r="N263" s="66"/>
      <c r="O263" s="54">
        <f t="shared" si="23"/>
        <v>0</v>
      </c>
      <c r="P263" s="54" t="str">
        <f t="shared" si="24"/>
        <v/>
      </c>
    </row>
    <row r="264" spans="2:16" ht="16.8" hidden="1" customHeight="1" x14ac:dyDescent="0.4">
      <c r="B264" s="30" t="str">
        <f>IF(AND(ISBLANK(D264), ISBLANK(E264), ISBLANK(G264)), "", IF(AND(E264&lt;&gt;"", E264=E263, D264&lt;&gt;"", D264=D263), B263, "PED-" &amp; TEXT(IFERROR(VALUE(RIGHT(LOOKUP("PED-9999",$B$5:B263),4)),1000)+1, "0000")))</f>
        <v/>
      </c>
      <c r="C264" s="30" t="s">
        <v>297</v>
      </c>
      <c r="D264" s="42"/>
      <c r="E264" s="30"/>
      <c r="F264" s="30" t="str">
        <f>IF(ISBLANK(E264),"",IFERROR(VLOOKUP(E264,'CADASTRO DE CLIENTES'!$C$6:$E$500,3,FALSE),""))</f>
        <v/>
      </c>
      <c r="G264" s="30"/>
      <c r="H264" s="30"/>
      <c r="I264" s="51" t="str">
        <f>IF(ISBLANK(G264),"",IFERROR(VLOOKUP(G264,'CADASTRO DE MATERIAL'!$C$6:$J$500,8,FALSE),""))</f>
        <v/>
      </c>
      <c r="J264" s="59" t="str">
        <f t="shared" si="20"/>
        <v/>
      </c>
      <c r="K264" s="30"/>
      <c r="L264" s="51">
        <f t="shared" si="21"/>
        <v>0</v>
      </c>
      <c r="M264" s="59">
        <f t="shared" si="22"/>
        <v>0</v>
      </c>
      <c r="N264" s="65"/>
      <c r="O264" s="59">
        <f t="shared" si="23"/>
        <v>0</v>
      </c>
      <c r="P264" s="59" t="str">
        <f t="shared" si="24"/>
        <v/>
      </c>
    </row>
    <row r="265" spans="2:16" ht="16.8" hidden="1" customHeight="1" x14ac:dyDescent="0.4">
      <c r="B265" s="36" t="str">
        <f>IF(AND(ISBLANK(D265), ISBLANK(E265), ISBLANK(G265)), "", IF(AND(E265&lt;&gt;"", E265=E264, D265&lt;&gt;"", D265=D264), B264, "PED-" &amp; TEXT(IFERROR(VALUE(RIGHT(LOOKUP("PED-9999",$B$5:B264),4)),1000)+1, "0000")))</f>
        <v/>
      </c>
      <c r="C265" s="36" t="s">
        <v>298</v>
      </c>
      <c r="D265" s="41"/>
      <c r="E265" s="36"/>
      <c r="F265" s="36" t="str">
        <f>IF(ISBLANK(E265),"",IFERROR(VLOOKUP(E265,'CADASTRO DE CLIENTES'!$C$6:$E$500,3,FALSE),""))</f>
        <v/>
      </c>
      <c r="G265" s="36"/>
      <c r="H265" s="36"/>
      <c r="I265" s="49" t="str">
        <f>IF(ISBLANK(G265),"",IFERROR(VLOOKUP(G265,'CADASTRO DE MATERIAL'!$C$6:$J$500,8,FALSE),""))</f>
        <v/>
      </c>
      <c r="J265" s="54" t="str">
        <f t="shared" si="20"/>
        <v/>
      </c>
      <c r="K265" s="36"/>
      <c r="L265" s="49">
        <f t="shared" si="21"/>
        <v>0</v>
      </c>
      <c r="M265" s="54">
        <f t="shared" si="22"/>
        <v>0</v>
      </c>
      <c r="N265" s="66"/>
      <c r="O265" s="54">
        <f t="shared" si="23"/>
        <v>0</v>
      </c>
      <c r="P265" s="54" t="str">
        <f t="shared" si="24"/>
        <v/>
      </c>
    </row>
    <row r="266" spans="2:16" ht="16.8" hidden="1" customHeight="1" x14ac:dyDescent="0.4">
      <c r="B266" s="30" t="str">
        <f>IF(AND(ISBLANK(D266), ISBLANK(E266), ISBLANK(G266)), "", IF(AND(E266&lt;&gt;"", E266=E265, D266&lt;&gt;"", D266=D265), B265, "PED-" &amp; TEXT(IFERROR(VALUE(RIGHT(LOOKUP("PED-9999",$B$5:B265),4)),1000)+1, "0000")))</f>
        <v/>
      </c>
      <c r="C266" s="30" t="s">
        <v>299</v>
      </c>
      <c r="D266" s="42"/>
      <c r="E266" s="30"/>
      <c r="F266" s="30" t="str">
        <f>IF(ISBLANK(E266),"",IFERROR(VLOOKUP(E266,'CADASTRO DE CLIENTES'!$C$6:$E$500,3,FALSE),""))</f>
        <v/>
      </c>
      <c r="G266" s="30"/>
      <c r="H266" s="30"/>
      <c r="I266" s="51" t="str">
        <f>IF(ISBLANK(G266),"",IFERROR(VLOOKUP(G266,'CADASTRO DE MATERIAL'!$C$6:$J$500,8,FALSE),""))</f>
        <v/>
      </c>
      <c r="J266" s="59" t="str">
        <f t="shared" si="20"/>
        <v/>
      </c>
      <c r="K266" s="30"/>
      <c r="L266" s="51">
        <f t="shared" si="21"/>
        <v>0</v>
      </c>
      <c r="M266" s="59">
        <f t="shared" si="22"/>
        <v>0</v>
      </c>
      <c r="N266" s="65"/>
      <c r="O266" s="59">
        <f t="shared" si="23"/>
        <v>0</v>
      </c>
      <c r="P266" s="59" t="str">
        <f t="shared" si="24"/>
        <v/>
      </c>
    </row>
    <row r="267" spans="2:16" ht="16.8" hidden="1" customHeight="1" x14ac:dyDescent="0.4">
      <c r="B267" s="36" t="str">
        <f>IF(AND(ISBLANK(D267), ISBLANK(E267), ISBLANK(G267)), "", IF(AND(E267&lt;&gt;"", E267=E266, D267&lt;&gt;"", D267=D266), B266, "PED-" &amp; TEXT(IFERROR(VALUE(RIGHT(LOOKUP("PED-9999",$B$5:B266),4)),1000)+1, "0000")))</f>
        <v/>
      </c>
      <c r="C267" s="36" t="s">
        <v>300</v>
      </c>
      <c r="D267" s="41"/>
      <c r="E267" s="36"/>
      <c r="F267" s="36" t="str">
        <f>IF(ISBLANK(E267),"",IFERROR(VLOOKUP(E267,'CADASTRO DE CLIENTES'!$C$6:$E$500,3,FALSE),""))</f>
        <v/>
      </c>
      <c r="G267" s="36"/>
      <c r="H267" s="36"/>
      <c r="I267" s="49" t="str">
        <f>IF(ISBLANK(G267),"",IFERROR(VLOOKUP(G267,'CADASTRO DE MATERIAL'!$C$6:$J$500,8,FALSE),""))</f>
        <v/>
      </c>
      <c r="J267" s="54" t="str">
        <f t="shared" si="20"/>
        <v/>
      </c>
      <c r="K267" s="36"/>
      <c r="L267" s="49">
        <f t="shared" si="21"/>
        <v>0</v>
      </c>
      <c r="M267" s="54">
        <f t="shared" si="22"/>
        <v>0</v>
      </c>
      <c r="N267" s="66"/>
      <c r="O267" s="54">
        <f t="shared" si="23"/>
        <v>0</v>
      </c>
      <c r="P267" s="54" t="str">
        <f t="shared" si="24"/>
        <v/>
      </c>
    </row>
    <row r="268" spans="2:16" ht="16.8" hidden="1" customHeight="1" x14ac:dyDescent="0.4">
      <c r="B268" s="30" t="str">
        <f>IF(AND(ISBLANK(D268), ISBLANK(E268), ISBLANK(G268)), "", IF(AND(E268&lt;&gt;"", E268=E267, D268&lt;&gt;"", D268=D267), B267, "PED-" &amp; TEXT(IFERROR(VALUE(RIGHT(LOOKUP("PED-9999",$B$5:B267),4)),1000)+1, "0000")))</f>
        <v/>
      </c>
      <c r="C268" s="30" t="s">
        <v>301</v>
      </c>
      <c r="D268" s="42"/>
      <c r="E268" s="30"/>
      <c r="F268" s="30" t="str">
        <f>IF(ISBLANK(E268),"",IFERROR(VLOOKUP(E268,'CADASTRO DE CLIENTES'!$C$6:$E$500,3,FALSE),""))</f>
        <v/>
      </c>
      <c r="G268" s="30"/>
      <c r="H268" s="30"/>
      <c r="I268" s="51" t="str">
        <f>IF(ISBLANK(G268),"",IFERROR(VLOOKUP(G268,'CADASTRO DE MATERIAL'!$C$6:$J$500,8,FALSE),""))</f>
        <v/>
      </c>
      <c r="J268" s="59" t="str">
        <f t="shared" si="20"/>
        <v/>
      </c>
      <c r="K268" s="30"/>
      <c r="L268" s="51">
        <f t="shared" si="21"/>
        <v>0</v>
      </c>
      <c r="M268" s="59">
        <f t="shared" si="22"/>
        <v>0</v>
      </c>
      <c r="N268" s="65"/>
      <c r="O268" s="59">
        <f t="shared" si="23"/>
        <v>0</v>
      </c>
      <c r="P268" s="59" t="str">
        <f t="shared" si="24"/>
        <v/>
      </c>
    </row>
    <row r="269" spans="2:16" ht="16.8" hidden="1" customHeight="1" x14ac:dyDescent="0.4">
      <c r="B269" s="36" t="str">
        <f>IF(AND(ISBLANK(D269), ISBLANK(E269), ISBLANK(G269)), "", IF(AND(E269&lt;&gt;"", E269=E268, D269&lt;&gt;"", D269=D268), B268, "PED-" &amp; TEXT(IFERROR(VALUE(RIGHT(LOOKUP("PED-9999",$B$5:B268),4)),1000)+1, "0000")))</f>
        <v/>
      </c>
      <c r="C269" s="36" t="s">
        <v>302</v>
      </c>
      <c r="D269" s="41"/>
      <c r="E269" s="36"/>
      <c r="F269" s="36" t="str">
        <f>IF(ISBLANK(E269),"",IFERROR(VLOOKUP(E269,'CADASTRO DE CLIENTES'!$C$6:$E$500,3,FALSE),""))</f>
        <v/>
      </c>
      <c r="G269" s="36"/>
      <c r="H269" s="36"/>
      <c r="I269" s="49" t="str">
        <f>IF(ISBLANK(G269),"",IFERROR(VLOOKUP(G269,'CADASTRO DE MATERIAL'!$C$6:$J$500,8,FALSE),""))</f>
        <v/>
      </c>
      <c r="J269" s="54" t="str">
        <f t="shared" si="20"/>
        <v/>
      </c>
      <c r="K269" s="36"/>
      <c r="L269" s="49">
        <f t="shared" si="21"/>
        <v>0</v>
      </c>
      <c r="M269" s="54">
        <f t="shared" si="22"/>
        <v>0</v>
      </c>
      <c r="N269" s="66"/>
      <c r="O269" s="54">
        <f t="shared" si="23"/>
        <v>0</v>
      </c>
      <c r="P269" s="54" t="str">
        <f t="shared" si="24"/>
        <v/>
      </c>
    </row>
    <row r="270" spans="2:16" ht="16.8" hidden="1" customHeight="1" x14ac:dyDescent="0.4">
      <c r="B270" s="30" t="str">
        <f>IF(AND(ISBLANK(D270), ISBLANK(E270), ISBLANK(G270)), "", IF(AND(E270&lt;&gt;"", E270=E269, D270&lt;&gt;"", D270=D269), B269, "PED-" &amp; TEXT(IFERROR(VALUE(RIGHT(LOOKUP("PED-9999",$B$5:B269),4)),1000)+1, "0000")))</f>
        <v/>
      </c>
      <c r="C270" s="30" t="s">
        <v>303</v>
      </c>
      <c r="D270" s="42"/>
      <c r="E270" s="30"/>
      <c r="F270" s="30" t="str">
        <f>IF(ISBLANK(E270),"",IFERROR(VLOOKUP(E270,'CADASTRO DE CLIENTES'!$C$6:$E$500,3,FALSE),""))</f>
        <v/>
      </c>
      <c r="G270" s="30"/>
      <c r="H270" s="30"/>
      <c r="I270" s="51" t="str">
        <f>IF(ISBLANK(G270),"",IFERROR(VLOOKUP(G270,'CADASTRO DE MATERIAL'!$C$6:$J$500,8,FALSE),""))</f>
        <v/>
      </c>
      <c r="J270" s="59" t="str">
        <f t="shared" si="20"/>
        <v/>
      </c>
      <c r="K270" s="30"/>
      <c r="L270" s="51">
        <f t="shared" si="21"/>
        <v>0</v>
      </c>
      <c r="M270" s="59">
        <f t="shared" si="22"/>
        <v>0</v>
      </c>
      <c r="N270" s="65"/>
      <c r="O270" s="59">
        <f t="shared" si="23"/>
        <v>0</v>
      </c>
      <c r="P270" s="59" t="str">
        <f t="shared" si="24"/>
        <v/>
      </c>
    </row>
    <row r="271" spans="2:16" ht="16.8" hidden="1" customHeight="1" x14ac:dyDescent="0.4">
      <c r="B271" s="36" t="str">
        <f>IF(AND(ISBLANK(D271), ISBLANK(E271), ISBLANK(G271)), "", IF(AND(E271&lt;&gt;"", E271=E270, D271&lt;&gt;"", D271=D270), B270, "PED-" &amp; TEXT(IFERROR(VALUE(RIGHT(LOOKUP("PED-9999",$B$5:B270),4)),1000)+1, "0000")))</f>
        <v/>
      </c>
      <c r="C271" s="36" t="s">
        <v>304</v>
      </c>
      <c r="D271" s="41"/>
      <c r="E271" s="36"/>
      <c r="F271" s="36" t="str">
        <f>IF(ISBLANK(E271),"",IFERROR(VLOOKUP(E271,'CADASTRO DE CLIENTES'!$C$6:$E$500,3,FALSE),""))</f>
        <v/>
      </c>
      <c r="G271" s="36"/>
      <c r="H271" s="36"/>
      <c r="I271" s="49" t="str">
        <f>IF(ISBLANK(G271),"",IFERROR(VLOOKUP(G271,'CADASTRO DE MATERIAL'!$C$6:$J$500,8,FALSE),""))</f>
        <v/>
      </c>
      <c r="J271" s="54" t="str">
        <f t="shared" si="20"/>
        <v/>
      </c>
      <c r="K271" s="36"/>
      <c r="L271" s="49">
        <f t="shared" si="21"/>
        <v>0</v>
      </c>
      <c r="M271" s="54">
        <f t="shared" si="22"/>
        <v>0</v>
      </c>
      <c r="N271" s="66"/>
      <c r="O271" s="54">
        <f t="shared" si="23"/>
        <v>0</v>
      </c>
      <c r="P271" s="54" t="str">
        <f t="shared" si="24"/>
        <v/>
      </c>
    </row>
    <row r="272" spans="2:16" ht="16.8" hidden="1" customHeight="1" x14ac:dyDescent="0.4">
      <c r="B272" s="30" t="str">
        <f>IF(AND(ISBLANK(D272), ISBLANK(E272), ISBLANK(G272)), "", IF(AND(E272&lt;&gt;"", E272=E271, D272&lt;&gt;"", D272=D271), B271, "PED-" &amp; TEXT(IFERROR(VALUE(RIGHT(LOOKUP("PED-9999",$B$5:B271),4)),1000)+1, "0000")))</f>
        <v/>
      </c>
      <c r="C272" s="30" t="s">
        <v>305</v>
      </c>
      <c r="D272" s="42"/>
      <c r="E272" s="30"/>
      <c r="F272" s="30" t="str">
        <f>IF(ISBLANK(E272),"",IFERROR(VLOOKUP(E272,'CADASTRO DE CLIENTES'!$C$6:$E$500,3,FALSE),""))</f>
        <v/>
      </c>
      <c r="G272" s="30"/>
      <c r="H272" s="30"/>
      <c r="I272" s="51" t="str">
        <f>IF(ISBLANK(G272),"",IFERROR(VLOOKUP(G272,'CADASTRO DE MATERIAL'!$C$6:$J$500,8,FALSE),""))</f>
        <v/>
      </c>
      <c r="J272" s="59" t="str">
        <f t="shared" si="20"/>
        <v/>
      </c>
      <c r="K272" s="30"/>
      <c r="L272" s="51">
        <f t="shared" si="21"/>
        <v>0</v>
      </c>
      <c r="M272" s="59">
        <f t="shared" si="22"/>
        <v>0</v>
      </c>
      <c r="N272" s="65"/>
      <c r="O272" s="59">
        <f t="shared" si="23"/>
        <v>0</v>
      </c>
      <c r="P272" s="59" t="str">
        <f t="shared" si="24"/>
        <v/>
      </c>
    </row>
    <row r="273" spans="2:16" ht="16.8" hidden="1" customHeight="1" x14ac:dyDescent="0.4">
      <c r="B273" s="36" t="str">
        <f>IF(AND(ISBLANK(D273), ISBLANK(E273), ISBLANK(G273)), "", IF(AND(E273&lt;&gt;"", E273=E272, D273&lt;&gt;"", D273=D272), B272, "PED-" &amp; TEXT(IFERROR(VALUE(RIGHT(LOOKUP("PED-9999",$B$5:B272),4)),1000)+1, "0000")))</f>
        <v/>
      </c>
      <c r="C273" s="36" t="s">
        <v>306</v>
      </c>
      <c r="D273" s="41"/>
      <c r="E273" s="36"/>
      <c r="F273" s="36" t="str">
        <f>IF(ISBLANK(E273),"",IFERROR(VLOOKUP(E273,'CADASTRO DE CLIENTES'!$C$6:$E$500,3,FALSE),""))</f>
        <v/>
      </c>
      <c r="G273" s="36"/>
      <c r="H273" s="36"/>
      <c r="I273" s="49" t="str">
        <f>IF(ISBLANK(G273),"",IFERROR(VLOOKUP(G273,'CADASTRO DE MATERIAL'!$C$6:$J$500,8,FALSE),""))</f>
        <v/>
      </c>
      <c r="J273" s="54" t="str">
        <f t="shared" si="20"/>
        <v/>
      </c>
      <c r="K273" s="36"/>
      <c r="L273" s="49">
        <f t="shared" si="21"/>
        <v>0</v>
      </c>
      <c r="M273" s="54">
        <f t="shared" si="22"/>
        <v>0</v>
      </c>
      <c r="N273" s="66"/>
      <c r="O273" s="54">
        <f t="shared" si="23"/>
        <v>0</v>
      </c>
      <c r="P273" s="54" t="str">
        <f t="shared" si="24"/>
        <v/>
      </c>
    </row>
    <row r="274" spans="2:16" ht="16.8" hidden="1" customHeight="1" x14ac:dyDescent="0.4">
      <c r="B274" s="30" t="str">
        <f>IF(AND(ISBLANK(D274), ISBLANK(E274), ISBLANK(G274)), "", IF(AND(E274&lt;&gt;"", E274=E273, D274&lt;&gt;"", D274=D273), B273, "PED-" &amp; TEXT(IFERROR(VALUE(RIGHT(LOOKUP("PED-9999",$B$5:B273),4)),1000)+1, "0000")))</f>
        <v/>
      </c>
      <c r="C274" s="30" t="s">
        <v>307</v>
      </c>
      <c r="D274" s="42"/>
      <c r="E274" s="30"/>
      <c r="F274" s="30" t="str">
        <f>IF(ISBLANK(E274),"",IFERROR(VLOOKUP(E274,'CADASTRO DE CLIENTES'!$C$6:$E$500,3,FALSE),""))</f>
        <v/>
      </c>
      <c r="G274" s="30"/>
      <c r="H274" s="30"/>
      <c r="I274" s="51" t="str">
        <f>IF(ISBLANK(G274),"",IFERROR(VLOOKUP(G274,'CADASTRO DE MATERIAL'!$C$6:$J$500,8,FALSE),""))</f>
        <v/>
      </c>
      <c r="J274" s="59" t="str">
        <f t="shared" si="20"/>
        <v/>
      </c>
      <c r="K274" s="30"/>
      <c r="L274" s="51">
        <f t="shared" si="21"/>
        <v>0</v>
      </c>
      <c r="M274" s="59">
        <f t="shared" si="22"/>
        <v>0</v>
      </c>
      <c r="N274" s="65"/>
      <c r="O274" s="59">
        <f t="shared" si="23"/>
        <v>0</v>
      </c>
      <c r="P274" s="59" t="str">
        <f t="shared" si="24"/>
        <v/>
      </c>
    </row>
    <row r="275" spans="2:16" ht="16.8" hidden="1" customHeight="1" x14ac:dyDescent="0.4">
      <c r="B275" s="36" t="str">
        <f>IF(AND(ISBLANK(D275), ISBLANK(E275), ISBLANK(G275)), "", IF(AND(E275&lt;&gt;"", E275=E274, D275&lt;&gt;"", D275=D274), B274, "PED-" &amp; TEXT(IFERROR(VALUE(RIGHT(LOOKUP("PED-9999",$B$5:B274),4)),1000)+1, "0000")))</f>
        <v/>
      </c>
      <c r="C275" s="36" t="s">
        <v>308</v>
      </c>
      <c r="D275" s="41"/>
      <c r="E275" s="36"/>
      <c r="F275" s="36" t="str">
        <f>IF(ISBLANK(E275),"",IFERROR(VLOOKUP(E275,'CADASTRO DE CLIENTES'!$C$6:$E$500,3,FALSE),""))</f>
        <v/>
      </c>
      <c r="G275" s="36"/>
      <c r="H275" s="36"/>
      <c r="I275" s="49" t="str">
        <f>IF(ISBLANK(G275),"",IFERROR(VLOOKUP(G275,'CADASTRO DE MATERIAL'!$C$6:$J$500,8,FALSE),""))</f>
        <v/>
      </c>
      <c r="J275" s="54" t="str">
        <f t="shared" si="20"/>
        <v/>
      </c>
      <c r="K275" s="36"/>
      <c r="L275" s="49">
        <f t="shared" si="21"/>
        <v>0</v>
      </c>
      <c r="M275" s="54">
        <f t="shared" si="22"/>
        <v>0</v>
      </c>
      <c r="N275" s="66"/>
      <c r="O275" s="54">
        <f t="shared" si="23"/>
        <v>0</v>
      </c>
      <c r="P275" s="54" t="str">
        <f t="shared" si="24"/>
        <v/>
      </c>
    </row>
    <row r="276" spans="2:16" ht="16.8" hidden="1" customHeight="1" x14ac:dyDescent="0.4">
      <c r="B276" s="30" t="str">
        <f>IF(AND(ISBLANK(D276), ISBLANK(E276), ISBLANK(G276)), "", IF(AND(E276&lt;&gt;"", E276=E275, D276&lt;&gt;"", D276=D275), B275, "PED-" &amp; TEXT(IFERROR(VALUE(RIGHT(LOOKUP("PED-9999",$B$5:B275),4)),1000)+1, "0000")))</f>
        <v/>
      </c>
      <c r="C276" s="30" t="s">
        <v>309</v>
      </c>
      <c r="D276" s="42"/>
      <c r="E276" s="30"/>
      <c r="F276" s="30" t="str">
        <f>IF(ISBLANK(E276),"",IFERROR(VLOOKUP(E276,'CADASTRO DE CLIENTES'!$C$6:$E$500,3,FALSE),""))</f>
        <v/>
      </c>
      <c r="G276" s="30"/>
      <c r="H276" s="30"/>
      <c r="I276" s="51" t="str">
        <f>IF(ISBLANK(G276),"",IFERROR(VLOOKUP(G276,'CADASTRO DE MATERIAL'!$C$6:$J$500,8,FALSE),""))</f>
        <v/>
      </c>
      <c r="J276" s="59" t="str">
        <f t="shared" si="20"/>
        <v/>
      </c>
      <c r="K276" s="30"/>
      <c r="L276" s="51">
        <f t="shared" si="21"/>
        <v>0</v>
      </c>
      <c r="M276" s="59">
        <f t="shared" si="22"/>
        <v>0</v>
      </c>
      <c r="N276" s="65"/>
      <c r="O276" s="59">
        <f t="shared" si="23"/>
        <v>0</v>
      </c>
      <c r="P276" s="59" t="str">
        <f t="shared" si="24"/>
        <v/>
      </c>
    </row>
    <row r="277" spans="2:16" ht="16.8" hidden="1" customHeight="1" x14ac:dyDescent="0.4">
      <c r="B277" s="36" t="str">
        <f>IF(AND(ISBLANK(D277), ISBLANK(E277), ISBLANK(G277)), "", IF(AND(E277&lt;&gt;"", E277=E276, D277&lt;&gt;"", D277=D276), B276, "PED-" &amp; TEXT(IFERROR(VALUE(RIGHT(LOOKUP("PED-9999",$B$5:B276),4)),1000)+1, "0000")))</f>
        <v/>
      </c>
      <c r="C277" s="36" t="s">
        <v>310</v>
      </c>
      <c r="D277" s="41"/>
      <c r="E277" s="36"/>
      <c r="F277" s="36" t="str">
        <f>IF(ISBLANK(E277),"",IFERROR(VLOOKUP(E277,'CADASTRO DE CLIENTES'!$C$6:$E$500,3,FALSE),""))</f>
        <v/>
      </c>
      <c r="G277" s="36"/>
      <c r="H277" s="36"/>
      <c r="I277" s="49" t="str">
        <f>IF(ISBLANK(G277),"",IFERROR(VLOOKUP(G277,'CADASTRO DE MATERIAL'!$C$6:$J$500,8,FALSE),""))</f>
        <v/>
      </c>
      <c r="J277" s="54" t="str">
        <f t="shared" si="20"/>
        <v/>
      </c>
      <c r="K277" s="36"/>
      <c r="L277" s="49">
        <f t="shared" si="21"/>
        <v>0</v>
      </c>
      <c r="M277" s="54">
        <f t="shared" si="22"/>
        <v>0</v>
      </c>
      <c r="N277" s="66"/>
      <c r="O277" s="54">
        <f t="shared" si="23"/>
        <v>0</v>
      </c>
      <c r="P277" s="54" t="str">
        <f t="shared" si="24"/>
        <v/>
      </c>
    </row>
    <row r="278" spans="2:16" ht="16.8" hidden="1" customHeight="1" x14ac:dyDescent="0.4">
      <c r="B278" s="30" t="str">
        <f>IF(AND(ISBLANK(D278), ISBLANK(E278), ISBLANK(G278)), "", IF(AND(E278&lt;&gt;"", E278=E277, D278&lt;&gt;"", D278=D277), B277, "PED-" &amp; TEXT(IFERROR(VALUE(RIGHT(LOOKUP("PED-9999",$B$5:B277),4)),1000)+1, "0000")))</f>
        <v/>
      </c>
      <c r="C278" s="30" t="s">
        <v>311</v>
      </c>
      <c r="D278" s="42"/>
      <c r="E278" s="30"/>
      <c r="F278" s="30" t="str">
        <f>IF(ISBLANK(E278),"",IFERROR(VLOOKUP(E278,'CADASTRO DE CLIENTES'!$C$6:$E$500,3,FALSE),""))</f>
        <v/>
      </c>
      <c r="G278" s="30"/>
      <c r="H278" s="30"/>
      <c r="I278" s="51" t="str">
        <f>IF(ISBLANK(G278),"",IFERROR(VLOOKUP(G278,'CADASTRO DE MATERIAL'!$C$6:$J$500,8,FALSE),""))</f>
        <v/>
      </c>
      <c r="J278" s="59" t="str">
        <f t="shared" si="20"/>
        <v/>
      </c>
      <c r="K278" s="30"/>
      <c r="L278" s="51">
        <f t="shared" si="21"/>
        <v>0</v>
      </c>
      <c r="M278" s="59">
        <f t="shared" si="22"/>
        <v>0</v>
      </c>
      <c r="N278" s="65"/>
      <c r="O278" s="59">
        <f t="shared" si="23"/>
        <v>0</v>
      </c>
      <c r="P278" s="59" t="str">
        <f t="shared" si="24"/>
        <v/>
      </c>
    </row>
    <row r="279" spans="2:16" ht="16.8" hidden="1" customHeight="1" x14ac:dyDescent="0.4">
      <c r="B279" s="36" t="str">
        <f>IF(AND(ISBLANK(D279), ISBLANK(E279), ISBLANK(G279)), "", IF(AND(E279&lt;&gt;"", E279=E278, D279&lt;&gt;"", D279=D278), B278, "PED-" &amp; TEXT(IFERROR(VALUE(RIGHT(LOOKUP("PED-9999",$B$5:B278),4)),1000)+1, "0000")))</f>
        <v/>
      </c>
      <c r="C279" s="36" t="s">
        <v>312</v>
      </c>
      <c r="D279" s="41"/>
      <c r="E279" s="36"/>
      <c r="F279" s="36" t="str">
        <f>IF(ISBLANK(E279),"",IFERROR(VLOOKUP(E279,'CADASTRO DE CLIENTES'!$C$6:$E$500,3,FALSE),""))</f>
        <v/>
      </c>
      <c r="G279" s="36"/>
      <c r="H279" s="36"/>
      <c r="I279" s="49" t="str">
        <f>IF(ISBLANK(G279),"",IFERROR(VLOOKUP(G279,'CADASTRO DE MATERIAL'!$C$6:$J$500,8,FALSE),""))</f>
        <v/>
      </c>
      <c r="J279" s="54" t="str">
        <f t="shared" si="20"/>
        <v/>
      </c>
      <c r="K279" s="36"/>
      <c r="L279" s="49">
        <f t="shared" si="21"/>
        <v>0</v>
      </c>
      <c r="M279" s="54">
        <f t="shared" si="22"/>
        <v>0</v>
      </c>
      <c r="N279" s="66"/>
      <c r="O279" s="54">
        <f t="shared" si="23"/>
        <v>0</v>
      </c>
      <c r="P279" s="54" t="str">
        <f t="shared" si="24"/>
        <v/>
      </c>
    </row>
    <row r="280" spans="2:16" ht="16.8" hidden="1" customHeight="1" x14ac:dyDescent="0.4">
      <c r="B280" s="30" t="str">
        <f>IF(AND(ISBLANK(D280), ISBLANK(E280), ISBLANK(G280)), "", IF(AND(E280&lt;&gt;"", E280=E279, D280&lt;&gt;"", D280=D279), B279, "PED-" &amp; TEXT(IFERROR(VALUE(RIGHT(LOOKUP("PED-9999",$B$5:B279),4)),1000)+1, "0000")))</f>
        <v/>
      </c>
      <c r="C280" s="30" t="s">
        <v>313</v>
      </c>
      <c r="D280" s="42"/>
      <c r="E280" s="30"/>
      <c r="F280" s="30" t="str">
        <f>IF(ISBLANK(E280),"",IFERROR(VLOOKUP(E280,'CADASTRO DE CLIENTES'!$C$6:$E$500,3,FALSE),""))</f>
        <v/>
      </c>
      <c r="G280" s="30"/>
      <c r="H280" s="30"/>
      <c r="I280" s="51" t="str">
        <f>IF(ISBLANK(G280),"",IFERROR(VLOOKUP(G280,'CADASTRO DE MATERIAL'!$C$6:$J$500,8,FALSE),""))</f>
        <v/>
      </c>
      <c r="J280" s="59" t="str">
        <f t="shared" si="20"/>
        <v/>
      </c>
      <c r="K280" s="30"/>
      <c r="L280" s="51">
        <f t="shared" si="21"/>
        <v>0</v>
      </c>
      <c r="M280" s="59">
        <f t="shared" si="22"/>
        <v>0</v>
      </c>
      <c r="N280" s="65"/>
      <c r="O280" s="59">
        <f t="shared" si="23"/>
        <v>0</v>
      </c>
      <c r="P280" s="59" t="str">
        <f t="shared" si="24"/>
        <v/>
      </c>
    </row>
    <row r="281" spans="2:16" ht="16.8" hidden="1" customHeight="1" x14ac:dyDescent="0.4">
      <c r="B281" s="36" t="str">
        <f>IF(AND(ISBLANK(D281), ISBLANK(E281), ISBLANK(G281)), "", IF(AND(E281&lt;&gt;"", E281=E280, D281&lt;&gt;"", D281=D280), B280, "PED-" &amp; TEXT(IFERROR(VALUE(RIGHT(LOOKUP("PED-9999",$B$5:B280),4)),1000)+1, "0000")))</f>
        <v/>
      </c>
      <c r="C281" s="36" t="s">
        <v>314</v>
      </c>
      <c r="D281" s="41"/>
      <c r="E281" s="36"/>
      <c r="F281" s="36" t="str">
        <f>IF(ISBLANK(E281),"",IFERROR(VLOOKUP(E281,'CADASTRO DE CLIENTES'!$C$6:$E$500,3,FALSE),""))</f>
        <v/>
      </c>
      <c r="G281" s="36"/>
      <c r="H281" s="36"/>
      <c r="I281" s="49" t="str">
        <f>IF(ISBLANK(G281),"",IFERROR(VLOOKUP(G281,'CADASTRO DE MATERIAL'!$C$6:$J$500,8,FALSE),""))</f>
        <v/>
      </c>
      <c r="J281" s="54" t="str">
        <f t="shared" si="20"/>
        <v/>
      </c>
      <c r="K281" s="36"/>
      <c r="L281" s="49">
        <f t="shared" si="21"/>
        <v>0</v>
      </c>
      <c r="M281" s="54">
        <f t="shared" si="22"/>
        <v>0</v>
      </c>
      <c r="N281" s="66"/>
      <c r="O281" s="54">
        <f t="shared" si="23"/>
        <v>0</v>
      </c>
      <c r="P281" s="54" t="str">
        <f t="shared" si="24"/>
        <v/>
      </c>
    </row>
    <row r="282" spans="2:16" ht="16.8" hidden="1" customHeight="1" x14ac:dyDescent="0.4">
      <c r="B282" s="30" t="str">
        <f>IF(AND(ISBLANK(D282), ISBLANK(E282), ISBLANK(G282)), "", IF(AND(E282&lt;&gt;"", E282=E281, D282&lt;&gt;"", D282=D281), B281, "PED-" &amp; TEXT(IFERROR(VALUE(RIGHT(LOOKUP("PED-9999",$B$5:B281),4)),1000)+1, "0000")))</f>
        <v/>
      </c>
      <c r="C282" s="30" t="s">
        <v>315</v>
      </c>
      <c r="D282" s="42"/>
      <c r="E282" s="30"/>
      <c r="F282" s="30" t="str">
        <f>IF(ISBLANK(E282),"",IFERROR(VLOOKUP(E282,'CADASTRO DE CLIENTES'!$C$6:$E$500,3,FALSE),""))</f>
        <v/>
      </c>
      <c r="G282" s="30"/>
      <c r="H282" s="30"/>
      <c r="I282" s="51" t="str">
        <f>IF(ISBLANK(G282),"",IFERROR(VLOOKUP(G282,'CADASTRO DE MATERIAL'!$C$6:$J$500,8,FALSE),""))</f>
        <v/>
      </c>
      <c r="J282" s="59" t="str">
        <f t="shared" si="20"/>
        <v/>
      </c>
      <c r="K282" s="30"/>
      <c r="L282" s="51">
        <f t="shared" si="21"/>
        <v>0</v>
      </c>
      <c r="M282" s="59">
        <f t="shared" si="22"/>
        <v>0</v>
      </c>
      <c r="N282" s="65"/>
      <c r="O282" s="59">
        <f t="shared" si="23"/>
        <v>0</v>
      </c>
      <c r="P282" s="59" t="str">
        <f t="shared" si="24"/>
        <v/>
      </c>
    </row>
    <row r="283" spans="2:16" ht="16.8" hidden="1" customHeight="1" x14ac:dyDescent="0.4">
      <c r="B283" s="36" t="str">
        <f>IF(AND(ISBLANK(D283), ISBLANK(E283), ISBLANK(G283)), "", IF(AND(E283&lt;&gt;"", E283=E282, D283&lt;&gt;"", D283=D282), B282, "PED-" &amp; TEXT(IFERROR(VALUE(RIGHT(LOOKUP("PED-9999",$B$5:B282),4)),1000)+1, "0000")))</f>
        <v/>
      </c>
      <c r="C283" s="36" t="s">
        <v>316</v>
      </c>
      <c r="D283" s="41"/>
      <c r="E283" s="36"/>
      <c r="F283" s="36" t="str">
        <f>IF(ISBLANK(E283),"",IFERROR(VLOOKUP(E283,'CADASTRO DE CLIENTES'!$C$6:$E$500,3,FALSE),""))</f>
        <v/>
      </c>
      <c r="G283" s="36"/>
      <c r="H283" s="36"/>
      <c r="I283" s="49" t="str">
        <f>IF(ISBLANK(G283),"",IFERROR(VLOOKUP(G283,'CADASTRO DE MATERIAL'!$C$6:$J$500,8,FALSE),""))</f>
        <v/>
      </c>
      <c r="J283" s="54" t="str">
        <f t="shared" si="20"/>
        <v/>
      </c>
      <c r="K283" s="36"/>
      <c r="L283" s="49">
        <f t="shared" si="21"/>
        <v>0</v>
      </c>
      <c r="M283" s="54">
        <f t="shared" si="22"/>
        <v>0</v>
      </c>
      <c r="N283" s="66"/>
      <c r="O283" s="54">
        <f t="shared" si="23"/>
        <v>0</v>
      </c>
      <c r="P283" s="54" t="str">
        <f t="shared" si="24"/>
        <v/>
      </c>
    </row>
    <row r="284" spans="2:16" ht="16.8" hidden="1" customHeight="1" x14ac:dyDescent="0.4">
      <c r="B284" s="30" t="str">
        <f>IF(AND(ISBLANK(D284), ISBLANK(E284), ISBLANK(G284)), "", IF(AND(E284&lt;&gt;"", E284=E283, D284&lt;&gt;"", D284=D283), B283, "PED-" &amp; TEXT(IFERROR(VALUE(RIGHT(LOOKUP("PED-9999",$B$5:B283),4)),1000)+1, "0000")))</f>
        <v/>
      </c>
      <c r="C284" s="30" t="s">
        <v>317</v>
      </c>
      <c r="D284" s="42"/>
      <c r="E284" s="30"/>
      <c r="F284" s="30" t="str">
        <f>IF(ISBLANK(E284),"",IFERROR(VLOOKUP(E284,'CADASTRO DE CLIENTES'!$C$6:$E$500,3,FALSE),""))</f>
        <v/>
      </c>
      <c r="G284" s="30"/>
      <c r="H284" s="30"/>
      <c r="I284" s="51" t="str">
        <f>IF(ISBLANK(G284),"",IFERROR(VLOOKUP(G284,'CADASTRO DE MATERIAL'!$C$6:$J$500,8,FALSE),""))</f>
        <v/>
      </c>
      <c r="J284" s="59" t="str">
        <f t="shared" si="20"/>
        <v/>
      </c>
      <c r="K284" s="30"/>
      <c r="L284" s="51">
        <f t="shared" si="21"/>
        <v>0</v>
      </c>
      <c r="M284" s="59">
        <f t="shared" si="22"/>
        <v>0</v>
      </c>
      <c r="N284" s="65"/>
      <c r="O284" s="59">
        <f t="shared" si="23"/>
        <v>0</v>
      </c>
      <c r="P284" s="59" t="str">
        <f t="shared" si="24"/>
        <v/>
      </c>
    </row>
    <row r="285" spans="2:16" ht="16.8" hidden="1" customHeight="1" x14ac:dyDescent="0.4">
      <c r="B285" s="36" t="str">
        <f>IF(AND(ISBLANK(D285), ISBLANK(E285), ISBLANK(G285)), "", IF(AND(E285&lt;&gt;"", E285=E284, D285&lt;&gt;"", D285=D284), B284, "PED-" &amp; TEXT(IFERROR(VALUE(RIGHT(LOOKUP("PED-9999",$B$5:B284),4)),1000)+1, "0000")))</f>
        <v/>
      </c>
      <c r="C285" s="36" t="s">
        <v>318</v>
      </c>
      <c r="D285" s="41"/>
      <c r="E285" s="36"/>
      <c r="F285" s="36" t="str">
        <f>IF(ISBLANK(E285),"",IFERROR(VLOOKUP(E285,'CADASTRO DE CLIENTES'!$C$6:$E$500,3,FALSE),""))</f>
        <v/>
      </c>
      <c r="G285" s="36"/>
      <c r="H285" s="36"/>
      <c r="I285" s="49" t="str">
        <f>IF(ISBLANK(G285),"",IFERROR(VLOOKUP(G285,'CADASTRO DE MATERIAL'!$C$6:$J$500,8,FALSE),""))</f>
        <v/>
      </c>
      <c r="J285" s="54" t="str">
        <f t="shared" si="20"/>
        <v/>
      </c>
      <c r="K285" s="36"/>
      <c r="L285" s="49">
        <f t="shared" si="21"/>
        <v>0</v>
      </c>
      <c r="M285" s="54">
        <f t="shared" si="22"/>
        <v>0</v>
      </c>
      <c r="N285" s="66"/>
      <c r="O285" s="54">
        <f t="shared" si="23"/>
        <v>0</v>
      </c>
      <c r="P285" s="54" t="str">
        <f t="shared" si="24"/>
        <v/>
      </c>
    </row>
    <row r="286" spans="2:16" ht="16.8" hidden="1" customHeight="1" x14ac:dyDescent="0.4">
      <c r="B286" s="30" t="str">
        <f>IF(AND(ISBLANK(D286), ISBLANK(E286), ISBLANK(G286)), "", IF(AND(E286&lt;&gt;"", E286=E285, D286&lt;&gt;"", D286=D285), B285, "PED-" &amp; TEXT(IFERROR(VALUE(RIGHT(LOOKUP("PED-9999",$B$5:B285),4)),1000)+1, "0000")))</f>
        <v/>
      </c>
      <c r="C286" s="30" t="s">
        <v>319</v>
      </c>
      <c r="D286" s="42"/>
      <c r="E286" s="30"/>
      <c r="F286" s="30" t="str">
        <f>IF(ISBLANK(E286),"",IFERROR(VLOOKUP(E286,'CADASTRO DE CLIENTES'!$C$6:$E$500,3,FALSE),""))</f>
        <v/>
      </c>
      <c r="G286" s="30"/>
      <c r="H286" s="30"/>
      <c r="I286" s="51" t="str">
        <f>IF(ISBLANK(G286),"",IFERROR(VLOOKUP(G286,'CADASTRO DE MATERIAL'!$C$6:$J$500,8,FALSE),""))</f>
        <v/>
      </c>
      <c r="J286" s="59" t="str">
        <f t="shared" si="20"/>
        <v/>
      </c>
      <c r="K286" s="30"/>
      <c r="L286" s="51">
        <f t="shared" si="21"/>
        <v>0</v>
      </c>
      <c r="M286" s="59">
        <f t="shared" si="22"/>
        <v>0</v>
      </c>
      <c r="N286" s="65"/>
      <c r="O286" s="59">
        <f t="shared" si="23"/>
        <v>0</v>
      </c>
      <c r="P286" s="59" t="str">
        <f t="shared" si="24"/>
        <v/>
      </c>
    </row>
    <row r="287" spans="2:16" ht="16.8" hidden="1" customHeight="1" x14ac:dyDescent="0.4">
      <c r="B287" s="36" t="str">
        <f>IF(AND(ISBLANK(D287), ISBLANK(E287), ISBLANK(G287)), "", IF(AND(E287&lt;&gt;"", E287=E286, D287&lt;&gt;"", D287=D286), B286, "PED-" &amp; TEXT(IFERROR(VALUE(RIGHT(LOOKUP("PED-9999",$B$5:B286),4)),1000)+1, "0000")))</f>
        <v/>
      </c>
      <c r="C287" s="36" t="s">
        <v>320</v>
      </c>
      <c r="D287" s="41"/>
      <c r="E287" s="36"/>
      <c r="F287" s="36" t="str">
        <f>IF(ISBLANK(E287),"",IFERROR(VLOOKUP(E287,'CADASTRO DE CLIENTES'!$C$6:$E$500,3,FALSE),""))</f>
        <v/>
      </c>
      <c r="G287" s="36"/>
      <c r="H287" s="36"/>
      <c r="I287" s="49" t="str">
        <f>IF(ISBLANK(G287),"",IFERROR(VLOOKUP(G287,'CADASTRO DE MATERIAL'!$C$6:$J$500,8,FALSE),""))</f>
        <v/>
      </c>
      <c r="J287" s="54" t="str">
        <f t="shared" si="20"/>
        <v/>
      </c>
      <c r="K287" s="36"/>
      <c r="L287" s="49">
        <f t="shared" si="21"/>
        <v>0</v>
      </c>
      <c r="M287" s="54">
        <f t="shared" si="22"/>
        <v>0</v>
      </c>
      <c r="N287" s="66"/>
      <c r="O287" s="54">
        <f t="shared" si="23"/>
        <v>0</v>
      </c>
      <c r="P287" s="54" t="str">
        <f t="shared" si="24"/>
        <v/>
      </c>
    </row>
    <row r="288" spans="2:16" ht="16.8" hidden="1" customHeight="1" x14ac:dyDescent="0.4">
      <c r="B288" s="30" t="str">
        <f>IF(AND(ISBLANK(D288), ISBLANK(E288), ISBLANK(G288)), "", IF(AND(E288&lt;&gt;"", E288=E287, D288&lt;&gt;"", D288=D287), B287, "PED-" &amp; TEXT(IFERROR(VALUE(RIGHT(LOOKUP("PED-9999",$B$5:B287),4)),1000)+1, "0000")))</f>
        <v/>
      </c>
      <c r="C288" s="30" t="s">
        <v>321</v>
      </c>
      <c r="D288" s="42"/>
      <c r="E288" s="30"/>
      <c r="F288" s="30" t="str">
        <f>IF(ISBLANK(E288),"",IFERROR(VLOOKUP(E288,'CADASTRO DE CLIENTES'!$C$6:$E$500,3,FALSE),""))</f>
        <v/>
      </c>
      <c r="G288" s="30"/>
      <c r="H288" s="30"/>
      <c r="I288" s="51" t="str">
        <f>IF(ISBLANK(G288),"",IFERROR(VLOOKUP(G288,'CADASTRO DE MATERIAL'!$C$6:$J$500,8,FALSE),""))</f>
        <v/>
      </c>
      <c r="J288" s="59" t="str">
        <f t="shared" si="20"/>
        <v/>
      </c>
      <c r="K288" s="30"/>
      <c r="L288" s="51">
        <f t="shared" si="21"/>
        <v>0</v>
      </c>
      <c r="M288" s="59">
        <f t="shared" si="22"/>
        <v>0</v>
      </c>
      <c r="N288" s="65"/>
      <c r="O288" s="59">
        <f t="shared" si="23"/>
        <v>0</v>
      </c>
      <c r="P288" s="59" t="str">
        <f t="shared" si="24"/>
        <v/>
      </c>
    </row>
    <row r="289" spans="2:16" ht="16.8" hidden="1" customHeight="1" x14ac:dyDescent="0.4">
      <c r="B289" s="36" t="str">
        <f>IF(AND(ISBLANK(D289), ISBLANK(E289), ISBLANK(G289)), "", IF(AND(E289&lt;&gt;"", E289=E288, D289&lt;&gt;"", D289=D288), B288, "PED-" &amp; TEXT(IFERROR(VALUE(RIGHT(LOOKUP("PED-9999",$B$5:B288),4)),1000)+1, "0000")))</f>
        <v/>
      </c>
      <c r="C289" s="36" t="s">
        <v>322</v>
      </c>
      <c r="D289" s="41"/>
      <c r="E289" s="36"/>
      <c r="F289" s="36" t="str">
        <f>IF(ISBLANK(E289),"",IFERROR(VLOOKUP(E289,'CADASTRO DE CLIENTES'!$C$6:$E$500,3,FALSE),""))</f>
        <v/>
      </c>
      <c r="G289" s="36"/>
      <c r="H289" s="36"/>
      <c r="I289" s="49" t="str">
        <f>IF(ISBLANK(G289),"",IFERROR(VLOOKUP(G289,'CADASTRO DE MATERIAL'!$C$6:$J$500,8,FALSE),""))</f>
        <v/>
      </c>
      <c r="J289" s="54" t="str">
        <f t="shared" si="20"/>
        <v/>
      </c>
      <c r="K289" s="36"/>
      <c r="L289" s="49">
        <f t="shared" si="21"/>
        <v>0</v>
      </c>
      <c r="M289" s="54">
        <f t="shared" si="22"/>
        <v>0</v>
      </c>
      <c r="N289" s="66"/>
      <c r="O289" s="54">
        <f t="shared" si="23"/>
        <v>0</v>
      </c>
      <c r="P289" s="54" t="str">
        <f t="shared" si="24"/>
        <v/>
      </c>
    </row>
    <row r="290" spans="2:16" ht="16.8" hidden="1" customHeight="1" x14ac:dyDescent="0.4">
      <c r="B290" s="30" t="str">
        <f>IF(AND(ISBLANK(D290), ISBLANK(E290), ISBLANK(G290)), "", IF(AND(E290&lt;&gt;"", E290=E289, D290&lt;&gt;"", D290=D289), B289, "PED-" &amp; TEXT(IFERROR(VALUE(RIGHT(LOOKUP("PED-9999",$B$5:B289),4)),1000)+1, "0000")))</f>
        <v/>
      </c>
      <c r="C290" s="30" t="s">
        <v>323</v>
      </c>
      <c r="D290" s="42"/>
      <c r="E290" s="30"/>
      <c r="F290" s="30" t="str">
        <f>IF(ISBLANK(E290),"",IFERROR(VLOOKUP(E290,'CADASTRO DE CLIENTES'!$C$6:$E$500,3,FALSE),""))</f>
        <v/>
      </c>
      <c r="G290" s="30"/>
      <c r="H290" s="30"/>
      <c r="I290" s="51" t="str">
        <f>IF(ISBLANK(G290),"",IFERROR(VLOOKUP(G290,'CADASTRO DE MATERIAL'!$C$6:$J$500,8,FALSE),""))</f>
        <v/>
      </c>
      <c r="J290" s="59" t="str">
        <f t="shared" si="20"/>
        <v/>
      </c>
      <c r="K290" s="30"/>
      <c r="L290" s="51">
        <f t="shared" si="21"/>
        <v>0</v>
      </c>
      <c r="M290" s="59">
        <f t="shared" si="22"/>
        <v>0</v>
      </c>
      <c r="N290" s="65"/>
      <c r="O290" s="59">
        <f t="shared" si="23"/>
        <v>0</v>
      </c>
      <c r="P290" s="59" t="str">
        <f t="shared" si="24"/>
        <v/>
      </c>
    </row>
    <row r="291" spans="2:16" ht="16.8" hidden="1" customHeight="1" x14ac:dyDescent="0.4">
      <c r="B291" s="36" t="str">
        <f>IF(AND(ISBLANK(D291), ISBLANK(E291), ISBLANK(G291)), "", IF(AND(E291&lt;&gt;"", E291=E290, D291&lt;&gt;"", D291=D290), B290, "PED-" &amp; TEXT(IFERROR(VALUE(RIGHT(LOOKUP("PED-9999",$B$5:B290),4)),1000)+1, "0000")))</f>
        <v/>
      </c>
      <c r="C291" s="36" t="s">
        <v>324</v>
      </c>
      <c r="D291" s="41"/>
      <c r="E291" s="36"/>
      <c r="F291" s="36" t="str">
        <f>IF(ISBLANK(E291),"",IFERROR(VLOOKUP(E291,'CADASTRO DE CLIENTES'!$C$6:$E$500,3,FALSE),""))</f>
        <v/>
      </c>
      <c r="G291" s="36"/>
      <c r="H291" s="36"/>
      <c r="I291" s="49" t="str">
        <f>IF(ISBLANK(G291),"",IFERROR(VLOOKUP(G291,'CADASTRO DE MATERIAL'!$C$6:$J$500,8,FALSE),""))</f>
        <v/>
      </c>
      <c r="J291" s="54" t="str">
        <f t="shared" si="20"/>
        <v/>
      </c>
      <c r="K291" s="36"/>
      <c r="L291" s="49">
        <f t="shared" si="21"/>
        <v>0</v>
      </c>
      <c r="M291" s="54">
        <f t="shared" si="22"/>
        <v>0</v>
      </c>
      <c r="N291" s="66"/>
      <c r="O291" s="54">
        <f t="shared" si="23"/>
        <v>0</v>
      </c>
      <c r="P291" s="54" t="str">
        <f t="shared" si="24"/>
        <v/>
      </c>
    </row>
    <row r="292" spans="2:16" ht="16.8" hidden="1" customHeight="1" x14ac:dyDescent="0.4">
      <c r="B292" s="30" t="str">
        <f>IF(AND(ISBLANK(D292), ISBLANK(E292), ISBLANK(G292)), "", IF(AND(E292&lt;&gt;"", E292=E291, D292&lt;&gt;"", D292=D291), B291, "PED-" &amp; TEXT(IFERROR(VALUE(RIGHT(LOOKUP("PED-9999",$B$5:B291),4)),1000)+1, "0000")))</f>
        <v/>
      </c>
      <c r="C292" s="30" t="s">
        <v>325</v>
      </c>
      <c r="D292" s="42"/>
      <c r="E292" s="30"/>
      <c r="F292" s="30" t="str">
        <f>IF(ISBLANK(E292),"",IFERROR(VLOOKUP(E292,'CADASTRO DE CLIENTES'!$C$6:$E$500,3,FALSE),""))</f>
        <v/>
      </c>
      <c r="G292" s="30"/>
      <c r="H292" s="30"/>
      <c r="I292" s="51" t="str">
        <f>IF(ISBLANK(G292),"",IFERROR(VLOOKUP(G292,'CADASTRO DE MATERIAL'!$C$6:$J$500,8,FALSE),""))</f>
        <v/>
      </c>
      <c r="J292" s="59" t="str">
        <f t="shared" si="20"/>
        <v/>
      </c>
      <c r="K292" s="30"/>
      <c r="L292" s="51">
        <f t="shared" si="21"/>
        <v>0</v>
      </c>
      <c r="M292" s="59">
        <f t="shared" si="22"/>
        <v>0</v>
      </c>
      <c r="N292" s="65"/>
      <c r="O292" s="59">
        <f t="shared" si="23"/>
        <v>0</v>
      </c>
      <c r="P292" s="59" t="str">
        <f t="shared" si="24"/>
        <v/>
      </c>
    </row>
    <row r="293" spans="2:16" ht="16.8" hidden="1" customHeight="1" x14ac:dyDescent="0.4">
      <c r="B293" s="36" t="str">
        <f>IF(AND(ISBLANK(D293), ISBLANK(E293), ISBLANK(G293)), "", IF(AND(E293&lt;&gt;"", E293=E292, D293&lt;&gt;"", D293=D292), B292, "PED-" &amp; TEXT(IFERROR(VALUE(RIGHT(LOOKUP("PED-9999",$B$5:B292),4)),1000)+1, "0000")))</f>
        <v/>
      </c>
      <c r="C293" s="36" t="s">
        <v>326</v>
      </c>
      <c r="D293" s="41"/>
      <c r="E293" s="36"/>
      <c r="F293" s="36" t="str">
        <f>IF(ISBLANK(E293),"",IFERROR(VLOOKUP(E293,'CADASTRO DE CLIENTES'!$C$6:$E$500,3,FALSE),""))</f>
        <v/>
      </c>
      <c r="G293" s="36"/>
      <c r="H293" s="36"/>
      <c r="I293" s="49" t="str">
        <f>IF(ISBLANK(G293),"",IFERROR(VLOOKUP(G293,'CADASTRO DE MATERIAL'!$C$6:$J$500,8,FALSE),""))</f>
        <v/>
      </c>
      <c r="J293" s="54" t="str">
        <f t="shared" si="20"/>
        <v/>
      </c>
      <c r="K293" s="36"/>
      <c r="L293" s="49">
        <f t="shared" si="21"/>
        <v>0</v>
      </c>
      <c r="M293" s="54">
        <f t="shared" si="22"/>
        <v>0</v>
      </c>
      <c r="N293" s="66"/>
      <c r="O293" s="54">
        <f t="shared" si="23"/>
        <v>0</v>
      </c>
      <c r="P293" s="54" t="str">
        <f t="shared" si="24"/>
        <v/>
      </c>
    </row>
    <row r="294" spans="2:16" ht="16.8" hidden="1" customHeight="1" x14ac:dyDescent="0.4">
      <c r="B294" s="30" t="str">
        <f>IF(AND(ISBLANK(D294), ISBLANK(E294), ISBLANK(G294)), "", IF(AND(E294&lt;&gt;"", E294=E293, D294&lt;&gt;"", D294=D293), B293, "PED-" &amp; TEXT(IFERROR(VALUE(RIGHT(LOOKUP("PED-9999",$B$5:B293),4)),1000)+1, "0000")))</f>
        <v/>
      </c>
      <c r="C294" s="30" t="s">
        <v>327</v>
      </c>
      <c r="D294" s="42"/>
      <c r="E294" s="30"/>
      <c r="F294" s="30" t="str">
        <f>IF(ISBLANK(E294),"",IFERROR(VLOOKUP(E294,'CADASTRO DE CLIENTES'!$C$6:$E$500,3,FALSE),""))</f>
        <v/>
      </c>
      <c r="G294" s="30"/>
      <c r="H294" s="30"/>
      <c r="I294" s="51" t="str">
        <f>IF(ISBLANK(G294),"",IFERROR(VLOOKUP(G294,'CADASTRO DE MATERIAL'!$C$6:$J$500,8,FALSE),""))</f>
        <v/>
      </c>
      <c r="J294" s="59" t="str">
        <f t="shared" si="20"/>
        <v/>
      </c>
      <c r="K294" s="30"/>
      <c r="L294" s="51">
        <f t="shared" si="21"/>
        <v>0</v>
      </c>
      <c r="M294" s="59">
        <f t="shared" si="22"/>
        <v>0</v>
      </c>
      <c r="N294" s="65"/>
      <c r="O294" s="59">
        <f t="shared" si="23"/>
        <v>0</v>
      </c>
      <c r="P294" s="59" t="str">
        <f t="shared" si="24"/>
        <v/>
      </c>
    </row>
    <row r="295" spans="2:16" ht="16.8" hidden="1" customHeight="1" x14ac:dyDescent="0.4">
      <c r="B295" s="36" t="str">
        <f>IF(AND(ISBLANK(D295), ISBLANK(E295), ISBLANK(G295)), "", IF(AND(E295&lt;&gt;"", E295=E294, D295&lt;&gt;"", D295=D294), B294, "PED-" &amp; TEXT(IFERROR(VALUE(RIGHT(LOOKUP("PED-9999",$B$5:B294),4)),1000)+1, "0000")))</f>
        <v/>
      </c>
      <c r="C295" s="36" t="s">
        <v>328</v>
      </c>
      <c r="D295" s="41"/>
      <c r="E295" s="36"/>
      <c r="F295" s="36" t="str">
        <f>IF(ISBLANK(E295),"",IFERROR(VLOOKUP(E295,'CADASTRO DE CLIENTES'!$C$6:$E$500,3,FALSE),""))</f>
        <v/>
      </c>
      <c r="G295" s="36"/>
      <c r="H295" s="36"/>
      <c r="I295" s="49" t="str">
        <f>IF(ISBLANK(G295),"",IFERROR(VLOOKUP(G295,'CADASTRO DE MATERIAL'!$C$6:$J$500,8,FALSE),""))</f>
        <v/>
      </c>
      <c r="J295" s="54" t="str">
        <f t="shared" si="20"/>
        <v/>
      </c>
      <c r="K295" s="36"/>
      <c r="L295" s="49">
        <f t="shared" si="21"/>
        <v>0</v>
      </c>
      <c r="M295" s="54">
        <f t="shared" si="22"/>
        <v>0</v>
      </c>
      <c r="N295" s="66"/>
      <c r="O295" s="54">
        <f t="shared" si="23"/>
        <v>0</v>
      </c>
      <c r="P295" s="54" t="str">
        <f t="shared" si="24"/>
        <v/>
      </c>
    </row>
    <row r="296" spans="2:16" ht="16.8" hidden="1" customHeight="1" x14ac:dyDescent="0.4">
      <c r="B296" s="30" t="str">
        <f>IF(AND(ISBLANK(D296), ISBLANK(E296), ISBLANK(G296)), "", IF(AND(E296&lt;&gt;"", E296=E295, D296&lt;&gt;"", D296=D295), B295, "PED-" &amp; TEXT(IFERROR(VALUE(RIGHT(LOOKUP("PED-9999",$B$5:B295),4)),1000)+1, "0000")))</f>
        <v/>
      </c>
      <c r="C296" s="30" t="s">
        <v>329</v>
      </c>
      <c r="D296" s="42"/>
      <c r="E296" s="30"/>
      <c r="F296" s="30" t="str">
        <f>IF(ISBLANK(E296),"",IFERROR(VLOOKUP(E296,'CADASTRO DE CLIENTES'!$C$6:$E$500,3,FALSE),""))</f>
        <v/>
      </c>
      <c r="G296" s="30"/>
      <c r="H296" s="30"/>
      <c r="I296" s="51" t="str">
        <f>IF(ISBLANK(G296),"",IFERROR(VLOOKUP(G296,'CADASTRO DE MATERIAL'!$C$6:$J$500,8,FALSE),""))</f>
        <v/>
      </c>
      <c r="J296" s="59" t="str">
        <f t="shared" si="20"/>
        <v/>
      </c>
      <c r="K296" s="30"/>
      <c r="L296" s="51">
        <f t="shared" si="21"/>
        <v>0</v>
      </c>
      <c r="M296" s="59">
        <f t="shared" si="22"/>
        <v>0</v>
      </c>
      <c r="N296" s="65"/>
      <c r="O296" s="59">
        <f t="shared" si="23"/>
        <v>0</v>
      </c>
      <c r="P296" s="59" t="str">
        <f t="shared" si="24"/>
        <v/>
      </c>
    </row>
    <row r="297" spans="2:16" ht="16.8" hidden="1" customHeight="1" x14ac:dyDescent="0.4">
      <c r="B297" s="36" t="str">
        <f>IF(AND(ISBLANK(D297), ISBLANK(E297), ISBLANK(G297)), "", IF(AND(E297&lt;&gt;"", E297=E296, D297&lt;&gt;"", D297=D296), B296, "PED-" &amp; TEXT(IFERROR(VALUE(RIGHT(LOOKUP("PED-9999",$B$5:B296),4)),1000)+1, "0000")))</f>
        <v/>
      </c>
      <c r="C297" s="36" t="s">
        <v>330</v>
      </c>
      <c r="D297" s="41"/>
      <c r="E297" s="36"/>
      <c r="F297" s="36" t="str">
        <f>IF(ISBLANK(E297),"",IFERROR(VLOOKUP(E297,'CADASTRO DE CLIENTES'!$C$6:$E$500,3,FALSE),""))</f>
        <v/>
      </c>
      <c r="G297" s="36"/>
      <c r="H297" s="36"/>
      <c r="I297" s="49" t="str">
        <f>IF(ISBLANK(G297),"",IFERROR(VLOOKUP(G297,'CADASTRO DE MATERIAL'!$C$6:$J$500,8,FALSE),""))</f>
        <v/>
      </c>
      <c r="J297" s="54" t="str">
        <f t="shared" si="20"/>
        <v/>
      </c>
      <c r="K297" s="36"/>
      <c r="L297" s="49">
        <f t="shared" si="21"/>
        <v>0</v>
      </c>
      <c r="M297" s="54">
        <f t="shared" si="22"/>
        <v>0</v>
      </c>
      <c r="N297" s="66"/>
      <c r="O297" s="54">
        <f t="shared" si="23"/>
        <v>0</v>
      </c>
      <c r="P297" s="54" t="str">
        <f t="shared" si="24"/>
        <v/>
      </c>
    </row>
    <row r="298" spans="2:16" ht="16.8" hidden="1" customHeight="1" x14ac:dyDescent="0.4">
      <c r="B298" s="30" t="str">
        <f>IF(AND(ISBLANK(D298), ISBLANK(E298), ISBLANK(G298)), "", IF(AND(E298&lt;&gt;"", E298=E297, D298&lt;&gt;"", D298=D297), B297, "PED-" &amp; TEXT(IFERROR(VALUE(RIGHT(LOOKUP("PED-9999",$B$5:B297),4)),1000)+1, "0000")))</f>
        <v/>
      </c>
      <c r="C298" s="30" t="s">
        <v>331</v>
      </c>
      <c r="D298" s="42"/>
      <c r="E298" s="30"/>
      <c r="F298" s="30" t="str">
        <f>IF(ISBLANK(E298),"",IFERROR(VLOOKUP(E298,'CADASTRO DE CLIENTES'!$C$6:$E$500,3,FALSE),""))</f>
        <v/>
      </c>
      <c r="G298" s="30"/>
      <c r="H298" s="30"/>
      <c r="I298" s="51" t="str">
        <f>IF(ISBLANK(G298),"",IFERROR(VLOOKUP(G298,'CADASTRO DE MATERIAL'!$C$6:$J$500,8,FALSE),""))</f>
        <v/>
      </c>
      <c r="J298" s="59" t="str">
        <f t="shared" si="20"/>
        <v/>
      </c>
      <c r="K298" s="30"/>
      <c r="L298" s="51">
        <f t="shared" si="21"/>
        <v>0</v>
      </c>
      <c r="M298" s="59">
        <f t="shared" si="22"/>
        <v>0</v>
      </c>
      <c r="N298" s="65"/>
      <c r="O298" s="59">
        <f t="shared" si="23"/>
        <v>0</v>
      </c>
      <c r="P298" s="59" t="str">
        <f t="shared" si="24"/>
        <v/>
      </c>
    </row>
    <row r="299" spans="2:16" ht="16.8" hidden="1" customHeight="1" x14ac:dyDescent="0.4">
      <c r="B299" s="36" t="str">
        <f>IF(AND(ISBLANK(D299), ISBLANK(E299), ISBLANK(G299)), "", IF(AND(E299&lt;&gt;"", E299=E298, D299&lt;&gt;"", D299=D298), B298, "PED-" &amp; TEXT(IFERROR(VALUE(RIGHT(LOOKUP("PED-9999",$B$5:B298),4)),1000)+1, "0000")))</f>
        <v/>
      </c>
      <c r="C299" s="36" t="s">
        <v>332</v>
      </c>
      <c r="D299" s="41"/>
      <c r="E299" s="36"/>
      <c r="F299" s="36" t="str">
        <f>IF(ISBLANK(E299),"",IFERROR(VLOOKUP(E299,'CADASTRO DE CLIENTES'!$C$6:$E$500,3,FALSE),""))</f>
        <v/>
      </c>
      <c r="G299" s="36"/>
      <c r="H299" s="36"/>
      <c r="I299" s="49" t="str">
        <f>IF(ISBLANK(G299),"",IFERROR(VLOOKUP(G299,'CADASTRO DE MATERIAL'!$C$6:$J$500,8,FALSE),""))</f>
        <v/>
      </c>
      <c r="J299" s="54" t="str">
        <f t="shared" si="20"/>
        <v/>
      </c>
      <c r="K299" s="36"/>
      <c r="L299" s="49">
        <f t="shared" si="21"/>
        <v>0</v>
      </c>
      <c r="M299" s="54">
        <f t="shared" si="22"/>
        <v>0</v>
      </c>
      <c r="N299" s="66"/>
      <c r="O299" s="54">
        <f t="shared" si="23"/>
        <v>0</v>
      </c>
      <c r="P299" s="54" t="str">
        <f t="shared" si="24"/>
        <v/>
      </c>
    </row>
    <row r="300" spans="2:16" ht="16.8" hidden="1" customHeight="1" x14ac:dyDescent="0.4">
      <c r="B300" s="30" t="str">
        <f>IF(AND(ISBLANK(D300), ISBLANK(E300), ISBLANK(G300)), "", IF(AND(E300&lt;&gt;"", E300=E299, D300&lt;&gt;"", D300=D299), B299, "PED-" &amp; TEXT(IFERROR(VALUE(RIGHT(LOOKUP("PED-9999",$B$5:B299),4)),1000)+1, "0000")))</f>
        <v/>
      </c>
      <c r="C300" s="30" t="s">
        <v>333</v>
      </c>
      <c r="D300" s="42"/>
      <c r="E300" s="30"/>
      <c r="F300" s="30" t="str">
        <f>IF(ISBLANK(E300),"",IFERROR(VLOOKUP(E300,'CADASTRO DE CLIENTES'!$C$6:$E$500,3,FALSE),""))</f>
        <v/>
      </c>
      <c r="G300" s="30"/>
      <c r="H300" s="30"/>
      <c r="I300" s="51" t="str">
        <f>IF(ISBLANK(G300),"",IFERROR(VLOOKUP(G300,'CADASTRO DE MATERIAL'!$C$6:$J$500,8,FALSE),""))</f>
        <v/>
      </c>
      <c r="J300" s="59" t="str">
        <f t="shared" si="20"/>
        <v/>
      </c>
      <c r="K300" s="30"/>
      <c r="L300" s="51">
        <f t="shared" si="21"/>
        <v>0</v>
      </c>
      <c r="M300" s="59">
        <f t="shared" si="22"/>
        <v>0</v>
      </c>
      <c r="N300" s="65"/>
      <c r="O300" s="59">
        <f t="shared" si="23"/>
        <v>0</v>
      </c>
      <c r="P300" s="59" t="str">
        <f t="shared" si="24"/>
        <v/>
      </c>
    </row>
    <row r="301" spans="2:16" ht="16.8" hidden="1" customHeight="1" x14ac:dyDescent="0.4">
      <c r="B301" s="36" t="str">
        <f>IF(AND(ISBLANK(D301), ISBLANK(E301), ISBLANK(G301)), "", IF(AND(E301&lt;&gt;"", E301=E300, D301&lt;&gt;"", D301=D300), B300, "PED-" &amp; TEXT(IFERROR(VALUE(RIGHT(LOOKUP("PED-9999",$B$5:B300),4)),1000)+1, "0000")))</f>
        <v/>
      </c>
      <c r="C301" s="36" t="s">
        <v>334</v>
      </c>
      <c r="D301" s="41"/>
      <c r="E301" s="36"/>
      <c r="F301" s="36" t="str">
        <f>IF(ISBLANK(E301),"",IFERROR(VLOOKUP(E301,'CADASTRO DE CLIENTES'!$C$6:$E$500,3,FALSE),""))</f>
        <v/>
      </c>
      <c r="G301" s="36"/>
      <c r="H301" s="36"/>
      <c r="I301" s="49" t="str">
        <f>IF(ISBLANK(G301),"",IFERROR(VLOOKUP(G301,'CADASTRO DE MATERIAL'!$C$6:$J$500,8,FALSE),""))</f>
        <v/>
      </c>
      <c r="J301" s="54" t="str">
        <f t="shared" si="20"/>
        <v/>
      </c>
      <c r="K301" s="36"/>
      <c r="L301" s="49">
        <f t="shared" si="21"/>
        <v>0</v>
      </c>
      <c r="M301" s="54">
        <f t="shared" si="22"/>
        <v>0</v>
      </c>
      <c r="N301" s="66"/>
      <c r="O301" s="54">
        <f t="shared" si="23"/>
        <v>0</v>
      </c>
      <c r="P301" s="54" t="str">
        <f t="shared" si="24"/>
        <v/>
      </c>
    </row>
    <row r="302" spans="2:16" ht="16.8" hidden="1" customHeight="1" x14ac:dyDescent="0.4">
      <c r="B302" s="30" t="str">
        <f>IF(AND(ISBLANK(D302), ISBLANK(E302), ISBLANK(G302)), "", IF(AND(E302&lt;&gt;"", E302=E301, D302&lt;&gt;"", D302=D301), B301, "PED-" &amp; TEXT(IFERROR(VALUE(RIGHT(LOOKUP("PED-9999",$B$5:B301),4)),1000)+1, "0000")))</f>
        <v/>
      </c>
      <c r="C302" s="30" t="s">
        <v>335</v>
      </c>
      <c r="D302" s="42"/>
      <c r="E302" s="30"/>
      <c r="F302" s="30" t="str">
        <f>IF(ISBLANK(E302),"",IFERROR(VLOOKUP(E302,'CADASTRO DE CLIENTES'!$C$6:$E$500,3,FALSE),""))</f>
        <v/>
      </c>
      <c r="G302" s="30"/>
      <c r="H302" s="30"/>
      <c r="I302" s="51" t="str">
        <f>IF(ISBLANK(G302),"",IFERROR(VLOOKUP(G302,'CADASTRO DE MATERIAL'!$C$6:$J$500,8,FALSE),""))</f>
        <v/>
      </c>
      <c r="J302" s="59" t="str">
        <f t="shared" si="20"/>
        <v/>
      </c>
      <c r="K302" s="30"/>
      <c r="L302" s="51">
        <f t="shared" si="21"/>
        <v>0</v>
      </c>
      <c r="M302" s="59">
        <f t="shared" si="22"/>
        <v>0</v>
      </c>
      <c r="N302" s="65"/>
      <c r="O302" s="59">
        <f t="shared" si="23"/>
        <v>0</v>
      </c>
      <c r="P302" s="59" t="str">
        <f t="shared" si="24"/>
        <v/>
      </c>
    </row>
    <row r="303" spans="2:16" ht="16.8" hidden="1" customHeight="1" x14ac:dyDescent="0.4">
      <c r="B303" s="36" t="str">
        <f>IF(AND(ISBLANK(D303), ISBLANK(E303), ISBLANK(G303)), "", IF(AND(E303&lt;&gt;"", E303=E302, D303&lt;&gt;"", D303=D302), B302, "PED-" &amp; TEXT(IFERROR(VALUE(RIGHT(LOOKUP("PED-9999",$B$5:B302),4)),1000)+1, "0000")))</f>
        <v/>
      </c>
      <c r="C303" s="36" t="s">
        <v>336</v>
      </c>
      <c r="D303" s="41"/>
      <c r="E303" s="36"/>
      <c r="F303" s="36" t="str">
        <f>IF(ISBLANK(E303),"",IFERROR(VLOOKUP(E303,'CADASTRO DE CLIENTES'!$C$6:$E$500,3,FALSE),""))</f>
        <v/>
      </c>
      <c r="G303" s="36"/>
      <c r="H303" s="36"/>
      <c r="I303" s="49" t="str">
        <f>IF(ISBLANK(G303),"",IFERROR(VLOOKUP(G303,'CADASTRO DE MATERIAL'!$C$6:$J$500,8,FALSE),""))</f>
        <v/>
      </c>
      <c r="J303" s="54" t="str">
        <f t="shared" si="20"/>
        <v/>
      </c>
      <c r="K303" s="36"/>
      <c r="L303" s="49">
        <f t="shared" si="21"/>
        <v>0</v>
      </c>
      <c r="M303" s="54">
        <f t="shared" si="22"/>
        <v>0</v>
      </c>
      <c r="N303" s="66"/>
      <c r="O303" s="54">
        <f t="shared" si="23"/>
        <v>0</v>
      </c>
      <c r="P303" s="54" t="str">
        <f t="shared" si="24"/>
        <v/>
      </c>
    </row>
    <row r="304" spans="2:16" ht="16.8" hidden="1" customHeight="1" x14ac:dyDescent="0.4">
      <c r="B304" s="30" t="str">
        <f>IF(AND(ISBLANK(D304), ISBLANK(E304), ISBLANK(G304)), "", IF(AND(E304&lt;&gt;"", E304=E303, D304&lt;&gt;"", D304=D303), B303, "PED-" &amp; TEXT(IFERROR(VALUE(RIGHT(LOOKUP("PED-9999",$B$5:B303),4)),1000)+1, "0000")))</f>
        <v/>
      </c>
      <c r="C304" s="30" t="s">
        <v>337</v>
      </c>
      <c r="D304" s="42"/>
      <c r="E304" s="30"/>
      <c r="F304" s="30" t="str">
        <f>IF(ISBLANK(E304),"",IFERROR(VLOOKUP(E304,'CADASTRO DE CLIENTES'!$C$6:$E$500,3,FALSE),""))</f>
        <v/>
      </c>
      <c r="G304" s="30"/>
      <c r="H304" s="30"/>
      <c r="I304" s="51" t="str">
        <f>IF(ISBLANK(G304),"",IFERROR(VLOOKUP(G304,'CADASTRO DE MATERIAL'!$C$6:$J$500,8,FALSE),""))</f>
        <v/>
      </c>
      <c r="J304" s="59" t="str">
        <f t="shared" si="20"/>
        <v/>
      </c>
      <c r="K304" s="30"/>
      <c r="L304" s="51">
        <f t="shared" si="21"/>
        <v>0</v>
      </c>
      <c r="M304" s="59">
        <f t="shared" si="22"/>
        <v>0</v>
      </c>
      <c r="N304" s="65"/>
      <c r="O304" s="59">
        <f t="shared" si="23"/>
        <v>0</v>
      </c>
      <c r="P304" s="59" t="str">
        <f t="shared" si="24"/>
        <v/>
      </c>
    </row>
    <row r="305" spans="2:16" ht="16.8" hidden="1" customHeight="1" x14ac:dyDescent="0.4">
      <c r="B305" s="36" t="str">
        <f>IF(AND(ISBLANK(D305), ISBLANK(E305), ISBLANK(G305)), "", IF(AND(E305&lt;&gt;"", E305=E304, D305&lt;&gt;"", D305=D304), B304, "PED-" &amp; TEXT(IFERROR(VALUE(RIGHT(LOOKUP("PED-9999",$B$5:B304),4)),1000)+1, "0000")))</f>
        <v/>
      </c>
      <c r="C305" s="36" t="s">
        <v>338</v>
      </c>
      <c r="D305" s="41"/>
      <c r="E305" s="36"/>
      <c r="F305" s="36" t="str">
        <f>IF(ISBLANK(E305),"",IFERROR(VLOOKUP(E305,'CADASTRO DE CLIENTES'!$C$6:$E$500,3,FALSE),""))</f>
        <v/>
      </c>
      <c r="G305" s="36"/>
      <c r="H305" s="36"/>
      <c r="I305" s="49" t="str">
        <f>IF(ISBLANK(G305),"",IFERROR(VLOOKUP(G305,'CADASTRO DE MATERIAL'!$C$6:$J$500,8,FALSE),""))</f>
        <v/>
      </c>
      <c r="J305" s="54" t="str">
        <f t="shared" si="20"/>
        <v/>
      </c>
      <c r="K305" s="36"/>
      <c r="L305" s="49">
        <f t="shared" si="21"/>
        <v>0</v>
      </c>
      <c r="M305" s="54">
        <f t="shared" si="22"/>
        <v>0</v>
      </c>
      <c r="N305" s="66"/>
      <c r="O305" s="54">
        <f t="shared" si="23"/>
        <v>0</v>
      </c>
      <c r="P305" s="54" t="str">
        <f t="shared" si="24"/>
        <v/>
      </c>
    </row>
    <row r="306" spans="2:16" ht="16.8" hidden="1" customHeight="1" x14ac:dyDescent="0.4">
      <c r="B306" s="30" t="str">
        <f>IF(AND(ISBLANK(D306), ISBLANK(E306), ISBLANK(G306)), "", IF(AND(E306&lt;&gt;"", E306=E305, D306&lt;&gt;"", D306=D305), B305, "PED-" &amp; TEXT(IFERROR(VALUE(RIGHT(LOOKUP("PED-9999",$B$5:B305),4)),1000)+1, "0000")))</f>
        <v/>
      </c>
      <c r="C306" s="30" t="s">
        <v>339</v>
      </c>
      <c r="D306" s="42"/>
      <c r="E306" s="30"/>
      <c r="F306" s="30" t="str">
        <f>IF(ISBLANK(E306),"",IFERROR(VLOOKUP(E306,'CADASTRO DE CLIENTES'!$C$6:$E$500,3,FALSE),""))</f>
        <v/>
      </c>
      <c r="G306" s="30"/>
      <c r="H306" s="30"/>
      <c r="I306" s="51" t="str">
        <f>IF(ISBLANK(G306),"",IFERROR(VLOOKUP(G306,'CADASTRO DE MATERIAL'!$C$6:$J$500,8,FALSE),""))</f>
        <v/>
      </c>
      <c r="J306" s="59" t="str">
        <f t="shared" si="20"/>
        <v/>
      </c>
      <c r="K306" s="30"/>
      <c r="L306" s="51">
        <f t="shared" si="21"/>
        <v>0</v>
      </c>
      <c r="M306" s="59">
        <f t="shared" si="22"/>
        <v>0</v>
      </c>
      <c r="N306" s="65"/>
      <c r="O306" s="59">
        <f t="shared" si="23"/>
        <v>0</v>
      </c>
      <c r="P306" s="59" t="str">
        <f t="shared" si="24"/>
        <v/>
      </c>
    </row>
    <row r="307" spans="2:16" ht="16.8" hidden="1" customHeight="1" x14ac:dyDescent="0.4">
      <c r="B307" s="36" t="str">
        <f>IF(AND(ISBLANK(D307), ISBLANK(E307), ISBLANK(G307)), "", IF(AND(E307&lt;&gt;"", E307=E306, D307&lt;&gt;"", D307=D306), B306, "PED-" &amp; TEXT(IFERROR(VALUE(RIGHT(LOOKUP("PED-9999",$B$5:B306),4)),1000)+1, "0000")))</f>
        <v/>
      </c>
      <c r="C307" s="36" t="s">
        <v>340</v>
      </c>
      <c r="D307" s="41"/>
      <c r="E307" s="36"/>
      <c r="F307" s="36" t="str">
        <f>IF(ISBLANK(E307),"",IFERROR(VLOOKUP(E307,'CADASTRO DE CLIENTES'!$C$6:$E$500,3,FALSE),""))</f>
        <v/>
      </c>
      <c r="G307" s="36"/>
      <c r="H307" s="36"/>
      <c r="I307" s="49" t="str">
        <f>IF(ISBLANK(G307),"",IFERROR(VLOOKUP(G307,'CADASTRO DE MATERIAL'!$C$6:$J$500,8,FALSE),""))</f>
        <v/>
      </c>
      <c r="J307" s="54" t="str">
        <f t="shared" si="20"/>
        <v/>
      </c>
      <c r="K307" s="36"/>
      <c r="L307" s="49">
        <f t="shared" si="21"/>
        <v>0</v>
      </c>
      <c r="M307" s="54">
        <f t="shared" si="22"/>
        <v>0</v>
      </c>
      <c r="N307" s="66"/>
      <c r="O307" s="54">
        <f t="shared" si="23"/>
        <v>0</v>
      </c>
      <c r="P307" s="54" t="str">
        <f t="shared" si="24"/>
        <v/>
      </c>
    </row>
    <row r="308" spans="2:16" ht="16.8" hidden="1" customHeight="1" x14ac:dyDescent="0.4">
      <c r="B308" s="30" t="str">
        <f>IF(AND(ISBLANK(D308), ISBLANK(E308), ISBLANK(G308)), "", IF(AND(E308&lt;&gt;"", E308=E307, D308&lt;&gt;"", D308=D307), B307, "PED-" &amp; TEXT(IFERROR(VALUE(RIGHT(LOOKUP("PED-9999",$B$5:B307),4)),1000)+1, "0000")))</f>
        <v/>
      </c>
      <c r="C308" s="30" t="s">
        <v>341</v>
      </c>
      <c r="D308" s="42"/>
      <c r="E308" s="30"/>
      <c r="F308" s="30" t="str">
        <f>IF(ISBLANK(E308),"",IFERROR(VLOOKUP(E308,'CADASTRO DE CLIENTES'!$C$6:$E$500,3,FALSE),""))</f>
        <v/>
      </c>
      <c r="G308" s="30"/>
      <c r="H308" s="30"/>
      <c r="I308" s="51" t="str">
        <f>IF(ISBLANK(G308),"",IFERROR(VLOOKUP(G308,'CADASTRO DE MATERIAL'!$C$6:$J$500,8,FALSE),""))</f>
        <v/>
      </c>
      <c r="J308" s="59" t="str">
        <f t="shared" si="20"/>
        <v/>
      </c>
      <c r="K308" s="30"/>
      <c r="L308" s="51">
        <f t="shared" si="21"/>
        <v>0</v>
      </c>
      <c r="M308" s="59">
        <f t="shared" si="22"/>
        <v>0</v>
      </c>
      <c r="N308" s="65"/>
      <c r="O308" s="59">
        <f t="shared" si="23"/>
        <v>0</v>
      </c>
      <c r="P308" s="59" t="str">
        <f t="shared" si="24"/>
        <v/>
      </c>
    </row>
    <row r="309" spans="2:16" ht="16.8" hidden="1" customHeight="1" x14ac:dyDescent="0.4">
      <c r="B309" s="36" t="str">
        <f>IF(AND(ISBLANK(D309), ISBLANK(E309), ISBLANK(G309)), "", IF(AND(E309&lt;&gt;"", E309=E308, D309&lt;&gt;"", D309=D308), B308, "PED-" &amp; TEXT(IFERROR(VALUE(RIGHT(LOOKUP("PED-9999",$B$5:B308),4)),1000)+1, "0000")))</f>
        <v/>
      </c>
      <c r="C309" s="36" t="s">
        <v>342</v>
      </c>
      <c r="D309" s="41"/>
      <c r="E309" s="36"/>
      <c r="F309" s="36" t="str">
        <f>IF(ISBLANK(E309),"",IFERROR(VLOOKUP(E309,'CADASTRO DE CLIENTES'!$C$6:$E$500,3,FALSE),""))</f>
        <v/>
      </c>
      <c r="G309" s="36"/>
      <c r="H309" s="36"/>
      <c r="I309" s="49" t="str">
        <f>IF(ISBLANK(G309),"",IFERROR(VLOOKUP(G309,'CADASTRO DE MATERIAL'!$C$6:$J$500,8,FALSE),""))</f>
        <v/>
      </c>
      <c r="J309" s="54" t="str">
        <f t="shared" si="20"/>
        <v/>
      </c>
      <c r="K309" s="36"/>
      <c r="L309" s="49">
        <f t="shared" si="21"/>
        <v>0</v>
      </c>
      <c r="M309" s="54">
        <f t="shared" si="22"/>
        <v>0</v>
      </c>
      <c r="N309" s="66"/>
      <c r="O309" s="54">
        <f t="shared" si="23"/>
        <v>0</v>
      </c>
      <c r="P309" s="54" t="str">
        <f t="shared" si="24"/>
        <v/>
      </c>
    </row>
    <row r="310" spans="2:16" ht="16.8" hidden="1" customHeight="1" x14ac:dyDescent="0.4">
      <c r="B310" s="30" t="str">
        <f>IF(AND(ISBLANK(D310), ISBLANK(E310), ISBLANK(G310)), "", IF(AND(E310&lt;&gt;"", E310=E309, D310&lt;&gt;"", D310=D309), B309, "PED-" &amp; TEXT(IFERROR(VALUE(RIGHT(LOOKUP("PED-9999",$B$5:B309),4)),1000)+1, "0000")))</f>
        <v/>
      </c>
      <c r="C310" s="30" t="s">
        <v>343</v>
      </c>
      <c r="D310" s="42"/>
      <c r="E310" s="30"/>
      <c r="F310" s="30" t="str">
        <f>IF(ISBLANK(E310),"",IFERROR(VLOOKUP(E310,'CADASTRO DE CLIENTES'!$C$6:$E$500,3,FALSE),""))</f>
        <v/>
      </c>
      <c r="G310" s="30"/>
      <c r="H310" s="30"/>
      <c r="I310" s="51" t="str">
        <f>IF(ISBLANK(G310),"",IFERROR(VLOOKUP(G310,'CADASTRO DE MATERIAL'!$C$6:$J$500,8,FALSE),""))</f>
        <v/>
      </c>
      <c r="J310" s="59" t="str">
        <f t="shared" si="20"/>
        <v/>
      </c>
      <c r="K310" s="30"/>
      <c r="L310" s="51">
        <f t="shared" si="21"/>
        <v>0</v>
      </c>
      <c r="M310" s="59">
        <f t="shared" si="22"/>
        <v>0</v>
      </c>
      <c r="N310" s="65"/>
      <c r="O310" s="59">
        <f t="shared" si="23"/>
        <v>0</v>
      </c>
      <c r="P310" s="59" t="str">
        <f t="shared" si="24"/>
        <v/>
      </c>
    </row>
    <row r="311" spans="2:16" ht="16.8" hidden="1" customHeight="1" x14ac:dyDescent="0.4">
      <c r="B311" s="36" t="str">
        <f>IF(AND(ISBLANK(D311), ISBLANK(E311), ISBLANK(G311)), "", IF(AND(E311&lt;&gt;"", E311=E310, D311&lt;&gt;"", D311=D310), B310, "PED-" &amp; TEXT(IFERROR(VALUE(RIGHT(LOOKUP("PED-9999",$B$5:B310),4)),1000)+1, "0000")))</f>
        <v/>
      </c>
      <c r="C311" s="36" t="s">
        <v>344</v>
      </c>
      <c r="D311" s="41"/>
      <c r="E311" s="36"/>
      <c r="F311" s="36" t="str">
        <f>IF(ISBLANK(E311),"",IFERROR(VLOOKUP(E311,'CADASTRO DE CLIENTES'!$C$6:$E$500,3,FALSE),""))</f>
        <v/>
      </c>
      <c r="G311" s="36"/>
      <c r="H311" s="36"/>
      <c r="I311" s="49" t="str">
        <f>IF(ISBLANK(G311),"",IFERROR(VLOOKUP(G311,'CADASTRO DE MATERIAL'!$C$6:$J$500,8,FALSE),""))</f>
        <v/>
      </c>
      <c r="J311" s="54" t="str">
        <f t="shared" si="20"/>
        <v/>
      </c>
      <c r="K311" s="36"/>
      <c r="L311" s="49">
        <f t="shared" si="21"/>
        <v>0</v>
      </c>
      <c r="M311" s="54">
        <f t="shared" si="22"/>
        <v>0</v>
      </c>
      <c r="N311" s="66"/>
      <c r="O311" s="54">
        <f t="shared" si="23"/>
        <v>0</v>
      </c>
      <c r="P311" s="54" t="str">
        <f t="shared" si="24"/>
        <v/>
      </c>
    </row>
    <row r="312" spans="2:16" ht="16.8" hidden="1" customHeight="1" x14ac:dyDescent="0.4">
      <c r="B312" s="30" t="str">
        <f>IF(AND(ISBLANK(D312), ISBLANK(E312), ISBLANK(G312)), "", IF(AND(E312&lt;&gt;"", E312=E311, D312&lt;&gt;"", D312=D311), B311, "PED-" &amp; TEXT(IFERROR(VALUE(RIGHT(LOOKUP("PED-9999",$B$5:B311),4)),1000)+1, "0000")))</f>
        <v/>
      </c>
      <c r="C312" s="30" t="s">
        <v>345</v>
      </c>
      <c r="D312" s="42"/>
      <c r="E312" s="30"/>
      <c r="F312" s="30" t="str">
        <f>IF(ISBLANK(E312),"",IFERROR(VLOOKUP(E312,'CADASTRO DE CLIENTES'!$C$6:$E$500,3,FALSE),""))</f>
        <v/>
      </c>
      <c r="G312" s="30"/>
      <c r="H312" s="30"/>
      <c r="I312" s="51" t="str">
        <f>IF(ISBLANK(G312),"",IFERROR(VLOOKUP(G312,'CADASTRO DE MATERIAL'!$C$6:$J$500,8,FALSE),""))</f>
        <v/>
      </c>
      <c r="J312" s="59" t="str">
        <f t="shared" si="20"/>
        <v/>
      </c>
      <c r="K312" s="30"/>
      <c r="L312" s="51">
        <f t="shared" si="21"/>
        <v>0</v>
      </c>
      <c r="M312" s="59">
        <f t="shared" si="22"/>
        <v>0</v>
      </c>
      <c r="N312" s="65"/>
      <c r="O312" s="59">
        <f t="shared" si="23"/>
        <v>0</v>
      </c>
      <c r="P312" s="59" t="str">
        <f t="shared" si="24"/>
        <v/>
      </c>
    </row>
    <row r="313" spans="2:16" ht="16.8" hidden="1" customHeight="1" x14ac:dyDescent="0.4">
      <c r="B313" s="36" t="str">
        <f>IF(AND(ISBLANK(D313), ISBLANK(E313), ISBLANK(G313)), "", IF(AND(E313&lt;&gt;"", E313=E312, D313&lt;&gt;"", D313=D312), B312, "PED-" &amp; TEXT(IFERROR(VALUE(RIGHT(LOOKUP("PED-9999",$B$5:B312),4)),1000)+1, "0000")))</f>
        <v/>
      </c>
      <c r="C313" s="36" t="s">
        <v>346</v>
      </c>
      <c r="D313" s="41"/>
      <c r="E313" s="36"/>
      <c r="F313" s="36" t="str">
        <f>IF(ISBLANK(E313),"",IFERROR(VLOOKUP(E313,'CADASTRO DE CLIENTES'!$C$6:$E$500,3,FALSE),""))</f>
        <v/>
      </c>
      <c r="G313" s="36"/>
      <c r="H313" s="36"/>
      <c r="I313" s="49" t="str">
        <f>IF(ISBLANK(G313),"",IFERROR(VLOOKUP(G313,'CADASTRO DE MATERIAL'!$C$6:$J$500,8,FALSE),""))</f>
        <v/>
      </c>
      <c r="J313" s="54" t="str">
        <f t="shared" si="20"/>
        <v/>
      </c>
      <c r="K313" s="36"/>
      <c r="L313" s="49">
        <f t="shared" si="21"/>
        <v>0</v>
      </c>
      <c r="M313" s="54">
        <f t="shared" si="22"/>
        <v>0</v>
      </c>
      <c r="N313" s="66"/>
      <c r="O313" s="54">
        <f t="shared" si="23"/>
        <v>0</v>
      </c>
      <c r="P313" s="54" t="str">
        <f t="shared" si="24"/>
        <v/>
      </c>
    </row>
    <row r="314" spans="2:16" ht="16.8" hidden="1" customHeight="1" x14ac:dyDescent="0.4">
      <c r="B314" s="30" t="str">
        <f>IF(AND(ISBLANK(D314), ISBLANK(E314), ISBLANK(G314)), "", IF(AND(E314&lt;&gt;"", E314=E313, D314&lt;&gt;"", D314=D313), B313, "PED-" &amp; TEXT(IFERROR(VALUE(RIGHT(LOOKUP("PED-9999",$B$5:B313),4)),1000)+1, "0000")))</f>
        <v/>
      </c>
      <c r="C314" s="30" t="s">
        <v>347</v>
      </c>
      <c r="D314" s="42"/>
      <c r="E314" s="30"/>
      <c r="F314" s="30" t="str">
        <f>IF(ISBLANK(E314),"",IFERROR(VLOOKUP(E314,'CADASTRO DE CLIENTES'!$C$6:$E$500,3,FALSE),""))</f>
        <v/>
      </c>
      <c r="G314" s="30"/>
      <c r="H314" s="30"/>
      <c r="I314" s="51" t="str">
        <f>IF(ISBLANK(G314),"",IFERROR(VLOOKUP(G314,'CADASTRO DE MATERIAL'!$C$6:$J$500,8,FALSE),""))</f>
        <v/>
      </c>
      <c r="J314" s="59" t="str">
        <f t="shared" si="20"/>
        <v/>
      </c>
      <c r="K314" s="30"/>
      <c r="L314" s="51">
        <f t="shared" si="21"/>
        <v>0</v>
      </c>
      <c r="M314" s="59">
        <f t="shared" si="22"/>
        <v>0</v>
      </c>
      <c r="N314" s="65"/>
      <c r="O314" s="59">
        <f t="shared" si="23"/>
        <v>0</v>
      </c>
      <c r="P314" s="59" t="str">
        <f t="shared" si="24"/>
        <v/>
      </c>
    </row>
    <row r="315" spans="2:16" ht="16.8" hidden="1" customHeight="1" x14ac:dyDescent="0.4">
      <c r="B315" s="36" t="str">
        <f>IF(AND(ISBLANK(D315), ISBLANK(E315), ISBLANK(G315)), "", IF(AND(E315&lt;&gt;"", E315=E314, D315&lt;&gt;"", D315=D314), B314, "PED-" &amp; TEXT(IFERROR(VALUE(RIGHT(LOOKUP("PED-9999",$B$5:B314),4)),1000)+1, "0000")))</f>
        <v/>
      </c>
      <c r="C315" s="36" t="s">
        <v>348</v>
      </c>
      <c r="D315" s="41"/>
      <c r="E315" s="36"/>
      <c r="F315" s="36" t="str">
        <f>IF(ISBLANK(E315),"",IFERROR(VLOOKUP(E315,'CADASTRO DE CLIENTES'!$C$6:$E$500,3,FALSE),""))</f>
        <v/>
      </c>
      <c r="G315" s="36"/>
      <c r="H315" s="36"/>
      <c r="I315" s="49" t="str">
        <f>IF(ISBLANK(G315),"",IFERROR(VLOOKUP(G315,'CADASTRO DE MATERIAL'!$C$6:$J$500,8,FALSE),""))</f>
        <v/>
      </c>
      <c r="J315" s="54" t="str">
        <f t="shared" si="20"/>
        <v/>
      </c>
      <c r="K315" s="36"/>
      <c r="L315" s="49">
        <f t="shared" si="21"/>
        <v>0</v>
      </c>
      <c r="M315" s="54">
        <f t="shared" si="22"/>
        <v>0</v>
      </c>
      <c r="N315" s="66"/>
      <c r="O315" s="54">
        <f t="shared" si="23"/>
        <v>0</v>
      </c>
      <c r="P315" s="54" t="str">
        <f t="shared" si="24"/>
        <v/>
      </c>
    </row>
    <row r="316" spans="2:16" ht="16.8" hidden="1" customHeight="1" x14ac:dyDescent="0.4">
      <c r="B316" s="30" t="str">
        <f>IF(AND(ISBLANK(D316), ISBLANK(E316), ISBLANK(G316)), "", IF(AND(E316&lt;&gt;"", E316=E315, D316&lt;&gt;"", D316=D315), B315, "PED-" &amp; TEXT(IFERROR(VALUE(RIGHT(LOOKUP("PED-9999",$B$5:B315),4)),1000)+1, "0000")))</f>
        <v/>
      </c>
      <c r="C316" s="30" t="s">
        <v>349</v>
      </c>
      <c r="D316" s="42"/>
      <c r="E316" s="30"/>
      <c r="F316" s="30" t="str">
        <f>IF(ISBLANK(E316),"",IFERROR(VLOOKUP(E316,'CADASTRO DE CLIENTES'!$C$6:$E$500,3,FALSE),""))</f>
        <v/>
      </c>
      <c r="G316" s="30"/>
      <c r="H316" s="30"/>
      <c r="I316" s="51" t="str">
        <f>IF(ISBLANK(G316),"",IFERROR(VLOOKUP(G316,'CADASTRO DE MATERIAL'!$C$6:$J$500,8,FALSE),""))</f>
        <v/>
      </c>
      <c r="J316" s="59" t="str">
        <f t="shared" si="20"/>
        <v/>
      </c>
      <c r="K316" s="30"/>
      <c r="L316" s="51">
        <f t="shared" si="21"/>
        <v>0</v>
      </c>
      <c r="M316" s="59">
        <f t="shared" si="22"/>
        <v>0</v>
      </c>
      <c r="N316" s="65"/>
      <c r="O316" s="59">
        <f t="shared" si="23"/>
        <v>0</v>
      </c>
      <c r="P316" s="59" t="str">
        <f t="shared" si="24"/>
        <v/>
      </c>
    </row>
    <row r="317" spans="2:16" ht="16.8" hidden="1" customHeight="1" x14ac:dyDescent="0.4">
      <c r="B317" s="36" t="str">
        <f>IF(AND(ISBLANK(D317), ISBLANK(E317), ISBLANK(G317)), "", IF(AND(E317&lt;&gt;"", E317=E316, D317&lt;&gt;"", D317=D316), B316, "PED-" &amp; TEXT(IFERROR(VALUE(RIGHT(LOOKUP("PED-9999",$B$5:B316),4)),1000)+1, "0000")))</f>
        <v/>
      </c>
      <c r="C317" s="36" t="s">
        <v>350</v>
      </c>
      <c r="D317" s="41"/>
      <c r="E317" s="36"/>
      <c r="F317" s="36" t="str">
        <f>IF(ISBLANK(E317),"",IFERROR(VLOOKUP(E317,'CADASTRO DE CLIENTES'!$C$6:$E$500,3,FALSE),""))</f>
        <v/>
      </c>
      <c r="G317" s="36"/>
      <c r="H317" s="36"/>
      <c r="I317" s="49" t="str">
        <f>IF(ISBLANK(G317),"",IFERROR(VLOOKUP(G317,'CADASTRO DE MATERIAL'!$C$6:$J$500,8,FALSE),""))</f>
        <v/>
      </c>
      <c r="J317" s="54" t="str">
        <f t="shared" si="20"/>
        <v/>
      </c>
      <c r="K317" s="36"/>
      <c r="L317" s="49">
        <f t="shared" si="21"/>
        <v>0</v>
      </c>
      <c r="M317" s="54">
        <f t="shared" si="22"/>
        <v>0</v>
      </c>
      <c r="N317" s="66"/>
      <c r="O317" s="54">
        <f t="shared" si="23"/>
        <v>0</v>
      </c>
      <c r="P317" s="54" t="str">
        <f t="shared" si="24"/>
        <v/>
      </c>
    </row>
    <row r="318" spans="2:16" ht="16.8" hidden="1" customHeight="1" x14ac:dyDescent="0.4">
      <c r="B318" s="30" t="str">
        <f>IF(AND(ISBLANK(D318), ISBLANK(E318), ISBLANK(G318)), "", IF(AND(E318&lt;&gt;"", E318=E317, D318&lt;&gt;"", D318=D317), B317, "PED-" &amp; TEXT(IFERROR(VALUE(RIGHT(LOOKUP("PED-9999",$B$5:B317),4)),1000)+1, "0000")))</f>
        <v/>
      </c>
      <c r="C318" s="30" t="s">
        <v>351</v>
      </c>
      <c r="D318" s="42"/>
      <c r="E318" s="30"/>
      <c r="F318" s="30" t="str">
        <f>IF(ISBLANK(E318),"",IFERROR(VLOOKUP(E318,'CADASTRO DE CLIENTES'!$C$6:$E$500,3,FALSE),""))</f>
        <v/>
      </c>
      <c r="G318" s="30"/>
      <c r="H318" s="30"/>
      <c r="I318" s="51" t="str">
        <f>IF(ISBLANK(G318),"",IFERROR(VLOOKUP(G318,'CADASTRO DE MATERIAL'!$C$6:$J$500,8,FALSE),""))</f>
        <v/>
      </c>
      <c r="J318" s="59" t="str">
        <f t="shared" si="20"/>
        <v/>
      </c>
      <c r="K318" s="30"/>
      <c r="L318" s="51">
        <f t="shared" si="21"/>
        <v>0</v>
      </c>
      <c r="M318" s="59">
        <f t="shared" si="22"/>
        <v>0</v>
      </c>
      <c r="N318" s="65"/>
      <c r="O318" s="59">
        <f t="shared" si="23"/>
        <v>0</v>
      </c>
      <c r="P318" s="59" t="str">
        <f t="shared" si="24"/>
        <v/>
      </c>
    </row>
    <row r="319" spans="2:16" ht="16.8" hidden="1" customHeight="1" x14ac:dyDescent="0.4">
      <c r="B319" s="36" t="str">
        <f>IF(AND(ISBLANK(D319), ISBLANK(E319), ISBLANK(G319)), "", IF(AND(E319&lt;&gt;"", E319=E318, D319&lt;&gt;"", D319=D318), B318, "PED-" &amp; TEXT(IFERROR(VALUE(RIGHT(LOOKUP("PED-9999",$B$5:B318),4)),1000)+1, "0000")))</f>
        <v/>
      </c>
      <c r="C319" s="36" t="s">
        <v>352</v>
      </c>
      <c r="D319" s="41"/>
      <c r="E319" s="36"/>
      <c r="F319" s="36" t="str">
        <f>IF(ISBLANK(E319),"",IFERROR(VLOOKUP(E319,'CADASTRO DE CLIENTES'!$C$6:$E$500,3,FALSE),""))</f>
        <v/>
      </c>
      <c r="G319" s="36"/>
      <c r="H319" s="36"/>
      <c r="I319" s="49" t="str">
        <f>IF(ISBLANK(G319),"",IFERROR(VLOOKUP(G319,'CADASTRO DE MATERIAL'!$C$6:$J$500,8,FALSE),""))</f>
        <v/>
      </c>
      <c r="J319" s="54" t="str">
        <f t="shared" si="20"/>
        <v/>
      </c>
      <c r="K319" s="36"/>
      <c r="L319" s="49">
        <f t="shared" si="21"/>
        <v>0</v>
      </c>
      <c r="M319" s="54">
        <f t="shared" si="22"/>
        <v>0</v>
      </c>
      <c r="N319" s="66"/>
      <c r="O319" s="54">
        <f t="shared" si="23"/>
        <v>0</v>
      </c>
      <c r="P319" s="54" t="str">
        <f t="shared" si="24"/>
        <v/>
      </c>
    </row>
    <row r="320" spans="2:16" ht="16.8" hidden="1" customHeight="1" x14ac:dyDescent="0.4">
      <c r="B320" s="30" t="str">
        <f>IF(AND(ISBLANK(D320), ISBLANK(E320), ISBLANK(G320)), "", IF(AND(E320&lt;&gt;"", E320=E319, D320&lt;&gt;"", D320=D319), B319, "PED-" &amp; TEXT(IFERROR(VALUE(RIGHT(LOOKUP("PED-9999",$B$5:B319),4)),1000)+1, "0000")))</f>
        <v/>
      </c>
      <c r="C320" s="30" t="s">
        <v>353</v>
      </c>
      <c r="D320" s="42"/>
      <c r="E320" s="30"/>
      <c r="F320" s="30" t="str">
        <f>IF(ISBLANK(E320),"",IFERROR(VLOOKUP(E320,'CADASTRO DE CLIENTES'!$C$6:$E$500,3,FALSE),""))</f>
        <v/>
      </c>
      <c r="G320" s="30"/>
      <c r="H320" s="30"/>
      <c r="I320" s="51" t="str">
        <f>IF(ISBLANK(G320),"",IFERROR(VLOOKUP(G320,'CADASTRO DE MATERIAL'!$C$6:$J$500,8,FALSE),""))</f>
        <v/>
      </c>
      <c r="J320" s="59" t="str">
        <f t="shared" si="20"/>
        <v/>
      </c>
      <c r="K320" s="30"/>
      <c r="L320" s="51">
        <f t="shared" si="21"/>
        <v>0</v>
      </c>
      <c r="M320" s="59">
        <f t="shared" si="22"/>
        <v>0</v>
      </c>
      <c r="N320" s="65"/>
      <c r="O320" s="59">
        <f t="shared" si="23"/>
        <v>0</v>
      </c>
      <c r="P320" s="59" t="str">
        <f t="shared" si="24"/>
        <v/>
      </c>
    </row>
    <row r="321" spans="2:16" ht="16.8" hidden="1" customHeight="1" x14ac:dyDescent="0.4">
      <c r="B321" s="36" t="str">
        <f>IF(AND(ISBLANK(D321), ISBLANK(E321), ISBLANK(G321)), "", IF(AND(E321&lt;&gt;"", E321=E320, D321&lt;&gt;"", D321=D320), B320, "PED-" &amp; TEXT(IFERROR(VALUE(RIGHT(LOOKUP("PED-9999",$B$5:B320),4)),1000)+1, "0000")))</f>
        <v/>
      </c>
      <c r="C321" s="36" t="s">
        <v>354</v>
      </c>
      <c r="D321" s="41"/>
      <c r="E321" s="36"/>
      <c r="F321" s="36" t="str">
        <f>IF(ISBLANK(E321),"",IFERROR(VLOOKUP(E321,'CADASTRO DE CLIENTES'!$C$6:$E$500,3,FALSE),""))</f>
        <v/>
      </c>
      <c r="G321" s="36"/>
      <c r="H321" s="36"/>
      <c r="I321" s="49" t="str">
        <f>IF(ISBLANK(G321),"",IFERROR(VLOOKUP(G321,'CADASTRO DE MATERIAL'!$C$6:$J$500,8,FALSE),""))</f>
        <v/>
      </c>
      <c r="J321" s="54" t="str">
        <f t="shared" si="20"/>
        <v/>
      </c>
      <c r="K321" s="36"/>
      <c r="L321" s="49">
        <f t="shared" si="21"/>
        <v>0</v>
      </c>
      <c r="M321" s="54">
        <f t="shared" si="22"/>
        <v>0</v>
      </c>
      <c r="N321" s="66"/>
      <c r="O321" s="54">
        <f t="shared" si="23"/>
        <v>0</v>
      </c>
      <c r="P321" s="54" t="str">
        <f t="shared" si="24"/>
        <v/>
      </c>
    </row>
    <row r="322" spans="2:16" ht="16.8" hidden="1" customHeight="1" x14ac:dyDescent="0.4">
      <c r="B322" s="30" t="str">
        <f>IF(AND(ISBLANK(D322), ISBLANK(E322), ISBLANK(G322)), "", IF(AND(E322&lt;&gt;"", E322=E321, D322&lt;&gt;"", D322=D321), B321, "PED-" &amp; TEXT(IFERROR(VALUE(RIGHT(LOOKUP("PED-9999",$B$5:B321),4)),1000)+1, "0000")))</f>
        <v/>
      </c>
      <c r="C322" s="30" t="s">
        <v>355</v>
      </c>
      <c r="D322" s="42"/>
      <c r="E322" s="30"/>
      <c r="F322" s="30" t="str">
        <f>IF(ISBLANK(E322),"",IFERROR(VLOOKUP(E322,'CADASTRO DE CLIENTES'!$C$6:$E$500,3,FALSE),""))</f>
        <v/>
      </c>
      <c r="G322" s="30"/>
      <c r="H322" s="30"/>
      <c r="I322" s="51" t="str">
        <f>IF(ISBLANK(G322),"",IFERROR(VLOOKUP(G322,'CADASTRO DE MATERIAL'!$C$6:$J$500,8,FALSE),""))</f>
        <v/>
      </c>
      <c r="J322" s="59" t="str">
        <f t="shared" si="20"/>
        <v/>
      </c>
      <c r="K322" s="30"/>
      <c r="L322" s="51">
        <f t="shared" si="21"/>
        <v>0</v>
      </c>
      <c r="M322" s="59">
        <f t="shared" si="22"/>
        <v>0</v>
      </c>
      <c r="N322" s="65"/>
      <c r="O322" s="59">
        <f t="shared" si="23"/>
        <v>0</v>
      </c>
      <c r="P322" s="59" t="str">
        <f t="shared" si="24"/>
        <v/>
      </c>
    </row>
    <row r="323" spans="2:16" ht="16.8" hidden="1" customHeight="1" x14ac:dyDescent="0.4">
      <c r="B323" s="36" t="str">
        <f>IF(AND(ISBLANK(D323), ISBLANK(E323), ISBLANK(G323)), "", IF(AND(E323&lt;&gt;"", E323=E322, D323&lt;&gt;"", D323=D322), B322, "PED-" &amp; TEXT(IFERROR(VALUE(RIGHT(LOOKUP("PED-9999",$B$5:B322),4)),1000)+1, "0000")))</f>
        <v/>
      </c>
      <c r="C323" s="36" t="s">
        <v>356</v>
      </c>
      <c r="D323" s="41"/>
      <c r="E323" s="36"/>
      <c r="F323" s="36" t="str">
        <f>IF(ISBLANK(E323),"",IFERROR(VLOOKUP(E323,'CADASTRO DE CLIENTES'!$C$6:$E$500,3,FALSE),""))</f>
        <v/>
      </c>
      <c r="G323" s="36"/>
      <c r="H323" s="36"/>
      <c r="I323" s="49" t="str">
        <f>IF(ISBLANK(G323),"",IFERROR(VLOOKUP(G323,'CADASTRO DE MATERIAL'!$C$6:$J$500,8,FALSE),""))</f>
        <v/>
      </c>
      <c r="J323" s="54" t="str">
        <f t="shared" si="20"/>
        <v/>
      </c>
      <c r="K323" s="36"/>
      <c r="L323" s="49">
        <f t="shared" si="21"/>
        <v>0</v>
      </c>
      <c r="M323" s="54">
        <f t="shared" si="22"/>
        <v>0</v>
      </c>
      <c r="N323" s="66"/>
      <c r="O323" s="54">
        <f t="shared" si="23"/>
        <v>0</v>
      </c>
      <c r="P323" s="54" t="str">
        <f t="shared" si="24"/>
        <v/>
      </c>
    </row>
    <row r="324" spans="2:16" ht="16.8" hidden="1" customHeight="1" x14ac:dyDescent="0.4">
      <c r="B324" s="30" t="str">
        <f>IF(AND(ISBLANK(D324), ISBLANK(E324), ISBLANK(G324)), "", IF(AND(E324&lt;&gt;"", E324=E323, D324&lt;&gt;"", D324=D323), B323, "PED-" &amp; TEXT(IFERROR(VALUE(RIGHT(LOOKUP("PED-9999",$B$5:B323),4)),1000)+1, "0000")))</f>
        <v/>
      </c>
      <c r="C324" s="30" t="s">
        <v>357</v>
      </c>
      <c r="D324" s="42"/>
      <c r="E324" s="30"/>
      <c r="F324" s="30" t="str">
        <f>IF(ISBLANK(E324),"",IFERROR(VLOOKUP(E324,'CADASTRO DE CLIENTES'!$C$6:$E$500,3,FALSE),""))</f>
        <v/>
      </c>
      <c r="G324" s="30"/>
      <c r="H324" s="30"/>
      <c r="I324" s="51" t="str">
        <f>IF(ISBLANK(G324),"",IFERROR(VLOOKUP(G324,'CADASTRO DE MATERIAL'!$C$6:$J$500,8,FALSE),""))</f>
        <v/>
      </c>
      <c r="J324" s="59" t="str">
        <f t="shared" si="20"/>
        <v/>
      </c>
      <c r="K324" s="30"/>
      <c r="L324" s="51">
        <f t="shared" si="21"/>
        <v>0</v>
      </c>
      <c r="M324" s="59">
        <f t="shared" si="22"/>
        <v>0</v>
      </c>
      <c r="N324" s="65"/>
      <c r="O324" s="59">
        <f t="shared" si="23"/>
        <v>0</v>
      </c>
      <c r="P324" s="59" t="str">
        <f t="shared" si="24"/>
        <v/>
      </c>
    </row>
    <row r="325" spans="2:16" ht="16.8" hidden="1" customHeight="1" x14ac:dyDescent="0.4">
      <c r="B325" s="36" t="str">
        <f>IF(AND(ISBLANK(D325), ISBLANK(E325), ISBLANK(G325)), "", IF(AND(E325&lt;&gt;"", E325=E324, D325&lt;&gt;"", D325=D324), B324, "PED-" &amp; TEXT(IFERROR(VALUE(RIGHT(LOOKUP("PED-9999",$B$5:B324),4)),1000)+1, "0000")))</f>
        <v/>
      </c>
      <c r="C325" s="36" t="s">
        <v>358</v>
      </c>
      <c r="D325" s="41"/>
      <c r="E325" s="36"/>
      <c r="F325" s="36" t="str">
        <f>IF(ISBLANK(E325),"",IFERROR(VLOOKUP(E325,'CADASTRO DE CLIENTES'!$C$6:$E$500,3,FALSE),""))</f>
        <v/>
      </c>
      <c r="G325" s="36"/>
      <c r="H325" s="36"/>
      <c r="I325" s="49" t="str">
        <f>IF(ISBLANK(G325),"",IFERROR(VLOOKUP(G325,'CADASTRO DE MATERIAL'!$C$6:$J$500,8,FALSE),""))</f>
        <v/>
      </c>
      <c r="J325" s="54" t="str">
        <f t="shared" si="20"/>
        <v/>
      </c>
      <c r="K325" s="36"/>
      <c r="L325" s="49">
        <f t="shared" si="21"/>
        <v>0</v>
      </c>
      <c r="M325" s="54">
        <f t="shared" si="22"/>
        <v>0</v>
      </c>
      <c r="N325" s="66"/>
      <c r="O325" s="54">
        <f t="shared" si="23"/>
        <v>0</v>
      </c>
      <c r="P325" s="54" t="str">
        <f t="shared" si="24"/>
        <v/>
      </c>
    </row>
    <row r="326" spans="2:16" ht="16.8" hidden="1" customHeight="1" x14ac:dyDescent="0.4">
      <c r="B326" s="30" t="str">
        <f>IF(AND(ISBLANK(D326), ISBLANK(E326), ISBLANK(G326)), "", IF(AND(E326&lt;&gt;"", E326=E325, D326&lt;&gt;"", D326=D325), B325, "PED-" &amp; TEXT(IFERROR(VALUE(RIGHT(LOOKUP("PED-9999",$B$5:B325),4)),1000)+1, "0000")))</f>
        <v/>
      </c>
      <c r="C326" s="30" t="s">
        <v>359</v>
      </c>
      <c r="D326" s="42"/>
      <c r="E326" s="30"/>
      <c r="F326" s="30" t="str">
        <f>IF(ISBLANK(E326),"",IFERROR(VLOOKUP(E326,'CADASTRO DE CLIENTES'!$C$6:$E$500,3,FALSE),""))</f>
        <v/>
      </c>
      <c r="G326" s="30"/>
      <c r="H326" s="30"/>
      <c r="I326" s="51" t="str">
        <f>IF(ISBLANK(G326),"",IFERROR(VLOOKUP(G326,'CADASTRO DE MATERIAL'!$C$6:$J$500,8,FALSE),""))</f>
        <v/>
      </c>
      <c r="J326" s="59" t="str">
        <f t="shared" ref="J326:J389" si="25">IF(OR(ISBLANK(H326),ISBLANK(I326)), "", H326*I326)</f>
        <v/>
      </c>
      <c r="K326" s="30"/>
      <c r="L326" s="51">
        <f t="shared" ref="L326:L389" si="26">IF(ISBLANK(B326), "", IF(K326="À Vista", O326, 0))</f>
        <v>0</v>
      </c>
      <c r="M326" s="59">
        <f t="shared" ref="M326:M389" si="27">IF(ISBLANK(B326),"", O326 - IF(ISBLANK(L326), 0, L326))</f>
        <v>0</v>
      </c>
      <c r="N326" s="65"/>
      <c r="O326" s="59">
        <f t="shared" ref="O326:O389" si="28">IF(ISBLANK(B326),"", SUMIF($B$6:$B$500, B326, $J$6:$J$500))</f>
        <v>0</v>
      </c>
      <c r="P326" s="59" t="str">
        <f t="shared" ref="P326:P389" si="29">IF(OR(ISBLANK(M326),ISBLANK(N326),N326=0), "", M326/N326)</f>
        <v/>
      </c>
    </row>
    <row r="327" spans="2:16" ht="16.8" hidden="1" customHeight="1" x14ac:dyDescent="0.4">
      <c r="B327" s="36" t="str">
        <f>IF(AND(ISBLANK(D327), ISBLANK(E327), ISBLANK(G327)), "", IF(AND(E327&lt;&gt;"", E327=E326, D327&lt;&gt;"", D327=D326), B326, "PED-" &amp; TEXT(IFERROR(VALUE(RIGHT(LOOKUP("PED-9999",$B$5:B326),4)),1000)+1, "0000")))</f>
        <v/>
      </c>
      <c r="C327" s="36" t="s">
        <v>360</v>
      </c>
      <c r="D327" s="41"/>
      <c r="E327" s="36"/>
      <c r="F327" s="36" t="str">
        <f>IF(ISBLANK(E327),"",IFERROR(VLOOKUP(E327,'CADASTRO DE CLIENTES'!$C$6:$E$500,3,FALSE),""))</f>
        <v/>
      </c>
      <c r="G327" s="36"/>
      <c r="H327" s="36"/>
      <c r="I327" s="49" t="str">
        <f>IF(ISBLANK(G327),"",IFERROR(VLOOKUP(G327,'CADASTRO DE MATERIAL'!$C$6:$J$500,8,FALSE),""))</f>
        <v/>
      </c>
      <c r="J327" s="54" t="str">
        <f t="shared" si="25"/>
        <v/>
      </c>
      <c r="K327" s="36"/>
      <c r="L327" s="49">
        <f t="shared" si="26"/>
        <v>0</v>
      </c>
      <c r="M327" s="54">
        <f t="shared" si="27"/>
        <v>0</v>
      </c>
      <c r="N327" s="66"/>
      <c r="O327" s="54">
        <f t="shared" si="28"/>
        <v>0</v>
      </c>
      <c r="P327" s="54" t="str">
        <f t="shared" si="29"/>
        <v/>
      </c>
    </row>
    <row r="328" spans="2:16" ht="16.8" hidden="1" customHeight="1" x14ac:dyDescent="0.4">
      <c r="B328" s="30" t="str">
        <f>IF(AND(ISBLANK(D328), ISBLANK(E328), ISBLANK(G328)), "", IF(AND(E328&lt;&gt;"", E328=E327, D328&lt;&gt;"", D328=D327), B327, "PED-" &amp; TEXT(IFERROR(VALUE(RIGHT(LOOKUP("PED-9999",$B$5:B327),4)),1000)+1, "0000")))</f>
        <v/>
      </c>
      <c r="C328" s="30" t="s">
        <v>361</v>
      </c>
      <c r="D328" s="42"/>
      <c r="E328" s="30"/>
      <c r="F328" s="30" t="str">
        <f>IF(ISBLANK(E328),"",IFERROR(VLOOKUP(E328,'CADASTRO DE CLIENTES'!$C$6:$E$500,3,FALSE),""))</f>
        <v/>
      </c>
      <c r="G328" s="30"/>
      <c r="H328" s="30"/>
      <c r="I328" s="51" t="str">
        <f>IF(ISBLANK(G328),"",IFERROR(VLOOKUP(G328,'CADASTRO DE MATERIAL'!$C$6:$J$500,8,FALSE),""))</f>
        <v/>
      </c>
      <c r="J328" s="59" t="str">
        <f t="shared" si="25"/>
        <v/>
      </c>
      <c r="K328" s="30"/>
      <c r="L328" s="51">
        <f t="shared" si="26"/>
        <v>0</v>
      </c>
      <c r="M328" s="59">
        <f t="shared" si="27"/>
        <v>0</v>
      </c>
      <c r="N328" s="65"/>
      <c r="O328" s="59">
        <f t="shared" si="28"/>
        <v>0</v>
      </c>
      <c r="P328" s="59" t="str">
        <f t="shared" si="29"/>
        <v/>
      </c>
    </row>
    <row r="329" spans="2:16" ht="16.8" hidden="1" customHeight="1" x14ac:dyDescent="0.4">
      <c r="B329" s="36" t="str">
        <f>IF(AND(ISBLANK(D329), ISBLANK(E329), ISBLANK(G329)), "", IF(AND(E329&lt;&gt;"", E329=E328, D329&lt;&gt;"", D329=D328), B328, "PED-" &amp; TEXT(IFERROR(VALUE(RIGHT(LOOKUP("PED-9999",$B$5:B328),4)),1000)+1, "0000")))</f>
        <v/>
      </c>
      <c r="C329" s="36" t="s">
        <v>362</v>
      </c>
      <c r="D329" s="41"/>
      <c r="E329" s="36"/>
      <c r="F329" s="36" t="str">
        <f>IF(ISBLANK(E329),"",IFERROR(VLOOKUP(E329,'CADASTRO DE CLIENTES'!$C$6:$E$500,3,FALSE),""))</f>
        <v/>
      </c>
      <c r="G329" s="36"/>
      <c r="H329" s="36"/>
      <c r="I329" s="49" t="str">
        <f>IF(ISBLANK(G329),"",IFERROR(VLOOKUP(G329,'CADASTRO DE MATERIAL'!$C$6:$J$500,8,FALSE),""))</f>
        <v/>
      </c>
      <c r="J329" s="54" t="str">
        <f t="shared" si="25"/>
        <v/>
      </c>
      <c r="K329" s="36"/>
      <c r="L329" s="49">
        <f t="shared" si="26"/>
        <v>0</v>
      </c>
      <c r="M329" s="54">
        <f t="shared" si="27"/>
        <v>0</v>
      </c>
      <c r="N329" s="66"/>
      <c r="O329" s="54">
        <f t="shared" si="28"/>
        <v>0</v>
      </c>
      <c r="P329" s="54" t="str">
        <f t="shared" si="29"/>
        <v/>
      </c>
    </row>
    <row r="330" spans="2:16" ht="16.8" hidden="1" customHeight="1" x14ac:dyDescent="0.4">
      <c r="B330" s="30" t="str">
        <f>IF(AND(ISBLANK(D330), ISBLANK(E330), ISBLANK(G330)), "", IF(AND(E330&lt;&gt;"", E330=E329, D330&lt;&gt;"", D330=D329), B329, "PED-" &amp; TEXT(IFERROR(VALUE(RIGHT(LOOKUP("PED-9999",$B$5:B329),4)),1000)+1, "0000")))</f>
        <v/>
      </c>
      <c r="C330" s="30" t="s">
        <v>363</v>
      </c>
      <c r="D330" s="42"/>
      <c r="E330" s="30"/>
      <c r="F330" s="30" t="str">
        <f>IF(ISBLANK(E330),"",IFERROR(VLOOKUP(E330,'CADASTRO DE CLIENTES'!$C$6:$E$500,3,FALSE),""))</f>
        <v/>
      </c>
      <c r="G330" s="30"/>
      <c r="H330" s="30"/>
      <c r="I330" s="51" t="str">
        <f>IF(ISBLANK(G330),"",IFERROR(VLOOKUP(G330,'CADASTRO DE MATERIAL'!$C$6:$J$500,8,FALSE),""))</f>
        <v/>
      </c>
      <c r="J330" s="59" t="str">
        <f t="shared" si="25"/>
        <v/>
      </c>
      <c r="K330" s="30"/>
      <c r="L330" s="51">
        <f t="shared" si="26"/>
        <v>0</v>
      </c>
      <c r="M330" s="59">
        <f t="shared" si="27"/>
        <v>0</v>
      </c>
      <c r="N330" s="65"/>
      <c r="O330" s="59">
        <f t="shared" si="28"/>
        <v>0</v>
      </c>
      <c r="P330" s="59" t="str">
        <f t="shared" si="29"/>
        <v/>
      </c>
    </row>
    <row r="331" spans="2:16" ht="16.8" hidden="1" customHeight="1" x14ac:dyDescent="0.4">
      <c r="B331" s="36" t="str">
        <f>IF(AND(ISBLANK(D331), ISBLANK(E331), ISBLANK(G331)), "", IF(AND(E331&lt;&gt;"", E331=E330, D331&lt;&gt;"", D331=D330), B330, "PED-" &amp; TEXT(IFERROR(VALUE(RIGHT(LOOKUP("PED-9999",$B$5:B330),4)),1000)+1, "0000")))</f>
        <v/>
      </c>
      <c r="C331" s="36" t="s">
        <v>364</v>
      </c>
      <c r="D331" s="41"/>
      <c r="E331" s="36"/>
      <c r="F331" s="36" t="str">
        <f>IF(ISBLANK(E331),"",IFERROR(VLOOKUP(E331,'CADASTRO DE CLIENTES'!$C$6:$E$500,3,FALSE),""))</f>
        <v/>
      </c>
      <c r="G331" s="36"/>
      <c r="H331" s="36"/>
      <c r="I331" s="49" t="str">
        <f>IF(ISBLANK(G331),"",IFERROR(VLOOKUP(G331,'CADASTRO DE MATERIAL'!$C$6:$J$500,8,FALSE),""))</f>
        <v/>
      </c>
      <c r="J331" s="54" t="str">
        <f t="shared" si="25"/>
        <v/>
      </c>
      <c r="K331" s="36"/>
      <c r="L331" s="49">
        <f t="shared" si="26"/>
        <v>0</v>
      </c>
      <c r="M331" s="54">
        <f t="shared" si="27"/>
        <v>0</v>
      </c>
      <c r="N331" s="66"/>
      <c r="O331" s="54">
        <f t="shared" si="28"/>
        <v>0</v>
      </c>
      <c r="P331" s="54" t="str">
        <f t="shared" si="29"/>
        <v/>
      </c>
    </row>
    <row r="332" spans="2:16" ht="16.8" hidden="1" customHeight="1" x14ac:dyDescent="0.4">
      <c r="B332" s="30" t="str">
        <f>IF(AND(ISBLANK(D332), ISBLANK(E332), ISBLANK(G332)), "", IF(AND(E332&lt;&gt;"", E332=E331, D332&lt;&gt;"", D332=D331), B331, "PED-" &amp; TEXT(IFERROR(VALUE(RIGHT(LOOKUP("PED-9999",$B$5:B331),4)),1000)+1, "0000")))</f>
        <v/>
      </c>
      <c r="C332" s="30" t="s">
        <v>365</v>
      </c>
      <c r="D332" s="42"/>
      <c r="E332" s="30"/>
      <c r="F332" s="30" t="str">
        <f>IF(ISBLANK(E332),"",IFERROR(VLOOKUP(E332,'CADASTRO DE CLIENTES'!$C$6:$E$500,3,FALSE),""))</f>
        <v/>
      </c>
      <c r="G332" s="30"/>
      <c r="H332" s="30"/>
      <c r="I332" s="51" t="str">
        <f>IF(ISBLANK(G332),"",IFERROR(VLOOKUP(G332,'CADASTRO DE MATERIAL'!$C$6:$J$500,8,FALSE),""))</f>
        <v/>
      </c>
      <c r="J332" s="59" t="str">
        <f t="shared" si="25"/>
        <v/>
      </c>
      <c r="K332" s="30"/>
      <c r="L332" s="51">
        <f t="shared" si="26"/>
        <v>0</v>
      </c>
      <c r="M332" s="59">
        <f t="shared" si="27"/>
        <v>0</v>
      </c>
      <c r="N332" s="65"/>
      <c r="O332" s="59">
        <f t="shared" si="28"/>
        <v>0</v>
      </c>
      <c r="P332" s="59" t="str">
        <f t="shared" si="29"/>
        <v/>
      </c>
    </row>
    <row r="333" spans="2:16" ht="16.8" hidden="1" customHeight="1" x14ac:dyDescent="0.4">
      <c r="B333" s="36" t="str">
        <f>IF(AND(ISBLANK(D333), ISBLANK(E333), ISBLANK(G333)), "", IF(AND(E333&lt;&gt;"", E333=E332, D333&lt;&gt;"", D333=D332), B332, "PED-" &amp; TEXT(IFERROR(VALUE(RIGHT(LOOKUP("PED-9999",$B$5:B332),4)),1000)+1, "0000")))</f>
        <v/>
      </c>
      <c r="C333" s="36" t="s">
        <v>366</v>
      </c>
      <c r="D333" s="41"/>
      <c r="E333" s="36"/>
      <c r="F333" s="36" t="str">
        <f>IF(ISBLANK(E333),"",IFERROR(VLOOKUP(E333,'CADASTRO DE CLIENTES'!$C$6:$E$500,3,FALSE),""))</f>
        <v/>
      </c>
      <c r="G333" s="36"/>
      <c r="H333" s="36"/>
      <c r="I333" s="49" t="str">
        <f>IF(ISBLANK(G333),"",IFERROR(VLOOKUP(G333,'CADASTRO DE MATERIAL'!$C$6:$J$500,8,FALSE),""))</f>
        <v/>
      </c>
      <c r="J333" s="54" t="str">
        <f t="shared" si="25"/>
        <v/>
      </c>
      <c r="K333" s="36"/>
      <c r="L333" s="49">
        <f t="shared" si="26"/>
        <v>0</v>
      </c>
      <c r="M333" s="54">
        <f t="shared" si="27"/>
        <v>0</v>
      </c>
      <c r="N333" s="66"/>
      <c r="O333" s="54">
        <f t="shared" si="28"/>
        <v>0</v>
      </c>
      <c r="P333" s="54" t="str">
        <f t="shared" si="29"/>
        <v/>
      </c>
    </row>
    <row r="334" spans="2:16" ht="16.8" hidden="1" customHeight="1" x14ac:dyDescent="0.4">
      <c r="B334" s="30" t="str">
        <f>IF(AND(ISBLANK(D334), ISBLANK(E334), ISBLANK(G334)), "", IF(AND(E334&lt;&gt;"", E334=E333, D334&lt;&gt;"", D334=D333), B333, "PED-" &amp; TEXT(IFERROR(VALUE(RIGHT(LOOKUP("PED-9999",$B$5:B333),4)),1000)+1, "0000")))</f>
        <v/>
      </c>
      <c r="C334" s="30" t="s">
        <v>367</v>
      </c>
      <c r="D334" s="42"/>
      <c r="E334" s="30"/>
      <c r="F334" s="30" t="str">
        <f>IF(ISBLANK(E334),"",IFERROR(VLOOKUP(E334,'CADASTRO DE CLIENTES'!$C$6:$E$500,3,FALSE),""))</f>
        <v/>
      </c>
      <c r="G334" s="30"/>
      <c r="H334" s="30"/>
      <c r="I334" s="51" t="str">
        <f>IF(ISBLANK(G334),"",IFERROR(VLOOKUP(G334,'CADASTRO DE MATERIAL'!$C$6:$J$500,8,FALSE),""))</f>
        <v/>
      </c>
      <c r="J334" s="59" t="str">
        <f t="shared" si="25"/>
        <v/>
      </c>
      <c r="K334" s="30"/>
      <c r="L334" s="51">
        <f t="shared" si="26"/>
        <v>0</v>
      </c>
      <c r="M334" s="59">
        <f t="shared" si="27"/>
        <v>0</v>
      </c>
      <c r="N334" s="65"/>
      <c r="O334" s="59">
        <f t="shared" si="28"/>
        <v>0</v>
      </c>
      <c r="P334" s="59" t="str">
        <f t="shared" si="29"/>
        <v/>
      </c>
    </row>
    <row r="335" spans="2:16" ht="16.8" hidden="1" customHeight="1" x14ac:dyDescent="0.4">
      <c r="B335" s="36" t="str">
        <f>IF(AND(ISBLANK(D335), ISBLANK(E335), ISBLANK(G335)), "", IF(AND(E335&lt;&gt;"", E335=E334, D335&lt;&gt;"", D335=D334), B334, "PED-" &amp; TEXT(IFERROR(VALUE(RIGHT(LOOKUP("PED-9999",$B$5:B334),4)),1000)+1, "0000")))</f>
        <v/>
      </c>
      <c r="C335" s="36" t="s">
        <v>368</v>
      </c>
      <c r="D335" s="41"/>
      <c r="E335" s="36"/>
      <c r="F335" s="36" t="str">
        <f>IF(ISBLANK(E335),"",IFERROR(VLOOKUP(E335,'CADASTRO DE CLIENTES'!$C$6:$E$500,3,FALSE),""))</f>
        <v/>
      </c>
      <c r="G335" s="36"/>
      <c r="H335" s="36"/>
      <c r="I335" s="49" t="str">
        <f>IF(ISBLANK(G335),"",IFERROR(VLOOKUP(G335,'CADASTRO DE MATERIAL'!$C$6:$J$500,8,FALSE),""))</f>
        <v/>
      </c>
      <c r="J335" s="54" t="str">
        <f t="shared" si="25"/>
        <v/>
      </c>
      <c r="K335" s="36"/>
      <c r="L335" s="49">
        <f t="shared" si="26"/>
        <v>0</v>
      </c>
      <c r="M335" s="54">
        <f t="shared" si="27"/>
        <v>0</v>
      </c>
      <c r="N335" s="66"/>
      <c r="O335" s="54">
        <f t="shared" si="28"/>
        <v>0</v>
      </c>
      <c r="P335" s="54" t="str">
        <f t="shared" si="29"/>
        <v/>
      </c>
    </row>
    <row r="336" spans="2:16" ht="16.8" hidden="1" customHeight="1" x14ac:dyDescent="0.4">
      <c r="B336" s="30" t="str">
        <f>IF(AND(ISBLANK(D336), ISBLANK(E336), ISBLANK(G336)), "", IF(AND(E336&lt;&gt;"", E336=E335, D336&lt;&gt;"", D336=D335), B335, "PED-" &amp; TEXT(IFERROR(VALUE(RIGHT(LOOKUP("PED-9999",$B$5:B335),4)),1000)+1, "0000")))</f>
        <v/>
      </c>
      <c r="C336" s="30" t="s">
        <v>369</v>
      </c>
      <c r="D336" s="42"/>
      <c r="E336" s="30"/>
      <c r="F336" s="30" t="str">
        <f>IF(ISBLANK(E336),"",IFERROR(VLOOKUP(E336,'CADASTRO DE CLIENTES'!$C$6:$E$500,3,FALSE),""))</f>
        <v/>
      </c>
      <c r="G336" s="30"/>
      <c r="H336" s="30"/>
      <c r="I336" s="51" t="str">
        <f>IF(ISBLANK(G336),"",IFERROR(VLOOKUP(G336,'CADASTRO DE MATERIAL'!$C$6:$J$500,8,FALSE),""))</f>
        <v/>
      </c>
      <c r="J336" s="59" t="str">
        <f t="shared" si="25"/>
        <v/>
      </c>
      <c r="K336" s="30"/>
      <c r="L336" s="51">
        <f t="shared" si="26"/>
        <v>0</v>
      </c>
      <c r="M336" s="59">
        <f t="shared" si="27"/>
        <v>0</v>
      </c>
      <c r="N336" s="65"/>
      <c r="O336" s="59">
        <f t="shared" si="28"/>
        <v>0</v>
      </c>
      <c r="P336" s="59" t="str">
        <f t="shared" si="29"/>
        <v/>
      </c>
    </row>
    <row r="337" spans="2:16" ht="16.8" hidden="1" customHeight="1" x14ac:dyDescent="0.4">
      <c r="B337" s="36" t="str">
        <f>IF(AND(ISBLANK(D337), ISBLANK(E337), ISBLANK(G337)), "", IF(AND(E337&lt;&gt;"", E337=E336, D337&lt;&gt;"", D337=D336), B336, "PED-" &amp; TEXT(IFERROR(VALUE(RIGHT(LOOKUP("PED-9999",$B$5:B336),4)),1000)+1, "0000")))</f>
        <v/>
      </c>
      <c r="C337" s="36" t="s">
        <v>370</v>
      </c>
      <c r="D337" s="41"/>
      <c r="E337" s="36"/>
      <c r="F337" s="36" t="str">
        <f>IF(ISBLANK(E337),"",IFERROR(VLOOKUP(E337,'CADASTRO DE CLIENTES'!$C$6:$E$500,3,FALSE),""))</f>
        <v/>
      </c>
      <c r="G337" s="36"/>
      <c r="H337" s="36"/>
      <c r="I337" s="49" t="str">
        <f>IF(ISBLANK(G337),"",IFERROR(VLOOKUP(G337,'CADASTRO DE MATERIAL'!$C$6:$J$500,8,FALSE),""))</f>
        <v/>
      </c>
      <c r="J337" s="54" t="str">
        <f t="shared" si="25"/>
        <v/>
      </c>
      <c r="K337" s="36"/>
      <c r="L337" s="49">
        <f t="shared" si="26"/>
        <v>0</v>
      </c>
      <c r="M337" s="54">
        <f t="shared" si="27"/>
        <v>0</v>
      </c>
      <c r="N337" s="66"/>
      <c r="O337" s="54">
        <f t="shared" si="28"/>
        <v>0</v>
      </c>
      <c r="P337" s="54" t="str">
        <f t="shared" si="29"/>
        <v/>
      </c>
    </row>
    <row r="338" spans="2:16" ht="16.8" hidden="1" customHeight="1" x14ac:dyDescent="0.4">
      <c r="B338" s="30" t="str">
        <f>IF(AND(ISBLANK(D338), ISBLANK(E338), ISBLANK(G338)), "", IF(AND(E338&lt;&gt;"", E338=E337, D338&lt;&gt;"", D338=D337), B337, "PED-" &amp; TEXT(IFERROR(VALUE(RIGHT(LOOKUP("PED-9999",$B$5:B337),4)),1000)+1, "0000")))</f>
        <v/>
      </c>
      <c r="C338" s="30" t="s">
        <v>371</v>
      </c>
      <c r="D338" s="42"/>
      <c r="E338" s="30"/>
      <c r="F338" s="30" t="str">
        <f>IF(ISBLANK(E338),"",IFERROR(VLOOKUP(E338,'CADASTRO DE CLIENTES'!$C$6:$E$500,3,FALSE),""))</f>
        <v/>
      </c>
      <c r="G338" s="30"/>
      <c r="H338" s="30"/>
      <c r="I338" s="51" t="str">
        <f>IF(ISBLANK(G338),"",IFERROR(VLOOKUP(G338,'CADASTRO DE MATERIAL'!$C$6:$J$500,8,FALSE),""))</f>
        <v/>
      </c>
      <c r="J338" s="59" t="str">
        <f t="shared" si="25"/>
        <v/>
      </c>
      <c r="K338" s="30"/>
      <c r="L338" s="51">
        <f t="shared" si="26"/>
        <v>0</v>
      </c>
      <c r="M338" s="59">
        <f t="shared" si="27"/>
        <v>0</v>
      </c>
      <c r="N338" s="65"/>
      <c r="O338" s="59">
        <f t="shared" si="28"/>
        <v>0</v>
      </c>
      <c r="P338" s="59" t="str">
        <f t="shared" si="29"/>
        <v/>
      </c>
    </row>
    <row r="339" spans="2:16" ht="16.8" hidden="1" customHeight="1" x14ac:dyDescent="0.4">
      <c r="B339" s="36" t="str">
        <f>IF(AND(ISBLANK(D339), ISBLANK(E339), ISBLANK(G339)), "", IF(AND(E339&lt;&gt;"", E339=E338, D339&lt;&gt;"", D339=D338), B338, "PED-" &amp; TEXT(IFERROR(VALUE(RIGHT(LOOKUP("PED-9999",$B$5:B338),4)),1000)+1, "0000")))</f>
        <v/>
      </c>
      <c r="C339" s="36" t="s">
        <v>372</v>
      </c>
      <c r="D339" s="41"/>
      <c r="E339" s="36"/>
      <c r="F339" s="36" t="str">
        <f>IF(ISBLANK(E339),"",IFERROR(VLOOKUP(E339,'CADASTRO DE CLIENTES'!$C$6:$E$500,3,FALSE),""))</f>
        <v/>
      </c>
      <c r="G339" s="36"/>
      <c r="H339" s="36"/>
      <c r="I339" s="49" t="str">
        <f>IF(ISBLANK(G339),"",IFERROR(VLOOKUP(G339,'CADASTRO DE MATERIAL'!$C$6:$J$500,8,FALSE),""))</f>
        <v/>
      </c>
      <c r="J339" s="54" t="str">
        <f t="shared" si="25"/>
        <v/>
      </c>
      <c r="K339" s="36"/>
      <c r="L339" s="49">
        <f t="shared" si="26"/>
        <v>0</v>
      </c>
      <c r="M339" s="54">
        <f t="shared" si="27"/>
        <v>0</v>
      </c>
      <c r="N339" s="66"/>
      <c r="O339" s="54">
        <f t="shared" si="28"/>
        <v>0</v>
      </c>
      <c r="P339" s="54" t="str">
        <f t="shared" si="29"/>
        <v/>
      </c>
    </row>
    <row r="340" spans="2:16" ht="16.8" hidden="1" customHeight="1" x14ac:dyDescent="0.4">
      <c r="B340" s="30" t="str">
        <f>IF(AND(ISBLANK(D340), ISBLANK(E340), ISBLANK(G340)), "", IF(AND(E340&lt;&gt;"", E340=E339, D340&lt;&gt;"", D340=D339), B339, "PED-" &amp; TEXT(IFERROR(VALUE(RIGHT(LOOKUP("PED-9999",$B$5:B339),4)),1000)+1, "0000")))</f>
        <v/>
      </c>
      <c r="C340" s="30" t="s">
        <v>373</v>
      </c>
      <c r="D340" s="42"/>
      <c r="E340" s="30"/>
      <c r="F340" s="30" t="str">
        <f>IF(ISBLANK(E340),"",IFERROR(VLOOKUP(E340,'CADASTRO DE CLIENTES'!$C$6:$E$500,3,FALSE),""))</f>
        <v/>
      </c>
      <c r="G340" s="30"/>
      <c r="H340" s="30"/>
      <c r="I340" s="51" t="str">
        <f>IF(ISBLANK(G340),"",IFERROR(VLOOKUP(G340,'CADASTRO DE MATERIAL'!$C$6:$J$500,8,FALSE),""))</f>
        <v/>
      </c>
      <c r="J340" s="59" t="str">
        <f t="shared" si="25"/>
        <v/>
      </c>
      <c r="K340" s="30"/>
      <c r="L340" s="51">
        <f t="shared" si="26"/>
        <v>0</v>
      </c>
      <c r="M340" s="59">
        <f t="shared" si="27"/>
        <v>0</v>
      </c>
      <c r="N340" s="65"/>
      <c r="O340" s="59">
        <f t="shared" si="28"/>
        <v>0</v>
      </c>
      <c r="P340" s="59" t="str">
        <f t="shared" si="29"/>
        <v/>
      </c>
    </row>
    <row r="341" spans="2:16" ht="16.8" hidden="1" customHeight="1" x14ac:dyDescent="0.4">
      <c r="B341" s="36" t="str">
        <f>IF(AND(ISBLANK(D341), ISBLANK(E341), ISBLANK(G341)), "", IF(AND(E341&lt;&gt;"", E341=E340, D341&lt;&gt;"", D341=D340), B340, "PED-" &amp; TEXT(IFERROR(VALUE(RIGHT(LOOKUP("PED-9999",$B$5:B340),4)),1000)+1, "0000")))</f>
        <v/>
      </c>
      <c r="C341" s="36" t="s">
        <v>374</v>
      </c>
      <c r="D341" s="41"/>
      <c r="E341" s="36"/>
      <c r="F341" s="36" t="str">
        <f>IF(ISBLANK(E341),"",IFERROR(VLOOKUP(E341,'CADASTRO DE CLIENTES'!$C$6:$E$500,3,FALSE),""))</f>
        <v/>
      </c>
      <c r="G341" s="36"/>
      <c r="H341" s="36"/>
      <c r="I341" s="49" t="str">
        <f>IF(ISBLANK(G341),"",IFERROR(VLOOKUP(G341,'CADASTRO DE MATERIAL'!$C$6:$J$500,8,FALSE),""))</f>
        <v/>
      </c>
      <c r="J341" s="54" t="str">
        <f t="shared" si="25"/>
        <v/>
      </c>
      <c r="K341" s="36"/>
      <c r="L341" s="49">
        <f t="shared" si="26"/>
        <v>0</v>
      </c>
      <c r="M341" s="54">
        <f t="shared" si="27"/>
        <v>0</v>
      </c>
      <c r="N341" s="66"/>
      <c r="O341" s="54">
        <f t="shared" si="28"/>
        <v>0</v>
      </c>
      <c r="P341" s="54" t="str">
        <f t="shared" si="29"/>
        <v/>
      </c>
    </row>
    <row r="342" spans="2:16" ht="16.8" hidden="1" customHeight="1" x14ac:dyDescent="0.4">
      <c r="B342" s="30" t="str">
        <f>IF(AND(ISBLANK(D342), ISBLANK(E342), ISBLANK(G342)), "", IF(AND(E342&lt;&gt;"", E342=E341, D342&lt;&gt;"", D342=D341), B341, "PED-" &amp; TEXT(IFERROR(VALUE(RIGHT(LOOKUP("PED-9999",$B$5:B341),4)),1000)+1, "0000")))</f>
        <v/>
      </c>
      <c r="C342" s="30" t="s">
        <v>375</v>
      </c>
      <c r="D342" s="42"/>
      <c r="E342" s="30"/>
      <c r="F342" s="30" t="str">
        <f>IF(ISBLANK(E342),"",IFERROR(VLOOKUP(E342,'CADASTRO DE CLIENTES'!$C$6:$E$500,3,FALSE),""))</f>
        <v/>
      </c>
      <c r="G342" s="30"/>
      <c r="H342" s="30"/>
      <c r="I342" s="51" t="str">
        <f>IF(ISBLANK(G342),"",IFERROR(VLOOKUP(G342,'CADASTRO DE MATERIAL'!$C$6:$J$500,8,FALSE),""))</f>
        <v/>
      </c>
      <c r="J342" s="59" t="str">
        <f t="shared" si="25"/>
        <v/>
      </c>
      <c r="K342" s="30"/>
      <c r="L342" s="51">
        <f t="shared" si="26"/>
        <v>0</v>
      </c>
      <c r="M342" s="59">
        <f t="shared" si="27"/>
        <v>0</v>
      </c>
      <c r="N342" s="65"/>
      <c r="O342" s="59">
        <f t="shared" si="28"/>
        <v>0</v>
      </c>
      <c r="P342" s="59" t="str">
        <f t="shared" si="29"/>
        <v/>
      </c>
    </row>
    <row r="343" spans="2:16" ht="16.8" hidden="1" customHeight="1" x14ac:dyDescent="0.4">
      <c r="B343" s="36" t="str">
        <f>IF(AND(ISBLANK(D343), ISBLANK(E343), ISBLANK(G343)), "", IF(AND(E343&lt;&gt;"", E343=E342, D343&lt;&gt;"", D343=D342), B342, "PED-" &amp; TEXT(IFERROR(VALUE(RIGHT(LOOKUP("PED-9999",$B$5:B342),4)),1000)+1, "0000")))</f>
        <v/>
      </c>
      <c r="C343" s="36" t="s">
        <v>376</v>
      </c>
      <c r="D343" s="41"/>
      <c r="E343" s="36"/>
      <c r="F343" s="36" t="str">
        <f>IF(ISBLANK(E343),"",IFERROR(VLOOKUP(E343,'CADASTRO DE CLIENTES'!$C$6:$E$500,3,FALSE),""))</f>
        <v/>
      </c>
      <c r="G343" s="36"/>
      <c r="H343" s="36"/>
      <c r="I343" s="49" t="str">
        <f>IF(ISBLANK(G343),"",IFERROR(VLOOKUP(G343,'CADASTRO DE MATERIAL'!$C$6:$J$500,8,FALSE),""))</f>
        <v/>
      </c>
      <c r="J343" s="54" t="str">
        <f t="shared" si="25"/>
        <v/>
      </c>
      <c r="K343" s="36"/>
      <c r="L343" s="49">
        <f t="shared" si="26"/>
        <v>0</v>
      </c>
      <c r="M343" s="54">
        <f t="shared" si="27"/>
        <v>0</v>
      </c>
      <c r="N343" s="66"/>
      <c r="O343" s="54">
        <f t="shared" si="28"/>
        <v>0</v>
      </c>
      <c r="P343" s="54" t="str">
        <f t="shared" si="29"/>
        <v/>
      </c>
    </row>
    <row r="344" spans="2:16" ht="16.8" hidden="1" customHeight="1" x14ac:dyDescent="0.4">
      <c r="B344" s="30" t="str">
        <f>IF(AND(ISBLANK(D344), ISBLANK(E344), ISBLANK(G344)), "", IF(AND(E344&lt;&gt;"", E344=E343, D344&lt;&gt;"", D344=D343), B343, "PED-" &amp; TEXT(IFERROR(VALUE(RIGHT(LOOKUP("PED-9999",$B$5:B343),4)),1000)+1, "0000")))</f>
        <v/>
      </c>
      <c r="C344" s="30" t="s">
        <v>377</v>
      </c>
      <c r="D344" s="42"/>
      <c r="E344" s="30"/>
      <c r="F344" s="30" t="str">
        <f>IF(ISBLANK(E344),"",IFERROR(VLOOKUP(E344,'CADASTRO DE CLIENTES'!$C$6:$E$500,3,FALSE),""))</f>
        <v/>
      </c>
      <c r="G344" s="30"/>
      <c r="H344" s="30"/>
      <c r="I344" s="51" t="str">
        <f>IF(ISBLANK(G344),"",IFERROR(VLOOKUP(G344,'CADASTRO DE MATERIAL'!$C$6:$J$500,8,FALSE),""))</f>
        <v/>
      </c>
      <c r="J344" s="59" t="str">
        <f t="shared" si="25"/>
        <v/>
      </c>
      <c r="K344" s="30"/>
      <c r="L344" s="51">
        <f t="shared" si="26"/>
        <v>0</v>
      </c>
      <c r="M344" s="59">
        <f t="shared" si="27"/>
        <v>0</v>
      </c>
      <c r="N344" s="65"/>
      <c r="O344" s="59">
        <f t="shared" si="28"/>
        <v>0</v>
      </c>
      <c r="P344" s="59" t="str">
        <f t="shared" si="29"/>
        <v/>
      </c>
    </row>
    <row r="345" spans="2:16" ht="16.8" hidden="1" customHeight="1" x14ac:dyDescent="0.4">
      <c r="B345" s="36" t="str">
        <f>IF(AND(ISBLANK(D345), ISBLANK(E345), ISBLANK(G345)), "", IF(AND(E345&lt;&gt;"", E345=E344, D345&lt;&gt;"", D345=D344), B344, "PED-" &amp; TEXT(IFERROR(VALUE(RIGHT(LOOKUP("PED-9999",$B$5:B344),4)),1000)+1, "0000")))</f>
        <v/>
      </c>
      <c r="C345" s="36" t="s">
        <v>378</v>
      </c>
      <c r="D345" s="41"/>
      <c r="E345" s="36"/>
      <c r="F345" s="36" t="str">
        <f>IF(ISBLANK(E345),"",IFERROR(VLOOKUP(E345,'CADASTRO DE CLIENTES'!$C$6:$E$500,3,FALSE),""))</f>
        <v/>
      </c>
      <c r="G345" s="36"/>
      <c r="H345" s="36"/>
      <c r="I345" s="49" t="str">
        <f>IF(ISBLANK(G345),"",IFERROR(VLOOKUP(G345,'CADASTRO DE MATERIAL'!$C$6:$J$500,8,FALSE),""))</f>
        <v/>
      </c>
      <c r="J345" s="54" t="str">
        <f t="shared" si="25"/>
        <v/>
      </c>
      <c r="K345" s="36"/>
      <c r="L345" s="49">
        <f t="shared" si="26"/>
        <v>0</v>
      </c>
      <c r="M345" s="54">
        <f t="shared" si="27"/>
        <v>0</v>
      </c>
      <c r="N345" s="66"/>
      <c r="O345" s="54">
        <f t="shared" si="28"/>
        <v>0</v>
      </c>
      <c r="P345" s="54" t="str">
        <f t="shared" si="29"/>
        <v/>
      </c>
    </row>
    <row r="346" spans="2:16" ht="16.8" hidden="1" customHeight="1" x14ac:dyDescent="0.4">
      <c r="B346" s="30" t="str">
        <f>IF(AND(ISBLANK(D346), ISBLANK(E346), ISBLANK(G346)), "", IF(AND(E346&lt;&gt;"", E346=E345, D346&lt;&gt;"", D346=D345), B345, "PED-" &amp; TEXT(IFERROR(VALUE(RIGHT(LOOKUP("PED-9999",$B$5:B345),4)),1000)+1, "0000")))</f>
        <v/>
      </c>
      <c r="C346" s="30" t="s">
        <v>379</v>
      </c>
      <c r="D346" s="42"/>
      <c r="E346" s="30"/>
      <c r="F346" s="30" t="str">
        <f>IF(ISBLANK(E346),"",IFERROR(VLOOKUP(E346,'CADASTRO DE CLIENTES'!$C$6:$E$500,3,FALSE),""))</f>
        <v/>
      </c>
      <c r="G346" s="30"/>
      <c r="H346" s="30"/>
      <c r="I346" s="51" t="str">
        <f>IF(ISBLANK(G346),"",IFERROR(VLOOKUP(G346,'CADASTRO DE MATERIAL'!$C$6:$J$500,8,FALSE),""))</f>
        <v/>
      </c>
      <c r="J346" s="59" t="str">
        <f t="shared" si="25"/>
        <v/>
      </c>
      <c r="K346" s="30"/>
      <c r="L346" s="51">
        <f t="shared" si="26"/>
        <v>0</v>
      </c>
      <c r="M346" s="59">
        <f t="shared" si="27"/>
        <v>0</v>
      </c>
      <c r="N346" s="65"/>
      <c r="O346" s="59">
        <f t="shared" si="28"/>
        <v>0</v>
      </c>
      <c r="P346" s="59" t="str">
        <f t="shared" si="29"/>
        <v/>
      </c>
    </row>
    <row r="347" spans="2:16" ht="16.8" hidden="1" customHeight="1" x14ac:dyDescent="0.4">
      <c r="B347" s="36" t="str">
        <f>IF(AND(ISBLANK(D347), ISBLANK(E347), ISBLANK(G347)), "", IF(AND(E347&lt;&gt;"", E347=E346, D347&lt;&gt;"", D347=D346), B346, "PED-" &amp; TEXT(IFERROR(VALUE(RIGHT(LOOKUP("PED-9999",$B$5:B346),4)),1000)+1, "0000")))</f>
        <v/>
      </c>
      <c r="C347" s="36" t="s">
        <v>380</v>
      </c>
      <c r="D347" s="41"/>
      <c r="E347" s="36"/>
      <c r="F347" s="36" t="str">
        <f>IF(ISBLANK(E347),"",IFERROR(VLOOKUP(E347,'CADASTRO DE CLIENTES'!$C$6:$E$500,3,FALSE),""))</f>
        <v/>
      </c>
      <c r="G347" s="36"/>
      <c r="H347" s="36"/>
      <c r="I347" s="49" t="str">
        <f>IF(ISBLANK(G347),"",IFERROR(VLOOKUP(G347,'CADASTRO DE MATERIAL'!$C$6:$J$500,8,FALSE),""))</f>
        <v/>
      </c>
      <c r="J347" s="54" t="str">
        <f t="shared" si="25"/>
        <v/>
      </c>
      <c r="K347" s="36"/>
      <c r="L347" s="49">
        <f t="shared" si="26"/>
        <v>0</v>
      </c>
      <c r="M347" s="54">
        <f t="shared" si="27"/>
        <v>0</v>
      </c>
      <c r="N347" s="66"/>
      <c r="O347" s="54">
        <f t="shared" si="28"/>
        <v>0</v>
      </c>
      <c r="P347" s="54" t="str">
        <f t="shared" si="29"/>
        <v/>
      </c>
    </row>
    <row r="348" spans="2:16" ht="16.8" hidden="1" customHeight="1" x14ac:dyDescent="0.4">
      <c r="B348" s="30" t="str">
        <f>IF(AND(ISBLANK(D348), ISBLANK(E348), ISBLANK(G348)), "", IF(AND(E348&lt;&gt;"", E348=E347, D348&lt;&gt;"", D348=D347), B347, "PED-" &amp; TEXT(IFERROR(VALUE(RIGHT(LOOKUP("PED-9999",$B$5:B347),4)),1000)+1, "0000")))</f>
        <v/>
      </c>
      <c r="C348" s="30" t="s">
        <v>381</v>
      </c>
      <c r="D348" s="42"/>
      <c r="E348" s="30"/>
      <c r="F348" s="30" t="str">
        <f>IF(ISBLANK(E348),"",IFERROR(VLOOKUP(E348,'CADASTRO DE CLIENTES'!$C$6:$E$500,3,FALSE),""))</f>
        <v/>
      </c>
      <c r="G348" s="30"/>
      <c r="H348" s="30"/>
      <c r="I348" s="51" t="str">
        <f>IF(ISBLANK(G348),"",IFERROR(VLOOKUP(G348,'CADASTRO DE MATERIAL'!$C$6:$J$500,8,FALSE),""))</f>
        <v/>
      </c>
      <c r="J348" s="59" t="str">
        <f t="shared" si="25"/>
        <v/>
      </c>
      <c r="K348" s="30"/>
      <c r="L348" s="51">
        <f t="shared" si="26"/>
        <v>0</v>
      </c>
      <c r="M348" s="59">
        <f t="shared" si="27"/>
        <v>0</v>
      </c>
      <c r="N348" s="65"/>
      <c r="O348" s="59">
        <f t="shared" si="28"/>
        <v>0</v>
      </c>
      <c r="P348" s="59" t="str">
        <f t="shared" si="29"/>
        <v/>
      </c>
    </row>
    <row r="349" spans="2:16" ht="16.8" hidden="1" customHeight="1" x14ac:dyDescent="0.4">
      <c r="B349" s="36" t="str">
        <f>IF(AND(ISBLANK(D349), ISBLANK(E349), ISBLANK(G349)), "", IF(AND(E349&lt;&gt;"", E349=E348, D349&lt;&gt;"", D349=D348), B348, "PED-" &amp; TEXT(IFERROR(VALUE(RIGHT(LOOKUP("PED-9999",$B$5:B348),4)),1000)+1, "0000")))</f>
        <v/>
      </c>
      <c r="C349" s="36" t="s">
        <v>382</v>
      </c>
      <c r="D349" s="41"/>
      <c r="E349" s="36"/>
      <c r="F349" s="36" t="str">
        <f>IF(ISBLANK(E349),"",IFERROR(VLOOKUP(E349,'CADASTRO DE CLIENTES'!$C$6:$E$500,3,FALSE),""))</f>
        <v/>
      </c>
      <c r="G349" s="36"/>
      <c r="H349" s="36"/>
      <c r="I349" s="49" t="str">
        <f>IF(ISBLANK(G349),"",IFERROR(VLOOKUP(G349,'CADASTRO DE MATERIAL'!$C$6:$J$500,8,FALSE),""))</f>
        <v/>
      </c>
      <c r="J349" s="54" t="str">
        <f t="shared" si="25"/>
        <v/>
      </c>
      <c r="K349" s="36"/>
      <c r="L349" s="49">
        <f t="shared" si="26"/>
        <v>0</v>
      </c>
      <c r="M349" s="54">
        <f t="shared" si="27"/>
        <v>0</v>
      </c>
      <c r="N349" s="66"/>
      <c r="O349" s="54">
        <f t="shared" si="28"/>
        <v>0</v>
      </c>
      <c r="P349" s="54" t="str">
        <f t="shared" si="29"/>
        <v/>
      </c>
    </row>
    <row r="350" spans="2:16" ht="16.8" hidden="1" customHeight="1" x14ac:dyDescent="0.4">
      <c r="B350" s="30" t="str">
        <f>IF(AND(ISBLANK(D350), ISBLANK(E350), ISBLANK(G350)), "", IF(AND(E350&lt;&gt;"", E350=E349, D350&lt;&gt;"", D350=D349), B349, "PED-" &amp; TEXT(IFERROR(VALUE(RIGHT(LOOKUP("PED-9999",$B$5:B349),4)),1000)+1, "0000")))</f>
        <v/>
      </c>
      <c r="C350" s="30" t="s">
        <v>383</v>
      </c>
      <c r="D350" s="42"/>
      <c r="E350" s="30"/>
      <c r="F350" s="30" t="str">
        <f>IF(ISBLANK(E350),"",IFERROR(VLOOKUP(E350,'CADASTRO DE CLIENTES'!$C$6:$E$500,3,FALSE),""))</f>
        <v/>
      </c>
      <c r="G350" s="30"/>
      <c r="H350" s="30"/>
      <c r="I350" s="51" t="str">
        <f>IF(ISBLANK(G350),"",IFERROR(VLOOKUP(G350,'CADASTRO DE MATERIAL'!$C$6:$J$500,8,FALSE),""))</f>
        <v/>
      </c>
      <c r="J350" s="59" t="str">
        <f t="shared" si="25"/>
        <v/>
      </c>
      <c r="K350" s="30"/>
      <c r="L350" s="51">
        <f t="shared" si="26"/>
        <v>0</v>
      </c>
      <c r="M350" s="59">
        <f t="shared" si="27"/>
        <v>0</v>
      </c>
      <c r="N350" s="65"/>
      <c r="O350" s="59">
        <f t="shared" si="28"/>
        <v>0</v>
      </c>
      <c r="P350" s="59" t="str">
        <f t="shared" si="29"/>
        <v/>
      </c>
    </row>
    <row r="351" spans="2:16" ht="16.8" hidden="1" customHeight="1" x14ac:dyDescent="0.4">
      <c r="B351" s="36" t="str">
        <f>IF(AND(ISBLANK(D351), ISBLANK(E351), ISBLANK(G351)), "", IF(AND(E351&lt;&gt;"", E351=E350, D351&lt;&gt;"", D351=D350), B350, "PED-" &amp; TEXT(IFERROR(VALUE(RIGHT(LOOKUP("PED-9999",$B$5:B350),4)),1000)+1, "0000")))</f>
        <v/>
      </c>
      <c r="C351" s="36" t="s">
        <v>384</v>
      </c>
      <c r="D351" s="41"/>
      <c r="E351" s="36"/>
      <c r="F351" s="36" t="str">
        <f>IF(ISBLANK(E351),"",IFERROR(VLOOKUP(E351,'CADASTRO DE CLIENTES'!$C$6:$E$500,3,FALSE),""))</f>
        <v/>
      </c>
      <c r="G351" s="36"/>
      <c r="H351" s="36"/>
      <c r="I351" s="49" t="str">
        <f>IF(ISBLANK(G351),"",IFERROR(VLOOKUP(G351,'CADASTRO DE MATERIAL'!$C$6:$J$500,8,FALSE),""))</f>
        <v/>
      </c>
      <c r="J351" s="54" t="str">
        <f t="shared" si="25"/>
        <v/>
      </c>
      <c r="K351" s="36"/>
      <c r="L351" s="49">
        <f t="shared" si="26"/>
        <v>0</v>
      </c>
      <c r="M351" s="54">
        <f t="shared" si="27"/>
        <v>0</v>
      </c>
      <c r="N351" s="66"/>
      <c r="O351" s="54">
        <f t="shared" si="28"/>
        <v>0</v>
      </c>
      <c r="P351" s="54" t="str">
        <f t="shared" si="29"/>
        <v/>
      </c>
    </row>
    <row r="352" spans="2:16" ht="16.8" hidden="1" customHeight="1" x14ac:dyDescent="0.4">
      <c r="B352" s="30" t="str">
        <f>IF(AND(ISBLANK(D352), ISBLANK(E352), ISBLANK(G352)), "", IF(AND(E352&lt;&gt;"", E352=E351, D352&lt;&gt;"", D352=D351), B351, "PED-" &amp; TEXT(IFERROR(VALUE(RIGHT(LOOKUP("PED-9999",$B$5:B351),4)),1000)+1, "0000")))</f>
        <v/>
      </c>
      <c r="C352" s="30" t="s">
        <v>385</v>
      </c>
      <c r="D352" s="42"/>
      <c r="E352" s="30"/>
      <c r="F352" s="30" t="str">
        <f>IF(ISBLANK(E352),"",IFERROR(VLOOKUP(E352,'CADASTRO DE CLIENTES'!$C$6:$E$500,3,FALSE),""))</f>
        <v/>
      </c>
      <c r="G352" s="30"/>
      <c r="H352" s="30"/>
      <c r="I352" s="51" t="str">
        <f>IF(ISBLANK(G352),"",IFERROR(VLOOKUP(G352,'CADASTRO DE MATERIAL'!$C$6:$J$500,8,FALSE),""))</f>
        <v/>
      </c>
      <c r="J352" s="59" t="str">
        <f t="shared" si="25"/>
        <v/>
      </c>
      <c r="K352" s="30"/>
      <c r="L352" s="51">
        <f t="shared" si="26"/>
        <v>0</v>
      </c>
      <c r="M352" s="59">
        <f t="shared" si="27"/>
        <v>0</v>
      </c>
      <c r="N352" s="65"/>
      <c r="O352" s="59">
        <f t="shared" si="28"/>
        <v>0</v>
      </c>
      <c r="P352" s="59" t="str">
        <f t="shared" si="29"/>
        <v/>
      </c>
    </row>
    <row r="353" spans="2:16" ht="16.8" hidden="1" customHeight="1" x14ac:dyDescent="0.4">
      <c r="B353" s="36" t="str">
        <f>IF(AND(ISBLANK(D353), ISBLANK(E353), ISBLANK(G353)), "", IF(AND(E353&lt;&gt;"", E353=E352, D353&lt;&gt;"", D353=D352), B352, "PED-" &amp; TEXT(IFERROR(VALUE(RIGHT(LOOKUP("PED-9999",$B$5:B352),4)),1000)+1, "0000")))</f>
        <v/>
      </c>
      <c r="C353" s="36" t="s">
        <v>386</v>
      </c>
      <c r="D353" s="41"/>
      <c r="E353" s="36"/>
      <c r="F353" s="36" t="str">
        <f>IF(ISBLANK(E353),"",IFERROR(VLOOKUP(E353,'CADASTRO DE CLIENTES'!$C$6:$E$500,3,FALSE),""))</f>
        <v/>
      </c>
      <c r="G353" s="36"/>
      <c r="H353" s="36"/>
      <c r="I353" s="49" t="str">
        <f>IF(ISBLANK(G353),"",IFERROR(VLOOKUP(G353,'CADASTRO DE MATERIAL'!$C$6:$J$500,8,FALSE),""))</f>
        <v/>
      </c>
      <c r="J353" s="54" t="str">
        <f t="shared" si="25"/>
        <v/>
      </c>
      <c r="K353" s="36"/>
      <c r="L353" s="49">
        <f t="shared" si="26"/>
        <v>0</v>
      </c>
      <c r="M353" s="54">
        <f t="shared" si="27"/>
        <v>0</v>
      </c>
      <c r="N353" s="66"/>
      <c r="O353" s="54">
        <f t="shared" si="28"/>
        <v>0</v>
      </c>
      <c r="P353" s="54" t="str">
        <f t="shared" si="29"/>
        <v/>
      </c>
    </row>
    <row r="354" spans="2:16" ht="16.8" hidden="1" customHeight="1" x14ac:dyDescent="0.4">
      <c r="B354" s="30" t="str">
        <f>IF(AND(ISBLANK(D354), ISBLANK(E354), ISBLANK(G354)), "", IF(AND(E354&lt;&gt;"", E354=E353, D354&lt;&gt;"", D354=D353), B353, "PED-" &amp; TEXT(IFERROR(VALUE(RIGHT(LOOKUP("PED-9999",$B$5:B353),4)),1000)+1, "0000")))</f>
        <v/>
      </c>
      <c r="C354" s="30" t="s">
        <v>387</v>
      </c>
      <c r="D354" s="42"/>
      <c r="E354" s="30"/>
      <c r="F354" s="30" t="str">
        <f>IF(ISBLANK(E354),"",IFERROR(VLOOKUP(E354,'CADASTRO DE CLIENTES'!$C$6:$E$500,3,FALSE),""))</f>
        <v/>
      </c>
      <c r="G354" s="30"/>
      <c r="H354" s="30"/>
      <c r="I354" s="51" t="str">
        <f>IF(ISBLANK(G354),"",IFERROR(VLOOKUP(G354,'CADASTRO DE MATERIAL'!$C$6:$J$500,8,FALSE),""))</f>
        <v/>
      </c>
      <c r="J354" s="59" t="str">
        <f t="shared" si="25"/>
        <v/>
      </c>
      <c r="K354" s="30"/>
      <c r="L354" s="51">
        <f t="shared" si="26"/>
        <v>0</v>
      </c>
      <c r="M354" s="59">
        <f t="shared" si="27"/>
        <v>0</v>
      </c>
      <c r="N354" s="65"/>
      <c r="O354" s="59">
        <f t="shared" si="28"/>
        <v>0</v>
      </c>
      <c r="P354" s="59" t="str">
        <f t="shared" si="29"/>
        <v/>
      </c>
    </row>
    <row r="355" spans="2:16" ht="16.8" hidden="1" customHeight="1" x14ac:dyDescent="0.4">
      <c r="B355" s="36" t="str">
        <f>IF(AND(ISBLANK(D355), ISBLANK(E355), ISBLANK(G355)), "", IF(AND(E355&lt;&gt;"", E355=E354, D355&lt;&gt;"", D355=D354), B354, "PED-" &amp; TEXT(IFERROR(VALUE(RIGHT(LOOKUP("PED-9999",$B$5:B354),4)),1000)+1, "0000")))</f>
        <v/>
      </c>
      <c r="C355" s="36" t="s">
        <v>388</v>
      </c>
      <c r="D355" s="41"/>
      <c r="E355" s="36"/>
      <c r="F355" s="36" t="str">
        <f>IF(ISBLANK(E355),"",IFERROR(VLOOKUP(E355,'CADASTRO DE CLIENTES'!$C$6:$E$500,3,FALSE),""))</f>
        <v/>
      </c>
      <c r="G355" s="36"/>
      <c r="H355" s="36"/>
      <c r="I355" s="49" t="str">
        <f>IF(ISBLANK(G355),"",IFERROR(VLOOKUP(G355,'CADASTRO DE MATERIAL'!$C$6:$J$500,8,FALSE),""))</f>
        <v/>
      </c>
      <c r="J355" s="54" t="str">
        <f t="shared" si="25"/>
        <v/>
      </c>
      <c r="K355" s="36"/>
      <c r="L355" s="49">
        <f t="shared" si="26"/>
        <v>0</v>
      </c>
      <c r="M355" s="54">
        <f t="shared" si="27"/>
        <v>0</v>
      </c>
      <c r="N355" s="66"/>
      <c r="O355" s="54">
        <f t="shared" si="28"/>
        <v>0</v>
      </c>
      <c r="P355" s="54" t="str">
        <f t="shared" si="29"/>
        <v/>
      </c>
    </row>
    <row r="356" spans="2:16" ht="16.8" hidden="1" customHeight="1" x14ac:dyDescent="0.4">
      <c r="B356" s="30" t="str">
        <f>IF(AND(ISBLANK(D356), ISBLANK(E356), ISBLANK(G356)), "", IF(AND(E356&lt;&gt;"", E356=E355, D356&lt;&gt;"", D356=D355), B355, "PED-" &amp; TEXT(IFERROR(VALUE(RIGHT(LOOKUP("PED-9999",$B$5:B355),4)),1000)+1, "0000")))</f>
        <v/>
      </c>
      <c r="C356" s="30" t="s">
        <v>389</v>
      </c>
      <c r="D356" s="42"/>
      <c r="E356" s="30"/>
      <c r="F356" s="30" t="str">
        <f>IF(ISBLANK(E356),"",IFERROR(VLOOKUP(E356,'CADASTRO DE CLIENTES'!$C$6:$E$500,3,FALSE),""))</f>
        <v/>
      </c>
      <c r="G356" s="30"/>
      <c r="H356" s="30"/>
      <c r="I356" s="51" t="str">
        <f>IF(ISBLANK(G356),"",IFERROR(VLOOKUP(G356,'CADASTRO DE MATERIAL'!$C$6:$J$500,8,FALSE),""))</f>
        <v/>
      </c>
      <c r="J356" s="59" t="str">
        <f t="shared" si="25"/>
        <v/>
      </c>
      <c r="K356" s="30"/>
      <c r="L356" s="51">
        <f t="shared" si="26"/>
        <v>0</v>
      </c>
      <c r="M356" s="59">
        <f t="shared" si="27"/>
        <v>0</v>
      </c>
      <c r="N356" s="65"/>
      <c r="O356" s="59">
        <f t="shared" si="28"/>
        <v>0</v>
      </c>
      <c r="P356" s="59" t="str">
        <f t="shared" si="29"/>
        <v/>
      </c>
    </row>
    <row r="357" spans="2:16" ht="16.8" hidden="1" customHeight="1" x14ac:dyDescent="0.4">
      <c r="B357" s="36" t="str">
        <f>IF(AND(ISBLANK(D357), ISBLANK(E357), ISBLANK(G357)), "", IF(AND(E357&lt;&gt;"", E357=E356, D357&lt;&gt;"", D357=D356), B356, "PED-" &amp; TEXT(IFERROR(VALUE(RIGHT(LOOKUP("PED-9999",$B$5:B356),4)),1000)+1, "0000")))</f>
        <v/>
      </c>
      <c r="C357" s="36" t="s">
        <v>390</v>
      </c>
      <c r="D357" s="41"/>
      <c r="E357" s="36"/>
      <c r="F357" s="36" t="str">
        <f>IF(ISBLANK(E357),"",IFERROR(VLOOKUP(E357,'CADASTRO DE CLIENTES'!$C$6:$E$500,3,FALSE),""))</f>
        <v/>
      </c>
      <c r="G357" s="36"/>
      <c r="H357" s="36"/>
      <c r="I357" s="49" t="str">
        <f>IF(ISBLANK(G357),"",IFERROR(VLOOKUP(G357,'CADASTRO DE MATERIAL'!$C$6:$J$500,8,FALSE),""))</f>
        <v/>
      </c>
      <c r="J357" s="54" t="str">
        <f t="shared" si="25"/>
        <v/>
      </c>
      <c r="K357" s="36"/>
      <c r="L357" s="49">
        <f t="shared" si="26"/>
        <v>0</v>
      </c>
      <c r="M357" s="54">
        <f t="shared" si="27"/>
        <v>0</v>
      </c>
      <c r="N357" s="66"/>
      <c r="O357" s="54">
        <f t="shared" si="28"/>
        <v>0</v>
      </c>
      <c r="P357" s="54" t="str">
        <f t="shared" si="29"/>
        <v/>
      </c>
    </row>
    <row r="358" spans="2:16" ht="16.8" hidden="1" customHeight="1" x14ac:dyDescent="0.4">
      <c r="B358" s="30" t="str">
        <f>IF(AND(ISBLANK(D358), ISBLANK(E358), ISBLANK(G358)), "", IF(AND(E358&lt;&gt;"", E358=E357, D358&lt;&gt;"", D358=D357), B357, "PED-" &amp; TEXT(IFERROR(VALUE(RIGHT(LOOKUP("PED-9999",$B$5:B357),4)),1000)+1, "0000")))</f>
        <v/>
      </c>
      <c r="C358" s="30" t="s">
        <v>391</v>
      </c>
      <c r="D358" s="42"/>
      <c r="E358" s="30"/>
      <c r="F358" s="30" t="str">
        <f>IF(ISBLANK(E358),"",IFERROR(VLOOKUP(E358,'CADASTRO DE CLIENTES'!$C$6:$E$500,3,FALSE),""))</f>
        <v/>
      </c>
      <c r="G358" s="30"/>
      <c r="H358" s="30"/>
      <c r="I358" s="51" t="str">
        <f>IF(ISBLANK(G358),"",IFERROR(VLOOKUP(G358,'CADASTRO DE MATERIAL'!$C$6:$J$500,8,FALSE),""))</f>
        <v/>
      </c>
      <c r="J358" s="59" t="str">
        <f t="shared" si="25"/>
        <v/>
      </c>
      <c r="K358" s="30"/>
      <c r="L358" s="51">
        <f t="shared" si="26"/>
        <v>0</v>
      </c>
      <c r="M358" s="59">
        <f t="shared" si="27"/>
        <v>0</v>
      </c>
      <c r="N358" s="65"/>
      <c r="O358" s="59">
        <f t="shared" si="28"/>
        <v>0</v>
      </c>
      <c r="P358" s="59" t="str">
        <f t="shared" si="29"/>
        <v/>
      </c>
    </row>
    <row r="359" spans="2:16" ht="16.8" hidden="1" customHeight="1" x14ac:dyDescent="0.4">
      <c r="B359" s="36" t="str">
        <f>IF(AND(ISBLANK(D359), ISBLANK(E359), ISBLANK(G359)), "", IF(AND(E359&lt;&gt;"", E359=E358, D359&lt;&gt;"", D359=D358), B358, "PED-" &amp; TEXT(IFERROR(VALUE(RIGHT(LOOKUP("PED-9999",$B$5:B358),4)),1000)+1, "0000")))</f>
        <v/>
      </c>
      <c r="C359" s="36" t="s">
        <v>392</v>
      </c>
      <c r="D359" s="41"/>
      <c r="E359" s="36"/>
      <c r="F359" s="36" t="str">
        <f>IF(ISBLANK(E359),"",IFERROR(VLOOKUP(E359,'CADASTRO DE CLIENTES'!$C$6:$E$500,3,FALSE),""))</f>
        <v/>
      </c>
      <c r="G359" s="36"/>
      <c r="H359" s="36"/>
      <c r="I359" s="49" t="str">
        <f>IF(ISBLANK(G359),"",IFERROR(VLOOKUP(G359,'CADASTRO DE MATERIAL'!$C$6:$J$500,8,FALSE),""))</f>
        <v/>
      </c>
      <c r="J359" s="54" t="str">
        <f t="shared" si="25"/>
        <v/>
      </c>
      <c r="K359" s="36"/>
      <c r="L359" s="49">
        <f t="shared" si="26"/>
        <v>0</v>
      </c>
      <c r="M359" s="54">
        <f t="shared" si="27"/>
        <v>0</v>
      </c>
      <c r="N359" s="66"/>
      <c r="O359" s="54">
        <f t="shared" si="28"/>
        <v>0</v>
      </c>
      <c r="P359" s="54" t="str">
        <f t="shared" si="29"/>
        <v/>
      </c>
    </row>
    <row r="360" spans="2:16" ht="16.8" hidden="1" customHeight="1" x14ac:dyDescent="0.4">
      <c r="B360" s="30" t="str">
        <f>IF(AND(ISBLANK(D360), ISBLANK(E360), ISBLANK(G360)), "", IF(AND(E360&lt;&gt;"", E360=E359, D360&lt;&gt;"", D360=D359), B359, "PED-" &amp; TEXT(IFERROR(VALUE(RIGHT(LOOKUP("PED-9999",$B$5:B359),4)),1000)+1, "0000")))</f>
        <v/>
      </c>
      <c r="C360" s="30" t="s">
        <v>393</v>
      </c>
      <c r="D360" s="42"/>
      <c r="E360" s="30"/>
      <c r="F360" s="30" t="str">
        <f>IF(ISBLANK(E360),"",IFERROR(VLOOKUP(E360,'CADASTRO DE CLIENTES'!$C$6:$E$500,3,FALSE),""))</f>
        <v/>
      </c>
      <c r="G360" s="30"/>
      <c r="H360" s="30"/>
      <c r="I360" s="51" t="str">
        <f>IF(ISBLANK(G360),"",IFERROR(VLOOKUP(G360,'CADASTRO DE MATERIAL'!$C$6:$J$500,8,FALSE),""))</f>
        <v/>
      </c>
      <c r="J360" s="59" t="str">
        <f t="shared" si="25"/>
        <v/>
      </c>
      <c r="K360" s="30"/>
      <c r="L360" s="51">
        <f t="shared" si="26"/>
        <v>0</v>
      </c>
      <c r="M360" s="59">
        <f t="shared" si="27"/>
        <v>0</v>
      </c>
      <c r="N360" s="65"/>
      <c r="O360" s="59">
        <f t="shared" si="28"/>
        <v>0</v>
      </c>
      <c r="P360" s="59" t="str">
        <f t="shared" si="29"/>
        <v/>
      </c>
    </row>
    <row r="361" spans="2:16" ht="16.8" hidden="1" customHeight="1" x14ac:dyDescent="0.4">
      <c r="B361" s="36" t="str">
        <f>IF(AND(ISBLANK(D361), ISBLANK(E361), ISBLANK(G361)), "", IF(AND(E361&lt;&gt;"", E361=E360, D361&lt;&gt;"", D361=D360), B360, "PED-" &amp; TEXT(IFERROR(VALUE(RIGHT(LOOKUP("PED-9999",$B$5:B360),4)),1000)+1, "0000")))</f>
        <v/>
      </c>
      <c r="C361" s="36" t="s">
        <v>394</v>
      </c>
      <c r="D361" s="41"/>
      <c r="E361" s="36"/>
      <c r="F361" s="36" t="str">
        <f>IF(ISBLANK(E361),"",IFERROR(VLOOKUP(E361,'CADASTRO DE CLIENTES'!$C$6:$E$500,3,FALSE),""))</f>
        <v/>
      </c>
      <c r="G361" s="36"/>
      <c r="H361" s="36"/>
      <c r="I361" s="49" t="str">
        <f>IF(ISBLANK(G361),"",IFERROR(VLOOKUP(G361,'CADASTRO DE MATERIAL'!$C$6:$J$500,8,FALSE),""))</f>
        <v/>
      </c>
      <c r="J361" s="54" t="str">
        <f t="shared" si="25"/>
        <v/>
      </c>
      <c r="K361" s="36"/>
      <c r="L361" s="49">
        <f t="shared" si="26"/>
        <v>0</v>
      </c>
      <c r="M361" s="54">
        <f t="shared" si="27"/>
        <v>0</v>
      </c>
      <c r="N361" s="66"/>
      <c r="O361" s="54">
        <f t="shared" si="28"/>
        <v>0</v>
      </c>
      <c r="P361" s="54" t="str">
        <f t="shared" si="29"/>
        <v/>
      </c>
    </row>
    <row r="362" spans="2:16" ht="16.8" hidden="1" customHeight="1" x14ac:dyDescent="0.4">
      <c r="B362" s="30" t="str">
        <f>IF(AND(ISBLANK(D362), ISBLANK(E362), ISBLANK(G362)), "", IF(AND(E362&lt;&gt;"", E362=E361, D362&lt;&gt;"", D362=D361), B361, "PED-" &amp; TEXT(IFERROR(VALUE(RIGHT(LOOKUP("PED-9999",$B$5:B361),4)),1000)+1, "0000")))</f>
        <v/>
      </c>
      <c r="C362" s="30" t="s">
        <v>395</v>
      </c>
      <c r="D362" s="42"/>
      <c r="E362" s="30"/>
      <c r="F362" s="30" t="str">
        <f>IF(ISBLANK(E362),"",IFERROR(VLOOKUP(E362,'CADASTRO DE CLIENTES'!$C$6:$E$500,3,FALSE),""))</f>
        <v/>
      </c>
      <c r="G362" s="30"/>
      <c r="H362" s="30"/>
      <c r="I362" s="51" t="str">
        <f>IF(ISBLANK(G362),"",IFERROR(VLOOKUP(G362,'CADASTRO DE MATERIAL'!$C$6:$J$500,8,FALSE),""))</f>
        <v/>
      </c>
      <c r="J362" s="59" t="str">
        <f t="shared" si="25"/>
        <v/>
      </c>
      <c r="K362" s="30"/>
      <c r="L362" s="51">
        <f t="shared" si="26"/>
        <v>0</v>
      </c>
      <c r="M362" s="59">
        <f t="shared" si="27"/>
        <v>0</v>
      </c>
      <c r="N362" s="65"/>
      <c r="O362" s="59">
        <f t="shared" si="28"/>
        <v>0</v>
      </c>
      <c r="P362" s="59" t="str">
        <f t="shared" si="29"/>
        <v/>
      </c>
    </row>
    <row r="363" spans="2:16" ht="16.8" hidden="1" customHeight="1" x14ac:dyDescent="0.4">
      <c r="B363" s="36" t="str">
        <f>IF(AND(ISBLANK(D363), ISBLANK(E363), ISBLANK(G363)), "", IF(AND(E363&lt;&gt;"", E363=E362, D363&lt;&gt;"", D363=D362), B362, "PED-" &amp; TEXT(IFERROR(VALUE(RIGHT(LOOKUP("PED-9999",$B$5:B362),4)),1000)+1, "0000")))</f>
        <v/>
      </c>
      <c r="C363" s="36" t="s">
        <v>396</v>
      </c>
      <c r="D363" s="41"/>
      <c r="E363" s="36"/>
      <c r="F363" s="36" t="str">
        <f>IF(ISBLANK(E363),"",IFERROR(VLOOKUP(E363,'CADASTRO DE CLIENTES'!$C$6:$E$500,3,FALSE),""))</f>
        <v/>
      </c>
      <c r="G363" s="36"/>
      <c r="H363" s="36"/>
      <c r="I363" s="49" t="str">
        <f>IF(ISBLANK(G363),"",IFERROR(VLOOKUP(G363,'CADASTRO DE MATERIAL'!$C$6:$J$500,8,FALSE),""))</f>
        <v/>
      </c>
      <c r="J363" s="54" t="str">
        <f t="shared" si="25"/>
        <v/>
      </c>
      <c r="K363" s="36"/>
      <c r="L363" s="49">
        <f t="shared" si="26"/>
        <v>0</v>
      </c>
      <c r="M363" s="54">
        <f t="shared" si="27"/>
        <v>0</v>
      </c>
      <c r="N363" s="66"/>
      <c r="O363" s="54">
        <f t="shared" si="28"/>
        <v>0</v>
      </c>
      <c r="P363" s="54" t="str">
        <f t="shared" si="29"/>
        <v/>
      </c>
    </row>
    <row r="364" spans="2:16" ht="16.8" hidden="1" customHeight="1" x14ac:dyDescent="0.4">
      <c r="B364" s="30" t="str">
        <f>IF(AND(ISBLANK(D364), ISBLANK(E364), ISBLANK(G364)), "", IF(AND(E364&lt;&gt;"", E364=E363, D364&lt;&gt;"", D364=D363), B363, "PED-" &amp; TEXT(IFERROR(VALUE(RIGHT(LOOKUP("PED-9999",$B$5:B363),4)),1000)+1, "0000")))</f>
        <v/>
      </c>
      <c r="C364" s="30" t="s">
        <v>397</v>
      </c>
      <c r="D364" s="42"/>
      <c r="E364" s="30"/>
      <c r="F364" s="30" t="str">
        <f>IF(ISBLANK(E364),"",IFERROR(VLOOKUP(E364,'CADASTRO DE CLIENTES'!$C$6:$E$500,3,FALSE),""))</f>
        <v/>
      </c>
      <c r="G364" s="30"/>
      <c r="H364" s="30"/>
      <c r="I364" s="51" t="str">
        <f>IF(ISBLANK(G364),"",IFERROR(VLOOKUP(G364,'CADASTRO DE MATERIAL'!$C$6:$J$500,8,FALSE),""))</f>
        <v/>
      </c>
      <c r="J364" s="59" t="str">
        <f t="shared" si="25"/>
        <v/>
      </c>
      <c r="K364" s="30"/>
      <c r="L364" s="51">
        <f t="shared" si="26"/>
        <v>0</v>
      </c>
      <c r="M364" s="59">
        <f t="shared" si="27"/>
        <v>0</v>
      </c>
      <c r="N364" s="65"/>
      <c r="O364" s="59">
        <f t="shared" si="28"/>
        <v>0</v>
      </c>
      <c r="P364" s="59" t="str">
        <f t="shared" si="29"/>
        <v/>
      </c>
    </row>
    <row r="365" spans="2:16" ht="16.8" hidden="1" customHeight="1" x14ac:dyDescent="0.4">
      <c r="B365" s="36" t="str">
        <f>IF(AND(ISBLANK(D365), ISBLANK(E365), ISBLANK(G365)), "", IF(AND(E365&lt;&gt;"", E365=E364, D365&lt;&gt;"", D365=D364), B364, "PED-" &amp; TEXT(IFERROR(VALUE(RIGHT(LOOKUP("PED-9999",$B$5:B364),4)),1000)+1, "0000")))</f>
        <v/>
      </c>
      <c r="C365" s="36" t="s">
        <v>398</v>
      </c>
      <c r="D365" s="41"/>
      <c r="E365" s="36"/>
      <c r="F365" s="36" t="str">
        <f>IF(ISBLANK(E365),"",IFERROR(VLOOKUP(E365,'CADASTRO DE CLIENTES'!$C$6:$E$500,3,FALSE),""))</f>
        <v/>
      </c>
      <c r="G365" s="36"/>
      <c r="H365" s="36"/>
      <c r="I365" s="49" t="str">
        <f>IF(ISBLANK(G365),"",IFERROR(VLOOKUP(G365,'CADASTRO DE MATERIAL'!$C$6:$J$500,8,FALSE),""))</f>
        <v/>
      </c>
      <c r="J365" s="54" t="str">
        <f t="shared" si="25"/>
        <v/>
      </c>
      <c r="K365" s="36"/>
      <c r="L365" s="49">
        <f t="shared" si="26"/>
        <v>0</v>
      </c>
      <c r="M365" s="54">
        <f t="shared" si="27"/>
        <v>0</v>
      </c>
      <c r="N365" s="66"/>
      <c r="O365" s="54">
        <f t="shared" si="28"/>
        <v>0</v>
      </c>
      <c r="P365" s="54" t="str">
        <f t="shared" si="29"/>
        <v/>
      </c>
    </row>
    <row r="366" spans="2:16" ht="16.8" hidden="1" customHeight="1" x14ac:dyDescent="0.4">
      <c r="B366" s="30" t="str">
        <f>IF(AND(ISBLANK(D366), ISBLANK(E366), ISBLANK(G366)), "", IF(AND(E366&lt;&gt;"", E366=E365, D366&lt;&gt;"", D366=D365), B365, "PED-" &amp; TEXT(IFERROR(VALUE(RIGHT(LOOKUP("PED-9999",$B$5:B365),4)),1000)+1, "0000")))</f>
        <v/>
      </c>
      <c r="C366" s="30" t="s">
        <v>399</v>
      </c>
      <c r="D366" s="42"/>
      <c r="E366" s="30"/>
      <c r="F366" s="30" t="str">
        <f>IF(ISBLANK(E366),"",IFERROR(VLOOKUP(E366,'CADASTRO DE CLIENTES'!$C$6:$E$500,3,FALSE),""))</f>
        <v/>
      </c>
      <c r="G366" s="30"/>
      <c r="H366" s="30"/>
      <c r="I366" s="51" t="str">
        <f>IF(ISBLANK(G366),"",IFERROR(VLOOKUP(G366,'CADASTRO DE MATERIAL'!$C$6:$J$500,8,FALSE),""))</f>
        <v/>
      </c>
      <c r="J366" s="59" t="str">
        <f t="shared" si="25"/>
        <v/>
      </c>
      <c r="K366" s="30"/>
      <c r="L366" s="51">
        <f t="shared" si="26"/>
        <v>0</v>
      </c>
      <c r="M366" s="59">
        <f t="shared" si="27"/>
        <v>0</v>
      </c>
      <c r="N366" s="65"/>
      <c r="O366" s="59">
        <f t="shared" si="28"/>
        <v>0</v>
      </c>
      <c r="P366" s="59" t="str">
        <f t="shared" si="29"/>
        <v/>
      </c>
    </row>
    <row r="367" spans="2:16" ht="16.8" hidden="1" customHeight="1" x14ac:dyDescent="0.4">
      <c r="B367" s="36" t="str">
        <f>IF(AND(ISBLANK(D367), ISBLANK(E367), ISBLANK(G367)), "", IF(AND(E367&lt;&gt;"", E367=E366, D367&lt;&gt;"", D367=D366), B366, "PED-" &amp; TEXT(IFERROR(VALUE(RIGHT(LOOKUP("PED-9999",$B$5:B366),4)),1000)+1, "0000")))</f>
        <v/>
      </c>
      <c r="C367" s="36" t="s">
        <v>400</v>
      </c>
      <c r="D367" s="41"/>
      <c r="E367" s="36"/>
      <c r="F367" s="36" t="str">
        <f>IF(ISBLANK(E367),"",IFERROR(VLOOKUP(E367,'CADASTRO DE CLIENTES'!$C$6:$E$500,3,FALSE),""))</f>
        <v/>
      </c>
      <c r="G367" s="36"/>
      <c r="H367" s="36"/>
      <c r="I367" s="49" t="str">
        <f>IF(ISBLANK(G367),"",IFERROR(VLOOKUP(G367,'CADASTRO DE MATERIAL'!$C$6:$J$500,8,FALSE),""))</f>
        <v/>
      </c>
      <c r="J367" s="54" t="str">
        <f t="shared" si="25"/>
        <v/>
      </c>
      <c r="K367" s="36"/>
      <c r="L367" s="49">
        <f t="shared" si="26"/>
        <v>0</v>
      </c>
      <c r="M367" s="54">
        <f t="shared" si="27"/>
        <v>0</v>
      </c>
      <c r="N367" s="66"/>
      <c r="O367" s="54">
        <f t="shared" si="28"/>
        <v>0</v>
      </c>
      <c r="P367" s="54" t="str">
        <f t="shared" si="29"/>
        <v/>
      </c>
    </row>
    <row r="368" spans="2:16" ht="16.8" hidden="1" customHeight="1" x14ac:dyDescent="0.4">
      <c r="B368" s="30" t="str">
        <f>IF(AND(ISBLANK(D368), ISBLANK(E368), ISBLANK(G368)), "", IF(AND(E368&lt;&gt;"", E368=E367, D368&lt;&gt;"", D368=D367), B367, "PED-" &amp; TEXT(IFERROR(VALUE(RIGHT(LOOKUP("PED-9999",$B$5:B367),4)),1000)+1, "0000")))</f>
        <v/>
      </c>
      <c r="C368" s="30" t="s">
        <v>401</v>
      </c>
      <c r="D368" s="42"/>
      <c r="E368" s="30"/>
      <c r="F368" s="30" t="str">
        <f>IF(ISBLANK(E368),"",IFERROR(VLOOKUP(E368,'CADASTRO DE CLIENTES'!$C$6:$E$500,3,FALSE),""))</f>
        <v/>
      </c>
      <c r="G368" s="30"/>
      <c r="H368" s="30"/>
      <c r="I368" s="51" t="str">
        <f>IF(ISBLANK(G368),"",IFERROR(VLOOKUP(G368,'CADASTRO DE MATERIAL'!$C$6:$J$500,8,FALSE),""))</f>
        <v/>
      </c>
      <c r="J368" s="59" t="str">
        <f t="shared" si="25"/>
        <v/>
      </c>
      <c r="K368" s="30"/>
      <c r="L368" s="51">
        <f t="shared" si="26"/>
        <v>0</v>
      </c>
      <c r="M368" s="59">
        <f t="shared" si="27"/>
        <v>0</v>
      </c>
      <c r="N368" s="65"/>
      <c r="O368" s="59">
        <f t="shared" si="28"/>
        <v>0</v>
      </c>
      <c r="P368" s="59" t="str">
        <f t="shared" si="29"/>
        <v/>
      </c>
    </row>
    <row r="369" spans="2:16" ht="16.8" hidden="1" customHeight="1" x14ac:dyDescent="0.4">
      <c r="B369" s="36" t="str">
        <f>IF(AND(ISBLANK(D369), ISBLANK(E369), ISBLANK(G369)), "", IF(AND(E369&lt;&gt;"", E369=E368, D369&lt;&gt;"", D369=D368), B368, "PED-" &amp; TEXT(IFERROR(VALUE(RIGHT(LOOKUP("PED-9999",$B$5:B368),4)),1000)+1, "0000")))</f>
        <v/>
      </c>
      <c r="C369" s="36" t="s">
        <v>402</v>
      </c>
      <c r="D369" s="41"/>
      <c r="E369" s="36"/>
      <c r="F369" s="36" t="str">
        <f>IF(ISBLANK(E369),"",IFERROR(VLOOKUP(E369,'CADASTRO DE CLIENTES'!$C$6:$E$500,3,FALSE),""))</f>
        <v/>
      </c>
      <c r="G369" s="36"/>
      <c r="H369" s="36"/>
      <c r="I369" s="49" t="str">
        <f>IF(ISBLANK(G369),"",IFERROR(VLOOKUP(G369,'CADASTRO DE MATERIAL'!$C$6:$J$500,8,FALSE),""))</f>
        <v/>
      </c>
      <c r="J369" s="54" t="str">
        <f t="shared" si="25"/>
        <v/>
      </c>
      <c r="K369" s="36"/>
      <c r="L369" s="49">
        <f t="shared" si="26"/>
        <v>0</v>
      </c>
      <c r="M369" s="54">
        <f t="shared" si="27"/>
        <v>0</v>
      </c>
      <c r="N369" s="66"/>
      <c r="O369" s="54">
        <f t="shared" si="28"/>
        <v>0</v>
      </c>
      <c r="P369" s="54" t="str">
        <f t="shared" si="29"/>
        <v/>
      </c>
    </row>
    <row r="370" spans="2:16" ht="16.8" hidden="1" customHeight="1" x14ac:dyDescent="0.4">
      <c r="B370" s="30" t="str">
        <f>IF(AND(ISBLANK(D370), ISBLANK(E370), ISBLANK(G370)), "", IF(AND(E370&lt;&gt;"", E370=E369, D370&lt;&gt;"", D370=D369), B369, "PED-" &amp; TEXT(IFERROR(VALUE(RIGHT(LOOKUP("PED-9999",$B$5:B369),4)),1000)+1, "0000")))</f>
        <v/>
      </c>
      <c r="C370" s="30" t="s">
        <v>403</v>
      </c>
      <c r="D370" s="42"/>
      <c r="E370" s="30"/>
      <c r="F370" s="30" t="str">
        <f>IF(ISBLANK(E370),"",IFERROR(VLOOKUP(E370,'CADASTRO DE CLIENTES'!$C$6:$E$500,3,FALSE),""))</f>
        <v/>
      </c>
      <c r="G370" s="30"/>
      <c r="H370" s="30"/>
      <c r="I370" s="51" t="str">
        <f>IF(ISBLANK(G370),"",IFERROR(VLOOKUP(G370,'CADASTRO DE MATERIAL'!$C$6:$J$500,8,FALSE),""))</f>
        <v/>
      </c>
      <c r="J370" s="59" t="str">
        <f t="shared" si="25"/>
        <v/>
      </c>
      <c r="K370" s="30"/>
      <c r="L370" s="51">
        <f t="shared" si="26"/>
        <v>0</v>
      </c>
      <c r="M370" s="59">
        <f t="shared" si="27"/>
        <v>0</v>
      </c>
      <c r="N370" s="65"/>
      <c r="O370" s="59">
        <f t="shared" si="28"/>
        <v>0</v>
      </c>
      <c r="P370" s="59" t="str">
        <f t="shared" si="29"/>
        <v/>
      </c>
    </row>
    <row r="371" spans="2:16" ht="16.8" hidden="1" customHeight="1" x14ac:dyDescent="0.4">
      <c r="B371" s="36" t="str">
        <f>IF(AND(ISBLANK(D371), ISBLANK(E371), ISBLANK(G371)), "", IF(AND(E371&lt;&gt;"", E371=E370, D371&lt;&gt;"", D371=D370), B370, "PED-" &amp; TEXT(IFERROR(VALUE(RIGHT(LOOKUP("PED-9999",$B$5:B370),4)),1000)+1, "0000")))</f>
        <v/>
      </c>
      <c r="C371" s="36" t="s">
        <v>404</v>
      </c>
      <c r="D371" s="41"/>
      <c r="E371" s="36"/>
      <c r="F371" s="36" t="str">
        <f>IF(ISBLANK(E371),"",IFERROR(VLOOKUP(E371,'CADASTRO DE CLIENTES'!$C$6:$E$500,3,FALSE),""))</f>
        <v/>
      </c>
      <c r="G371" s="36"/>
      <c r="H371" s="36"/>
      <c r="I371" s="49" t="str">
        <f>IF(ISBLANK(G371),"",IFERROR(VLOOKUP(G371,'CADASTRO DE MATERIAL'!$C$6:$J$500,8,FALSE),""))</f>
        <v/>
      </c>
      <c r="J371" s="54" t="str">
        <f t="shared" si="25"/>
        <v/>
      </c>
      <c r="K371" s="36"/>
      <c r="L371" s="49">
        <f t="shared" si="26"/>
        <v>0</v>
      </c>
      <c r="M371" s="54">
        <f t="shared" si="27"/>
        <v>0</v>
      </c>
      <c r="N371" s="66"/>
      <c r="O371" s="54">
        <f t="shared" si="28"/>
        <v>0</v>
      </c>
      <c r="P371" s="54" t="str">
        <f t="shared" si="29"/>
        <v/>
      </c>
    </row>
    <row r="372" spans="2:16" ht="16.8" hidden="1" customHeight="1" x14ac:dyDescent="0.4">
      <c r="B372" s="30" t="str">
        <f>IF(AND(ISBLANK(D372), ISBLANK(E372), ISBLANK(G372)), "", IF(AND(E372&lt;&gt;"", E372=E371, D372&lt;&gt;"", D372=D371), B371, "PED-" &amp; TEXT(IFERROR(VALUE(RIGHT(LOOKUP("PED-9999",$B$5:B371),4)),1000)+1, "0000")))</f>
        <v/>
      </c>
      <c r="C372" s="30" t="s">
        <v>405</v>
      </c>
      <c r="D372" s="42"/>
      <c r="E372" s="30"/>
      <c r="F372" s="30" t="str">
        <f>IF(ISBLANK(E372),"",IFERROR(VLOOKUP(E372,'CADASTRO DE CLIENTES'!$C$6:$E$500,3,FALSE),""))</f>
        <v/>
      </c>
      <c r="G372" s="30"/>
      <c r="H372" s="30"/>
      <c r="I372" s="51" t="str">
        <f>IF(ISBLANK(G372),"",IFERROR(VLOOKUP(G372,'CADASTRO DE MATERIAL'!$C$6:$J$500,8,FALSE),""))</f>
        <v/>
      </c>
      <c r="J372" s="59" t="str">
        <f t="shared" si="25"/>
        <v/>
      </c>
      <c r="K372" s="30"/>
      <c r="L372" s="51">
        <f t="shared" si="26"/>
        <v>0</v>
      </c>
      <c r="M372" s="59">
        <f t="shared" si="27"/>
        <v>0</v>
      </c>
      <c r="N372" s="65"/>
      <c r="O372" s="59">
        <f t="shared" si="28"/>
        <v>0</v>
      </c>
      <c r="P372" s="59" t="str">
        <f t="shared" si="29"/>
        <v/>
      </c>
    </row>
    <row r="373" spans="2:16" ht="16.8" hidden="1" customHeight="1" x14ac:dyDescent="0.4">
      <c r="B373" s="36" t="str">
        <f>IF(AND(ISBLANK(D373), ISBLANK(E373), ISBLANK(G373)), "", IF(AND(E373&lt;&gt;"", E373=E372, D373&lt;&gt;"", D373=D372), B372, "PED-" &amp; TEXT(IFERROR(VALUE(RIGHT(LOOKUP("PED-9999",$B$5:B372),4)),1000)+1, "0000")))</f>
        <v/>
      </c>
      <c r="C373" s="36" t="s">
        <v>406</v>
      </c>
      <c r="D373" s="41"/>
      <c r="E373" s="36"/>
      <c r="F373" s="36" t="str">
        <f>IF(ISBLANK(E373),"",IFERROR(VLOOKUP(E373,'CADASTRO DE CLIENTES'!$C$6:$E$500,3,FALSE),""))</f>
        <v/>
      </c>
      <c r="G373" s="36"/>
      <c r="H373" s="36"/>
      <c r="I373" s="49" t="str">
        <f>IF(ISBLANK(G373),"",IFERROR(VLOOKUP(G373,'CADASTRO DE MATERIAL'!$C$6:$J$500,8,FALSE),""))</f>
        <v/>
      </c>
      <c r="J373" s="54" t="str">
        <f t="shared" si="25"/>
        <v/>
      </c>
      <c r="K373" s="36"/>
      <c r="L373" s="49">
        <f t="shared" si="26"/>
        <v>0</v>
      </c>
      <c r="M373" s="54">
        <f t="shared" si="27"/>
        <v>0</v>
      </c>
      <c r="N373" s="66"/>
      <c r="O373" s="54">
        <f t="shared" si="28"/>
        <v>0</v>
      </c>
      <c r="P373" s="54" t="str">
        <f t="shared" si="29"/>
        <v/>
      </c>
    </row>
    <row r="374" spans="2:16" ht="16.8" hidden="1" customHeight="1" x14ac:dyDescent="0.4">
      <c r="B374" s="30" t="str">
        <f>IF(AND(ISBLANK(D374), ISBLANK(E374), ISBLANK(G374)), "", IF(AND(E374&lt;&gt;"", E374=E373, D374&lt;&gt;"", D374=D373), B373, "PED-" &amp; TEXT(IFERROR(VALUE(RIGHT(LOOKUP("PED-9999",$B$5:B373),4)),1000)+1, "0000")))</f>
        <v/>
      </c>
      <c r="C374" s="30" t="s">
        <v>407</v>
      </c>
      <c r="D374" s="42"/>
      <c r="E374" s="30"/>
      <c r="F374" s="30" t="str">
        <f>IF(ISBLANK(E374),"",IFERROR(VLOOKUP(E374,'CADASTRO DE CLIENTES'!$C$6:$E$500,3,FALSE),""))</f>
        <v/>
      </c>
      <c r="G374" s="30"/>
      <c r="H374" s="30"/>
      <c r="I374" s="51" t="str">
        <f>IF(ISBLANK(G374),"",IFERROR(VLOOKUP(G374,'CADASTRO DE MATERIAL'!$C$6:$J$500,8,FALSE),""))</f>
        <v/>
      </c>
      <c r="J374" s="59" t="str">
        <f t="shared" si="25"/>
        <v/>
      </c>
      <c r="K374" s="30"/>
      <c r="L374" s="51">
        <f t="shared" si="26"/>
        <v>0</v>
      </c>
      <c r="M374" s="59">
        <f t="shared" si="27"/>
        <v>0</v>
      </c>
      <c r="N374" s="65"/>
      <c r="O374" s="59">
        <f t="shared" si="28"/>
        <v>0</v>
      </c>
      <c r="P374" s="59" t="str">
        <f t="shared" si="29"/>
        <v/>
      </c>
    </row>
    <row r="375" spans="2:16" ht="16.8" hidden="1" customHeight="1" x14ac:dyDescent="0.4">
      <c r="B375" s="36" t="str">
        <f>IF(AND(ISBLANK(D375), ISBLANK(E375), ISBLANK(G375)), "", IF(AND(E375&lt;&gt;"", E375=E374, D375&lt;&gt;"", D375=D374), B374, "PED-" &amp; TEXT(IFERROR(VALUE(RIGHT(LOOKUP("PED-9999",$B$5:B374),4)),1000)+1, "0000")))</f>
        <v/>
      </c>
      <c r="C375" s="36" t="s">
        <v>408</v>
      </c>
      <c r="D375" s="41"/>
      <c r="E375" s="36"/>
      <c r="F375" s="36" t="str">
        <f>IF(ISBLANK(E375),"",IFERROR(VLOOKUP(E375,'CADASTRO DE CLIENTES'!$C$6:$E$500,3,FALSE),""))</f>
        <v/>
      </c>
      <c r="G375" s="36"/>
      <c r="H375" s="36"/>
      <c r="I375" s="49" t="str">
        <f>IF(ISBLANK(G375),"",IFERROR(VLOOKUP(G375,'CADASTRO DE MATERIAL'!$C$6:$J$500,8,FALSE),""))</f>
        <v/>
      </c>
      <c r="J375" s="54" t="str">
        <f t="shared" si="25"/>
        <v/>
      </c>
      <c r="K375" s="36"/>
      <c r="L375" s="49">
        <f t="shared" si="26"/>
        <v>0</v>
      </c>
      <c r="M375" s="54">
        <f t="shared" si="27"/>
        <v>0</v>
      </c>
      <c r="N375" s="66"/>
      <c r="O375" s="54">
        <f t="shared" si="28"/>
        <v>0</v>
      </c>
      <c r="P375" s="54" t="str">
        <f t="shared" si="29"/>
        <v/>
      </c>
    </row>
    <row r="376" spans="2:16" ht="16.8" hidden="1" customHeight="1" x14ac:dyDescent="0.4">
      <c r="B376" s="30" t="str">
        <f>IF(AND(ISBLANK(D376), ISBLANK(E376), ISBLANK(G376)), "", IF(AND(E376&lt;&gt;"", E376=E375, D376&lt;&gt;"", D376=D375), B375, "PED-" &amp; TEXT(IFERROR(VALUE(RIGHT(LOOKUP("PED-9999",$B$5:B375),4)),1000)+1, "0000")))</f>
        <v/>
      </c>
      <c r="C376" s="30" t="s">
        <v>409</v>
      </c>
      <c r="D376" s="42"/>
      <c r="E376" s="30"/>
      <c r="F376" s="30" t="str">
        <f>IF(ISBLANK(E376),"",IFERROR(VLOOKUP(E376,'CADASTRO DE CLIENTES'!$C$6:$E$500,3,FALSE),""))</f>
        <v/>
      </c>
      <c r="G376" s="30"/>
      <c r="H376" s="30"/>
      <c r="I376" s="51" t="str">
        <f>IF(ISBLANK(G376),"",IFERROR(VLOOKUP(G376,'CADASTRO DE MATERIAL'!$C$6:$J$500,8,FALSE),""))</f>
        <v/>
      </c>
      <c r="J376" s="59" t="str">
        <f t="shared" si="25"/>
        <v/>
      </c>
      <c r="K376" s="30"/>
      <c r="L376" s="51">
        <f t="shared" si="26"/>
        <v>0</v>
      </c>
      <c r="M376" s="59">
        <f t="shared" si="27"/>
        <v>0</v>
      </c>
      <c r="N376" s="65"/>
      <c r="O376" s="59">
        <f t="shared" si="28"/>
        <v>0</v>
      </c>
      <c r="P376" s="59" t="str">
        <f t="shared" si="29"/>
        <v/>
      </c>
    </row>
    <row r="377" spans="2:16" ht="16.8" hidden="1" customHeight="1" x14ac:dyDescent="0.4">
      <c r="B377" s="36" t="str">
        <f>IF(AND(ISBLANK(D377), ISBLANK(E377), ISBLANK(G377)), "", IF(AND(E377&lt;&gt;"", E377=E376, D377&lt;&gt;"", D377=D376), B376, "PED-" &amp; TEXT(IFERROR(VALUE(RIGHT(LOOKUP("PED-9999",$B$5:B376),4)),1000)+1, "0000")))</f>
        <v/>
      </c>
      <c r="C377" s="36" t="s">
        <v>410</v>
      </c>
      <c r="D377" s="41"/>
      <c r="E377" s="36"/>
      <c r="F377" s="36" t="str">
        <f>IF(ISBLANK(E377),"",IFERROR(VLOOKUP(E377,'CADASTRO DE CLIENTES'!$C$6:$E$500,3,FALSE),""))</f>
        <v/>
      </c>
      <c r="G377" s="36"/>
      <c r="H377" s="36"/>
      <c r="I377" s="49" t="str">
        <f>IF(ISBLANK(G377),"",IFERROR(VLOOKUP(G377,'CADASTRO DE MATERIAL'!$C$6:$J$500,8,FALSE),""))</f>
        <v/>
      </c>
      <c r="J377" s="54" t="str">
        <f t="shared" si="25"/>
        <v/>
      </c>
      <c r="K377" s="36"/>
      <c r="L377" s="49">
        <f t="shared" si="26"/>
        <v>0</v>
      </c>
      <c r="M377" s="54">
        <f t="shared" si="27"/>
        <v>0</v>
      </c>
      <c r="N377" s="66"/>
      <c r="O377" s="54">
        <f t="shared" si="28"/>
        <v>0</v>
      </c>
      <c r="P377" s="54" t="str">
        <f t="shared" si="29"/>
        <v/>
      </c>
    </row>
    <row r="378" spans="2:16" ht="16.8" hidden="1" customHeight="1" x14ac:dyDescent="0.4">
      <c r="B378" s="30" t="str">
        <f>IF(AND(ISBLANK(D378), ISBLANK(E378), ISBLANK(G378)), "", IF(AND(E378&lt;&gt;"", E378=E377, D378&lt;&gt;"", D378=D377), B377, "PED-" &amp; TEXT(IFERROR(VALUE(RIGHT(LOOKUP("PED-9999",$B$5:B377),4)),1000)+1, "0000")))</f>
        <v/>
      </c>
      <c r="C378" s="30" t="s">
        <v>411</v>
      </c>
      <c r="D378" s="42"/>
      <c r="E378" s="30"/>
      <c r="F378" s="30" t="str">
        <f>IF(ISBLANK(E378),"",IFERROR(VLOOKUP(E378,'CADASTRO DE CLIENTES'!$C$6:$E$500,3,FALSE),""))</f>
        <v/>
      </c>
      <c r="G378" s="30"/>
      <c r="H378" s="30"/>
      <c r="I378" s="51" t="str">
        <f>IF(ISBLANK(G378),"",IFERROR(VLOOKUP(G378,'CADASTRO DE MATERIAL'!$C$6:$J$500,8,FALSE),""))</f>
        <v/>
      </c>
      <c r="J378" s="59" t="str">
        <f t="shared" si="25"/>
        <v/>
      </c>
      <c r="K378" s="30"/>
      <c r="L378" s="51">
        <f t="shared" si="26"/>
        <v>0</v>
      </c>
      <c r="M378" s="59">
        <f t="shared" si="27"/>
        <v>0</v>
      </c>
      <c r="N378" s="65"/>
      <c r="O378" s="59">
        <f t="shared" si="28"/>
        <v>0</v>
      </c>
      <c r="P378" s="59" t="str">
        <f t="shared" si="29"/>
        <v/>
      </c>
    </row>
    <row r="379" spans="2:16" ht="16.8" hidden="1" customHeight="1" x14ac:dyDescent="0.4">
      <c r="B379" s="36" t="str">
        <f>IF(AND(ISBLANK(D379), ISBLANK(E379), ISBLANK(G379)), "", IF(AND(E379&lt;&gt;"", E379=E378, D379&lt;&gt;"", D379=D378), B378, "PED-" &amp; TEXT(IFERROR(VALUE(RIGHT(LOOKUP("PED-9999",$B$5:B378),4)),1000)+1, "0000")))</f>
        <v/>
      </c>
      <c r="C379" s="36" t="s">
        <v>412</v>
      </c>
      <c r="D379" s="41"/>
      <c r="E379" s="36"/>
      <c r="F379" s="36" t="str">
        <f>IF(ISBLANK(E379),"",IFERROR(VLOOKUP(E379,'CADASTRO DE CLIENTES'!$C$6:$E$500,3,FALSE),""))</f>
        <v/>
      </c>
      <c r="G379" s="36"/>
      <c r="H379" s="36"/>
      <c r="I379" s="49" t="str">
        <f>IF(ISBLANK(G379),"",IFERROR(VLOOKUP(G379,'CADASTRO DE MATERIAL'!$C$6:$J$500,8,FALSE),""))</f>
        <v/>
      </c>
      <c r="J379" s="54" t="str">
        <f t="shared" si="25"/>
        <v/>
      </c>
      <c r="K379" s="36"/>
      <c r="L379" s="49">
        <f t="shared" si="26"/>
        <v>0</v>
      </c>
      <c r="M379" s="54">
        <f t="shared" si="27"/>
        <v>0</v>
      </c>
      <c r="N379" s="66"/>
      <c r="O379" s="54">
        <f t="shared" si="28"/>
        <v>0</v>
      </c>
      <c r="P379" s="54" t="str">
        <f t="shared" si="29"/>
        <v/>
      </c>
    </row>
    <row r="380" spans="2:16" ht="16.8" hidden="1" customHeight="1" x14ac:dyDescent="0.4">
      <c r="B380" s="30" t="str">
        <f>IF(AND(ISBLANK(D380), ISBLANK(E380), ISBLANK(G380)), "", IF(AND(E380&lt;&gt;"", E380=E379, D380&lt;&gt;"", D380=D379), B379, "PED-" &amp; TEXT(IFERROR(VALUE(RIGHT(LOOKUP("PED-9999",$B$5:B379),4)),1000)+1, "0000")))</f>
        <v/>
      </c>
      <c r="C380" s="30" t="s">
        <v>413</v>
      </c>
      <c r="D380" s="42"/>
      <c r="E380" s="30"/>
      <c r="F380" s="30" t="str">
        <f>IF(ISBLANK(E380),"",IFERROR(VLOOKUP(E380,'CADASTRO DE CLIENTES'!$C$6:$E$500,3,FALSE),""))</f>
        <v/>
      </c>
      <c r="G380" s="30"/>
      <c r="H380" s="30"/>
      <c r="I380" s="51" t="str">
        <f>IF(ISBLANK(G380),"",IFERROR(VLOOKUP(G380,'CADASTRO DE MATERIAL'!$C$6:$J$500,8,FALSE),""))</f>
        <v/>
      </c>
      <c r="J380" s="59" t="str">
        <f t="shared" si="25"/>
        <v/>
      </c>
      <c r="K380" s="30"/>
      <c r="L380" s="51">
        <f t="shared" si="26"/>
        <v>0</v>
      </c>
      <c r="M380" s="59">
        <f t="shared" si="27"/>
        <v>0</v>
      </c>
      <c r="N380" s="65"/>
      <c r="O380" s="59">
        <f t="shared" si="28"/>
        <v>0</v>
      </c>
      <c r="P380" s="59" t="str">
        <f t="shared" si="29"/>
        <v/>
      </c>
    </row>
    <row r="381" spans="2:16" ht="16.8" hidden="1" customHeight="1" x14ac:dyDescent="0.4">
      <c r="B381" s="36" t="str">
        <f>IF(AND(ISBLANK(D381), ISBLANK(E381), ISBLANK(G381)), "", IF(AND(E381&lt;&gt;"", E381=E380, D381&lt;&gt;"", D381=D380), B380, "PED-" &amp; TEXT(IFERROR(VALUE(RIGHT(LOOKUP("PED-9999",$B$5:B380),4)),1000)+1, "0000")))</f>
        <v/>
      </c>
      <c r="C381" s="36" t="s">
        <v>414</v>
      </c>
      <c r="D381" s="41"/>
      <c r="E381" s="36"/>
      <c r="F381" s="36" t="str">
        <f>IF(ISBLANK(E381),"",IFERROR(VLOOKUP(E381,'CADASTRO DE CLIENTES'!$C$6:$E$500,3,FALSE),""))</f>
        <v/>
      </c>
      <c r="G381" s="36"/>
      <c r="H381" s="36"/>
      <c r="I381" s="49" t="str">
        <f>IF(ISBLANK(G381),"",IFERROR(VLOOKUP(G381,'CADASTRO DE MATERIAL'!$C$6:$J$500,8,FALSE),""))</f>
        <v/>
      </c>
      <c r="J381" s="54" t="str">
        <f t="shared" si="25"/>
        <v/>
      </c>
      <c r="K381" s="36"/>
      <c r="L381" s="49">
        <f t="shared" si="26"/>
        <v>0</v>
      </c>
      <c r="M381" s="54">
        <f t="shared" si="27"/>
        <v>0</v>
      </c>
      <c r="N381" s="66"/>
      <c r="O381" s="54">
        <f t="shared" si="28"/>
        <v>0</v>
      </c>
      <c r="P381" s="54" t="str">
        <f t="shared" si="29"/>
        <v/>
      </c>
    </row>
    <row r="382" spans="2:16" ht="16.8" hidden="1" customHeight="1" x14ac:dyDescent="0.4">
      <c r="B382" s="30" t="str">
        <f>IF(AND(ISBLANK(D382), ISBLANK(E382), ISBLANK(G382)), "", IF(AND(E382&lt;&gt;"", E382=E381, D382&lt;&gt;"", D382=D381), B381, "PED-" &amp; TEXT(IFERROR(VALUE(RIGHT(LOOKUP("PED-9999",$B$5:B381),4)),1000)+1, "0000")))</f>
        <v/>
      </c>
      <c r="C382" s="30" t="s">
        <v>415</v>
      </c>
      <c r="D382" s="42"/>
      <c r="E382" s="30"/>
      <c r="F382" s="30" t="str">
        <f>IF(ISBLANK(E382),"",IFERROR(VLOOKUP(E382,'CADASTRO DE CLIENTES'!$C$6:$E$500,3,FALSE),""))</f>
        <v/>
      </c>
      <c r="G382" s="30"/>
      <c r="H382" s="30"/>
      <c r="I382" s="51" t="str">
        <f>IF(ISBLANK(G382),"",IFERROR(VLOOKUP(G382,'CADASTRO DE MATERIAL'!$C$6:$J$500,8,FALSE),""))</f>
        <v/>
      </c>
      <c r="J382" s="59" t="str">
        <f t="shared" si="25"/>
        <v/>
      </c>
      <c r="K382" s="30"/>
      <c r="L382" s="51">
        <f t="shared" si="26"/>
        <v>0</v>
      </c>
      <c r="M382" s="59">
        <f t="shared" si="27"/>
        <v>0</v>
      </c>
      <c r="N382" s="65"/>
      <c r="O382" s="59">
        <f t="shared" si="28"/>
        <v>0</v>
      </c>
      <c r="P382" s="59" t="str">
        <f t="shared" si="29"/>
        <v/>
      </c>
    </row>
    <row r="383" spans="2:16" ht="16.8" hidden="1" customHeight="1" x14ac:dyDescent="0.4">
      <c r="B383" s="36" t="str">
        <f>IF(AND(ISBLANK(D383), ISBLANK(E383), ISBLANK(G383)), "", IF(AND(E383&lt;&gt;"", E383=E382, D383&lt;&gt;"", D383=D382), B382, "PED-" &amp; TEXT(IFERROR(VALUE(RIGHT(LOOKUP("PED-9999",$B$5:B382),4)),1000)+1, "0000")))</f>
        <v/>
      </c>
      <c r="C383" s="36" t="s">
        <v>416</v>
      </c>
      <c r="D383" s="41"/>
      <c r="E383" s="36"/>
      <c r="F383" s="36" t="str">
        <f>IF(ISBLANK(E383),"",IFERROR(VLOOKUP(E383,'CADASTRO DE CLIENTES'!$C$6:$E$500,3,FALSE),""))</f>
        <v/>
      </c>
      <c r="G383" s="36"/>
      <c r="H383" s="36"/>
      <c r="I383" s="49" t="str">
        <f>IF(ISBLANK(G383),"",IFERROR(VLOOKUP(G383,'CADASTRO DE MATERIAL'!$C$6:$J$500,8,FALSE),""))</f>
        <v/>
      </c>
      <c r="J383" s="54" t="str">
        <f t="shared" si="25"/>
        <v/>
      </c>
      <c r="K383" s="36"/>
      <c r="L383" s="49">
        <f t="shared" si="26"/>
        <v>0</v>
      </c>
      <c r="M383" s="54">
        <f t="shared" si="27"/>
        <v>0</v>
      </c>
      <c r="N383" s="66"/>
      <c r="O383" s="54">
        <f t="shared" si="28"/>
        <v>0</v>
      </c>
      <c r="P383" s="54" t="str">
        <f t="shared" si="29"/>
        <v/>
      </c>
    </row>
    <row r="384" spans="2:16" ht="16.8" hidden="1" customHeight="1" x14ac:dyDescent="0.4">
      <c r="B384" s="30" t="str">
        <f>IF(AND(ISBLANK(D384), ISBLANK(E384), ISBLANK(G384)), "", IF(AND(E384&lt;&gt;"", E384=E383, D384&lt;&gt;"", D384=D383), B383, "PED-" &amp; TEXT(IFERROR(VALUE(RIGHT(LOOKUP("PED-9999",$B$5:B383),4)),1000)+1, "0000")))</f>
        <v/>
      </c>
      <c r="C384" s="30" t="s">
        <v>417</v>
      </c>
      <c r="D384" s="42"/>
      <c r="E384" s="30"/>
      <c r="F384" s="30" t="str">
        <f>IF(ISBLANK(E384),"",IFERROR(VLOOKUP(E384,'CADASTRO DE CLIENTES'!$C$6:$E$500,3,FALSE),""))</f>
        <v/>
      </c>
      <c r="G384" s="30"/>
      <c r="H384" s="30"/>
      <c r="I384" s="51" t="str">
        <f>IF(ISBLANK(G384),"",IFERROR(VLOOKUP(G384,'CADASTRO DE MATERIAL'!$C$6:$J$500,8,FALSE),""))</f>
        <v/>
      </c>
      <c r="J384" s="59" t="str">
        <f t="shared" si="25"/>
        <v/>
      </c>
      <c r="K384" s="30"/>
      <c r="L384" s="51">
        <f t="shared" si="26"/>
        <v>0</v>
      </c>
      <c r="M384" s="59">
        <f t="shared" si="27"/>
        <v>0</v>
      </c>
      <c r="N384" s="65"/>
      <c r="O384" s="59">
        <f t="shared" si="28"/>
        <v>0</v>
      </c>
      <c r="P384" s="59" t="str">
        <f t="shared" si="29"/>
        <v/>
      </c>
    </row>
    <row r="385" spans="2:16" ht="16.8" hidden="1" customHeight="1" x14ac:dyDescent="0.4">
      <c r="B385" s="36" t="str">
        <f>IF(AND(ISBLANK(D385), ISBLANK(E385), ISBLANK(G385)), "", IF(AND(E385&lt;&gt;"", E385=E384, D385&lt;&gt;"", D385=D384), B384, "PED-" &amp; TEXT(IFERROR(VALUE(RIGHT(LOOKUP("PED-9999",$B$5:B384),4)),1000)+1, "0000")))</f>
        <v/>
      </c>
      <c r="C385" s="36" t="s">
        <v>418</v>
      </c>
      <c r="D385" s="41"/>
      <c r="E385" s="36"/>
      <c r="F385" s="36" t="str">
        <f>IF(ISBLANK(E385),"",IFERROR(VLOOKUP(E385,'CADASTRO DE CLIENTES'!$C$6:$E$500,3,FALSE),""))</f>
        <v/>
      </c>
      <c r="G385" s="36"/>
      <c r="H385" s="36"/>
      <c r="I385" s="49" t="str">
        <f>IF(ISBLANK(G385),"",IFERROR(VLOOKUP(G385,'CADASTRO DE MATERIAL'!$C$6:$J$500,8,FALSE),""))</f>
        <v/>
      </c>
      <c r="J385" s="54" t="str">
        <f t="shared" si="25"/>
        <v/>
      </c>
      <c r="K385" s="36"/>
      <c r="L385" s="49">
        <f t="shared" si="26"/>
        <v>0</v>
      </c>
      <c r="M385" s="54">
        <f t="shared" si="27"/>
        <v>0</v>
      </c>
      <c r="N385" s="66"/>
      <c r="O385" s="54">
        <f t="shared" si="28"/>
        <v>0</v>
      </c>
      <c r="P385" s="54" t="str">
        <f t="shared" si="29"/>
        <v/>
      </c>
    </row>
    <row r="386" spans="2:16" ht="16.8" hidden="1" customHeight="1" x14ac:dyDescent="0.4">
      <c r="B386" s="30" t="str">
        <f>IF(AND(ISBLANK(D386), ISBLANK(E386), ISBLANK(G386)), "", IF(AND(E386&lt;&gt;"", E386=E385, D386&lt;&gt;"", D386=D385), B385, "PED-" &amp; TEXT(IFERROR(VALUE(RIGHT(LOOKUP("PED-9999",$B$5:B385),4)),1000)+1, "0000")))</f>
        <v/>
      </c>
      <c r="C386" s="30" t="s">
        <v>419</v>
      </c>
      <c r="D386" s="42"/>
      <c r="E386" s="30"/>
      <c r="F386" s="30" t="str">
        <f>IF(ISBLANK(E386),"",IFERROR(VLOOKUP(E386,'CADASTRO DE CLIENTES'!$C$6:$E$500,3,FALSE),""))</f>
        <v/>
      </c>
      <c r="G386" s="30"/>
      <c r="H386" s="30"/>
      <c r="I386" s="51" t="str">
        <f>IF(ISBLANK(G386),"",IFERROR(VLOOKUP(G386,'CADASTRO DE MATERIAL'!$C$6:$J$500,8,FALSE),""))</f>
        <v/>
      </c>
      <c r="J386" s="59" t="str">
        <f t="shared" si="25"/>
        <v/>
      </c>
      <c r="K386" s="30"/>
      <c r="L386" s="51">
        <f t="shared" si="26"/>
        <v>0</v>
      </c>
      <c r="M386" s="59">
        <f t="shared" si="27"/>
        <v>0</v>
      </c>
      <c r="N386" s="65"/>
      <c r="O386" s="59">
        <f t="shared" si="28"/>
        <v>0</v>
      </c>
      <c r="P386" s="59" t="str">
        <f t="shared" si="29"/>
        <v/>
      </c>
    </row>
    <row r="387" spans="2:16" ht="16.8" hidden="1" customHeight="1" x14ac:dyDescent="0.4">
      <c r="B387" s="36" t="str">
        <f>IF(AND(ISBLANK(D387), ISBLANK(E387), ISBLANK(G387)), "", IF(AND(E387&lt;&gt;"", E387=E386, D387&lt;&gt;"", D387=D386), B386, "PED-" &amp; TEXT(IFERROR(VALUE(RIGHT(LOOKUP("PED-9999",$B$5:B386),4)),1000)+1, "0000")))</f>
        <v/>
      </c>
      <c r="C387" s="36" t="s">
        <v>420</v>
      </c>
      <c r="D387" s="41"/>
      <c r="E387" s="36"/>
      <c r="F387" s="36" t="str">
        <f>IF(ISBLANK(E387),"",IFERROR(VLOOKUP(E387,'CADASTRO DE CLIENTES'!$C$6:$E$500,3,FALSE),""))</f>
        <v/>
      </c>
      <c r="G387" s="36"/>
      <c r="H387" s="36"/>
      <c r="I387" s="49" t="str">
        <f>IF(ISBLANK(G387),"",IFERROR(VLOOKUP(G387,'CADASTRO DE MATERIAL'!$C$6:$J$500,8,FALSE),""))</f>
        <v/>
      </c>
      <c r="J387" s="54" t="str">
        <f t="shared" si="25"/>
        <v/>
      </c>
      <c r="K387" s="36"/>
      <c r="L387" s="49">
        <f t="shared" si="26"/>
        <v>0</v>
      </c>
      <c r="M387" s="54">
        <f t="shared" si="27"/>
        <v>0</v>
      </c>
      <c r="N387" s="66"/>
      <c r="O387" s="54">
        <f t="shared" si="28"/>
        <v>0</v>
      </c>
      <c r="P387" s="54" t="str">
        <f t="shared" si="29"/>
        <v/>
      </c>
    </row>
    <row r="388" spans="2:16" ht="16.8" hidden="1" customHeight="1" x14ac:dyDescent="0.4">
      <c r="B388" s="30" t="str">
        <f>IF(AND(ISBLANK(D388), ISBLANK(E388), ISBLANK(G388)), "", IF(AND(E388&lt;&gt;"", E388=E387, D388&lt;&gt;"", D388=D387), B387, "PED-" &amp; TEXT(IFERROR(VALUE(RIGHT(LOOKUP("PED-9999",$B$5:B387),4)),1000)+1, "0000")))</f>
        <v/>
      </c>
      <c r="C388" s="30" t="s">
        <v>421</v>
      </c>
      <c r="D388" s="42"/>
      <c r="E388" s="30"/>
      <c r="F388" s="30" t="str">
        <f>IF(ISBLANK(E388),"",IFERROR(VLOOKUP(E388,'CADASTRO DE CLIENTES'!$C$6:$E$500,3,FALSE),""))</f>
        <v/>
      </c>
      <c r="G388" s="30"/>
      <c r="H388" s="30"/>
      <c r="I388" s="51" t="str">
        <f>IF(ISBLANK(G388),"",IFERROR(VLOOKUP(G388,'CADASTRO DE MATERIAL'!$C$6:$J$500,8,FALSE),""))</f>
        <v/>
      </c>
      <c r="J388" s="59" t="str">
        <f t="shared" si="25"/>
        <v/>
      </c>
      <c r="K388" s="30"/>
      <c r="L388" s="51">
        <f t="shared" si="26"/>
        <v>0</v>
      </c>
      <c r="M388" s="59">
        <f t="shared" si="27"/>
        <v>0</v>
      </c>
      <c r="N388" s="65"/>
      <c r="O388" s="59">
        <f t="shared" si="28"/>
        <v>0</v>
      </c>
      <c r="P388" s="59" t="str">
        <f t="shared" si="29"/>
        <v/>
      </c>
    </row>
    <row r="389" spans="2:16" ht="16.8" hidden="1" customHeight="1" x14ac:dyDescent="0.4">
      <c r="B389" s="36" t="str">
        <f>IF(AND(ISBLANK(D389), ISBLANK(E389), ISBLANK(G389)), "", IF(AND(E389&lt;&gt;"", E389=E388, D389&lt;&gt;"", D389=D388), B388, "PED-" &amp; TEXT(IFERROR(VALUE(RIGHT(LOOKUP("PED-9999",$B$5:B388),4)),1000)+1, "0000")))</f>
        <v/>
      </c>
      <c r="C389" s="36" t="s">
        <v>422</v>
      </c>
      <c r="D389" s="41"/>
      <c r="E389" s="36"/>
      <c r="F389" s="36" t="str">
        <f>IF(ISBLANK(E389),"",IFERROR(VLOOKUP(E389,'CADASTRO DE CLIENTES'!$C$6:$E$500,3,FALSE),""))</f>
        <v/>
      </c>
      <c r="G389" s="36"/>
      <c r="H389" s="36"/>
      <c r="I389" s="49" t="str">
        <f>IF(ISBLANK(G389),"",IFERROR(VLOOKUP(G389,'CADASTRO DE MATERIAL'!$C$6:$J$500,8,FALSE),""))</f>
        <v/>
      </c>
      <c r="J389" s="54" t="str">
        <f t="shared" si="25"/>
        <v/>
      </c>
      <c r="K389" s="36"/>
      <c r="L389" s="49">
        <f t="shared" si="26"/>
        <v>0</v>
      </c>
      <c r="M389" s="54">
        <f t="shared" si="27"/>
        <v>0</v>
      </c>
      <c r="N389" s="66"/>
      <c r="O389" s="54">
        <f t="shared" si="28"/>
        <v>0</v>
      </c>
      <c r="P389" s="54" t="str">
        <f t="shared" si="29"/>
        <v/>
      </c>
    </row>
    <row r="390" spans="2:16" ht="16.8" hidden="1" customHeight="1" x14ac:dyDescent="0.4">
      <c r="B390" s="30" t="str">
        <f>IF(AND(ISBLANK(D390), ISBLANK(E390), ISBLANK(G390)), "", IF(AND(E390&lt;&gt;"", E390=E389, D390&lt;&gt;"", D390=D389), B389, "PED-" &amp; TEXT(IFERROR(VALUE(RIGHT(LOOKUP("PED-9999",$B$5:B389),4)),1000)+1, "0000")))</f>
        <v/>
      </c>
      <c r="C390" s="30" t="s">
        <v>423</v>
      </c>
      <c r="D390" s="42"/>
      <c r="E390" s="30"/>
      <c r="F390" s="30" t="str">
        <f>IF(ISBLANK(E390),"",IFERROR(VLOOKUP(E390,'CADASTRO DE CLIENTES'!$C$6:$E$500,3,FALSE),""))</f>
        <v/>
      </c>
      <c r="G390" s="30"/>
      <c r="H390" s="30"/>
      <c r="I390" s="51" t="str">
        <f>IF(ISBLANK(G390),"",IFERROR(VLOOKUP(G390,'CADASTRO DE MATERIAL'!$C$6:$J$500,8,FALSE),""))</f>
        <v/>
      </c>
      <c r="J390" s="59" t="str">
        <f t="shared" ref="J390:J453" si="30">IF(OR(ISBLANK(H390),ISBLANK(I390)), "", H390*I390)</f>
        <v/>
      </c>
      <c r="K390" s="30"/>
      <c r="L390" s="51">
        <f t="shared" ref="L390:L453" si="31">IF(ISBLANK(B390), "", IF(K390="À Vista", O390, 0))</f>
        <v>0</v>
      </c>
      <c r="M390" s="59">
        <f t="shared" ref="M390:M453" si="32">IF(ISBLANK(B390),"", O390 - IF(ISBLANK(L390), 0, L390))</f>
        <v>0</v>
      </c>
      <c r="N390" s="65"/>
      <c r="O390" s="59">
        <f t="shared" ref="O390:O453" si="33">IF(ISBLANK(B390),"", SUMIF($B$6:$B$500, B390, $J$6:$J$500))</f>
        <v>0</v>
      </c>
      <c r="P390" s="59" t="str">
        <f t="shared" ref="P390:P453" si="34">IF(OR(ISBLANK(M390),ISBLANK(N390),N390=0), "", M390/N390)</f>
        <v/>
      </c>
    </row>
    <row r="391" spans="2:16" ht="16.8" hidden="1" customHeight="1" x14ac:dyDescent="0.4">
      <c r="B391" s="36" t="str">
        <f>IF(AND(ISBLANK(D391), ISBLANK(E391), ISBLANK(G391)), "", IF(AND(E391&lt;&gt;"", E391=E390, D391&lt;&gt;"", D391=D390), B390, "PED-" &amp; TEXT(IFERROR(VALUE(RIGHT(LOOKUP("PED-9999",$B$5:B390),4)),1000)+1, "0000")))</f>
        <v/>
      </c>
      <c r="C391" s="36" t="s">
        <v>424</v>
      </c>
      <c r="D391" s="41"/>
      <c r="E391" s="36"/>
      <c r="F391" s="36" t="str">
        <f>IF(ISBLANK(E391),"",IFERROR(VLOOKUP(E391,'CADASTRO DE CLIENTES'!$C$6:$E$500,3,FALSE),""))</f>
        <v/>
      </c>
      <c r="G391" s="36"/>
      <c r="H391" s="36"/>
      <c r="I391" s="49" t="str">
        <f>IF(ISBLANK(G391),"",IFERROR(VLOOKUP(G391,'CADASTRO DE MATERIAL'!$C$6:$J$500,8,FALSE),""))</f>
        <v/>
      </c>
      <c r="J391" s="54" t="str">
        <f t="shared" si="30"/>
        <v/>
      </c>
      <c r="K391" s="36"/>
      <c r="L391" s="49">
        <f t="shared" si="31"/>
        <v>0</v>
      </c>
      <c r="M391" s="54">
        <f t="shared" si="32"/>
        <v>0</v>
      </c>
      <c r="N391" s="66"/>
      <c r="O391" s="54">
        <f t="shared" si="33"/>
        <v>0</v>
      </c>
      <c r="P391" s="54" t="str">
        <f t="shared" si="34"/>
        <v/>
      </c>
    </row>
    <row r="392" spans="2:16" ht="16.8" hidden="1" customHeight="1" x14ac:dyDescent="0.4">
      <c r="B392" s="30" t="str">
        <f>IF(AND(ISBLANK(D392), ISBLANK(E392), ISBLANK(G392)), "", IF(AND(E392&lt;&gt;"", E392=E391, D392&lt;&gt;"", D392=D391), B391, "PED-" &amp; TEXT(IFERROR(VALUE(RIGHT(LOOKUP("PED-9999",$B$5:B391),4)),1000)+1, "0000")))</f>
        <v/>
      </c>
      <c r="C392" s="30" t="s">
        <v>425</v>
      </c>
      <c r="D392" s="42"/>
      <c r="E392" s="30"/>
      <c r="F392" s="30" t="str">
        <f>IF(ISBLANK(E392),"",IFERROR(VLOOKUP(E392,'CADASTRO DE CLIENTES'!$C$6:$E$500,3,FALSE),""))</f>
        <v/>
      </c>
      <c r="G392" s="30"/>
      <c r="H392" s="30"/>
      <c r="I392" s="51" t="str">
        <f>IF(ISBLANK(G392),"",IFERROR(VLOOKUP(G392,'CADASTRO DE MATERIAL'!$C$6:$J$500,8,FALSE),""))</f>
        <v/>
      </c>
      <c r="J392" s="59" t="str">
        <f t="shared" si="30"/>
        <v/>
      </c>
      <c r="K392" s="30"/>
      <c r="L392" s="51">
        <f t="shared" si="31"/>
        <v>0</v>
      </c>
      <c r="M392" s="59">
        <f t="shared" si="32"/>
        <v>0</v>
      </c>
      <c r="N392" s="65"/>
      <c r="O392" s="59">
        <f t="shared" si="33"/>
        <v>0</v>
      </c>
      <c r="P392" s="59" t="str">
        <f t="shared" si="34"/>
        <v/>
      </c>
    </row>
    <row r="393" spans="2:16" ht="16.8" hidden="1" customHeight="1" x14ac:dyDescent="0.4">
      <c r="B393" s="36" t="str">
        <f>IF(AND(ISBLANK(D393), ISBLANK(E393), ISBLANK(G393)), "", IF(AND(E393&lt;&gt;"", E393=E392, D393&lt;&gt;"", D393=D392), B392, "PED-" &amp; TEXT(IFERROR(VALUE(RIGHT(LOOKUP("PED-9999",$B$5:B392),4)),1000)+1, "0000")))</f>
        <v/>
      </c>
      <c r="C393" s="36" t="s">
        <v>426</v>
      </c>
      <c r="D393" s="41"/>
      <c r="E393" s="36"/>
      <c r="F393" s="36" t="str">
        <f>IF(ISBLANK(E393),"",IFERROR(VLOOKUP(E393,'CADASTRO DE CLIENTES'!$C$6:$E$500,3,FALSE),""))</f>
        <v/>
      </c>
      <c r="G393" s="36"/>
      <c r="H393" s="36"/>
      <c r="I393" s="49" t="str">
        <f>IF(ISBLANK(G393),"",IFERROR(VLOOKUP(G393,'CADASTRO DE MATERIAL'!$C$6:$J$500,8,FALSE),""))</f>
        <v/>
      </c>
      <c r="J393" s="54" t="str">
        <f t="shared" si="30"/>
        <v/>
      </c>
      <c r="K393" s="36"/>
      <c r="L393" s="49">
        <f t="shared" si="31"/>
        <v>0</v>
      </c>
      <c r="M393" s="54">
        <f t="shared" si="32"/>
        <v>0</v>
      </c>
      <c r="N393" s="66"/>
      <c r="O393" s="54">
        <f t="shared" si="33"/>
        <v>0</v>
      </c>
      <c r="P393" s="54" t="str">
        <f t="shared" si="34"/>
        <v/>
      </c>
    </row>
    <row r="394" spans="2:16" ht="16.8" hidden="1" customHeight="1" x14ac:dyDescent="0.4">
      <c r="B394" s="30" t="str">
        <f>IF(AND(ISBLANK(D394), ISBLANK(E394), ISBLANK(G394)), "", IF(AND(E394&lt;&gt;"", E394=E393, D394&lt;&gt;"", D394=D393), B393, "PED-" &amp; TEXT(IFERROR(VALUE(RIGHT(LOOKUP("PED-9999",$B$5:B393),4)),1000)+1, "0000")))</f>
        <v/>
      </c>
      <c r="C394" s="30" t="s">
        <v>427</v>
      </c>
      <c r="D394" s="42"/>
      <c r="E394" s="30"/>
      <c r="F394" s="30" t="str">
        <f>IF(ISBLANK(E394),"",IFERROR(VLOOKUP(E394,'CADASTRO DE CLIENTES'!$C$6:$E$500,3,FALSE),""))</f>
        <v/>
      </c>
      <c r="G394" s="30"/>
      <c r="H394" s="30"/>
      <c r="I394" s="51" t="str">
        <f>IF(ISBLANK(G394),"",IFERROR(VLOOKUP(G394,'CADASTRO DE MATERIAL'!$C$6:$J$500,8,FALSE),""))</f>
        <v/>
      </c>
      <c r="J394" s="59" t="str">
        <f t="shared" si="30"/>
        <v/>
      </c>
      <c r="K394" s="30"/>
      <c r="L394" s="51">
        <f t="shared" si="31"/>
        <v>0</v>
      </c>
      <c r="M394" s="59">
        <f t="shared" si="32"/>
        <v>0</v>
      </c>
      <c r="N394" s="65"/>
      <c r="O394" s="59">
        <f t="shared" si="33"/>
        <v>0</v>
      </c>
      <c r="P394" s="59" t="str">
        <f t="shared" si="34"/>
        <v/>
      </c>
    </row>
    <row r="395" spans="2:16" ht="16.8" hidden="1" customHeight="1" x14ac:dyDescent="0.4">
      <c r="B395" s="36" t="str">
        <f>IF(AND(ISBLANK(D395), ISBLANK(E395), ISBLANK(G395)), "", IF(AND(E395&lt;&gt;"", E395=E394, D395&lt;&gt;"", D395=D394), B394, "PED-" &amp; TEXT(IFERROR(VALUE(RIGHT(LOOKUP("PED-9999",$B$5:B394),4)),1000)+1, "0000")))</f>
        <v/>
      </c>
      <c r="C395" s="36" t="s">
        <v>428</v>
      </c>
      <c r="D395" s="41"/>
      <c r="E395" s="36"/>
      <c r="F395" s="36" t="str">
        <f>IF(ISBLANK(E395),"",IFERROR(VLOOKUP(E395,'CADASTRO DE CLIENTES'!$C$6:$E$500,3,FALSE),""))</f>
        <v/>
      </c>
      <c r="G395" s="36"/>
      <c r="H395" s="36"/>
      <c r="I395" s="49" t="str">
        <f>IF(ISBLANK(G395),"",IFERROR(VLOOKUP(G395,'CADASTRO DE MATERIAL'!$C$6:$J$500,8,FALSE),""))</f>
        <v/>
      </c>
      <c r="J395" s="54" t="str">
        <f t="shared" si="30"/>
        <v/>
      </c>
      <c r="K395" s="36"/>
      <c r="L395" s="49">
        <f t="shared" si="31"/>
        <v>0</v>
      </c>
      <c r="M395" s="54">
        <f t="shared" si="32"/>
        <v>0</v>
      </c>
      <c r="N395" s="66"/>
      <c r="O395" s="54">
        <f t="shared" si="33"/>
        <v>0</v>
      </c>
      <c r="P395" s="54" t="str">
        <f t="shared" si="34"/>
        <v/>
      </c>
    </row>
    <row r="396" spans="2:16" ht="16.8" hidden="1" customHeight="1" x14ac:dyDescent="0.4">
      <c r="B396" s="30" t="str">
        <f>IF(AND(ISBLANK(D396), ISBLANK(E396), ISBLANK(G396)), "", IF(AND(E396&lt;&gt;"", E396=E395, D396&lt;&gt;"", D396=D395), B395, "PED-" &amp; TEXT(IFERROR(VALUE(RIGHT(LOOKUP("PED-9999",$B$5:B395),4)),1000)+1, "0000")))</f>
        <v/>
      </c>
      <c r="C396" s="30" t="s">
        <v>429</v>
      </c>
      <c r="D396" s="42"/>
      <c r="E396" s="30"/>
      <c r="F396" s="30" t="str">
        <f>IF(ISBLANK(E396),"",IFERROR(VLOOKUP(E396,'CADASTRO DE CLIENTES'!$C$6:$E$500,3,FALSE),""))</f>
        <v/>
      </c>
      <c r="G396" s="30"/>
      <c r="H396" s="30"/>
      <c r="I396" s="51" t="str">
        <f>IF(ISBLANK(G396),"",IFERROR(VLOOKUP(G396,'CADASTRO DE MATERIAL'!$C$6:$J$500,8,FALSE),""))</f>
        <v/>
      </c>
      <c r="J396" s="59" t="str">
        <f t="shared" si="30"/>
        <v/>
      </c>
      <c r="K396" s="30"/>
      <c r="L396" s="51">
        <f t="shared" si="31"/>
        <v>0</v>
      </c>
      <c r="M396" s="59">
        <f t="shared" si="32"/>
        <v>0</v>
      </c>
      <c r="N396" s="65"/>
      <c r="O396" s="59">
        <f t="shared" si="33"/>
        <v>0</v>
      </c>
      <c r="P396" s="59" t="str">
        <f t="shared" si="34"/>
        <v/>
      </c>
    </row>
    <row r="397" spans="2:16" ht="16.8" hidden="1" customHeight="1" x14ac:dyDescent="0.4">
      <c r="B397" s="36" t="str">
        <f>IF(AND(ISBLANK(D397), ISBLANK(E397), ISBLANK(G397)), "", IF(AND(E397&lt;&gt;"", E397=E396, D397&lt;&gt;"", D397=D396), B396, "PED-" &amp; TEXT(IFERROR(VALUE(RIGHT(LOOKUP("PED-9999",$B$5:B396),4)),1000)+1, "0000")))</f>
        <v/>
      </c>
      <c r="C397" s="36" t="s">
        <v>430</v>
      </c>
      <c r="D397" s="41"/>
      <c r="E397" s="36"/>
      <c r="F397" s="36" t="str">
        <f>IF(ISBLANK(E397),"",IFERROR(VLOOKUP(E397,'CADASTRO DE CLIENTES'!$C$6:$E$500,3,FALSE),""))</f>
        <v/>
      </c>
      <c r="G397" s="36"/>
      <c r="H397" s="36"/>
      <c r="I397" s="49" t="str">
        <f>IF(ISBLANK(G397),"",IFERROR(VLOOKUP(G397,'CADASTRO DE MATERIAL'!$C$6:$J$500,8,FALSE),""))</f>
        <v/>
      </c>
      <c r="J397" s="54" t="str">
        <f t="shared" si="30"/>
        <v/>
      </c>
      <c r="K397" s="36"/>
      <c r="L397" s="49">
        <f t="shared" si="31"/>
        <v>0</v>
      </c>
      <c r="M397" s="54">
        <f t="shared" si="32"/>
        <v>0</v>
      </c>
      <c r="N397" s="66"/>
      <c r="O397" s="54">
        <f t="shared" si="33"/>
        <v>0</v>
      </c>
      <c r="P397" s="54" t="str">
        <f t="shared" si="34"/>
        <v/>
      </c>
    </row>
    <row r="398" spans="2:16" ht="16.8" hidden="1" customHeight="1" x14ac:dyDescent="0.4">
      <c r="B398" s="30" t="str">
        <f>IF(AND(ISBLANK(D398), ISBLANK(E398), ISBLANK(G398)), "", IF(AND(E398&lt;&gt;"", E398=E397, D398&lt;&gt;"", D398=D397), B397, "PED-" &amp; TEXT(IFERROR(VALUE(RIGHT(LOOKUP("PED-9999",$B$5:B397),4)),1000)+1, "0000")))</f>
        <v/>
      </c>
      <c r="C398" s="30" t="s">
        <v>431</v>
      </c>
      <c r="D398" s="42"/>
      <c r="E398" s="30"/>
      <c r="F398" s="30" t="str">
        <f>IF(ISBLANK(E398),"",IFERROR(VLOOKUP(E398,'CADASTRO DE CLIENTES'!$C$6:$E$500,3,FALSE),""))</f>
        <v/>
      </c>
      <c r="G398" s="30"/>
      <c r="H398" s="30"/>
      <c r="I398" s="51" t="str">
        <f>IF(ISBLANK(G398),"",IFERROR(VLOOKUP(G398,'CADASTRO DE MATERIAL'!$C$6:$J$500,8,FALSE),""))</f>
        <v/>
      </c>
      <c r="J398" s="59" t="str">
        <f t="shared" si="30"/>
        <v/>
      </c>
      <c r="K398" s="30"/>
      <c r="L398" s="51">
        <f t="shared" si="31"/>
        <v>0</v>
      </c>
      <c r="M398" s="59">
        <f t="shared" si="32"/>
        <v>0</v>
      </c>
      <c r="N398" s="65"/>
      <c r="O398" s="59">
        <f t="shared" si="33"/>
        <v>0</v>
      </c>
      <c r="P398" s="59" t="str">
        <f t="shared" si="34"/>
        <v/>
      </c>
    </row>
    <row r="399" spans="2:16" ht="16.8" hidden="1" customHeight="1" x14ac:dyDescent="0.4">
      <c r="B399" s="36" t="str">
        <f>IF(AND(ISBLANK(D399), ISBLANK(E399), ISBLANK(G399)), "", IF(AND(E399&lt;&gt;"", E399=E398, D399&lt;&gt;"", D399=D398), B398, "PED-" &amp; TEXT(IFERROR(VALUE(RIGHT(LOOKUP("PED-9999",$B$5:B398),4)),1000)+1, "0000")))</f>
        <v/>
      </c>
      <c r="C399" s="36" t="s">
        <v>432</v>
      </c>
      <c r="D399" s="41"/>
      <c r="E399" s="36"/>
      <c r="F399" s="36" t="str">
        <f>IF(ISBLANK(E399),"",IFERROR(VLOOKUP(E399,'CADASTRO DE CLIENTES'!$C$6:$E$500,3,FALSE),""))</f>
        <v/>
      </c>
      <c r="G399" s="36"/>
      <c r="H399" s="36"/>
      <c r="I399" s="49" t="str">
        <f>IF(ISBLANK(G399),"",IFERROR(VLOOKUP(G399,'CADASTRO DE MATERIAL'!$C$6:$J$500,8,FALSE),""))</f>
        <v/>
      </c>
      <c r="J399" s="54" t="str">
        <f t="shared" si="30"/>
        <v/>
      </c>
      <c r="K399" s="36"/>
      <c r="L399" s="49">
        <f t="shared" si="31"/>
        <v>0</v>
      </c>
      <c r="M399" s="54">
        <f t="shared" si="32"/>
        <v>0</v>
      </c>
      <c r="N399" s="66"/>
      <c r="O399" s="54">
        <f t="shared" si="33"/>
        <v>0</v>
      </c>
      <c r="P399" s="54" t="str">
        <f t="shared" si="34"/>
        <v/>
      </c>
    </row>
    <row r="400" spans="2:16" ht="16.8" hidden="1" customHeight="1" x14ac:dyDescent="0.4">
      <c r="B400" s="30" t="str">
        <f>IF(AND(ISBLANK(D400), ISBLANK(E400), ISBLANK(G400)), "", IF(AND(E400&lt;&gt;"", E400=E399, D400&lt;&gt;"", D400=D399), B399, "PED-" &amp; TEXT(IFERROR(VALUE(RIGHT(LOOKUP("PED-9999",$B$5:B399),4)),1000)+1, "0000")))</f>
        <v/>
      </c>
      <c r="C400" s="30" t="s">
        <v>433</v>
      </c>
      <c r="D400" s="42"/>
      <c r="E400" s="30"/>
      <c r="F400" s="30" t="str">
        <f>IF(ISBLANK(E400),"",IFERROR(VLOOKUP(E400,'CADASTRO DE CLIENTES'!$C$6:$E$500,3,FALSE),""))</f>
        <v/>
      </c>
      <c r="G400" s="30"/>
      <c r="H400" s="30"/>
      <c r="I400" s="51" t="str">
        <f>IF(ISBLANK(G400),"",IFERROR(VLOOKUP(G400,'CADASTRO DE MATERIAL'!$C$6:$J$500,8,FALSE),""))</f>
        <v/>
      </c>
      <c r="J400" s="59" t="str">
        <f t="shared" si="30"/>
        <v/>
      </c>
      <c r="K400" s="30"/>
      <c r="L400" s="51">
        <f t="shared" si="31"/>
        <v>0</v>
      </c>
      <c r="M400" s="59">
        <f t="shared" si="32"/>
        <v>0</v>
      </c>
      <c r="N400" s="65"/>
      <c r="O400" s="59">
        <f t="shared" si="33"/>
        <v>0</v>
      </c>
      <c r="P400" s="59" t="str">
        <f t="shared" si="34"/>
        <v/>
      </c>
    </row>
    <row r="401" spans="2:16" ht="16.8" hidden="1" customHeight="1" x14ac:dyDescent="0.4">
      <c r="B401" s="36" t="str">
        <f>IF(AND(ISBLANK(D401), ISBLANK(E401), ISBLANK(G401)), "", IF(AND(E401&lt;&gt;"", E401=E400, D401&lt;&gt;"", D401=D400), B400, "PED-" &amp; TEXT(IFERROR(VALUE(RIGHT(LOOKUP("PED-9999",$B$5:B400),4)),1000)+1, "0000")))</f>
        <v/>
      </c>
      <c r="C401" s="36" t="s">
        <v>434</v>
      </c>
      <c r="D401" s="41"/>
      <c r="E401" s="36"/>
      <c r="F401" s="36" t="str">
        <f>IF(ISBLANK(E401),"",IFERROR(VLOOKUP(E401,'CADASTRO DE CLIENTES'!$C$6:$E$500,3,FALSE),""))</f>
        <v/>
      </c>
      <c r="G401" s="36"/>
      <c r="H401" s="36"/>
      <c r="I401" s="49" t="str">
        <f>IF(ISBLANK(G401),"",IFERROR(VLOOKUP(G401,'CADASTRO DE MATERIAL'!$C$6:$J$500,8,FALSE),""))</f>
        <v/>
      </c>
      <c r="J401" s="54" t="str">
        <f t="shared" si="30"/>
        <v/>
      </c>
      <c r="K401" s="36"/>
      <c r="L401" s="49">
        <f t="shared" si="31"/>
        <v>0</v>
      </c>
      <c r="M401" s="54">
        <f t="shared" si="32"/>
        <v>0</v>
      </c>
      <c r="N401" s="66"/>
      <c r="O401" s="54">
        <f t="shared" si="33"/>
        <v>0</v>
      </c>
      <c r="P401" s="54" t="str">
        <f t="shared" si="34"/>
        <v/>
      </c>
    </row>
    <row r="402" spans="2:16" ht="16.8" hidden="1" customHeight="1" x14ac:dyDescent="0.4">
      <c r="B402" s="30" t="str">
        <f>IF(AND(ISBLANK(D402), ISBLANK(E402), ISBLANK(G402)), "", IF(AND(E402&lt;&gt;"", E402=E401, D402&lt;&gt;"", D402=D401), B401, "PED-" &amp; TEXT(IFERROR(VALUE(RIGHT(LOOKUP("PED-9999",$B$5:B401),4)),1000)+1, "0000")))</f>
        <v/>
      </c>
      <c r="C402" s="30" t="s">
        <v>435</v>
      </c>
      <c r="D402" s="42"/>
      <c r="E402" s="30"/>
      <c r="F402" s="30" t="str">
        <f>IF(ISBLANK(E402),"",IFERROR(VLOOKUP(E402,'CADASTRO DE CLIENTES'!$C$6:$E$500,3,FALSE),""))</f>
        <v/>
      </c>
      <c r="G402" s="30"/>
      <c r="H402" s="30"/>
      <c r="I402" s="51" t="str">
        <f>IF(ISBLANK(G402),"",IFERROR(VLOOKUP(G402,'CADASTRO DE MATERIAL'!$C$6:$J$500,8,FALSE),""))</f>
        <v/>
      </c>
      <c r="J402" s="59" t="str">
        <f t="shared" si="30"/>
        <v/>
      </c>
      <c r="K402" s="30"/>
      <c r="L402" s="51">
        <f t="shared" si="31"/>
        <v>0</v>
      </c>
      <c r="M402" s="59">
        <f t="shared" si="32"/>
        <v>0</v>
      </c>
      <c r="N402" s="65"/>
      <c r="O402" s="59">
        <f t="shared" si="33"/>
        <v>0</v>
      </c>
      <c r="P402" s="59" t="str">
        <f t="shared" si="34"/>
        <v/>
      </c>
    </row>
    <row r="403" spans="2:16" ht="16.8" hidden="1" customHeight="1" x14ac:dyDescent="0.4">
      <c r="B403" s="36" t="str">
        <f>IF(AND(ISBLANK(D403), ISBLANK(E403), ISBLANK(G403)), "", IF(AND(E403&lt;&gt;"", E403=E402, D403&lt;&gt;"", D403=D402), B402, "PED-" &amp; TEXT(IFERROR(VALUE(RIGHT(LOOKUP("PED-9999",$B$5:B402),4)),1000)+1, "0000")))</f>
        <v/>
      </c>
      <c r="C403" s="36" t="s">
        <v>436</v>
      </c>
      <c r="D403" s="41"/>
      <c r="E403" s="36"/>
      <c r="F403" s="36" t="str">
        <f>IF(ISBLANK(E403),"",IFERROR(VLOOKUP(E403,'CADASTRO DE CLIENTES'!$C$6:$E$500,3,FALSE),""))</f>
        <v/>
      </c>
      <c r="G403" s="36"/>
      <c r="H403" s="36"/>
      <c r="I403" s="49" t="str">
        <f>IF(ISBLANK(G403),"",IFERROR(VLOOKUP(G403,'CADASTRO DE MATERIAL'!$C$6:$J$500,8,FALSE),""))</f>
        <v/>
      </c>
      <c r="J403" s="54" t="str">
        <f t="shared" si="30"/>
        <v/>
      </c>
      <c r="K403" s="36"/>
      <c r="L403" s="49">
        <f t="shared" si="31"/>
        <v>0</v>
      </c>
      <c r="M403" s="54">
        <f t="shared" si="32"/>
        <v>0</v>
      </c>
      <c r="N403" s="66"/>
      <c r="O403" s="54">
        <f t="shared" si="33"/>
        <v>0</v>
      </c>
      <c r="P403" s="54" t="str">
        <f t="shared" si="34"/>
        <v/>
      </c>
    </row>
    <row r="404" spans="2:16" ht="16.8" hidden="1" customHeight="1" x14ac:dyDescent="0.4">
      <c r="B404" s="30" t="str">
        <f>IF(AND(ISBLANK(D404), ISBLANK(E404), ISBLANK(G404)), "", IF(AND(E404&lt;&gt;"", E404=E403, D404&lt;&gt;"", D404=D403), B403, "PED-" &amp; TEXT(IFERROR(VALUE(RIGHT(LOOKUP("PED-9999",$B$5:B403),4)),1000)+1, "0000")))</f>
        <v/>
      </c>
      <c r="C404" s="30" t="s">
        <v>437</v>
      </c>
      <c r="D404" s="42"/>
      <c r="E404" s="30"/>
      <c r="F404" s="30" t="str">
        <f>IF(ISBLANK(E404),"",IFERROR(VLOOKUP(E404,'CADASTRO DE CLIENTES'!$C$6:$E$500,3,FALSE),""))</f>
        <v/>
      </c>
      <c r="G404" s="30"/>
      <c r="H404" s="30"/>
      <c r="I404" s="51" t="str">
        <f>IF(ISBLANK(G404),"",IFERROR(VLOOKUP(G404,'CADASTRO DE MATERIAL'!$C$6:$J$500,8,FALSE),""))</f>
        <v/>
      </c>
      <c r="J404" s="59" t="str">
        <f t="shared" si="30"/>
        <v/>
      </c>
      <c r="K404" s="30"/>
      <c r="L404" s="51">
        <f t="shared" si="31"/>
        <v>0</v>
      </c>
      <c r="M404" s="59">
        <f t="shared" si="32"/>
        <v>0</v>
      </c>
      <c r="N404" s="65"/>
      <c r="O404" s="59">
        <f t="shared" si="33"/>
        <v>0</v>
      </c>
      <c r="P404" s="59" t="str">
        <f t="shared" si="34"/>
        <v/>
      </c>
    </row>
    <row r="405" spans="2:16" ht="16.8" hidden="1" customHeight="1" x14ac:dyDescent="0.4">
      <c r="B405" s="36" t="str">
        <f>IF(AND(ISBLANK(D405), ISBLANK(E405), ISBLANK(G405)), "", IF(AND(E405&lt;&gt;"", E405=E404, D405&lt;&gt;"", D405=D404), B404, "PED-" &amp; TEXT(IFERROR(VALUE(RIGHT(LOOKUP("PED-9999",$B$5:B404),4)),1000)+1, "0000")))</f>
        <v/>
      </c>
      <c r="C405" s="36" t="s">
        <v>438</v>
      </c>
      <c r="D405" s="41"/>
      <c r="E405" s="36"/>
      <c r="F405" s="36" t="str">
        <f>IF(ISBLANK(E405),"",IFERROR(VLOOKUP(E405,'CADASTRO DE CLIENTES'!$C$6:$E$500,3,FALSE),""))</f>
        <v/>
      </c>
      <c r="G405" s="36"/>
      <c r="H405" s="36"/>
      <c r="I405" s="49" t="str">
        <f>IF(ISBLANK(G405),"",IFERROR(VLOOKUP(G405,'CADASTRO DE MATERIAL'!$C$6:$J$500,8,FALSE),""))</f>
        <v/>
      </c>
      <c r="J405" s="54" t="str">
        <f t="shared" si="30"/>
        <v/>
      </c>
      <c r="K405" s="36"/>
      <c r="L405" s="49">
        <f t="shared" si="31"/>
        <v>0</v>
      </c>
      <c r="M405" s="54">
        <f t="shared" si="32"/>
        <v>0</v>
      </c>
      <c r="N405" s="66"/>
      <c r="O405" s="54">
        <f t="shared" si="33"/>
        <v>0</v>
      </c>
      <c r="P405" s="54" t="str">
        <f t="shared" si="34"/>
        <v/>
      </c>
    </row>
    <row r="406" spans="2:16" ht="16.8" hidden="1" customHeight="1" x14ac:dyDescent="0.4">
      <c r="B406" s="30" t="str">
        <f>IF(AND(ISBLANK(D406), ISBLANK(E406), ISBLANK(G406)), "", IF(AND(E406&lt;&gt;"", E406=E405, D406&lt;&gt;"", D406=D405), B405, "PED-" &amp; TEXT(IFERROR(VALUE(RIGHT(LOOKUP("PED-9999",$B$5:B405),4)),1000)+1, "0000")))</f>
        <v/>
      </c>
      <c r="C406" s="30" t="s">
        <v>439</v>
      </c>
      <c r="D406" s="42"/>
      <c r="E406" s="30"/>
      <c r="F406" s="30" t="str">
        <f>IF(ISBLANK(E406),"",IFERROR(VLOOKUP(E406,'CADASTRO DE CLIENTES'!$C$6:$E$500,3,FALSE),""))</f>
        <v/>
      </c>
      <c r="G406" s="30"/>
      <c r="H406" s="30"/>
      <c r="I406" s="51" t="str">
        <f>IF(ISBLANK(G406),"",IFERROR(VLOOKUP(G406,'CADASTRO DE MATERIAL'!$C$6:$J$500,8,FALSE),""))</f>
        <v/>
      </c>
      <c r="J406" s="59" t="str">
        <f t="shared" si="30"/>
        <v/>
      </c>
      <c r="K406" s="30"/>
      <c r="L406" s="51">
        <f t="shared" si="31"/>
        <v>0</v>
      </c>
      <c r="M406" s="59">
        <f t="shared" si="32"/>
        <v>0</v>
      </c>
      <c r="N406" s="65"/>
      <c r="O406" s="59">
        <f t="shared" si="33"/>
        <v>0</v>
      </c>
      <c r="P406" s="59" t="str">
        <f t="shared" si="34"/>
        <v/>
      </c>
    </row>
    <row r="407" spans="2:16" ht="16.8" hidden="1" customHeight="1" x14ac:dyDescent="0.4">
      <c r="B407" s="36" t="str">
        <f>IF(AND(ISBLANK(D407), ISBLANK(E407), ISBLANK(G407)), "", IF(AND(E407&lt;&gt;"", E407=E406, D407&lt;&gt;"", D407=D406), B406, "PED-" &amp; TEXT(IFERROR(VALUE(RIGHT(LOOKUP("PED-9999",$B$5:B406),4)),1000)+1, "0000")))</f>
        <v/>
      </c>
      <c r="C407" s="36" t="s">
        <v>440</v>
      </c>
      <c r="D407" s="41"/>
      <c r="E407" s="36"/>
      <c r="F407" s="36" t="str">
        <f>IF(ISBLANK(E407),"",IFERROR(VLOOKUP(E407,'CADASTRO DE CLIENTES'!$C$6:$E$500,3,FALSE),""))</f>
        <v/>
      </c>
      <c r="G407" s="36"/>
      <c r="H407" s="36"/>
      <c r="I407" s="49" t="str">
        <f>IF(ISBLANK(G407),"",IFERROR(VLOOKUP(G407,'CADASTRO DE MATERIAL'!$C$6:$J$500,8,FALSE),""))</f>
        <v/>
      </c>
      <c r="J407" s="54" t="str">
        <f t="shared" si="30"/>
        <v/>
      </c>
      <c r="K407" s="36"/>
      <c r="L407" s="49">
        <f t="shared" si="31"/>
        <v>0</v>
      </c>
      <c r="M407" s="54">
        <f t="shared" si="32"/>
        <v>0</v>
      </c>
      <c r="N407" s="66"/>
      <c r="O407" s="54">
        <f t="shared" si="33"/>
        <v>0</v>
      </c>
      <c r="P407" s="54" t="str">
        <f t="shared" si="34"/>
        <v/>
      </c>
    </row>
    <row r="408" spans="2:16" ht="16.8" hidden="1" customHeight="1" x14ac:dyDescent="0.4">
      <c r="B408" s="30" t="str">
        <f>IF(AND(ISBLANK(D408), ISBLANK(E408), ISBLANK(G408)), "", IF(AND(E408&lt;&gt;"", E408=E407, D408&lt;&gt;"", D408=D407), B407, "PED-" &amp; TEXT(IFERROR(VALUE(RIGHT(LOOKUP("PED-9999",$B$5:B407),4)),1000)+1, "0000")))</f>
        <v/>
      </c>
      <c r="C408" s="30" t="s">
        <v>441</v>
      </c>
      <c r="D408" s="42"/>
      <c r="E408" s="30"/>
      <c r="F408" s="30" t="str">
        <f>IF(ISBLANK(E408),"",IFERROR(VLOOKUP(E408,'CADASTRO DE CLIENTES'!$C$6:$E$500,3,FALSE),""))</f>
        <v/>
      </c>
      <c r="G408" s="30"/>
      <c r="H408" s="30"/>
      <c r="I408" s="51" t="str">
        <f>IF(ISBLANK(G408),"",IFERROR(VLOOKUP(G408,'CADASTRO DE MATERIAL'!$C$6:$J$500,8,FALSE),""))</f>
        <v/>
      </c>
      <c r="J408" s="59" t="str">
        <f t="shared" si="30"/>
        <v/>
      </c>
      <c r="K408" s="30"/>
      <c r="L408" s="51">
        <f t="shared" si="31"/>
        <v>0</v>
      </c>
      <c r="M408" s="59">
        <f t="shared" si="32"/>
        <v>0</v>
      </c>
      <c r="N408" s="65"/>
      <c r="O408" s="59">
        <f t="shared" si="33"/>
        <v>0</v>
      </c>
      <c r="P408" s="59" t="str">
        <f t="shared" si="34"/>
        <v/>
      </c>
    </row>
    <row r="409" spans="2:16" ht="16.8" hidden="1" customHeight="1" x14ac:dyDescent="0.4">
      <c r="B409" s="36" t="str">
        <f>IF(AND(ISBLANK(D409), ISBLANK(E409), ISBLANK(G409)), "", IF(AND(E409&lt;&gt;"", E409=E408, D409&lt;&gt;"", D409=D408), B408, "PED-" &amp; TEXT(IFERROR(VALUE(RIGHT(LOOKUP("PED-9999",$B$5:B408),4)),1000)+1, "0000")))</f>
        <v/>
      </c>
      <c r="C409" s="36" t="s">
        <v>442</v>
      </c>
      <c r="D409" s="41"/>
      <c r="E409" s="36"/>
      <c r="F409" s="36" t="str">
        <f>IF(ISBLANK(E409),"",IFERROR(VLOOKUP(E409,'CADASTRO DE CLIENTES'!$C$6:$E$500,3,FALSE),""))</f>
        <v/>
      </c>
      <c r="G409" s="36"/>
      <c r="H409" s="36"/>
      <c r="I409" s="49" t="str">
        <f>IF(ISBLANK(G409),"",IFERROR(VLOOKUP(G409,'CADASTRO DE MATERIAL'!$C$6:$J$500,8,FALSE),""))</f>
        <v/>
      </c>
      <c r="J409" s="54" t="str">
        <f t="shared" si="30"/>
        <v/>
      </c>
      <c r="K409" s="36"/>
      <c r="L409" s="49">
        <f t="shared" si="31"/>
        <v>0</v>
      </c>
      <c r="M409" s="54">
        <f t="shared" si="32"/>
        <v>0</v>
      </c>
      <c r="N409" s="66"/>
      <c r="O409" s="54">
        <f t="shared" si="33"/>
        <v>0</v>
      </c>
      <c r="P409" s="54" t="str">
        <f t="shared" si="34"/>
        <v/>
      </c>
    </row>
    <row r="410" spans="2:16" ht="16.8" hidden="1" customHeight="1" x14ac:dyDescent="0.4">
      <c r="B410" s="30" t="str">
        <f>IF(AND(ISBLANK(D410), ISBLANK(E410), ISBLANK(G410)), "", IF(AND(E410&lt;&gt;"", E410=E409, D410&lt;&gt;"", D410=D409), B409, "PED-" &amp; TEXT(IFERROR(VALUE(RIGHT(LOOKUP("PED-9999",$B$5:B409),4)),1000)+1, "0000")))</f>
        <v/>
      </c>
      <c r="C410" s="30" t="s">
        <v>443</v>
      </c>
      <c r="D410" s="42"/>
      <c r="E410" s="30"/>
      <c r="F410" s="30" t="str">
        <f>IF(ISBLANK(E410),"",IFERROR(VLOOKUP(E410,'CADASTRO DE CLIENTES'!$C$6:$E$500,3,FALSE),""))</f>
        <v/>
      </c>
      <c r="G410" s="30"/>
      <c r="H410" s="30"/>
      <c r="I410" s="51" t="str">
        <f>IF(ISBLANK(G410),"",IFERROR(VLOOKUP(G410,'CADASTRO DE MATERIAL'!$C$6:$J$500,8,FALSE),""))</f>
        <v/>
      </c>
      <c r="J410" s="59" t="str">
        <f t="shared" si="30"/>
        <v/>
      </c>
      <c r="K410" s="30"/>
      <c r="L410" s="51">
        <f t="shared" si="31"/>
        <v>0</v>
      </c>
      <c r="M410" s="59">
        <f t="shared" si="32"/>
        <v>0</v>
      </c>
      <c r="N410" s="65"/>
      <c r="O410" s="59">
        <f t="shared" si="33"/>
        <v>0</v>
      </c>
      <c r="P410" s="59" t="str">
        <f t="shared" si="34"/>
        <v/>
      </c>
    </row>
    <row r="411" spans="2:16" ht="16.8" hidden="1" customHeight="1" x14ac:dyDescent="0.4">
      <c r="B411" s="36" t="str">
        <f>IF(AND(ISBLANK(D411), ISBLANK(E411), ISBLANK(G411)), "", IF(AND(E411&lt;&gt;"", E411=E410, D411&lt;&gt;"", D411=D410), B410, "PED-" &amp; TEXT(IFERROR(VALUE(RIGHT(LOOKUP("PED-9999",$B$5:B410),4)),1000)+1, "0000")))</f>
        <v/>
      </c>
      <c r="C411" s="36" t="s">
        <v>444</v>
      </c>
      <c r="D411" s="41"/>
      <c r="E411" s="36"/>
      <c r="F411" s="36" t="str">
        <f>IF(ISBLANK(E411),"",IFERROR(VLOOKUP(E411,'CADASTRO DE CLIENTES'!$C$6:$E$500,3,FALSE),""))</f>
        <v/>
      </c>
      <c r="G411" s="36"/>
      <c r="H411" s="36"/>
      <c r="I411" s="49" t="str">
        <f>IF(ISBLANK(G411),"",IFERROR(VLOOKUP(G411,'CADASTRO DE MATERIAL'!$C$6:$J$500,8,FALSE),""))</f>
        <v/>
      </c>
      <c r="J411" s="54" t="str">
        <f t="shared" si="30"/>
        <v/>
      </c>
      <c r="K411" s="36"/>
      <c r="L411" s="49">
        <f t="shared" si="31"/>
        <v>0</v>
      </c>
      <c r="M411" s="54">
        <f t="shared" si="32"/>
        <v>0</v>
      </c>
      <c r="N411" s="66"/>
      <c r="O411" s="54">
        <f t="shared" si="33"/>
        <v>0</v>
      </c>
      <c r="P411" s="54" t="str">
        <f t="shared" si="34"/>
        <v/>
      </c>
    </row>
    <row r="412" spans="2:16" ht="16.8" hidden="1" customHeight="1" x14ac:dyDescent="0.4">
      <c r="B412" s="30" t="str">
        <f>IF(AND(ISBLANK(D412), ISBLANK(E412), ISBLANK(G412)), "", IF(AND(E412&lt;&gt;"", E412=E411, D412&lt;&gt;"", D412=D411), B411, "PED-" &amp; TEXT(IFERROR(VALUE(RIGHT(LOOKUP("PED-9999",$B$5:B411),4)),1000)+1, "0000")))</f>
        <v/>
      </c>
      <c r="C412" s="30" t="s">
        <v>445</v>
      </c>
      <c r="D412" s="42"/>
      <c r="E412" s="30"/>
      <c r="F412" s="30" t="str">
        <f>IF(ISBLANK(E412),"",IFERROR(VLOOKUP(E412,'CADASTRO DE CLIENTES'!$C$6:$E$500,3,FALSE),""))</f>
        <v/>
      </c>
      <c r="G412" s="30"/>
      <c r="H412" s="30"/>
      <c r="I412" s="51" t="str">
        <f>IF(ISBLANK(G412),"",IFERROR(VLOOKUP(G412,'CADASTRO DE MATERIAL'!$C$6:$J$500,8,FALSE),""))</f>
        <v/>
      </c>
      <c r="J412" s="59" t="str">
        <f t="shared" si="30"/>
        <v/>
      </c>
      <c r="K412" s="30"/>
      <c r="L412" s="51">
        <f t="shared" si="31"/>
        <v>0</v>
      </c>
      <c r="M412" s="59">
        <f t="shared" si="32"/>
        <v>0</v>
      </c>
      <c r="N412" s="65"/>
      <c r="O412" s="59">
        <f t="shared" si="33"/>
        <v>0</v>
      </c>
      <c r="P412" s="59" t="str">
        <f t="shared" si="34"/>
        <v/>
      </c>
    </row>
    <row r="413" spans="2:16" ht="16.8" hidden="1" customHeight="1" x14ac:dyDescent="0.4">
      <c r="B413" s="36" t="str">
        <f>IF(AND(ISBLANK(D413), ISBLANK(E413), ISBLANK(G413)), "", IF(AND(E413&lt;&gt;"", E413=E412, D413&lt;&gt;"", D413=D412), B412, "PED-" &amp; TEXT(IFERROR(VALUE(RIGHT(LOOKUP("PED-9999",$B$5:B412),4)),1000)+1, "0000")))</f>
        <v/>
      </c>
      <c r="C413" s="36" t="s">
        <v>446</v>
      </c>
      <c r="D413" s="41"/>
      <c r="E413" s="36"/>
      <c r="F413" s="36" t="str">
        <f>IF(ISBLANK(E413),"",IFERROR(VLOOKUP(E413,'CADASTRO DE CLIENTES'!$C$6:$E$500,3,FALSE),""))</f>
        <v/>
      </c>
      <c r="G413" s="36"/>
      <c r="H413" s="36"/>
      <c r="I413" s="49" t="str">
        <f>IF(ISBLANK(G413),"",IFERROR(VLOOKUP(G413,'CADASTRO DE MATERIAL'!$C$6:$J$500,8,FALSE),""))</f>
        <v/>
      </c>
      <c r="J413" s="54" t="str">
        <f t="shared" si="30"/>
        <v/>
      </c>
      <c r="K413" s="36"/>
      <c r="L413" s="49">
        <f t="shared" si="31"/>
        <v>0</v>
      </c>
      <c r="M413" s="54">
        <f t="shared" si="32"/>
        <v>0</v>
      </c>
      <c r="N413" s="66"/>
      <c r="O413" s="54">
        <f t="shared" si="33"/>
        <v>0</v>
      </c>
      <c r="P413" s="54" t="str">
        <f t="shared" si="34"/>
        <v/>
      </c>
    </row>
    <row r="414" spans="2:16" ht="16.8" hidden="1" customHeight="1" x14ac:dyDescent="0.4">
      <c r="B414" s="30" t="str">
        <f>IF(AND(ISBLANK(D414), ISBLANK(E414), ISBLANK(G414)), "", IF(AND(E414&lt;&gt;"", E414=E413, D414&lt;&gt;"", D414=D413), B413, "PED-" &amp; TEXT(IFERROR(VALUE(RIGHT(LOOKUP("PED-9999",$B$5:B413),4)),1000)+1, "0000")))</f>
        <v/>
      </c>
      <c r="C414" s="30" t="s">
        <v>447</v>
      </c>
      <c r="D414" s="42"/>
      <c r="E414" s="30"/>
      <c r="F414" s="30" t="str">
        <f>IF(ISBLANK(E414),"",IFERROR(VLOOKUP(E414,'CADASTRO DE CLIENTES'!$C$6:$E$500,3,FALSE),""))</f>
        <v/>
      </c>
      <c r="G414" s="30"/>
      <c r="H414" s="30"/>
      <c r="I414" s="51" t="str">
        <f>IF(ISBLANK(G414),"",IFERROR(VLOOKUP(G414,'CADASTRO DE MATERIAL'!$C$6:$J$500,8,FALSE),""))</f>
        <v/>
      </c>
      <c r="J414" s="59" t="str">
        <f t="shared" si="30"/>
        <v/>
      </c>
      <c r="K414" s="30"/>
      <c r="L414" s="51">
        <f t="shared" si="31"/>
        <v>0</v>
      </c>
      <c r="M414" s="59">
        <f t="shared" si="32"/>
        <v>0</v>
      </c>
      <c r="N414" s="65"/>
      <c r="O414" s="59">
        <f t="shared" si="33"/>
        <v>0</v>
      </c>
      <c r="P414" s="59" t="str">
        <f t="shared" si="34"/>
        <v/>
      </c>
    </row>
    <row r="415" spans="2:16" ht="16.8" hidden="1" customHeight="1" x14ac:dyDescent="0.4">
      <c r="B415" s="36" t="str">
        <f>IF(AND(ISBLANK(D415), ISBLANK(E415), ISBLANK(G415)), "", IF(AND(E415&lt;&gt;"", E415=E414, D415&lt;&gt;"", D415=D414), B414, "PED-" &amp; TEXT(IFERROR(VALUE(RIGHT(LOOKUP("PED-9999",$B$5:B414),4)),1000)+1, "0000")))</f>
        <v/>
      </c>
      <c r="C415" s="36" t="s">
        <v>448</v>
      </c>
      <c r="D415" s="41"/>
      <c r="E415" s="36"/>
      <c r="F415" s="36" t="str">
        <f>IF(ISBLANK(E415),"",IFERROR(VLOOKUP(E415,'CADASTRO DE CLIENTES'!$C$6:$E$500,3,FALSE),""))</f>
        <v/>
      </c>
      <c r="G415" s="36"/>
      <c r="H415" s="36"/>
      <c r="I415" s="49" t="str">
        <f>IF(ISBLANK(G415),"",IFERROR(VLOOKUP(G415,'CADASTRO DE MATERIAL'!$C$6:$J$500,8,FALSE),""))</f>
        <v/>
      </c>
      <c r="J415" s="54" t="str">
        <f t="shared" si="30"/>
        <v/>
      </c>
      <c r="K415" s="36"/>
      <c r="L415" s="49">
        <f t="shared" si="31"/>
        <v>0</v>
      </c>
      <c r="M415" s="54">
        <f t="shared" si="32"/>
        <v>0</v>
      </c>
      <c r="N415" s="66"/>
      <c r="O415" s="54">
        <f t="shared" si="33"/>
        <v>0</v>
      </c>
      <c r="P415" s="54" t="str">
        <f t="shared" si="34"/>
        <v/>
      </c>
    </row>
    <row r="416" spans="2:16" ht="16.8" hidden="1" customHeight="1" x14ac:dyDescent="0.4">
      <c r="B416" s="30" t="str">
        <f>IF(AND(ISBLANK(D416), ISBLANK(E416), ISBLANK(G416)), "", IF(AND(E416&lt;&gt;"", E416=E415, D416&lt;&gt;"", D416=D415), B415, "PED-" &amp; TEXT(IFERROR(VALUE(RIGHT(LOOKUP("PED-9999",$B$5:B415),4)),1000)+1, "0000")))</f>
        <v/>
      </c>
      <c r="C416" s="30" t="s">
        <v>449</v>
      </c>
      <c r="D416" s="42"/>
      <c r="E416" s="30"/>
      <c r="F416" s="30" t="str">
        <f>IF(ISBLANK(E416),"",IFERROR(VLOOKUP(E416,'CADASTRO DE CLIENTES'!$C$6:$E$500,3,FALSE),""))</f>
        <v/>
      </c>
      <c r="G416" s="30"/>
      <c r="H416" s="30"/>
      <c r="I416" s="51" t="str">
        <f>IF(ISBLANK(G416),"",IFERROR(VLOOKUP(G416,'CADASTRO DE MATERIAL'!$C$6:$J$500,8,FALSE),""))</f>
        <v/>
      </c>
      <c r="J416" s="59" t="str">
        <f t="shared" si="30"/>
        <v/>
      </c>
      <c r="K416" s="30"/>
      <c r="L416" s="51">
        <f t="shared" si="31"/>
        <v>0</v>
      </c>
      <c r="M416" s="59">
        <f t="shared" si="32"/>
        <v>0</v>
      </c>
      <c r="N416" s="65"/>
      <c r="O416" s="59">
        <f t="shared" si="33"/>
        <v>0</v>
      </c>
      <c r="P416" s="59" t="str">
        <f t="shared" si="34"/>
        <v/>
      </c>
    </row>
    <row r="417" spans="2:16" ht="16.8" hidden="1" customHeight="1" x14ac:dyDescent="0.4">
      <c r="B417" s="36" t="str">
        <f>IF(AND(ISBLANK(D417), ISBLANK(E417), ISBLANK(G417)), "", IF(AND(E417&lt;&gt;"", E417=E416, D417&lt;&gt;"", D417=D416), B416, "PED-" &amp; TEXT(IFERROR(VALUE(RIGHT(LOOKUP("PED-9999",$B$5:B416),4)),1000)+1, "0000")))</f>
        <v/>
      </c>
      <c r="C417" s="36" t="s">
        <v>450</v>
      </c>
      <c r="D417" s="41"/>
      <c r="E417" s="36"/>
      <c r="F417" s="36" t="str">
        <f>IF(ISBLANK(E417),"",IFERROR(VLOOKUP(E417,'CADASTRO DE CLIENTES'!$C$6:$E$500,3,FALSE),""))</f>
        <v/>
      </c>
      <c r="G417" s="36"/>
      <c r="H417" s="36"/>
      <c r="I417" s="49" t="str">
        <f>IF(ISBLANK(G417),"",IFERROR(VLOOKUP(G417,'CADASTRO DE MATERIAL'!$C$6:$J$500,8,FALSE),""))</f>
        <v/>
      </c>
      <c r="J417" s="54" t="str">
        <f t="shared" si="30"/>
        <v/>
      </c>
      <c r="K417" s="36"/>
      <c r="L417" s="49">
        <f t="shared" si="31"/>
        <v>0</v>
      </c>
      <c r="M417" s="54">
        <f t="shared" si="32"/>
        <v>0</v>
      </c>
      <c r="N417" s="66"/>
      <c r="O417" s="54">
        <f t="shared" si="33"/>
        <v>0</v>
      </c>
      <c r="P417" s="54" t="str">
        <f t="shared" si="34"/>
        <v/>
      </c>
    </row>
    <row r="418" spans="2:16" ht="16.8" hidden="1" customHeight="1" x14ac:dyDescent="0.4">
      <c r="B418" s="30" t="str">
        <f>IF(AND(ISBLANK(D418), ISBLANK(E418), ISBLANK(G418)), "", IF(AND(E418&lt;&gt;"", E418=E417, D418&lt;&gt;"", D418=D417), B417, "PED-" &amp; TEXT(IFERROR(VALUE(RIGHT(LOOKUP("PED-9999",$B$5:B417),4)),1000)+1, "0000")))</f>
        <v/>
      </c>
      <c r="C418" s="30" t="s">
        <v>451</v>
      </c>
      <c r="D418" s="42"/>
      <c r="E418" s="30"/>
      <c r="F418" s="30" t="str">
        <f>IF(ISBLANK(E418),"",IFERROR(VLOOKUP(E418,'CADASTRO DE CLIENTES'!$C$6:$E$500,3,FALSE),""))</f>
        <v/>
      </c>
      <c r="G418" s="30"/>
      <c r="H418" s="30"/>
      <c r="I418" s="51" t="str">
        <f>IF(ISBLANK(G418),"",IFERROR(VLOOKUP(G418,'CADASTRO DE MATERIAL'!$C$6:$J$500,8,FALSE),""))</f>
        <v/>
      </c>
      <c r="J418" s="59" t="str">
        <f t="shared" si="30"/>
        <v/>
      </c>
      <c r="K418" s="30"/>
      <c r="L418" s="51">
        <f t="shared" si="31"/>
        <v>0</v>
      </c>
      <c r="M418" s="59">
        <f t="shared" si="32"/>
        <v>0</v>
      </c>
      <c r="N418" s="65"/>
      <c r="O418" s="59">
        <f t="shared" si="33"/>
        <v>0</v>
      </c>
      <c r="P418" s="59" t="str">
        <f t="shared" si="34"/>
        <v/>
      </c>
    </row>
    <row r="419" spans="2:16" ht="16.8" hidden="1" customHeight="1" x14ac:dyDescent="0.4">
      <c r="B419" s="36" t="str">
        <f>IF(AND(ISBLANK(D419), ISBLANK(E419), ISBLANK(G419)), "", IF(AND(E419&lt;&gt;"", E419=E418, D419&lt;&gt;"", D419=D418), B418, "PED-" &amp; TEXT(IFERROR(VALUE(RIGHT(LOOKUP("PED-9999",$B$5:B418),4)),1000)+1, "0000")))</f>
        <v/>
      </c>
      <c r="C419" s="36" t="s">
        <v>452</v>
      </c>
      <c r="D419" s="41"/>
      <c r="E419" s="36"/>
      <c r="F419" s="36" t="str">
        <f>IF(ISBLANK(E419),"",IFERROR(VLOOKUP(E419,'CADASTRO DE CLIENTES'!$C$6:$E$500,3,FALSE),""))</f>
        <v/>
      </c>
      <c r="G419" s="36"/>
      <c r="H419" s="36"/>
      <c r="I419" s="49" t="str">
        <f>IF(ISBLANK(G419),"",IFERROR(VLOOKUP(G419,'CADASTRO DE MATERIAL'!$C$6:$J$500,8,FALSE),""))</f>
        <v/>
      </c>
      <c r="J419" s="54" t="str">
        <f t="shared" si="30"/>
        <v/>
      </c>
      <c r="K419" s="36"/>
      <c r="L419" s="49">
        <f t="shared" si="31"/>
        <v>0</v>
      </c>
      <c r="M419" s="54">
        <f t="shared" si="32"/>
        <v>0</v>
      </c>
      <c r="N419" s="66"/>
      <c r="O419" s="54">
        <f t="shared" si="33"/>
        <v>0</v>
      </c>
      <c r="P419" s="54" t="str">
        <f t="shared" si="34"/>
        <v/>
      </c>
    </row>
    <row r="420" spans="2:16" ht="16.8" hidden="1" customHeight="1" x14ac:dyDescent="0.4">
      <c r="B420" s="30" t="str">
        <f>IF(AND(ISBLANK(D420), ISBLANK(E420), ISBLANK(G420)), "", IF(AND(E420&lt;&gt;"", E420=E419, D420&lt;&gt;"", D420=D419), B419, "PED-" &amp; TEXT(IFERROR(VALUE(RIGHT(LOOKUP("PED-9999",$B$5:B419),4)),1000)+1, "0000")))</f>
        <v/>
      </c>
      <c r="C420" s="30" t="s">
        <v>453</v>
      </c>
      <c r="D420" s="42"/>
      <c r="E420" s="30"/>
      <c r="F420" s="30" t="str">
        <f>IF(ISBLANK(E420),"",IFERROR(VLOOKUP(E420,'CADASTRO DE CLIENTES'!$C$6:$E$500,3,FALSE),""))</f>
        <v/>
      </c>
      <c r="G420" s="30"/>
      <c r="H420" s="30"/>
      <c r="I420" s="51" t="str">
        <f>IF(ISBLANK(G420),"",IFERROR(VLOOKUP(G420,'CADASTRO DE MATERIAL'!$C$6:$J$500,8,FALSE),""))</f>
        <v/>
      </c>
      <c r="J420" s="59" t="str">
        <f t="shared" si="30"/>
        <v/>
      </c>
      <c r="K420" s="30"/>
      <c r="L420" s="51">
        <f t="shared" si="31"/>
        <v>0</v>
      </c>
      <c r="M420" s="59">
        <f t="shared" si="32"/>
        <v>0</v>
      </c>
      <c r="N420" s="65"/>
      <c r="O420" s="59">
        <f t="shared" si="33"/>
        <v>0</v>
      </c>
      <c r="P420" s="59" t="str">
        <f t="shared" si="34"/>
        <v/>
      </c>
    </row>
    <row r="421" spans="2:16" ht="16.8" hidden="1" customHeight="1" x14ac:dyDescent="0.4">
      <c r="B421" s="36" t="str">
        <f>IF(AND(ISBLANK(D421), ISBLANK(E421), ISBLANK(G421)), "", IF(AND(E421&lt;&gt;"", E421=E420, D421&lt;&gt;"", D421=D420), B420, "PED-" &amp; TEXT(IFERROR(VALUE(RIGHT(LOOKUP("PED-9999",$B$5:B420),4)),1000)+1, "0000")))</f>
        <v/>
      </c>
      <c r="C421" s="36" t="s">
        <v>454</v>
      </c>
      <c r="D421" s="41"/>
      <c r="E421" s="36"/>
      <c r="F421" s="36" t="str">
        <f>IF(ISBLANK(E421),"",IFERROR(VLOOKUP(E421,'CADASTRO DE CLIENTES'!$C$6:$E$500,3,FALSE),""))</f>
        <v/>
      </c>
      <c r="G421" s="36"/>
      <c r="H421" s="36"/>
      <c r="I421" s="49" t="str">
        <f>IF(ISBLANK(G421),"",IFERROR(VLOOKUP(G421,'CADASTRO DE MATERIAL'!$C$6:$J$500,8,FALSE),""))</f>
        <v/>
      </c>
      <c r="J421" s="54" t="str">
        <f t="shared" si="30"/>
        <v/>
      </c>
      <c r="K421" s="36"/>
      <c r="L421" s="49">
        <f t="shared" si="31"/>
        <v>0</v>
      </c>
      <c r="M421" s="54">
        <f t="shared" si="32"/>
        <v>0</v>
      </c>
      <c r="N421" s="66"/>
      <c r="O421" s="54">
        <f t="shared" si="33"/>
        <v>0</v>
      </c>
      <c r="P421" s="54" t="str">
        <f t="shared" si="34"/>
        <v/>
      </c>
    </row>
    <row r="422" spans="2:16" ht="16.8" hidden="1" customHeight="1" x14ac:dyDescent="0.4">
      <c r="B422" s="30" t="str">
        <f>IF(AND(ISBLANK(D422), ISBLANK(E422), ISBLANK(G422)), "", IF(AND(E422&lt;&gt;"", E422=E421, D422&lt;&gt;"", D422=D421), B421, "PED-" &amp; TEXT(IFERROR(VALUE(RIGHT(LOOKUP("PED-9999",$B$5:B421),4)),1000)+1, "0000")))</f>
        <v/>
      </c>
      <c r="C422" s="30" t="s">
        <v>455</v>
      </c>
      <c r="D422" s="42"/>
      <c r="E422" s="30"/>
      <c r="F422" s="30" t="str">
        <f>IF(ISBLANK(E422),"",IFERROR(VLOOKUP(E422,'CADASTRO DE CLIENTES'!$C$6:$E$500,3,FALSE),""))</f>
        <v/>
      </c>
      <c r="G422" s="30"/>
      <c r="H422" s="30"/>
      <c r="I422" s="51" t="str">
        <f>IF(ISBLANK(G422),"",IFERROR(VLOOKUP(G422,'CADASTRO DE MATERIAL'!$C$6:$J$500,8,FALSE),""))</f>
        <v/>
      </c>
      <c r="J422" s="59" t="str">
        <f t="shared" si="30"/>
        <v/>
      </c>
      <c r="K422" s="30"/>
      <c r="L422" s="51">
        <f t="shared" si="31"/>
        <v>0</v>
      </c>
      <c r="M422" s="59">
        <f t="shared" si="32"/>
        <v>0</v>
      </c>
      <c r="N422" s="65"/>
      <c r="O422" s="59">
        <f t="shared" si="33"/>
        <v>0</v>
      </c>
      <c r="P422" s="59" t="str">
        <f t="shared" si="34"/>
        <v/>
      </c>
    </row>
    <row r="423" spans="2:16" ht="16.8" hidden="1" customHeight="1" x14ac:dyDescent="0.4">
      <c r="B423" s="36" t="str">
        <f>IF(AND(ISBLANK(D423), ISBLANK(E423), ISBLANK(G423)), "", IF(AND(E423&lt;&gt;"", E423=E422, D423&lt;&gt;"", D423=D422), B422, "PED-" &amp; TEXT(IFERROR(VALUE(RIGHT(LOOKUP("PED-9999",$B$5:B422),4)),1000)+1, "0000")))</f>
        <v/>
      </c>
      <c r="C423" s="36" t="s">
        <v>456</v>
      </c>
      <c r="D423" s="41"/>
      <c r="E423" s="36"/>
      <c r="F423" s="36" t="str">
        <f>IF(ISBLANK(E423),"",IFERROR(VLOOKUP(E423,'CADASTRO DE CLIENTES'!$C$6:$E$500,3,FALSE),""))</f>
        <v/>
      </c>
      <c r="G423" s="36"/>
      <c r="H423" s="36"/>
      <c r="I423" s="49" t="str">
        <f>IF(ISBLANK(G423),"",IFERROR(VLOOKUP(G423,'CADASTRO DE MATERIAL'!$C$6:$J$500,8,FALSE),""))</f>
        <v/>
      </c>
      <c r="J423" s="54" t="str">
        <f t="shared" si="30"/>
        <v/>
      </c>
      <c r="K423" s="36"/>
      <c r="L423" s="49">
        <f t="shared" si="31"/>
        <v>0</v>
      </c>
      <c r="M423" s="54">
        <f t="shared" si="32"/>
        <v>0</v>
      </c>
      <c r="N423" s="66"/>
      <c r="O423" s="54">
        <f t="shared" si="33"/>
        <v>0</v>
      </c>
      <c r="P423" s="54" t="str">
        <f t="shared" si="34"/>
        <v/>
      </c>
    </row>
    <row r="424" spans="2:16" ht="16.8" hidden="1" customHeight="1" x14ac:dyDescent="0.4">
      <c r="B424" s="30" t="str">
        <f>IF(AND(ISBLANK(D424), ISBLANK(E424), ISBLANK(G424)), "", IF(AND(E424&lt;&gt;"", E424=E423, D424&lt;&gt;"", D424=D423), B423, "PED-" &amp; TEXT(IFERROR(VALUE(RIGHT(LOOKUP("PED-9999",$B$5:B423),4)),1000)+1, "0000")))</f>
        <v/>
      </c>
      <c r="C424" s="30" t="s">
        <v>457</v>
      </c>
      <c r="D424" s="42"/>
      <c r="E424" s="30"/>
      <c r="F424" s="30" t="str">
        <f>IF(ISBLANK(E424),"",IFERROR(VLOOKUP(E424,'CADASTRO DE CLIENTES'!$C$6:$E$500,3,FALSE),""))</f>
        <v/>
      </c>
      <c r="G424" s="30"/>
      <c r="H424" s="30"/>
      <c r="I424" s="51" t="str">
        <f>IF(ISBLANK(G424),"",IFERROR(VLOOKUP(G424,'CADASTRO DE MATERIAL'!$C$6:$J$500,8,FALSE),""))</f>
        <v/>
      </c>
      <c r="J424" s="59" t="str">
        <f t="shared" si="30"/>
        <v/>
      </c>
      <c r="K424" s="30"/>
      <c r="L424" s="51">
        <f t="shared" si="31"/>
        <v>0</v>
      </c>
      <c r="M424" s="59">
        <f t="shared" si="32"/>
        <v>0</v>
      </c>
      <c r="N424" s="65"/>
      <c r="O424" s="59">
        <f t="shared" si="33"/>
        <v>0</v>
      </c>
      <c r="P424" s="59" t="str">
        <f t="shared" si="34"/>
        <v/>
      </c>
    </row>
    <row r="425" spans="2:16" ht="16.8" hidden="1" customHeight="1" x14ac:dyDescent="0.4">
      <c r="B425" s="36" t="str">
        <f>IF(AND(ISBLANK(D425), ISBLANK(E425), ISBLANK(G425)), "", IF(AND(E425&lt;&gt;"", E425=E424, D425&lt;&gt;"", D425=D424), B424, "PED-" &amp; TEXT(IFERROR(VALUE(RIGHT(LOOKUP("PED-9999",$B$5:B424),4)),1000)+1, "0000")))</f>
        <v/>
      </c>
      <c r="C425" s="36" t="s">
        <v>458</v>
      </c>
      <c r="D425" s="41"/>
      <c r="E425" s="36"/>
      <c r="F425" s="36" t="str">
        <f>IF(ISBLANK(E425),"",IFERROR(VLOOKUP(E425,'CADASTRO DE CLIENTES'!$C$6:$E$500,3,FALSE),""))</f>
        <v/>
      </c>
      <c r="G425" s="36"/>
      <c r="H425" s="36"/>
      <c r="I425" s="49" t="str">
        <f>IF(ISBLANK(G425),"",IFERROR(VLOOKUP(G425,'CADASTRO DE MATERIAL'!$C$6:$J$500,8,FALSE),""))</f>
        <v/>
      </c>
      <c r="J425" s="54" t="str">
        <f t="shared" si="30"/>
        <v/>
      </c>
      <c r="K425" s="36"/>
      <c r="L425" s="49">
        <f t="shared" si="31"/>
        <v>0</v>
      </c>
      <c r="M425" s="54">
        <f t="shared" si="32"/>
        <v>0</v>
      </c>
      <c r="N425" s="66"/>
      <c r="O425" s="54">
        <f t="shared" si="33"/>
        <v>0</v>
      </c>
      <c r="P425" s="54" t="str">
        <f t="shared" si="34"/>
        <v/>
      </c>
    </row>
    <row r="426" spans="2:16" ht="16.8" hidden="1" customHeight="1" x14ac:dyDescent="0.4">
      <c r="B426" s="30" t="str">
        <f>IF(AND(ISBLANK(D426), ISBLANK(E426), ISBLANK(G426)), "", IF(AND(E426&lt;&gt;"", E426=E425, D426&lt;&gt;"", D426=D425), B425, "PED-" &amp; TEXT(IFERROR(VALUE(RIGHT(LOOKUP("PED-9999",$B$5:B425),4)),1000)+1, "0000")))</f>
        <v/>
      </c>
      <c r="C426" s="30" t="s">
        <v>459</v>
      </c>
      <c r="D426" s="42"/>
      <c r="E426" s="30"/>
      <c r="F426" s="30" t="str">
        <f>IF(ISBLANK(E426),"",IFERROR(VLOOKUP(E426,'CADASTRO DE CLIENTES'!$C$6:$E$500,3,FALSE),""))</f>
        <v/>
      </c>
      <c r="G426" s="30"/>
      <c r="H426" s="30"/>
      <c r="I426" s="51" t="str">
        <f>IF(ISBLANK(G426),"",IFERROR(VLOOKUP(G426,'CADASTRO DE MATERIAL'!$C$6:$J$500,8,FALSE),""))</f>
        <v/>
      </c>
      <c r="J426" s="59" t="str">
        <f t="shared" si="30"/>
        <v/>
      </c>
      <c r="K426" s="30"/>
      <c r="L426" s="51">
        <f t="shared" si="31"/>
        <v>0</v>
      </c>
      <c r="M426" s="59">
        <f t="shared" si="32"/>
        <v>0</v>
      </c>
      <c r="N426" s="65"/>
      <c r="O426" s="59">
        <f t="shared" si="33"/>
        <v>0</v>
      </c>
      <c r="P426" s="59" t="str">
        <f t="shared" si="34"/>
        <v/>
      </c>
    </row>
    <row r="427" spans="2:16" ht="16.8" hidden="1" customHeight="1" x14ac:dyDescent="0.4">
      <c r="B427" s="36" t="str">
        <f>IF(AND(ISBLANK(D427), ISBLANK(E427), ISBLANK(G427)), "", IF(AND(E427&lt;&gt;"", E427=E426, D427&lt;&gt;"", D427=D426), B426, "PED-" &amp; TEXT(IFERROR(VALUE(RIGHT(LOOKUP("PED-9999",$B$5:B426),4)),1000)+1, "0000")))</f>
        <v/>
      </c>
      <c r="C427" s="36" t="s">
        <v>460</v>
      </c>
      <c r="D427" s="41"/>
      <c r="E427" s="36"/>
      <c r="F427" s="36" t="str">
        <f>IF(ISBLANK(E427),"",IFERROR(VLOOKUP(E427,'CADASTRO DE CLIENTES'!$C$6:$E$500,3,FALSE),""))</f>
        <v/>
      </c>
      <c r="G427" s="36"/>
      <c r="H427" s="36"/>
      <c r="I427" s="49" t="str">
        <f>IF(ISBLANK(G427),"",IFERROR(VLOOKUP(G427,'CADASTRO DE MATERIAL'!$C$6:$J$500,8,FALSE),""))</f>
        <v/>
      </c>
      <c r="J427" s="54" t="str">
        <f t="shared" si="30"/>
        <v/>
      </c>
      <c r="K427" s="36"/>
      <c r="L427" s="49">
        <f t="shared" si="31"/>
        <v>0</v>
      </c>
      <c r="M427" s="54">
        <f t="shared" si="32"/>
        <v>0</v>
      </c>
      <c r="N427" s="66"/>
      <c r="O427" s="54">
        <f t="shared" si="33"/>
        <v>0</v>
      </c>
      <c r="P427" s="54" t="str">
        <f t="shared" si="34"/>
        <v/>
      </c>
    </row>
    <row r="428" spans="2:16" ht="16.8" hidden="1" customHeight="1" x14ac:dyDescent="0.4">
      <c r="B428" s="30" t="str">
        <f>IF(AND(ISBLANK(D428), ISBLANK(E428), ISBLANK(G428)), "", IF(AND(E428&lt;&gt;"", E428=E427, D428&lt;&gt;"", D428=D427), B427, "PED-" &amp; TEXT(IFERROR(VALUE(RIGHT(LOOKUP("PED-9999",$B$5:B427),4)),1000)+1, "0000")))</f>
        <v/>
      </c>
      <c r="C428" s="30" t="s">
        <v>461</v>
      </c>
      <c r="D428" s="42"/>
      <c r="E428" s="30"/>
      <c r="F428" s="30" t="str">
        <f>IF(ISBLANK(E428),"",IFERROR(VLOOKUP(E428,'CADASTRO DE CLIENTES'!$C$6:$E$500,3,FALSE),""))</f>
        <v/>
      </c>
      <c r="G428" s="30"/>
      <c r="H428" s="30"/>
      <c r="I428" s="51" t="str">
        <f>IF(ISBLANK(G428),"",IFERROR(VLOOKUP(G428,'CADASTRO DE MATERIAL'!$C$6:$J$500,8,FALSE),""))</f>
        <v/>
      </c>
      <c r="J428" s="59" t="str">
        <f t="shared" si="30"/>
        <v/>
      </c>
      <c r="K428" s="30"/>
      <c r="L428" s="51">
        <f t="shared" si="31"/>
        <v>0</v>
      </c>
      <c r="M428" s="59">
        <f t="shared" si="32"/>
        <v>0</v>
      </c>
      <c r="N428" s="65"/>
      <c r="O428" s="59">
        <f t="shared" si="33"/>
        <v>0</v>
      </c>
      <c r="P428" s="59" t="str">
        <f t="shared" si="34"/>
        <v/>
      </c>
    </row>
    <row r="429" spans="2:16" ht="16.8" hidden="1" customHeight="1" x14ac:dyDescent="0.4">
      <c r="B429" s="36" t="str">
        <f>IF(AND(ISBLANK(D429), ISBLANK(E429), ISBLANK(G429)), "", IF(AND(E429&lt;&gt;"", E429=E428, D429&lt;&gt;"", D429=D428), B428, "PED-" &amp; TEXT(IFERROR(VALUE(RIGHT(LOOKUP("PED-9999",$B$5:B428),4)),1000)+1, "0000")))</f>
        <v/>
      </c>
      <c r="C429" s="36" t="s">
        <v>462</v>
      </c>
      <c r="D429" s="41"/>
      <c r="E429" s="36"/>
      <c r="F429" s="36" t="str">
        <f>IF(ISBLANK(E429),"",IFERROR(VLOOKUP(E429,'CADASTRO DE CLIENTES'!$C$6:$E$500,3,FALSE),""))</f>
        <v/>
      </c>
      <c r="G429" s="36"/>
      <c r="H429" s="36"/>
      <c r="I429" s="49" t="str">
        <f>IF(ISBLANK(G429),"",IFERROR(VLOOKUP(G429,'CADASTRO DE MATERIAL'!$C$6:$J$500,8,FALSE),""))</f>
        <v/>
      </c>
      <c r="J429" s="54" t="str">
        <f t="shared" si="30"/>
        <v/>
      </c>
      <c r="K429" s="36"/>
      <c r="L429" s="49">
        <f t="shared" si="31"/>
        <v>0</v>
      </c>
      <c r="M429" s="54">
        <f t="shared" si="32"/>
        <v>0</v>
      </c>
      <c r="N429" s="66"/>
      <c r="O429" s="54">
        <f t="shared" si="33"/>
        <v>0</v>
      </c>
      <c r="P429" s="54" t="str">
        <f t="shared" si="34"/>
        <v/>
      </c>
    </row>
    <row r="430" spans="2:16" ht="16.8" hidden="1" customHeight="1" x14ac:dyDescent="0.4">
      <c r="B430" s="30" t="str">
        <f>IF(AND(ISBLANK(D430), ISBLANK(E430), ISBLANK(G430)), "", IF(AND(E430&lt;&gt;"", E430=E429, D430&lt;&gt;"", D430=D429), B429, "PED-" &amp; TEXT(IFERROR(VALUE(RIGHT(LOOKUP("PED-9999",$B$5:B429),4)),1000)+1, "0000")))</f>
        <v/>
      </c>
      <c r="C430" s="30" t="s">
        <v>463</v>
      </c>
      <c r="D430" s="42"/>
      <c r="E430" s="30"/>
      <c r="F430" s="30" t="str">
        <f>IF(ISBLANK(E430),"",IFERROR(VLOOKUP(E430,'CADASTRO DE CLIENTES'!$C$6:$E$500,3,FALSE),""))</f>
        <v/>
      </c>
      <c r="G430" s="30"/>
      <c r="H430" s="30"/>
      <c r="I430" s="51" t="str">
        <f>IF(ISBLANK(G430),"",IFERROR(VLOOKUP(G430,'CADASTRO DE MATERIAL'!$C$6:$J$500,8,FALSE),""))</f>
        <v/>
      </c>
      <c r="J430" s="59" t="str">
        <f t="shared" si="30"/>
        <v/>
      </c>
      <c r="K430" s="30"/>
      <c r="L430" s="51">
        <f t="shared" si="31"/>
        <v>0</v>
      </c>
      <c r="M430" s="59">
        <f t="shared" si="32"/>
        <v>0</v>
      </c>
      <c r="N430" s="65"/>
      <c r="O430" s="59">
        <f t="shared" si="33"/>
        <v>0</v>
      </c>
      <c r="P430" s="59" t="str">
        <f t="shared" si="34"/>
        <v/>
      </c>
    </row>
    <row r="431" spans="2:16" ht="16.8" hidden="1" customHeight="1" x14ac:dyDescent="0.4">
      <c r="B431" s="36" t="str">
        <f>IF(AND(ISBLANK(D431), ISBLANK(E431), ISBLANK(G431)), "", IF(AND(E431&lt;&gt;"", E431=E430, D431&lt;&gt;"", D431=D430), B430, "PED-" &amp; TEXT(IFERROR(VALUE(RIGHT(LOOKUP("PED-9999",$B$5:B430),4)),1000)+1, "0000")))</f>
        <v/>
      </c>
      <c r="C431" s="36" t="s">
        <v>464</v>
      </c>
      <c r="D431" s="41"/>
      <c r="E431" s="36"/>
      <c r="F431" s="36" t="str">
        <f>IF(ISBLANK(E431),"",IFERROR(VLOOKUP(E431,'CADASTRO DE CLIENTES'!$C$6:$E$500,3,FALSE),""))</f>
        <v/>
      </c>
      <c r="G431" s="36"/>
      <c r="H431" s="36"/>
      <c r="I431" s="49" t="str">
        <f>IF(ISBLANK(G431),"",IFERROR(VLOOKUP(G431,'CADASTRO DE MATERIAL'!$C$6:$J$500,8,FALSE),""))</f>
        <v/>
      </c>
      <c r="J431" s="54" t="str">
        <f t="shared" si="30"/>
        <v/>
      </c>
      <c r="K431" s="36"/>
      <c r="L431" s="49">
        <f t="shared" si="31"/>
        <v>0</v>
      </c>
      <c r="M431" s="54">
        <f t="shared" si="32"/>
        <v>0</v>
      </c>
      <c r="N431" s="66"/>
      <c r="O431" s="54">
        <f t="shared" si="33"/>
        <v>0</v>
      </c>
      <c r="P431" s="54" t="str">
        <f t="shared" si="34"/>
        <v/>
      </c>
    </row>
    <row r="432" spans="2:16" ht="16.8" hidden="1" customHeight="1" x14ac:dyDescent="0.4">
      <c r="B432" s="30" t="str">
        <f>IF(AND(ISBLANK(D432), ISBLANK(E432), ISBLANK(G432)), "", IF(AND(E432&lt;&gt;"", E432=E431, D432&lt;&gt;"", D432=D431), B431, "PED-" &amp; TEXT(IFERROR(VALUE(RIGHT(LOOKUP("PED-9999",$B$5:B431),4)),1000)+1, "0000")))</f>
        <v/>
      </c>
      <c r="C432" s="30" t="s">
        <v>465</v>
      </c>
      <c r="D432" s="42"/>
      <c r="E432" s="30"/>
      <c r="F432" s="30" t="str">
        <f>IF(ISBLANK(E432),"",IFERROR(VLOOKUP(E432,'CADASTRO DE CLIENTES'!$C$6:$E$500,3,FALSE),""))</f>
        <v/>
      </c>
      <c r="G432" s="30"/>
      <c r="H432" s="30"/>
      <c r="I432" s="51" t="str">
        <f>IF(ISBLANK(G432),"",IFERROR(VLOOKUP(G432,'CADASTRO DE MATERIAL'!$C$6:$J$500,8,FALSE),""))</f>
        <v/>
      </c>
      <c r="J432" s="59" t="str">
        <f t="shared" si="30"/>
        <v/>
      </c>
      <c r="K432" s="30"/>
      <c r="L432" s="51">
        <f t="shared" si="31"/>
        <v>0</v>
      </c>
      <c r="M432" s="59">
        <f t="shared" si="32"/>
        <v>0</v>
      </c>
      <c r="N432" s="65"/>
      <c r="O432" s="59">
        <f t="shared" si="33"/>
        <v>0</v>
      </c>
      <c r="P432" s="59" t="str">
        <f t="shared" si="34"/>
        <v/>
      </c>
    </row>
    <row r="433" spans="2:16" ht="16.8" hidden="1" customHeight="1" x14ac:dyDescent="0.4">
      <c r="B433" s="36" t="str">
        <f>IF(AND(ISBLANK(D433), ISBLANK(E433), ISBLANK(G433)), "", IF(AND(E433&lt;&gt;"", E433=E432, D433&lt;&gt;"", D433=D432), B432, "PED-" &amp; TEXT(IFERROR(VALUE(RIGHT(LOOKUP("PED-9999",$B$5:B432),4)),1000)+1, "0000")))</f>
        <v/>
      </c>
      <c r="C433" s="36" t="s">
        <v>466</v>
      </c>
      <c r="D433" s="41"/>
      <c r="E433" s="36"/>
      <c r="F433" s="36" t="str">
        <f>IF(ISBLANK(E433),"",IFERROR(VLOOKUP(E433,'CADASTRO DE CLIENTES'!$C$6:$E$500,3,FALSE),""))</f>
        <v/>
      </c>
      <c r="G433" s="36"/>
      <c r="H433" s="36"/>
      <c r="I433" s="49" t="str">
        <f>IF(ISBLANK(G433),"",IFERROR(VLOOKUP(G433,'CADASTRO DE MATERIAL'!$C$6:$J$500,8,FALSE),""))</f>
        <v/>
      </c>
      <c r="J433" s="54" t="str">
        <f t="shared" si="30"/>
        <v/>
      </c>
      <c r="K433" s="36"/>
      <c r="L433" s="49">
        <f t="shared" si="31"/>
        <v>0</v>
      </c>
      <c r="M433" s="54">
        <f t="shared" si="32"/>
        <v>0</v>
      </c>
      <c r="N433" s="66"/>
      <c r="O433" s="54">
        <f t="shared" si="33"/>
        <v>0</v>
      </c>
      <c r="P433" s="54" t="str">
        <f t="shared" si="34"/>
        <v/>
      </c>
    </row>
    <row r="434" spans="2:16" ht="16.8" hidden="1" customHeight="1" x14ac:dyDescent="0.4">
      <c r="B434" s="30" t="str">
        <f>IF(AND(ISBLANK(D434), ISBLANK(E434), ISBLANK(G434)), "", IF(AND(E434&lt;&gt;"", E434=E433, D434&lt;&gt;"", D434=D433), B433, "PED-" &amp; TEXT(IFERROR(VALUE(RIGHT(LOOKUP("PED-9999",$B$5:B433),4)),1000)+1, "0000")))</f>
        <v/>
      </c>
      <c r="C434" s="30" t="s">
        <v>467</v>
      </c>
      <c r="D434" s="42"/>
      <c r="E434" s="30"/>
      <c r="F434" s="30" t="str">
        <f>IF(ISBLANK(E434),"",IFERROR(VLOOKUP(E434,'CADASTRO DE CLIENTES'!$C$6:$E$500,3,FALSE),""))</f>
        <v/>
      </c>
      <c r="G434" s="30"/>
      <c r="H434" s="30"/>
      <c r="I434" s="51" t="str">
        <f>IF(ISBLANK(G434),"",IFERROR(VLOOKUP(G434,'CADASTRO DE MATERIAL'!$C$6:$J$500,8,FALSE),""))</f>
        <v/>
      </c>
      <c r="J434" s="59" t="str">
        <f t="shared" si="30"/>
        <v/>
      </c>
      <c r="K434" s="30"/>
      <c r="L434" s="51">
        <f t="shared" si="31"/>
        <v>0</v>
      </c>
      <c r="M434" s="59">
        <f t="shared" si="32"/>
        <v>0</v>
      </c>
      <c r="N434" s="65"/>
      <c r="O434" s="59">
        <f t="shared" si="33"/>
        <v>0</v>
      </c>
      <c r="P434" s="59" t="str">
        <f t="shared" si="34"/>
        <v/>
      </c>
    </row>
    <row r="435" spans="2:16" ht="16.8" hidden="1" customHeight="1" x14ac:dyDescent="0.4">
      <c r="B435" s="36" t="str">
        <f>IF(AND(ISBLANK(D435), ISBLANK(E435), ISBLANK(G435)), "", IF(AND(E435&lt;&gt;"", E435=E434, D435&lt;&gt;"", D435=D434), B434, "PED-" &amp; TEXT(IFERROR(VALUE(RIGHT(LOOKUP("PED-9999",$B$5:B434),4)),1000)+1, "0000")))</f>
        <v/>
      </c>
      <c r="C435" s="36" t="s">
        <v>468</v>
      </c>
      <c r="D435" s="41"/>
      <c r="E435" s="36"/>
      <c r="F435" s="36" t="str">
        <f>IF(ISBLANK(E435),"",IFERROR(VLOOKUP(E435,'CADASTRO DE CLIENTES'!$C$6:$E$500,3,FALSE),""))</f>
        <v/>
      </c>
      <c r="G435" s="36"/>
      <c r="H435" s="36"/>
      <c r="I435" s="49" t="str">
        <f>IF(ISBLANK(G435),"",IFERROR(VLOOKUP(G435,'CADASTRO DE MATERIAL'!$C$6:$J$500,8,FALSE),""))</f>
        <v/>
      </c>
      <c r="J435" s="54" t="str">
        <f t="shared" si="30"/>
        <v/>
      </c>
      <c r="K435" s="36"/>
      <c r="L435" s="49">
        <f t="shared" si="31"/>
        <v>0</v>
      </c>
      <c r="M435" s="54">
        <f t="shared" si="32"/>
        <v>0</v>
      </c>
      <c r="N435" s="66"/>
      <c r="O435" s="54">
        <f t="shared" si="33"/>
        <v>0</v>
      </c>
      <c r="P435" s="54" t="str">
        <f t="shared" si="34"/>
        <v/>
      </c>
    </row>
    <row r="436" spans="2:16" ht="16.8" hidden="1" customHeight="1" x14ac:dyDescent="0.4">
      <c r="B436" s="30" t="str">
        <f>IF(AND(ISBLANK(D436), ISBLANK(E436), ISBLANK(G436)), "", IF(AND(E436&lt;&gt;"", E436=E435, D436&lt;&gt;"", D436=D435), B435, "PED-" &amp; TEXT(IFERROR(VALUE(RIGHT(LOOKUP("PED-9999",$B$5:B435),4)),1000)+1, "0000")))</f>
        <v/>
      </c>
      <c r="C436" s="30" t="s">
        <v>469</v>
      </c>
      <c r="D436" s="42"/>
      <c r="E436" s="30"/>
      <c r="F436" s="30" t="str">
        <f>IF(ISBLANK(E436),"",IFERROR(VLOOKUP(E436,'CADASTRO DE CLIENTES'!$C$6:$E$500,3,FALSE),""))</f>
        <v/>
      </c>
      <c r="G436" s="30"/>
      <c r="H436" s="30"/>
      <c r="I436" s="51" t="str">
        <f>IF(ISBLANK(G436),"",IFERROR(VLOOKUP(G436,'CADASTRO DE MATERIAL'!$C$6:$J$500,8,FALSE),""))</f>
        <v/>
      </c>
      <c r="J436" s="59" t="str">
        <f t="shared" si="30"/>
        <v/>
      </c>
      <c r="K436" s="30"/>
      <c r="L436" s="51">
        <f t="shared" si="31"/>
        <v>0</v>
      </c>
      <c r="M436" s="59">
        <f t="shared" si="32"/>
        <v>0</v>
      </c>
      <c r="N436" s="65"/>
      <c r="O436" s="59">
        <f t="shared" si="33"/>
        <v>0</v>
      </c>
      <c r="P436" s="59" t="str">
        <f t="shared" si="34"/>
        <v/>
      </c>
    </row>
    <row r="437" spans="2:16" ht="16.8" hidden="1" customHeight="1" x14ac:dyDescent="0.4">
      <c r="B437" s="36" t="str">
        <f>IF(AND(ISBLANK(D437), ISBLANK(E437), ISBLANK(G437)), "", IF(AND(E437&lt;&gt;"", E437=E436, D437&lt;&gt;"", D437=D436), B436, "PED-" &amp; TEXT(IFERROR(VALUE(RIGHT(LOOKUP("PED-9999",$B$5:B436),4)),1000)+1, "0000")))</f>
        <v/>
      </c>
      <c r="C437" s="36" t="s">
        <v>470</v>
      </c>
      <c r="D437" s="41"/>
      <c r="E437" s="36"/>
      <c r="F437" s="36" t="str">
        <f>IF(ISBLANK(E437),"",IFERROR(VLOOKUP(E437,'CADASTRO DE CLIENTES'!$C$6:$E$500,3,FALSE),""))</f>
        <v/>
      </c>
      <c r="G437" s="36"/>
      <c r="H437" s="36"/>
      <c r="I437" s="49" t="str">
        <f>IF(ISBLANK(G437),"",IFERROR(VLOOKUP(G437,'CADASTRO DE MATERIAL'!$C$6:$J$500,8,FALSE),""))</f>
        <v/>
      </c>
      <c r="J437" s="54" t="str">
        <f t="shared" si="30"/>
        <v/>
      </c>
      <c r="K437" s="36"/>
      <c r="L437" s="49">
        <f t="shared" si="31"/>
        <v>0</v>
      </c>
      <c r="M437" s="54">
        <f t="shared" si="32"/>
        <v>0</v>
      </c>
      <c r="N437" s="66"/>
      <c r="O437" s="54">
        <f t="shared" si="33"/>
        <v>0</v>
      </c>
      <c r="P437" s="54" t="str">
        <f t="shared" si="34"/>
        <v/>
      </c>
    </row>
    <row r="438" spans="2:16" ht="16.8" hidden="1" customHeight="1" x14ac:dyDescent="0.4">
      <c r="B438" s="30" t="str">
        <f>IF(AND(ISBLANK(D438), ISBLANK(E438), ISBLANK(G438)), "", IF(AND(E438&lt;&gt;"", E438=E437, D438&lt;&gt;"", D438=D437), B437, "PED-" &amp; TEXT(IFERROR(VALUE(RIGHT(LOOKUP("PED-9999",$B$5:B437),4)),1000)+1, "0000")))</f>
        <v/>
      </c>
      <c r="C438" s="30" t="s">
        <v>471</v>
      </c>
      <c r="D438" s="42"/>
      <c r="E438" s="30"/>
      <c r="F438" s="30" t="str">
        <f>IF(ISBLANK(E438),"",IFERROR(VLOOKUP(E438,'CADASTRO DE CLIENTES'!$C$6:$E$500,3,FALSE),""))</f>
        <v/>
      </c>
      <c r="G438" s="30"/>
      <c r="H438" s="30"/>
      <c r="I438" s="51" t="str">
        <f>IF(ISBLANK(G438),"",IFERROR(VLOOKUP(G438,'CADASTRO DE MATERIAL'!$C$6:$J$500,8,FALSE),""))</f>
        <v/>
      </c>
      <c r="J438" s="59" t="str">
        <f t="shared" si="30"/>
        <v/>
      </c>
      <c r="K438" s="30"/>
      <c r="L438" s="51">
        <f t="shared" si="31"/>
        <v>0</v>
      </c>
      <c r="M438" s="59">
        <f t="shared" si="32"/>
        <v>0</v>
      </c>
      <c r="N438" s="65"/>
      <c r="O438" s="59">
        <f t="shared" si="33"/>
        <v>0</v>
      </c>
      <c r="P438" s="59" t="str">
        <f t="shared" si="34"/>
        <v/>
      </c>
    </row>
    <row r="439" spans="2:16" ht="16.8" hidden="1" customHeight="1" x14ac:dyDescent="0.4">
      <c r="B439" s="36" t="str">
        <f>IF(AND(ISBLANK(D439), ISBLANK(E439), ISBLANK(G439)), "", IF(AND(E439&lt;&gt;"", E439=E438, D439&lt;&gt;"", D439=D438), B438, "PED-" &amp; TEXT(IFERROR(VALUE(RIGHT(LOOKUP("PED-9999",$B$5:B438),4)),1000)+1, "0000")))</f>
        <v/>
      </c>
      <c r="C439" s="36" t="s">
        <v>472</v>
      </c>
      <c r="D439" s="41"/>
      <c r="E439" s="36"/>
      <c r="F439" s="36" t="str">
        <f>IF(ISBLANK(E439),"",IFERROR(VLOOKUP(E439,'CADASTRO DE CLIENTES'!$C$6:$E$500,3,FALSE),""))</f>
        <v/>
      </c>
      <c r="G439" s="36"/>
      <c r="H439" s="36"/>
      <c r="I439" s="49" t="str">
        <f>IF(ISBLANK(G439),"",IFERROR(VLOOKUP(G439,'CADASTRO DE MATERIAL'!$C$6:$J$500,8,FALSE),""))</f>
        <v/>
      </c>
      <c r="J439" s="54" t="str">
        <f t="shared" si="30"/>
        <v/>
      </c>
      <c r="K439" s="36"/>
      <c r="L439" s="49">
        <f t="shared" si="31"/>
        <v>0</v>
      </c>
      <c r="M439" s="54">
        <f t="shared" si="32"/>
        <v>0</v>
      </c>
      <c r="N439" s="66"/>
      <c r="O439" s="54">
        <f t="shared" si="33"/>
        <v>0</v>
      </c>
      <c r="P439" s="54" t="str">
        <f t="shared" si="34"/>
        <v/>
      </c>
    </row>
    <row r="440" spans="2:16" ht="16.8" hidden="1" customHeight="1" x14ac:dyDescent="0.4">
      <c r="B440" s="30" t="str">
        <f>IF(AND(ISBLANK(D440), ISBLANK(E440), ISBLANK(G440)), "", IF(AND(E440&lt;&gt;"", E440=E439, D440&lt;&gt;"", D440=D439), B439, "PED-" &amp; TEXT(IFERROR(VALUE(RIGHT(LOOKUP("PED-9999",$B$5:B439),4)),1000)+1, "0000")))</f>
        <v/>
      </c>
      <c r="C440" s="30" t="s">
        <v>473</v>
      </c>
      <c r="D440" s="42"/>
      <c r="E440" s="30"/>
      <c r="F440" s="30" t="str">
        <f>IF(ISBLANK(E440),"",IFERROR(VLOOKUP(E440,'CADASTRO DE CLIENTES'!$C$6:$E$500,3,FALSE),""))</f>
        <v/>
      </c>
      <c r="G440" s="30"/>
      <c r="H440" s="30"/>
      <c r="I440" s="51" t="str">
        <f>IF(ISBLANK(G440),"",IFERROR(VLOOKUP(G440,'CADASTRO DE MATERIAL'!$C$6:$J$500,8,FALSE),""))</f>
        <v/>
      </c>
      <c r="J440" s="59" t="str">
        <f t="shared" si="30"/>
        <v/>
      </c>
      <c r="K440" s="30"/>
      <c r="L440" s="51">
        <f t="shared" si="31"/>
        <v>0</v>
      </c>
      <c r="M440" s="59">
        <f t="shared" si="32"/>
        <v>0</v>
      </c>
      <c r="N440" s="65"/>
      <c r="O440" s="59">
        <f t="shared" si="33"/>
        <v>0</v>
      </c>
      <c r="P440" s="59" t="str">
        <f t="shared" si="34"/>
        <v/>
      </c>
    </row>
    <row r="441" spans="2:16" ht="16.8" hidden="1" customHeight="1" x14ac:dyDescent="0.4">
      <c r="B441" s="36" t="str">
        <f>IF(AND(ISBLANK(D441), ISBLANK(E441), ISBLANK(G441)), "", IF(AND(E441&lt;&gt;"", E441=E440, D441&lt;&gt;"", D441=D440), B440, "PED-" &amp; TEXT(IFERROR(VALUE(RIGHT(LOOKUP("PED-9999",$B$5:B440),4)),1000)+1, "0000")))</f>
        <v/>
      </c>
      <c r="C441" s="36" t="s">
        <v>474</v>
      </c>
      <c r="D441" s="41"/>
      <c r="E441" s="36"/>
      <c r="F441" s="36" t="str">
        <f>IF(ISBLANK(E441),"",IFERROR(VLOOKUP(E441,'CADASTRO DE CLIENTES'!$C$6:$E$500,3,FALSE),""))</f>
        <v/>
      </c>
      <c r="G441" s="36"/>
      <c r="H441" s="36"/>
      <c r="I441" s="49" t="str">
        <f>IF(ISBLANK(G441),"",IFERROR(VLOOKUP(G441,'CADASTRO DE MATERIAL'!$C$6:$J$500,8,FALSE),""))</f>
        <v/>
      </c>
      <c r="J441" s="54" t="str">
        <f t="shared" si="30"/>
        <v/>
      </c>
      <c r="K441" s="36"/>
      <c r="L441" s="49">
        <f t="shared" si="31"/>
        <v>0</v>
      </c>
      <c r="M441" s="54">
        <f t="shared" si="32"/>
        <v>0</v>
      </c>
      <c r="N441" s="66"/>
      <c r="O441" s="54">
        <f t="shared" si="33"/>
        <v>0</v>
      </c>
      <c r="P441" s="54" t="str">
        <f t="shared" si="34"/>
        <v/>
      </c>
    </row>
    <row r="442" spans="2:16" ht="16.8" hidden="1" customHeight="1" x14ac:dyDescent="0.4">
      <c r="B442" s="30" t="str">
        <f>IF(AND(ISBLANK(D442), ISBLANK(E442), ISBLANK(G442)), "", IF(AND(E442&lt;&gt;"", E442=E441, D442&lt;&gt;"", D442=D441), B441, "PED-" &amp; TEXT(IFERROR(VALUE(RIGHT(LOOKUP("PED-9999",$B$5:B441),4)),1000)+1, "0000")))</f>
        <v/>
      </c>
      <c r="C442" s="30" t="s">
        <v>475</v>
      </c>
      <c r="D442" s="42"/>
      <c r="E442" s="30"/>
      <c r="F442" s="30" t="str">
        <f>IF(ISBLANK(E442),"",IFERROR(VLOOKUP(E442,'CADASTRO DE CLIENTES'!$C$6:$E$500,3,FALSE),""))</f>
        <v/>
      </c>
      <c r="G442" s="30"/>
      <c r="H442" s="30"/>
      <c r="I442" s="51" t="str">
        <f>IF(ISBLANK(G442),"",IFERROR(VLOOKUP(G442,'CADASTRO DE MATERIAL'!$C$6:$J$500,8,FALSE),""))</f>
        <v/>
      </c>
      <c r="J442" s="59" t="str">
        <f t="shared" si="30"/>
        <v/>
      </c>
      <c r="K442" s="30"/>
      <c r="L442" s="51">
        <f t="shared" si="31"/>
        <v>0</v>
      </c>
      <c r="M442" s="59">
        <f t="shared" si="32"/>
        <v>0</v>
      </c>
      <c r="N442" s="65"/>
      <c r="O442" s="59">
        <f t="shared" si="33"/>
        <v>0</v>
      </c>
      <c r="P442" s="59" t="str">
        <f t="shared" si="34"/>
        <v/>
      </c>
    </row>
    <row r="443" spans="2:16" ht="16.8" hidden="1" customHeight="1" x14ac:dyDescent="0.4">
      <c r="B443" s="36" t="str">
        <f>IF(AND(ISBLANK(D443), ISBLANK(E443), ISBLANK(G443)), "", IF(AND(E443&lt;&gt;"", E443=E442, D443&lt;&gt;"", D443=D442), B442, "PED-" &amp; TEXT(IFERROR(VALUE(RIGHT(LOOKUP("PED-9999",$B$5:B442),4)),1000)+1, "0000")))</f>
        <v/>
      </c>
      <c r="C443" s="36" t="s">
        <v>476</v>
      </c>
      <c r="D443" s="41"/>
      <c r="E443" s="36"/>
      <c r="F443" s="36" t="str">
        <f>IF(ISBLANK(E443),"",IFERROR(VLOOKUP(E443,'CADASTRO DE CLIENTES'!$C$6:$E$500,3,FALSE),""))</f>
        <v/>
      </c>
      <c r="G443" s="36"/>
      <c r="H443" s="36"/>
      <c r="I443" s="49" t="str">
        <f>IF(ISBLANK(G443),"",IFERROR(VLOOKUP(G443,'CADASTRO DE MATERIAL'!$C$6:$J$500,8,FALSE),""))</f>
        <v/>
      </c>
      <c r="J443" s="54" t="str">
        <f t="shared" si="30"/>
        <v/>
      </c>
      <c r="K443" s="36"/>
      <c r="L443" s="49">
        <f t="shared" si="31"/>
        <v>0</v>
      </c>
      <c r="M443" s="54">
        <f t="shared" si="32"/>
        <v>0</v>
      </c>
      <c r="N443" s="66"/>
      <c r="O443" s="54">
        <f t="shared" si="33"/>
        <v>0</v>
      </c>
      <c r="P443" s="54" t="str">
        <f t="shared" si="34"/>
        <v/>
      </c>
    </row>
    <row r="444" spans="2:16" ht="16.8" hidden="1" customHeight="1" x14ac:dyDescent="0.4">
      <c r="B444" s="30" t="str">
        <f>IF(AND(ISBLANK(D444), ISBLANK(E444), ISBLANK(G444)), "", IF(AND(E444&lt;&gt;"", E444=E443, D444&lt;&gt;"", D444=D443), B443, "PED-" &amp; TEXT(IFERROR(VALUE(RIGHT(LOOKUP("PED-9999",$B$5:B443),4)),1000)+1, "0000")))</f>
        <v/>
      </c>
      <c r="C444" s="30" t="s">
        <v>477</v>
      </c>
      <c r="D444" s="42"/>
      <c r="E444" s="30"/>
      <c r="F444" s="30" t="str">
        <f>IF(ISBLANK(E444),"",IFERROR(VLOOKUP(E444,'CADASTRO DE CLIENTES'!$C$6:$E$500,3,FALSE),""))</f>
        <v/>
      </c>
      <c r="G444" s="30"/>
      <c r="H444" s="30"/>
      <c r="I444" s="51" t="str">
        <f>IF(ISBLANK(G444),"",IFERROR(VLOOKUP(G444,'CADASTRO DE MATERIAL'!$C$6:$J$500,8,FALSE),""))</f>
        <v/>
      </c>
      <c r="J444" s="59" t="str">
        <f t="shared" si="30"/>
        <v/>
      </c>
      <c r="K444" s="30"/>
      <c r="L444" s="51">
        <f t="shared" si="31"/>
        <v>0</v>
      </c>
      <c r="M444" s="59">
        <f t="shared" si="32"/>
        <v>0</v>
      </c>
      <c r="N444" s="65"/>
      <c r="O444" s="59">
        <f t="shared" si="33"/>
        <v>0</v>
      </c>
      <c r="P444" s="59" t="str">
        <f t="shared" si="34"/>
        <v/>
      </c>
    </row>
    <row r="445" spans="2:16" ht="16.8" hidden="1" customHeight="1" x14ac:dyDescent="0.4">
      <c r="B445" s="36" t="str">
        <f>IF(AND(ISBLANK(D445), ISBLANK(E445), ISBLANK(G445)), "", IF(AND(E445&lt;&gt;"", E445=E444, D445&lt;&gt;"", D445=D444), B444, "PED-" &amp; TEXT(IFERROR(VALUE(RIGHT(LOOKUP("PED-9999",$B$5:B444),4)),1000)+1, "0000")))</f>
        <v/>
      </c>
      <c r="C445" s="36" t="s">
        <v>478</v>
      </c>
      <c r="D445" s="41"/>
      <c r="E445" s="36"/>
      <c r="F445" s="36" t="str">
        <f>IF(ISBLANK(E445),"",IFERROR(VLOOKUP(E445,'CADASTRO DE CLIENTES'!$C$6:$E$500,3,FALSE),""))</f>
        <v/>
      </c>
      <c r="G445" s="36"/>
      <c r="H445" s="36"/>
      <c r="I445" s="49" t="str">
        <f>IF(ISBLANK(G445),"",IFERROR(VLOOKUP(G445,'CADASTRO DE MATERIAL'!$C$6:$J$500,8,FALSE),""))</f>
        <v/>
      </c>
      <c r="J445" s="54" t="str">
        <f t="shared" si="30"/>
        <v/>
      </c>
      <c r="K445" s="36"/>
      <c r="L445" s="49">
        <f t="shared" si="31"/>
        <v>0</v>
      </c>
      <c r="M445" s="54">
        <f t="shared" si="32"/>
        <v>0</v>
      </c>
      <c r="N445" s="66"/>
      <c r="O445" s="54">
        <f t="shared" si="33"/>
        <v>0</v>
      </c>
      <c r="P445" s="54" t="str">
        <f t="shared" si="34"/>
        <v/>
      </c>
    </row>
    <row r="446" spans="2:16" ht="16.8" hidden="1" customHeight="1" x14ac:dyDescent="0.4">
      <c r="B446" s="30" t="str">
        <f>IF(AND(ISBLANK(D446), ISBLANK(E446), ISBLANK(G446)), "", IF(AND(E446&lt;&gt;"", E446=E445, D446&lt;&gt;"", D446=D445), B445, "PED-" &amp; TEXT(IFERROR(VALUE(RIGHT(LOOKUP("PED-9999",$B$5:B445),4)),1000)+1, "0000")))</f>
        <v/>
      </c>
      <c r="C446" s="30" t="s">
        <v>479</v>
      </c>
      <c r="D446" s="42"/>
      <c r="E446" s="30"/>
      <c r="F446" s="30" t="str">
        <f>IF(ISBLANK(E446),"",IFERROR(VLOOKUP(E446,'CADASTRO DE CLIENTES'!$C$6:$E$500,3,FALSE),""))</f>
        <v/>
      </c>
      <c r="G446" s="30"/>
      <c r="H446" s="30"/>
      <c r="I446" s="51" t="str">
        <f>IF(ISBLANK(G446),"",IFERROR(VLOOKUP(G446,'CADASTRO DE MATERIAL'!$C$6:$J$500,8,FALSE),""))</f>
        <v/>
      </c>
      <c r="J446" s="59" t="str">
        <f t="shared" si="30"/>
        <v/>
      </c>
      <c r="K446" s="30"/>
      <c r="L446" s="51">
        <f t="shared" si="31"/>
        <v>0</v>
      </c>
      <c r="M446" s="59">
        <f t="shared" si="32"/>
        <v>0</v>
      </c>
      <c r="N446" s="65"/>
      <c r="O446" s="59">
        <f t="shared" si="33"/>
        <v>0</v>
      </c>
      <c r="P446" s="59" t="str">
        <f t="shared" si="34"/>
        <v/>
      </c>
    </row>
    <row r="447" spans="2:16" ht="16.8" hidden="1" customHeight="1" x14ac:dyDescent="0.4">
      <c r="B447" s="36" t="str">
        <f>IF(AND(ISBLANK(D447), ISBLANK(E447), ISBLANK(G447)), "", IF(AND(E447&lt;&gt;"", E447=E446, D447&lt;&gt;"", D447=D446), B446, "PED-" &amp; TEXT(IFERROR(VALUE(RIGHT(LOOKUP("PED-9999",$B$5:B446),4)),1000)+1, "0000")))</f>
        <v/>
      </c>
      <c r="C447" s="36" t="s">
        <v>480</v>
      </c>
      <c r="D447" s="41"/>
      <c r="E447" s="36"/>
      <c r="F447" s="36" t="str">
        <f>IF(ISBLANK(E447),"",IFERROR(VLOOKUP(E447,'CADASTRO DE CLIENTES'!$C$6:$E$500,3,FALSE),""))</f>
        <v/>
      </c>
      <c r="G447" s="36"/>
      <c r="H447" s="36"/>
      <c r="I447" s="49" t="str">
        <f>IF(ISBLANK(G447),"",IFERROR(VLOOKUP(G447,'CADASTRO DE MATERIAL'!$C$6:$J$500,8,FALSE),""))</f>
        <v/>
      </c>
      <c r="J447" s="54" t="str">
        <f t="shared" si="30"/>
        <v/>
      </c>
      <c r="K447" s="36"/>
      <c r="L447" s="49">
        <f t="shared" si="31"/>
        <v>0</v>
      </c>
      <c r="M447" s="54">
        <f t="shared" si="32"/>
        <v>0</v>
      </c>
      <c r="N447" s="66"/>
      <c r="O447" s="54">
        <f t="shared" si="33"/>
        <v>0</v>
      </c>
      <c r="P447" s="54" t="str">
        <f t="shared" si="34"/>
        <v/>
      </c>
    </row>
    <row r="448" spans="2:16" ht="16.8" hidden="1" customHeight="1" x14ac:dyDescent="0.4">
      <c r="B448" s="30" t="str">
        <f>IF(AND(ISBLANK(D448), ISBLANK(E448), ISBLANK(G448)), "", IF(AND(E448&lt;&gt;"", E448=E447, D448&lt;&gt;"", D448=D447), B447, "PED-" &amp; TEXT(IFERROR(VALUE(RIGHT(LOOKUP("PED-9999",$B$5:B447),4)),1000)+1, "0000")))</f>
        <v/>
      </c>
      <c r="C448" s="30" t="s">
        <v>481</v>
      </c>
      <c r="D448" s="42"/>
      <c r="E448" s="30"/>
      <c r="F448" s="30" t="str">
        <f>IF(ISBLANK(E448),"",IFERROR(VLOOKUP(E448,'CADASTRO DE CLIENTES'!$C$6:$E$500,3,FALSE),""))</f>
        <v/>
      </c>
      <c r="G448" s="30"/>
      <c r="H448" s="30"/>
      <c r="I448" s="51" t="str">
        <f>IF(ISBLANK(G448),"",IFERROR(VLOOKUP(G448,'CADASTRO DE MATERIAL'!$C$6:$J$500,8,FALSE),""))</f>
        <v/>
      </c>
      <c r="J448" s="59" t="str">
        <f t="shared" si="30"/>
        <v/>
      </c>
      <c r="K448" s="30"/>
      <c r="L448" s="51">
        <f t="shared" si="31"/>
        <v>0</v>
      </c>
      <c r="M448" s="59">
        <f t="shared" si="32"/>
        <v>0</v>
      </c>
      <c r="N448" s="65"/>
      <c r="O448" s="59">
        <f t="shared" si="33"/>
        <v>0</v>
      </c>
      <c r="P448" s="59" t="str">
        <f t="shared" si="34"/>
        <v/>
      </c>
    </row>
    <row r="449" spans="2:16" ht="16.8" hidden="1" customHeight="1" x14ac:dyDescent="0.4">
      <c r="B449" s="36" t="str">
        <f>IF(AND(ISBLANK(D449), ISBLANK(E449), ISBLANK(G449)), "", IF(AND(E449&lt;&gt;"", E449=E448, D449&lt;&gt;"", D449=D448), B448, "PED-" &amp; TEXT(IFERROR(VALUE(RIGHT(LOOKUP("PED-9999",$B$5:B448),4)),1000)+1, "0000")))</f>
        <v/>
      </c>
      <c r="C449" s="36" t="s">
        <v>482</v>
      </c>
      <c r="D449" s="41"/>
      <c r="E449" s="36"/>
      <c r="F449" s="36" t="str">
        <f>IF(ISBLANK(E449),"",IFERROR(VLOOKUP(E449,'CADASTRO DE CLIENTES'!$C$6:$E$500,3,FALSE),""))</f>
        <v/>
      </c>
      <c r="G449" s="36"/>
      <c r="H449" s="36"/>
      <c r="I449" s="49" t="str">
        <f>IF(ISBLANK(G449),"",IFERROR(VLOOKUP(G449,'CADASTRO DE MATERIAL'!$C$6:$J$500,8,FALSE),""))</f>
        <v/>
      </c>
      <c r="J449" s="54" t="str">
        <f t="shared" si="30"/>
        <v/>
      </c>
      <c r="K449" s="36"/>
      <c r="L449" s="49">
        <f t="shared" si="31"/>
        <v>0</v>
      </c>
      <c r="M449" s="54">
        <f t="shared" si="32"/>
        <v>0</v>
      </c>
      <c r="N449" s="66"/>
      <c r="O449" s="54">
        <f t="shared" si="33"/>
        <v>0</v>
      </c>
      <c r="P449" s="54" t="str">
        <f t="shared" si="34"/>
        <v/>
      </c>
    </row>
    <row r="450" spans="2:16" ht="16.8" hidden="1" customHeight="1" x14ac:dyDescent="0.4">
      <c r="B450" s="30" t="str">
        <f>IF(AND(ISBLANK(D450), ISBLANK(E450), ISBLANK(G450)), "", IF(AND(E450&lt;&gt;"", E450=E449, D450&lt;&gt;"", D450=D449), B449, "PED-" &amp; TEXT(IFERROR(VALUE(RIGHT(LOOKUP("PED-9999",$B$5:B449),4)),1000)+1, "0000")))</f>
        <v/>
      </c>
      <c r="C450" s="30" t="s">
        <v>483</v>
      </c>
      <c r="D450" s="42"/>
      <c r="E450" s="30"/>
      <c r="F450" s="30" t="str">
        <f>IF(ISBLANK(E450),"",IFERROR(VLOOKUP(E450,'CADASTRO DE CLIENTES'!$C$6:$E$500,3,FALSE),""))</f>
        <v/>
      </c>
      <c r="G450" s="30"/>
      <c r="H450" s="30"/>
      <c r="I450" s="51" t="str">
        <f>IF(ISBLANK(G450),"",IFERROR(VLOOKUP(G450,'CADASTRO DE MATERIAL'!$C$6:$J$500,8,FALSE),""))</f>
        <v/>
      </c>
      <c r="J450" s="59" t="str">
        <f t="shared" si="30"/>
        <v/>
      </c>
      <c r="K450" s="30"/>
      <c r="L450" s="51">
        <f t="shared" si="31"/>
        <v>0</v>
      </c>
      <c r="M450" s="59">
        <f t="shared" si="32"/>
        <v>0</v>
      </c>
      <c r="N450" s="65"/>
      <c r="O450" s="59">
        <f t="shared" si="33"/>
        <v>0</v>
      </c>
      <c r="P450" s="59" t="str">
        <f t="shared" si="34"/>
        <v/>
      </c>
    </row>
    <row r="451" spans="2:16" ht="16.8" hidden="1" customHeight="1" x14ac:dyDescent="0.4">
      <c r="B451" s="36" t="str">
        <f>IF(AND(ISBLANK(D451), ISBLANK(E451), ISBLANK(G451)), "", IF(AND(E451&lt;&gt;"", E451=E450, D451&lt;&gt;"", D451=D450), B450, "PED-" &amp; TEXT(IFERROR(VALUE(RIGHT(LOOKUP("PED-9999",$B$5:B450),4)),1000)+1, "0000")))</f>
        <v/>
      </c>
      <c r="C451" s="36" t="s">
        <v>484</v>
      </c>
      <c r="D451" s="41"/>
      <c r="E451" s="36"/>
      <c r="F451" s="36" t="str">
        <f>IF(ISBLANK(E451),"",IFERROR(VLOOKUP(E451,'CADASTRO DE CLIENTES'!$C$6:$E$500,3,FALSE),""))</f>
        <v/>
      </c>
      <c r="G451" s="36"/>
      <c r="H451" s="36"/>
      <c r="I451" s="49" t="str">
        <f>IF(ISBLANK(G451),"",IFERROR(VLOOKUP(G451,'CADASTRO DE MATERIAL'!$C$6:$J$500,8,FALSE),""))</f>
        <v/>
      </c>
      <c r="J451" s="54" t="str">
        <f t="shared" si="30"/>
        <v/>
      </c>
      <c r="K451" s="36"/>
      <c r="L451" s="49">
        <f t="shared" si="31"/>
        <v>0</v>
      </c>
      <c r="M451" s="54">
        <f t="shared" si="32"/>
        <v>0</v>
      </c>
      <c r="N451" s="66"/>
      <c r="O451" s="54">
        <f t="shared" si="33"/>
        <v>0</v>
      </c>
      <c r="P451" s="54" t="str">
        <f t="shared" si="34"/>
        <v/>
      </c>
    </row>
    <row r="452" spans="2:16" ht="16.8" hidden="1" customHeight="1" x14ac:dyDescent="0.4">
      <c r="B452" s="30" t="str">
        <f>IF(AND(ISBLANK(D452), ISBLANK(E452), ISBLANK(G452)), "", IF(AND(E452&lt;&gt;"", E452=E451, D452&lt;&gt;"", D452=D451), B451, "PED-" &amp; TEXT(IFERROR(VALUE(RIGHT(LOOKUP("PED-9999",$B$5:B451),4)),1000)+1, "0000")))</f>
        <v/>
      </c>
      <c r="C452" s="30" t="s">
        <v>485</v>
      </c>
      <c r="D452" s="42"/>
      <c r="E452" s="30"/>
      <c r="F452" s="30" t="str">
        <f>IF(ISBLANK(E452),"",IFERROR(VLOOKUP(E452,'CADASTRO DE CLIENTES'!$C$6:$E$500,3,FALSE),""))</f>
        <v/>
      </c>
      <c r="G452" s="30"/>
      <c r="H452" s="30"/>
      <c r="I452" s="51" t="str">
        <f>IF(ISBLANK(G452),"",IFERROR(VLOOKUP(G452,'CADASTRO DE MATERIAL'!$C$6:$J$500,8,FALSE),""))</f>
        <v/>
      </c>
      <c r="J452" s="59" t="str">
        <f t="shared" si="30"/>
        <v/>
      </c>
      <c r="K452" s="30"/>
      <c r="L452" s="51">
        <f t="shared" si="31"/>
        <v>0</v>
      </c>
      <c r="M452" s="59">
        <f t="shared" si="32"/>
        <v>0</v>
      </c>
      <c r="N452" s="65"/>
      <c r="O452" s="59">
        <f t="shared" si="33"/>
        <v>0</v>
      </c>
      <c r="P452" s="59" t="str">
        <f t="shared" si="34"/>
        <v/>
      </c>
    </row>
    <row r="453" spans="2:16" ht="16.8" hidden="1" customHeight="1" x14ac:dyDescent="0.4">
      <c r="B453" s="36" t="str">
        <f>IF(AND(ISBLANK(D453), ISBLANK(E453), ISBLANK(G453)), "", IF(AND(E453&lt;&gt;"", E453=E452, D453&lt;&gt;"", D453=D452), B452, "PED-" &amp; TEXT(IFERROR(VALUE(RIGHT(LOOKUP("PED-9999",$B$5:B452),4)),1000)+1, "0000")))</f>
        <v/>
      </c>
      <c r="C453" s="36" t="s">
        <v>486</v>
      </c>
      <c r="D453" s="41"/>
      <c r="E453" s="36"/>
      <c r="F453" s="36" t="str">
        <f>IF(ISBLANK(E453),"",IFERROR(VLOOKUP(E453,'CADASTRO DE CLIENTES'!$C$6:$E$500,3,FALSE),""))</f>
        <v/>
      </c>
      <c r="G453" s="36"/>
      <c r="H453" s="36"/>
      <c r="I453" s="49" t="str">
        <f>IF(ISBLANK(G453),"",IFERROR(VLOOKUP(G453,'CADASTRO DE MATERIAL'!$C$6:$J$500,8,FALSE),""))</f>
        <v/>
      </c>
      <c r="J453" s="54" t="str">
        <f t="shared" si="30"/>
        <v/>
      </c>
      <c r="K453" s="36"/>
      <c r="L453" s="49">
        <f t="shared" si="31"/>
        <v>0</v>
      </c>
      <c r="M453" s="54">
        <f t="shared" si="32"/>
        <v>0</v>
      </c>
      <c r="N453" s="66"/>
      <c r="O453" s="54">
        <f t="shared" si="33"/>
        <v>0</v>
      </c>
      <c r="P453" s="54" t="str">
        <f t="shared" si="34"/>
        <v/>
      </c>
    </row>
    <row r="454" spans="2:16" ht="16.8" hidden="1" customHeight="1" x14ac:dyDescent="0.4">
      <c r="B454" s="30" t="str">
        <f>IF(AND(ISBLANK(D454), ISBLANK(E454), ISBLANK(G454)), "", IF(AND(E454&lt;&gt;"", E454=E453, D454&lt;&gt;"", D454=D453), B453, "PED-" &amp; TEXT(IFERROR(VALUE(RIGHT(LOOKUP("PED-9999",$B$5:B453),4)),1000)+1, "0000")))</f>
        <v/>
      </c>
      <c r="C454" s="30" t="s">
        <v>487</v>
      </c>
      <c r="D454" s="42"/>
      <c r="E454" s="30"/>
      <c r="F454" s="30" t="str">
        <f>IF(ISBLANK(E454),"",IFERROR(VLOOKUP(E454,'CADASTRO DE CLIENTES'!$C$6:$E$500,3,FALSE),""))</f>
        <v/>
      </c>
      <c r="G454" s="30"/>
      <c r="H454" s="30"/>
      <c r="I454" s="51" t="str">
        <f>IF(ISBLANK(G454),"",IFERROR(VLOOKUP(G454,'CADASTRO DE MATERIAL'!$C$6:$J$500,8,FALSE),""))</f>
        <v/>
      </c>
      <c r="J454" s="59" t="str">
        <f t="shared" ref="J454:J500" si="35">IF(OR(ISBLANK(H454),ISBLANK(I454)), "", H454*I454)</f>
        <v/>
      </c>
      <c r="K454" s="30"/>
      <c r="L454" s="51">
        <f t="shared" ref="L454:L500" si="36">IF(ISBLANK(B454), "", IF(K454="À Vista", O454, 0))</f>
        <v>0</v>
      </c>
      <c r="M454" s="59">
        <f t="shared" ref="M454:M500" si="37">IF(ISBLANK(B454),"", O454 - IF(ISBLANK(L454), 0, L454))</f>
        <v>0</v>
      </c>
      <c r="N454" s="65"/>
      <c r="O454" s="59">
        <f t="shared" ref="O454:O500" si="38">IF(ISBLANK(B454),"", SUMIF($B$6:$B$500, B454, $J$6:$J$500))</f>
        <v>0</v>
      </c>
      <c r="P454" s="59" t="str">
        <f t="shared" ref="P454:P500" si="39">IF(OR(ISBLANK(M454),ISBLANK(N454),N454=0), "", M454/N454)</f>
        <v/>
      </c>
    </row>
    <row r="455" spans="2:16" ht="16.8" hidden="1" customHeight="1" x14ac:dyDescent="0.4">
      <c r="B455" s="36" t="str">
        <f>IF(AND(ISBLANK(D455), ISBLANK(E455), ISBLANK(G455)), "", IF(AND(E455&lt;&gt;"", E455=E454, D455&lt;&gt;"", D455=D454), B454, "PED-" &amp; TEXT(IFERROR(VALUE(RIGHT(LOOKUP("PED-9999",$B$5:B454),4)),1000)+1, "0000")))</f>
        <v/>
      </c>
      <c r="C455" s="36" t="s">
        <v>488</v>
      </c>
      <c r="D455" s="41"/>
      <c r="E455" s="36"/>
      <c r="F455" s="36" t="str">
        <f>IF(ISBLANK(E455),"",IFERROR(VLOOKUP(E455,'CADASTRO DE CLIENTES'!$C$6:$E$500,3,FALSE),""))</f>
        <v/>
      </c>
      <c r="G455" s="36"/>
      <c r="H455" s="36"/>
      <c r="I455" s="49" t="str">
        <f>IF(ISBLANK(G455),"",IFERROR(VLOOKUP(G455,'CADASTRO DE MATERIAL'!$C$6:$J$500,8,FALSE),""))</f>
        <v/>
      </c>
      <c r="J455" s="54" t="str">
        <f t="shared" si="35"/>
        <v/>
      </c>
      <c r="K455" s="36"/>
      <c r="L455" s="49">
        <f t="shared" si="36"/>
        <v>0</v>
      </c>
      <c r="M455" s="54">
        <f t="shared" si="37"/>
        <v>0</v>
      </c>
      <c r="N455" s="66"/>
      <c r="O455" s="54">
        <f t="shared" si="38"/>
        <v>0</v>
      </c>
      <c r="P455" s="54" t="str">
        <f t="shared" si="39"/>
        <v/>
      </c>
    </row>
    <row r="456" spans="2:16" ht="16.8" hidden="1" customHeight="1" x14ac:dyDescent="0.4">
      <c r="B456" s="30" t="str">
        <f>IF(AND(ISBLANK(D456), ISBLANK(E456), ISBLANK(G456)), "", IF(AND(E456&lt;&gt;"", E456=E455, D456&lt;&gt;"", D456=D455), B455, "PED-" &amp; TEXT(IFERROR(VALUE(RIGHT(LOOKUP("PED-9999",$B$5:B455),4)),1000)+1, "0000")))</f>
        <v/>
      </c>
      <c r="C456" s="30" t="s">
        <v>489</v>
      </c>
      <c r="D456" s="42"/>
      <c r="E456" s="30"/>
      <c r="F456" s="30" t="str">
        <f>IF(ISBLANK(E456),"",IFERROR(VLOOKUP(E456,'CADASTRO DE CLIENTES'!$C$6:$E$500,3,FALSE),""))</f>
        <v/>
      </c>
      <c r="G456" s="30"/>
      <c r="H456" s="30"/>
      <c r="I456" s="51" t="str">
        <f>IF(ISBLANK(G456),"",IFERROR(VLOOKUP(G456,'CADASTRO DE MATERIAL'!$C$6:$J$500,8,FALSE),""))</f>
        <v/>
      </c>
      <c r="J456" s="59" t="str">
        <f t="shared" si="35"/>
        <v/>
      </c>
      <c r="K456" s="30"/>
      <c r="L456" s="51">
        <f t="shared" si="36"/>
        <v>0</v>
      </c>
      <c r="M456" s="59">
        <f t="shared" si="37"/>
        <v>0</v>
      </c>
      <c r="N456" s="65"/>
      <c r="O456" s="59">
        <f t="shared" si="38"/>
        <v>0</v>
      </c>
      <c r="P456" s="59" t="str">
        <f t="shared" si="39"/>
        <v/>
      </c>
    </row>
    <row r="457" spans="2:16" ht="16.8" hidden="1" customHeight="1" x14ac:dyDescent="0.4">
      <c r="B457" s="36" t="str">
        <f>IF(AND(ISBLANK(D457), ISBLANK(E457), ISBLANK(G457)), "", IF(AND(E457&lt;&gt;"", E457=E456, D457&lt;&gt;"", D457=D456), B456, "PED-" &amp; TEXT(IFERROR(VALUE(RIGHT(LOOKUP("PED-9999",$B$5:B456),4)),1000)+1, "0000")))</f>
        <v/>
      </c>
      <c r="C457" s="36" t="s">
        <v>490</v>
      </c>
      <c r="D457" s="41"/>
      <c r="E457" s="36"/>
      <c r="F457" s="36" t="str">
        <f>IF(ISBLANK(E457),"",IFERROR(VLOOKUP(E457,'CADASTRO DE CLIENTES'!$C$6:$E$500,3,FALSE),""))</f>
        <v/>
      </c>
      <c r="G457" s="36"/>
      <c r="H457" s="36"/>
      <c r="I457" s="49" t="str">
        <f>IF(ISBLANK(G457),"",IFERROR(VLOOKUP(G457,'CADASTRO DE MATERIAL'!$C$6:$J$500,8,FALSE),""))</f>
        <v/>
      </c>
      <c r="J457" s="54" t="str">
        <f t="shared" si="35"/>
        <v/>
      </c>
      <c r="K457" s="36"/>
      <c r="L457" s="49">
        <f t="shared" si="36"/>
        <v>0</v>
      </c>
      <c r="M457" s="54">
        <f t="shared" si="37"/>
        <v>0</v>
      </c>
      <c r="N457" s="66"/>
      <c r="O457" s="54">
        <f t="shared" si="38"/>
        <v>0</v>
      </c>
      <c r="P457" s="54" t="str">
        <f t="shared" si="39"/>
        <v/>
      </c>
    </row>
    <row r="458" spans="2:16" ht="16.8" hidden="1" customHeight="1" x14ac:dyDescent="0.4">
      <c r="B458" s="30" t="str">
        <f>IF(AND(ISBLANK(D458), ISBLANK(E458), ISBLANK(G458)), "", IF(AND(E458&lt;&gt;"", E458=E457, D458&lt;&gt;"", D458=D457), B457, "PED-" &amp; TEXT(IFERROR(VALUE(RIGHT(LOOKUP("PED-9999",$B$5:B457),4)),1000)+1, "0000")))</f>
        <v/>
      </c>
      <c r="C458" s="30" t="s">
        <v>491</v>
      </c>
      <c r="D458" s="42"/>
      <c r="E458" s="30"/>
      <c r="F458" s="30" t="str">
        <f>IF(ISBLANK(E458),"",IFERROR(VLOOKUP(E458,'CADASTRO DE CLIENTES'!$C$6:$E$500,3,FALSE),""))</f>
        <v/>
      </c>
      <c r="G458" s="30"/>
      <c r="H458" s="30"/>
      <c r="I458" s="51" t="str">
        <f>IF(ISBLANK(G458),"",IFERROR(VLOOKUP(G458,'CADASTRO DE MATERIAL'!$C$6:$J$500,8,FALSE),""))</f>
        <v/>
      </c>
      <c r="J458" s="59" t="str">
        <f t="shared" si="35"/>
        <v/>
      </c>
      <c r="K458" s="30"/>
      <c r="L458" s="51">
        <f t="shared" si="36"/>
        <v>0</v>
      </c>
      <c r="M458" s="59">
        <f t="shared" si="37"/>
        <v>0</v>
      </c>
      <c r="N458" s="65"/>
      <c r="O458" s="59">
        <f t="shared" si="38"/>
        <v>0</v>
      </c>
      <c r="P458" s="59" t="str">
        <f t="shared" si="39"/>
        <v/>
      </c>
    </row>
    <row r="459" spans="2:16" ht="16.8" hidden="1" customHeight="1" x14ac:dyDescent="0.4">
      <c r="B459" s="36" t="str">
        <f>IF(AND(ISBLANK(D459), ISBLANK(E459), ISBLANK(G459)), "", IF(AND(E459&lt;&gt;"", E459=E458, D459&lt;&gt;"", D459=D458), B458, "PED-" &amp; TEXT(IFERROR(VALUE(RIGHT(LOOKUP("PED-9999",$B$5:B458),4)),1000)+1, "0000")))</f>
        <v/>
      </c>
      <c r="C459" s="36" t="s">
        <v>492</v>
      </c>
      <c r="D459" s="41"/>
      <c r="E459" s="36"/>
      <c r="F459" s="36" t="str">
        <f>IF(ISBLANK(E459),"",IFERROR(VLOOKUP(E459,'CADASTRO DE CLIENTES'!$C$6:$E$500,3,FALSE),""))</f>
        <v/>
      </c>
      <c r="G459" s="36"/>
      <c r="H459" s="36"/>
      <c r="I459" s="49" t="str">
        <f>IF(ISBLANK(G459),"",IFERROR(VLOOKUP(G459,'CADASTRO DE MATERIAL'!$C$6:$J$500,8,FALSE),""))</f>
        <v/>
      </c>
      <c r="J459" s="54" t="str">
        <f t="shared" si="35"/>
        <v/>
      </c>
      <c r="K459" s="36"/>
      <c r="L459" s="49">
        <f t="shared" si="36"/>
        <v>0</v>
      </c>
      <c r="M459" s="54">
        <f t="shared" si="37"/>
        <v>0</v>
      </c>
      <c r="N459" s="66"/>
      <c r="O459" s="54">
        <f t="shared" si="38"/>
        <v>0</v>
      </c>
      <c r="P459" s="54" t="str">
        <f t="shared" si="39"/>
        <v/>
      </c>
    </row>
    <row r="460" spans="2:16" ht="16.8" hidden="1" customHeight="1" x14ac:dyDescent="0.4">
      <c r="B460" s="30" t="str">
        <f>IF(AND(ISBLANK(D460), ISBLANK(E460), ISBLANK(G460)), "", IF(AND(E460&lt;&gt;"", E460=E459, D460&lt;&gt;"", D460=D459), B459, "PED-" &amp; TEXT(IFERROR(VALUE(RIGHT(LOOKUP("PED-9999",$B$5:B459),4)),1000)+1, "0000")))</f>
        <v/>
      </c>
      <c r="C460" s="30" t="s">
        <v>493</v>
      </c>
      <c r="D460" s="42"/>
      <c r="E460" s="30"/>
      <c r="F460" s="30" t="str">
        <f>IF(ISBLANK(E460),"",IFERROR(VLOOKUP(E460,'CADASTRO DE CLIENTES'!$C$6:$E$500,3,FALSE),""))</f>
        <v/>
      </c>
      <c r="G460" s="30"/>
      <c r="H460" s="30"/>
      <c r="I460" s="51" t="str">
        <f>IF(ISBLANK(G460),"",IFERROR(VLOOKUP(G460,'CADASTRO DE MATERIAL'!$C$6:$J$500,8,FALSE),""))</f>
        <v/>
      </c>
      <c r="J460" s="59" t="str">
        <f t="shared" si="35"/>
        <v/>
      </c>
      <c r="K460" s="30"/>
      <c r="L460" s="51">
        <f t="shared" si="36"/>
        <v>0</v>
      </c>
      <c r="M460" s="59">
        <f t="shared" si="37"/>
        <v>0</v>
      </c>
      <c r="N460" s="65"/>
      <c r="O460" s="59">
        <f t="shared" si="38"/>
        <v>0</v>
      </c>
      <c r="P460" s="59" t="str">
        <f t="shared" si="39"/>
        <v/>
      </c>
    </row>
    <row r="461" spans="2:16" ht="16.8" hidden="1" customHeight="1" x14ac:dyDescent="0.4">
      <c r="B461" s="36" t="str">
        <f>IF(AND(ISBLANK(D461), ISBLANK(E461), ISBLANK(G461)), "", IF(AND(E461&lt;&gt;"", E461=E460, D461&lt;&gt;"", D461=D460), B460, "PED-" &amp; TEXT(IFERROR(VALUE(RIGHT(LOOKUP("PED-9999",$B$5:B460),4)),1000)+1, "0000")))</f>
        <v/>
      </c>
      <c r="C461" s="36" t="s">
        <v>494</v>
      </c>
      <c r="D461" s="41"/>
      <c r="E461" s="36"/>
      <c r="F461" s="36" t="str">
        <f>IF(ISBLANK(E461),"",IFERROR(VLOOKUP(E461,'CADASTRO DE CLIENTES'!$C$6:$E$500,3,FALSE),""))</f>
        <v/>
      </c>
      <c r="G461" s="36"/>
      <c r="H461" s="36"/>
      <c r="I461" s="49" t="str">
        <f>IF(ISBLANK(G461),"",IFERROR(VLOOKUP(G461,'CADASTRO DE MATERIAL'!$C$6:$J$500,8,FALSE),""))</f>
        <v/>
      </c>
      <c r="J461" s="54" t="str">
        <f t="shared" si="35"/>
        <v/>
      </c>
      <c r="K461" s="36"/>
      <c r="L461" s="49">
        <f t="shared" si="36"/>
        <v>0</v>
      </c>
      <c r="M461" s="54">
        <f t="shared" si="37"/>
        <v>0</v>
      </c>
      <c r="N461" s="66"/>
      <c r="O461" s="54">
        <f t="shared" si="38"/>
        <v>0</v>
      </c>
      <c r="P461" s="54" t="str">
        <f t="shared" si="39"/>
        <v/>
      </c>
    </row>
    <row r="462" spans="2:16" ht="16.8" hidden="1" customHeight="1" x14ac:dyDescent="0.4">
      <c r="B462" s="30" t="str">
        <f>IF(AND(ISBLANK(D462), ISBLANK(E462), ISBLANK(G462)), "", IF(AND(E462&lt;&gt;"", E462=E461, D462&lt;&gt;"", D462=D461), B461, "PED-" &amp; TEXT(IFERROR(VALUE(RIGHT(LOOKUP("PED-9999",$B$5:B461),4)),1000)+1, "0000")))</f>
        <v/>
      </c>
      <c r="C462" s="30" t="s">
        <v>495</v>
      </c>
      <c r="D462" s="42"/>
      <c r="E462" s="30"/>
      <c r="F462" s="30" t="str">
        <f>IF(ISBLANK(E462),"",IFERROR(VLOOKUP(E462,'CADASTRO DE CLIENTES'!$C$6:$E$500,3,FALSE),""))</f>
        <v/>
      </c>
      <c r="G462" s="30"/>
      <c r="H462" s="30"/>
      <c r="I462" s="51" t="str">
        <f>IF(ISBLANK(G462),"",IFERROR(VLOOKUP(G462,'CADASTRO DE MATERIAL'!$C$6:$J$500,8,FALSE),""))</f>
        <v/>
      </c>
      <c r="J462" s="59" t="str">
        <f t="shared" si="35"/>
        <v/>
      </c>
      <c r="K462" s="30"/>
      <c r="L462" s="51">
        <f t="shared" si="36"/>
        <v>0</v>
      </c>
      <c r="M462" s="59">
        <f t="shared" si="37"/>
        <v>0</v>
      </c>
      <c r="N462" s="65"/>
      <c r="O462" s="59">
        <f t="shared" si="38"/>
        <v>0</v>
      </c>
      <c r="P462" s="59" t="str">
        <f t="shared" si="39"/>
        <v/>
      </c>
    </row>
    <row r="463" spans="2:16" ht="16.8" hidden="1" customHeight="1" x14ac:dyDescent="0.4">
      <c r="B463" s="36" t="str">
        <f>IF(AND(ISBLANK(D463), ISBLANK(E463), ISBLANK(G463)), "", IF(AND(E463&lt;&gt;"", E463=E462, D463&lt;&gt;"", D463=D462), B462, "PED-" &amp; TEXT(IFERROR(VALUE(RIGHT(LOOKUP("PED-9999",$B$5:B462),4)),1000)+1, "0000")))</f>
        <v/>
      </c>
      <c r="C463" s="36" t="s">
        <v>496</v>
      </c>
      <c r="D463" s="41"/>
      <c r="E463" s="36"/>
      <c r="F463" s="36" t="str">
        <f>IF(ISBLANK(E463),"",IFERROR(VLOOKUP(E463,'CADASTRO DE CLIENTES'!$C$6:$E$500,3,FALSE),""))</f>
        <v/>
      </c>
      <c r="G463" s="36"/>
      <c r="H463" s="36"/>
      <c r="I463" s="49" t="str">
        <f>IF(ISBLANK(G463),"",IFERROR(VLOOKUP(G463,'CADASTRO DE MATERIAL'!$C$6:$J$500,8,FALSE),""))</f>
        <v/>
      </c>
      <c r="J463" s="54" t="str">
        <f t="shared" si="35"/>
        <v/>
      </c>
      <c r="K463" s="36"/>
      <c r="L463" s="49">
        <f t="shared" si="36"/>
        <v>0</v>
      </c>
      <c r="M463" s="54">
        <f t="shared" si="37"/>
        <v>0</v>
      </c>
      <c r="N463" s="66"/>
      <c r="O463" s="54">
        <f t="shared" si="38"/>
        <v>0</v>
      </c>
      <c r="P463" s="54" t="str">
        <f t="shared" si="39"/>
        <v/>
      </c>
    </row>
    <row r="464" spans="2:16" ht="16.8" hidden="1" customHeight="1" x14ac:dyDescent="0.4">
      <c r="B464" s="30" t="str">
        <f>IF(AND(ISBLANK(D464), ISBLANK(E464), ISBLANK(G464)), "", IF(AND(E464&lt;&gt;"", E464=E463, D464&lt;&gt;"", D464=D463), B463, "PED-" &amp; TEXT(IFERROR(VALUE(RIGHT(LOOKUP("PED-9999",$B$5:B463),4)),1000)+1, "0000")))</f>
        <v/>
      </c>
      <c r="C464" s="30" t="s">
        <v>497</v>
      </c>
      <c r="D464" s="42"/>
      <c r="E464" s="30"/>
      <c r="F464" s="30" t="str">
        <f>IF(ISBLANK(E464),"",IFERROR(VLOOKUP(E464,'CADASTRO DE CLIENTES'!$C$6:$E$500,3,FALSE),""))</f>
        <v/>
      </c>
      <c r="G464" s="30"/>
      <c r="H464" s="30"/>
      <c r="I464" s="51" t="str">
        <f>IF(ISBLANK(G464),"",IFERROR(VLOOKUP(G464,'CADASTRO DE MATERIAL'!$C$6:$J$500,8,FALSE),""))</f>
        <v/>
      </c>
      <c r="J464" s="59" t="str">
        <f t="shared" si="35"/>
        <v/>
      </c>
      <c r="K464" s="30"/>
      <c r="L464" s="51">
        <f t="shared" si="36"/>
        <v>0</v>
      </c>
      <c r="M464" s="59">
        <f t="shared" si="37"/>
        <v>0</v>
      </c>
      <c r="N464" s="65"/>
      <c r="O464" s="59">
        <f t="shared" si="38"/>
        <v>0</v>
      </c>
      <c r="P464" s="59" t="str">
        <f t="shared" si="39"/>
        <v/>
      </c>
    </row>
    <row r="465" spans="2:16" ht="16.8" hidden="1" customHeight="1" x14ac:dyDescent="0.4">
      <c r="B465" s="36" t="str">
        <f>IF(AND(ISBLANK(D465), ISBLANK(E465), ISBLANK(G465)), "", IF(AND(E465&lt;&gt;"", E465=E464, D465&lt;&gt;"", D465=D464), B464, "PED-" &amp; TEXT(IFERROR(VALUE(RIGHT(LOOKUP("PED-9999",$B$5:B464),4)),1000)+1, "0000")))</f>
        <v/>
      </c>
      <c r="C465" s="36" t="s">
        <v>498</v>
      </c>
      <c r="D465" s="41"/>
      <c r="E465" s="36"/>
      <c r="F465" s="36" t="str">
        <f>IF(ISBLANK(E465),"",IFERROR(VLOOKUP(E465,'CADASTRO DE CLIENTES'!$C$6:$E$500,3,FALSE),""))</f>
        <v/>
      </c>
      <c r="G465" s="36"/>
      <c r="H465" s="36"/>
      <c r="I465" s="49" t="str">
        <f>IF(ISBLANK(G465),"",IFERROR(VLOOKUP(G465,'CADASTRO DE MATERIAL'!$C$6:$J$500,8,FALSE),""))</f>
        <v/>
      </c>
      <c r="J465" s="54" t="str">
        <f t="shared" si="35"/>
        <v/>
      </c>
      <c r="K465" s="36"/>
      <c r="L465" s="49">
        <f t="shared" si="36"/>
        <v>0</v>
      </c>
      <c r="M465" s="54">
        <f t="shared" si="37"/>
        <v>0</v>
      </c>
      <c r="N465" s="66"/>
      <c r="O465" s="54">
        <f t="shared" si="38"/>
        <v>0</v>
      </c>
      <c r="P465" s="54" t="str">
        <f t="shared" si="39"/>
        <v/>
      </c>
    </row>
    <row r="466" spans="2:16" ht="16.8" hidden="1" customHeight="1" x14ac:dyDescent="0.4">
      <c r="B466" s="30" t="str">
        <f>IF(AND(ISBLANK(D466), ISBLANK(E466), ISBLANK(G466)), "", IF(AND(E466&lt;&gt;"", E466=E465, D466&lt;&gt;"", D466=D465), B465, "PED-" &amp; TEXT(IFERROR(VALUE(RIGHT(LOOKUP("PED-9999",$B$5:B465),4)),1000)+1, "0000")))</f>
        <v/>
      </c>
      <c r="C466" s="30" t="s">
        <v>499</v>
      </c>
      <c r="D466" s="42"/>
      <c r="E466" s="30"/>
      <c r="F466" s="30" t="str">
        <f>IF(ISBLANK(E466),"",IFERROR(VLOOKUP(E466,'CADASTRO DE CLIENTES'!$C$6:$E$500,3,FALSE),""))</f>
        <v/>
      </c>
      <c r="G466" s="30"/>
      <c r="H466" s="30"/>
      <c r="I466" s="51" t="str">
        <f>IF(ISBLANK(G466),"",IFERROR(VLOOKUP(G466,'CADASTRO DE MATERIAL'!$C$6:$J$500,8,FALSE),""))</f>
        <v/>
      </c>
      <c r="J466" s="59" t="str">
        <f t="shared" si="35"/>
        <v/>
      </c>
      <c r="K466" s="30"/>
      <c r="L466" s="51">
        <f t="shared" si="36"/>
        <v>0</v>
      </c>
      <c r="M466" s="59">
        <f t="shared" si="37"/>
        <v>0</v>
      </c>
      <c r="N466" s="65"/>
      <c r="O466" s="59">
        <f t="shared" si="38"/>
        <v>0</v>
      </c>
      <c r="P466" s="59" t="str">
        <f t="shared" si="39"/>
        <v/>
      </c>
    </row>
    <row r="467" spans="2:16" ht="16.8" hidden="1" customHeight="1" x14ac:dyDescent="0.4">
      <c r="B467" s="36" t="str">
        <f>IF(AND(ISBLANK(D467), ISBLANK(E467), ISBLANK(G467)), "", IF(AND(E467&lt;&gt;"", E467=E466, D467&lt;&gt;"", D467=D466), B466, "PED-" &amp; TEXT(IFERROR(VALUE(RIGHT(LOOKUP("PED-9999",$B$5:B466),4)),1000)+1, "0000")))</f>
        <v/>
      </c>
      <c r="C467" s="36" t="s">
        <v>500</v>
      </c>
      <c r="D467" s="41"/>
      <c r="E467" s="36"/>
      <c r="F467" s="36" t="str">
        <f>IF(ISBLANK(E467),"",IFERROR(VLOOKUP(E467,'CADASTRO DE CLIENTES'!$C$6:$E$500,3,FALSE),""))</f>
        <v/>
      </c>
      <c r="G467" s="36"/>
      <c r="H467" s="36"/>
      <c r="I467" s="49" t="str">
        <f>IF(ISBLANK(G467),"",IFERROR(VLOOKUP(G467,'CADASTRO DE MATERIAL'!$C$6:$J$500,8,FALSE),""))</f>
        <v/>
      </c>
      <c r="J467" s="54" t="str">
        <f t="shared" si="35"/>
        <v/>
      </c>
      <c r="K467" s="36"/>
      <c r="L467" s="49">
        <f t="shared" si="36"/>
        <v>0</v>
      </c>
      <c r="M467" s="54">
        <f t="shared" si="37"/>
        <v>0</v>
      </c>
      <c r="N467" s="66"/>
      <c r="O467" s="54">
        <f t="shared" si="38"/>
        <v>0</v>
      </c>
      <c r="P467" s="54" t="str">
        <f t="shared" si="39"/>
        <v/>
      </c>
    </row>
    <row r="468" spans="2:16" ht="16.8" hidden="1" customHeight="1" x14ac:dyDescent="0.4">
      <c r="B468" s="30" t="str">
        <f>IF(AND(ISBLANK(D468), ISBLANK(E468), ISBLANK(G468)), "", IF(AND(E468&lt;&gt;"", E468=E467, D468&lt;&gt;"", D468=D467), B467, "PED-" &amp; TEXT(IFERROR(VALUE(RIGHT(LOOKUP("PED-9999",$B$5:B467),4)),1000)+1, "0000")))</f>
        <v/>
      </c>
      <c r="C468" s="30" t="s">
        <v>501</v>
      </c>
      <c r="D468" s="42"/>
      <c r="E468" s="30"/>
      <c r="F468" s="30" t="str">
        <f>IF(ISBLANK(E468),"",IFERROR(VLOOKUP(E468,'CADASTRO DE CLIENTES'!$C$6:$E$500,3,FALSE),""))</f>
        <v/>
      </c>
      <c r="G468" s="30"/>
      <c r="H468" s="30"/>
      <c r="I468" s="51" t="str">
        <f>IF(ISBLANK(G468),"",IFERROR(VLOOKUP(G468,'CADASTRO DE MATERIAL'!$C$6:$J$500,8,FALSE),""))</f>
        <v/>
      </c>
      <c r="J468" s="59" t="str">
        <f t="shared" si="35"/>
        <v/>
      </c>
      <c r="K468" s="30"/>
      <c r="L468" s="51">
        <f t="shared" si="36"/>
        <v>0</v>
      </c>
      <c r="M468" s="59">
        <f t="shared" si="37"/>
        <v>0</v>
      </c>
      <c r="N468" s="65"/>
      <c r="O468" s="59">
        <f t="shared" si="38"/>
        <v>0</v>
      </c>
      <c r="P468" s="59" t="str">
        <f t="shared" si="39"/>
        <v/>
      </c>
    </row>
    <row r="469" spans="2:16" ht="16.8" hidden="1" customHeight="1" x14ac:dyDescent="0.4">
      <c r="B469" s="36" t="str">
        <f>IF(AND(ISBLANK(D469), ISBLANK(E469), ISBLANK(G469)), "", IF(AND(E469&lt;&gt;"", E469=E468, D469&lt;&gt;"", D469=D468), B468, "PED-" &amp; TEXT(IFERROR(VALUE(RIGHT(LOOKUP("PED-9999",$B$5:B468),4)),1000)+1, "0000")))</f>
        <v/>
      </c>
      <c r="C469" s="36" t="s">
        <v>502</v>
      </c>
      <c r="D469" s="41"/>
      <c r="E469" s="36"/>
      <c r="F469" s="36" t="str">
        <f>IF(ISBLANK(E469),"",IFERROR(VLOOKUP(E469,'CADASTRO DE CLIENTES'!$C$6:$E$500,3,FALSE),""))</f>
        <v/>
      </c>
      <c r="G469" s="36"/>
      <c r="H469" s="36"/>
      <c r="I469" s="49" t="str">
        <f>IF(ISBLANK(G469),"",IFERROR(VLOOKUP(G469,'CADASTRO DE MATERIAL'!$C$6:$J$500,8,FALSE),""))</f>
        <v/>
      </c>
      <c r="J469" s="54" t="str">
        <f t="shared" si="35"/>
        <v/>
      </c>
      <c r="K469" s="36"/>
      <c r="L469" s="49">
        <f t="shared" si="36"/>
        <v>0</v>
      </c>
      <c r="M469" s="54">
        <f t="shared" si="37"/>
        <v>0</v>
      </c>
      <c r="N469" s="66"/>
      <c r="O469" s="54">
        <f t="shared" si="38"/>
        <v>0</v>
      </c>
      <c r="P469" s="54" t="str">
        <f t="shared" si="39"/>
        <v/>
      </c>
    </row>
    <row r="470" spans="2:16" ht="16.8" hidden="1" customHeight="1" x14ac:dyDescent="0.4">
      <c r="B470" s="30" t="str">
        <f>IF(AND(ISBLANK(D470), ISBLANK(E470), ISBLANK(G470)), "", IF(AND(E470&lt;&gt;"", E470=E469, D470&lt;&gt;"", D470=D469), B469, "PED-" &amp; TEXT(IFERROR(VALUE(RIGHT(LOOKUP("PED-9999",$B$5:B469),4)),1000)+1, "0000")))</f>
        <v/>
      </c>
      <c r="C470" s="30" t="s">
        <v>503</v>
      </c>
      <c r="D470" s="42"/>
      <c r="E470" s="30"/>
      <c r="F470" s="30" t="str">
        <f>IF(ISBLANK(E470),"",IFERROR(VLOOKUP(E470,'CADASTRO DE CLIENTES'!$C$6:$E$500,3,FALSE),""))</f>
        <v/>
      </c>
      <c r="G470" s="30"/>
      <c r="H470" s="30"/>
      <c r="I470" s="51" t="str">
        <f>IF(ISBLANK(G470),"",IFERROR(VLOOKUP(G470,'CADASTRO DE MATERIAL'!$C$6:$J$500,8,FALSE),""))</f>
        <v/>
      </c>
      <c r="J470" s="59" t="str">
        <f t="shared" si="35"/>
        <v/>
      </c>
      <c r="K470" s="30"/>
      <c r="L470" s="51">
        <f t="shared" si="36"/>
        <v>0</v>
      </c>
      <c r="M470" s="59">
        <f t="shared" si="37"/>
        <v>0</v>
      </c>
      <c r="N470" s="65"/>
      <c r="O470" s="59">
        <f t="shared" si="38"/>
        <v>0</v>
      </c>
      <c r="P470" s="59" t="str">
        <f t="shared" si="39"/>
        <v/>
      </c>
    </row>
    <row r="471" spans="2:16" ht="16.8" hidden="1" customHeight="1" x14ac:dyDescent="0.4">
      <c r="B471" s="36" t="str">
        <f>IF(AND(ISBLANK(D471), ISBLANK(E471), ISBLANK(G471)), "", IF(AND(E471&lt;&gt;"", E471=E470, D471&lt;&gt;"", D471=D470), B470, "PED-" &amp; TEXT(IFERROR(VALUE(RIGHT(LOOKUP("PED-9999",$B$5:B470),4)),1000)+1, "0000")))</f>
        <v/>
      </c>
      <c r="C471" s="36" t="s">
        <v>504</v>
      </c>
      <c r="D471" s="41"/>
      <c r="E471" s="36"/>
      <c r="F471" s="36" t="str">
        <f>IF(ISBLANK(E471),"",IFERROR(VLOOKUP(E471,'CADASTRO DE CLIENTES'!$C$6:$E$500,3,FALSE),""))</f>
        <v/>
      </c>
      <c r="G471" s="36"/>
      <c r="H471" s="36"/>
      <c r="I471" s="49" t="str">
        <f>IF(ISBLANK(G471),"",IFERROR(VLOOKUP(G471,'CADASTRO DE MATERIAL'!$C$6:$J$500,8,FALSE),""))</f>
        <v/>
      </c>
      <c r="J471" s="54" t="str">
        <f t="shared" si="35"/>
        <v/>
      </c>
      <c r="K471" s="36"/>
      <c r="L471" s="49">
        <f t="shared" si="36"/>
        <v>0</v>
      </c>
      <c r="M471" s="54">
        <f t="shared" si="37"/>
        <v>0</v>
      </c>
      <c r="N471" s="66"/>
      <c r="O471" s="54">
        <f t="shared" si="38"/>
        <v>0</v>
      </c>
      <c r="P471" s="54" t="str">
        <f t="shared" si="39"/>
        <v/>
      </c>
    </row>
    <row r="472" spans="2:16" ht="16.8" hidden="1" customHeight="1" x14ac:dyDescent="0.4">
      <c r="B472" s="30" t="str">
        <f>IF(AND(ISBLANK(D472), ISBLANK(E472), ISBLANK(G472)), "", IF(AND(E472&lt;&gt;"", E472=E471, D472&lt;&gt;"", D472=D471), B471, "PED-" &amp; TEXT(IFERROR(VALUE(RIGHT(LOOKUP("PED-9999",$B$5:B471),4)),1000)+1, "0000")))</f>
        <v/>
      </c>
      <c r="C472" s="30" t="s">
        <v>505</v>
      </c>
      <c r="D472" s="42"/>
      <c r="E472" s="30"/>
      <c r="F472" s="30" t="str">
        <f>IF(ISBLANK(E472),"",IFERROR(VLOOKUP(E472,'CADASTRO DE CLIENTES'!$C$6:$E$500,3,FALSE),""))</f>
        <v/>
      </c>
      <c r="G472" s="30"/>
      <c r="H472" s="30"/>
      <c r="I472" s="51" t="str">
        <f>IF(ISBLANK(G472),"",IFERROR(VLOOKUP(G472,'CADASTRO DE MATERIAL'!$C$6:$J$500,8,FALSE),""))</f>
        <v/>
      </c>
      <c r="J472" s="59" t="str">
        <f t="shared" si="35"/>
        <v/>
      </c>
      <c r="K472" s="30"/>
      <c r="L472" s="51">
        <f t="shared" si="36"/>
        <v>0</v>
      </c>
      <c r="M472" s="59">
        <f t="shared" si="37"/>
        <v>0</v>
      </c>
      <c r="N472" s="65"/>
      <c r="O472" s="59">
        <f t="shared" si="38"/>
        <v>0</v>
      </c>
      <c r="P472" s="59" t="str">
        <f t="shared" si="39"/>
        <v/>
      </c>
    </row>
    <row r="473" spans="2:16" ht="16.8" hidden="1" customHeight="1" x14ac:dyDescent="0.4">
      <c r="B473" s="36" t="str">
        <f>IF(AND(ISBLANK(D473), ISBLANK(E473), ISBLANK(G473)), "", IF(AND(E473&lt;&gt;"", E473=E472, D473&lt;&gt;"", D473=D472), B472, "PED-" &amp; TEXT(IFERROR(VALUE(RIGHT(LOOKUP("PED-9999",$B$5:B472),4)),1000)+1, "0000")))</f>
        <v/>
      </c>
      <c r="C473" s="36" t="s">
        <v>506</v>
      </c>
      <c r="D473" s="41"/>
      <c r="E473" s="36"/>
      <c r="F473" s="36" t="str">
        <f>IF(ISBLANK(E473),"",IFERROR(VLOOKUP(E473,'CADASTRO DE CLIENTES'!$C$6:$E$500,3,FALSE),""))</f>
        <v/>
      </c>
      <c r="G473" s="36"/>
      <c r="H473" s="36"/>
      <c r="I473" s="49" t="str">
        <f>IF(ISBLANK(G473),"",IFERROR(VLOOKUP(G473,'CADASTRO DE MATERIAL'!$C$6:$J$500,8,FALSE),""))</f>
        <v/>
      </c>
      <c r="J473" s="54" t="str">
        <f t="shared" si="35"/>
        <v/>
      </c>
      <c r="K473" s="36"/>
      <c r="L473" s="49">
        <f t="shared" si="36"/>
        <v>0</v>
      </c>
      <c r="M473" s="54">
        <f t="shared" si="37"/>
        <v>0</v>
      </c>
      <c r="N473" s="66"/>
      <c r="O473" s="54">
        <f t="shared" si="38"/>
        <v>0</v>
      </c>
      <c r="P473" s="54" t="str">
        <f t="shared" si="39"/>
        <v/>
      </c>
    </row>
    <row r="474" spans="2:16" ht="16.8" hidden="1" customHeight="1" x14ac:dyDescent="0.4">
      <c r="B474" s="30" t="str">
        <f>IF(AND(ISBLANK(D474), ISBLANK(E474), ISBLANK(G474)), "", IF(AND(E474&lt;&gt;"", E474=E473, D474&lt;&gt;"", D474=D473), B473, "PED-" &amp; TEXT(IFERROR(VALUE(RIGHT(LOOKUP("PED-9999",$B$5:B473),4)),1000)+1, "0000")))</f>
        <v/>
      </c>
      <c r="C474" s="30" t="s">
        <v>507</v>
      </c>
      <c r="D474" s="42"/>
      <c r="E474" s="30"/>
      <c r="F474" s="30" t="str">
        <f>IF(ISBLANK(E474),"",IFERROR(VLOOKUP(E474,'CADASTRO DE CLIENTES'!$C$6:$E$500,3,FALSE),""))</f>
        <v/>
      </c>
      <c r="G474" s="30"/>
      <c r="H474" s="30"/>
      <c r="I474" s="51" t="str">
        <f>IF(ISBLANK(G474),"",IFERROR(VLOOKUP(G474,'CADASTRO DE MATERIAL'!$C$6:$J$500,8,FALSE),""))</f>
        <v/>
      </c>
      <c r="J474" s="59" t="str">
        <f t="shared" si="35"/>
        <v/>
      </c>
      <c r="K474" s="30"/>
      <c r="L474" s="51">
        <f t="shared" si="36"/>
        <v>0</v>
      </c>
      <c r="M474" s="59">
        <f t="shared" si="37"/>
        <v>0</v>
      </c>
      <c r="N474" s="65"/>
      <c r="O474" s="59">
        <f t="shared" si="38"/>
        <v>0</v>
      </c>
      <c r="P474" s="59" t="str">
        <f t="shared" si="39"/>
        <v/>
      </c>
    </row>
    <row r="475" spans="2:16" ht="16.8" hidden="1" customHeight="1" x14ac:dyDescent="0.4">
      <c r="B475" s="36" t="str">
        <f>IF(AND(ISBLANK(D475), ISBLANK(E475), ISBLANK(G475)), "", IF(AND(E475&lt;&gt;"", E475=E474, D475&lt;&gt;"", D475=D474), B474, "PED-" &amp; TEXT(IFERROR(VALUE(RIGHT(LOOKUP("PED-9999",$B$5:B474),4)),1000)+1, "0000")))</f>
        <v/>
      </c>
      <c r="C475" s="36" t="s">
        <v>508</v>
      </c>
      <c r="D475" s="41"/>
      <c r="E475" s="36"/>
      <c r="F475" s="36" t="str">
        <f>IF(ISBLANK(E475),"",IFERROR(VLOOKUP(E475,'CADASTRO DE CLIENTES'!$C$6:$E$500,3,FALSE),""))</f>
        <v/>
      </c>
      <c r="G475" s="36"/>
      <c r="H475" s="36"/>
      <c r="I475" s="49" t="str">
        <f>IF(ISBLANK(G475),"",IFERROR(VLOOKUP(G475,'CADASTRO DE MATERIAL'!$C$6:$J$500,8,FALSE),""))</f>
        <v/>
      </c>
      <c r="J475" s="54" t="str">
        <f t="shared" si="35"/>
        <v/>
      </c>
      <c r="K475" s="36"/>
      <c r="L475" s="49">
        <f t="shared" si="36"/>
        <v>0</v>
      </c>
      <c r="M475" s="54">
        <f t="shared" si="37"/>
        <v>0</v>
      </c>
      <c r="N475" s="66"/>
      <c r="O475" s="54">
        <f t="shared" si="38"/>
        <v>0</v>
      </c>
      <c r="P475" s="54" t="str">
        <f t="shared" si="39"/>
        <v/>
      </c>
    </row>
    <row r="476" spans="2:16" ht="16.8" hidden="1" customHeight="1" x14ac:dyDescent="0.4">
      <c r="B476" s="30" t="str">
        <f>IF(AND(ISBLANK(D476), ISBLANK(E476), ISBLANK(G476)), "", IF(AND(E476&lt;&gt;"", E476=E475, D476&lt;&gt;"", D476=D475), B475, "PED-" &amp; TEXT(IFERROR(VALUE(RIGHT(LOOKUP("PED-9999",$B$5:B475),4)),1000)+1, "0000")))</f>
        <v/>
      </c>
      <c r="C476" s="30" t="s">
        <v>509</v>
      </c>
      <c r="D476" s="42"/>
      <c r="E476" s="30"/>
      <c r="F476" s="30" t="str">
        <f>IF(ISBLANK(E476),"",IFERROR(VLOOKUP(E476,'CADASTRO DE CLIENTES'!$C$6:$E$500,3,FALSE),""))</f>
        <v/>
      </c>
      <c r="G476" s="30"/>
      <c r="H476" s="30"/>
      <c r="I476" s="51" t="str">
        <f>IF(ISBLANK(G476),"",IFERROR(VLOOKUP(G476,'CADASTRO DE MATERIAL'!$C$6:$J$500,8,FALSE),""))</f>
        <v/>
      </c>
      <c r="J476" s="59" t="str">
        <f t="shared" si="35"/>
        <v/>
      </c>
      <c r="K476" s="30"/>
      <c r="L476" s="51">
        <f t="shared" si="36"/>
        <v>0</v>
      </c>
      <c r="M476" s="59">
        <f t="shared" si="37"/>
        <v>0</v>
      </c>
      <c r="N476" s="65"/>
      <c r="O476" s="59">
        <f t="shared" si="38"/>
        <v>0</v>
      </c>
      <c r="P476" s="59" t="str">
        <f t="shared" si="39"/>
        <v/>
      </c>
    </row>
    <row r="477" spans="2:16" ht="16.8" hidden="1" customHeight="1" x14ac:dyDescent="0.4">
      <c r="B477" s="36" t="str">
        <f>IF(AND(ISBLANK(D477), ISBLANK(E477), ISBLANK(G477)), "", IF(AND(E477&lt;&gt;"", E477=E476, D477&lt;&gt;"", D477=D476), B476, "PED-" &amp; TEXT(IFERROR(VALUE(RIGHT(LOOKUP("PED-9999",$B$5:B476),4)),1000)+1, "0000")))</f>
        <v/>
      </c>
      <c r="C477" s="36" t="s">
        <v>510</v>
      </c>
      <c r="D477" s="41"/>
      <c r="E477" s="36"/>
      <c r="F477" s="36" t="str">
        <f>IF(ISBLANK(E477),"",IFERROR(VLOOKUP(E477,'CADASTRO DE CLIENTES'!$C$6:$E$500,3,FALSE),""))</f>
        <v/>
      </c>
      <c r="G477" s="36"/>
      <c r="H477" s="36"/>
      <c r="I477" s="49" t="str">
        <f>IF(ISBLANK(G477),"",IFERROR(VLOOKUP(G477,'CADASTRO DE MATERIAL'!$C$6:$J$500,8,FALSE),""))</f>
        <v/>
      </c>
      <c r="J477" s="54" t="str">
        <f t="shared" si="35"/>
        <v/>
      </c>
      <c r="K477" s="36"/>
      <c r="L477" s="49">
        <f t="shared" si="36"/>
        <v>0</v>
      </c>
      <c r="M477" s="54">
        <f t="shared" si="37"/>
        <v>0</v>
      </c>
      <c r="N477" s="66"/>
      <c r="O477" s="54">
        <f t="shared" si="38"/>
        <v>0</v>
      </c>
      <c r="P477" s="54" t="str">
        <f t="shared" si="39"/>
        <v/>
      </c>
    </row>
    <row r="478" spans="2:16" ht="16.8" hidden="1" customHeight="1" x14ac:dyDescent="0.4">
      <c r="B478" s="30" t="str">
        <f>IF(AND(ISBLANK(D478), ISBLANK(E478), ISBLANK(G478)), "", IF(AND(E478&lt;&gt;"", E478=E477, D478&lt;&gt;"", D478=D477), B477, "PED-" &amp; TEXT(IFERROR(VALUE(RIGHT(LOOKUP("PED-9999",$B$5:B477),4)),1000)+1, "0000")))</f>
        <v/>
      </c>
      <c r="C478" s="30" t="s">
        <v>511</v>
      </c>
      <c r="D478" s="42"/>
      <c r="E478" s="30"/>
      <c r="F478" s="30" t="str">
        <f>IF(ISBLANK(E478),"",IFERROR(VLOOKUP(E478,'CADASTRO DE CLIENTES'!$C$6:$E$500,3,FALSE),""))</f>
        <v/>
      </c>
      <c r="G478" s="30"/>
      <c r="H478" s="30"/>
      <c r="I478" s="51" t="str">
        <f>IF(ISBLANK(G478),"",IFERROR(VLOOKUP(G478,'CADASTRO DE MATERIAL'!$C$6:$J$500,8,FALSE),""))</f>
        <v/>
      </c>
      <c r="J478" s="59" t="str">
        <f t="shared" si="35"/>
        <v/>
      </c>
      <c r="K478" s="30"/>
      <c r="L478" s="51">
        <f t="shared" si="36"/>
        <v>0</v>
      </c>
      <c r="M478" s="59">
        <f t="shared" si="37"/>
        <v>0</v>
      </c>
      <c r="N478" s="65"/>
      <c r="O478" s="59">
        <f t="shared" si="38"/>
        <v>0</v>
      </c>
      <c r="P478" s="59" t="str">
        <f t="shared" si="39"/>
        <v/>
      </c>
    </row>
    <row r="479" spans="2:16" ht="16.8" hidden="1" customHeight="1" x14ac:dyDescent="0.4">
      <c r="B479" s="36" t="str">
        <f>IF(AND(ISBLANK(D479), ISBLANK(E479), ISBLANK(G479)), "", IF(AND(E479&lt;&gt;"", E479=E478, D479&lt;&gt;"", D479=D478), B478, "PED-" &amp; TEXT(IFERROR(VALUE(RIGHT(LOOKUP("PED-9999",$B$5:B478),4)),1000)+1, "0000")))</f>
        <v/>
      </c>
      <c r="C479" s="36" t="s">
        <v>512</v>
      </c>
      <c r="D479" s="41"/>
      <c r="E479" s="36"/>
      <c r="F479" s="36" t="str">
        <f>IF(ISBLANK(E479),"",IFERROR(VLOOKUP(E479,'CADASTRO DE CLIENTES'!$C$6:$E$500,3,FALSE),""))</f>
        <v/>
      </c>
      <c r="G479" s="36"/>
      <c r="H479" s="36"/>
      <c r="I479" s="49" t="str">
        <f>IF(ISBLANK(G479),"",IFERROR(VLOOKUP(G479,'CADASTRO DE MATERIAL'!$C$6:$J$500,8,FALSE),""))</f>
        <v/>
      </c>
      <c r="J479" s="54" t="str">
        <f t="shared" si="35"/>
        <v/>
      </c>
      <c r="K479" s="36"/>
      <c r="L479" s="49">
        <f t="shared" si="36"/>
        <v>0</v>
      </c>
      <c r="M479" s="54">
        <f t="shared" si="37"/>
        <v>0</v>
      </c>
      <c r="N479" s="66"/>
      <c r="O479" s="54">
        <f t="shared" si="38"/>
        <v>0</v>
      </c>
      <c r="P479" s="54" t="str">
        <f t="shared" si="39"/>
        <v/>
      </c>
    </row>
    <row r="480" spans="2:16" ht="16.8" hidden="1" customHeight="1" x14ac:dyDescent="0.4">
      <c r="B480" s="30" t="str">
        <f>IF(AND(ISBLANK(D480), ISBLANK(E480), ISBLANK(G480)), "", IF(AND(E480&lt;&gt;"", E480=E479, D480&lt;&gt;"", D480=D479), B479, "PED-" &amp; TEXT(IFERROR(VALUE(RIGHT(LOOKUP("PED-9999",$B$5:B479),4)),1000)+1, "0000")))</f>
        <v/>
      </c>
      <c r="C480" s="30" t="s">
        <v>513</v>
      </c>
      <c r="D480" s="42"/>
      <c r="E480" s="30"/>
      <c r="F480" s="30" t="str">
        <f>IF(ISBLANK(E480),"",IFERROR(VLOOKUP(E480,'CADASTRO DE CLIENTES'!$C$6:$E$500,3,FALSE),""))</f>
        <v/>
      </c>
      <c r="G480" s="30"/>
      <c r="H480" s="30"/>
      <c r="I480" s="51" t="str">
        <f>IF(ISBLANK(G480),"",IFERROR(VLOOKUP(G480,'CADASTRO DE MATERIAL'!$C$6:$J$500,8,FALSE),""))</f>
        <v/>
      </c>
      <c r="J480" s="59" t="str">
        <f t="shared" si="35"/>
        <v/>
      </c>
      <c r="K480" s="30"/>
      <c r="L480" s="51">
        <f t="shared" si="36"/>
        <v>0</v>
      </c>
      <c r="M480" s="59">
        <f t="shared" si="37"/>
        <v>0</v>
      </c>
      <c r="N480" s="65"/>
      <c r="O480" s="59">
        <f t="shared" si="38"/>
        <v>0</v>
      </c>
      <c r="P480" s="59" t="str">
        <f t="shared" si="39"/>
        <v/>
      </c>
    </row>
    <row r="481" spans="2:16" ht="16.8" hidden="1" customHeight="1" x14ac:dyDescent="0.4">
      <c r="B481" s="36" t="str">
        <f>IF(AND(ISBLANK(D481), ISBLANK(E481), ISBLANK(G481)), "", IF(AND(E481&lt;&gt;"", E481=E480, D481&lt;&gt;"", D481=D480), B480, "PED-" &amp; TEXT(IFERROR(VALUE(RIGHT(LOOKUP("PED-9999",$B$5:B480),4)),1000)+1, "0000")))</f>
        <v/>
      </c>
      <c r="C481" s="36" t="s">
        <v>514</v>
      </c>
      <c r="D481" s="41"/>
      <c r="E481" s="36"/>
      <c r="F481" s="36" t="str">
        <f>IF(ISBLANK(E481),"",IFERROR(VLOOKUP(E481,'CADASTRO DE CLIENTES'!$C$6:$E$500,3,FALSE),""))</f>
        <v/>
      </c>
      <c r="G481" s="36"/>
      <c r="H481" s="36"/>
      <c r="I481" s="49" t="str">
        <f>IF(ISBLANK(G481),"",IFERROR(VLOOKUP(G481,'CADASTRO DE MATERIAL'!$C$6:$J$500,8,FALSE),""))</f>
        <v/>
      </c>
      <c r="J481" s="54" t="str">
        <f t="shared" si="35"/>
        <v/>
      </c>
      <c r="K481" s="36"/>
      <c r="L481" s="49">
        <f t="shared" si="36"/>
        <v>0</v>
      </c>
      <c r="M481" s="54">
        <f t="shared" si="37"/>
        <v>0</v>
      </c>
      <c r="N481" s="66"/>
      <c r="O481" s="54">
        <f t="shared" si="38"/>
        <v>0</v>
      </c>
      <c r="P481" s="54" t="str">
        <f t="shared" si="39"/>
        <v/>
      </c>
    </row>
    <row r="482" spans="2:16" ht="16.8" hidden="1" customHeight="1" x14ac:dyDescent="0.4">
      <c r="B482" s="30" t="str">
        <f>IF(AND(ISBLANK(D482), ISBLANK(E482), ISBLANK(G482)), "", IF(AND(E482&lt;&gt;"", E482=E481, D482&lt;&gt;"", D482=D481), B481, "PED-" &amp; TEXT(IFERROR(VALUE(RIGHT(LOOKUP("PED-9999",$B$5:B481),4)),1000)+1, "0000")))</f>
        <v/>
      </c>
      <c r="C482" s="30" t="s">
        <v>515</v>
      </c>
      <c r="D482" s="42"/>
      <c r="E482" s="30"/>
      <c r="F482" s="30" t="str">
        <f>IF(ISBLANK(E482),"",IFERROR(VLOOKUP(E482,'CADASTRO DE CLIENTES'!$C$6:$E$500,3,FALSE),""))</f>
        <v/>
      </c>
      <c r="G482" s="30"/>
      <c r="H482" s="30"/>
      <c r="I482" s="51" t="str">
        <f>IF(ISBLANK(G482),"",IFERROR(VLOOKUP(G482,'CADASTRO DE MATERIAL'!$C$6:$J$500,8,FALSE),""))</f>
        <v/>
      </c>
      <c r="J482" s="59" t="str">
        <f t="shared" si="35"/>
        <v/>
      </c>
      <c r="K482" s="30"/>
      <c r="L482" s="51">
        <f t="shared" si="36"/>
        <v>0</v>
      </c>
      <c r="M482" s="59">
        <f t="shared" si="37"/>
        <v>0</v>
      </c>
      <c r="N482" s="65"/>
      <c r="O482" s="59">
        <f t="shared" si="38"/>
        <v>0</v>
      </c>
      <c r="P482" s="59" t="str">
        <f t="shared" si="39"/>
        <v/>
      </c>
    </row>
    <row r="483" spans="2:16" ht="16.8" hidden="1" customHeight="1" x14ac:dyDescent="0.4">
      <c r="B483" s="36" t="str">
        <f>IF(AND(ISBLANK(D483), ISBLANK(E483), ISBLANK(G483)), "", IF(AND(E483&lt;&gt;"", E483=E482, D483&lt;&gt;"", D483=D482), B482, "PED-" &amp; TEXT(IFERROR(VALUE(RIGHT(LOOKUP("PED-9999",$B$5:B482),4)),1000)+1, "0000")))</f>
        <v/>
      </c>
      <c r="C483" s="36" t="s">
        <v>516</v>
      </c>
      <c r="D483" s="41"/>
      <c r="E483" s="36"/>
      <c r="F483" s="36" t="str">
        <f>IF(ISBLANK(E483),"",IFERROR(VLOOKUP(E483,'CADASTRO DE CLIENTES'!$C$6:$E$500,3,FALSE),""))</f>
        <v/>
      </c>
      <c r="G483" s="36"/>
      <c r="H483" s="36"/>
      <c r="I483" s="49" t="str">
        <f>IF(ISBLANK(G483),"",IFERROR(VLOOKUP(G483,'CADASTRO DE MATERIAL'!$C$6:$J$500,8,FALSE),""))</f>
        <v/>
      </c>
      <c r="J483" s="54" t="str">
        <f t="shared" si="35"/>
        <v/>
      </c>
      <c r="K483" s="36"/>
      <c r="L483" s="49">
        <f t="shared" si="36"/>
        <v>0</v>
      </c>
      <c r="M483" s="54">
        <f t="shared" si="37"/>
        <v>0</v>
      </c>
      <c r="N483" s="66"/>
      <c r="O483" s="54">
        <f t="shared" si="38"/>
        <v>0</v>
      </c>
      <c r="P483" s="54" t="str">
        <f t="shared" si="39"/>
        <v/>
      </c>
    </row>
    <row r="484" spans="2:16" ht="16.8" hidden="1" customHeight="1" x14ac:dyDescent="0.4">
      <c r="B484" s="30" t="str">
        <f>IF(AND(ISBLANK(D484), ISBLANK(E484), ISBLANK(G484)), "", IF(AND(E484&lt;&gt;"", E484=E483, D484&lt;&gt;"", D484=D483), B483, "PED-" &amp; TEXT(IFERROR(VALUE(RIGHT(LOOKUP("PED-9999",$B$5:B483),4)),1000)+1, "0000")))</f>
        <v/>
      </c>
      <c r="C484" s="30" t="s">
        <v>517</v>
      </c>
      <c r="D484" s="42"/>
      <c r="E484" s="30"/>
      <c r="F484" s="30" t="str">
        <f>IF(ISBLANK(E484),"",IFERROR(VLOOKUP(E484,'CADASTRO DE CLIENTES'!$C$6:$E$500,3,FALSE),""))</f>
        <v/>
      </c>
      <c r="G484" s="30"/>
      <c r="H484" s="30"/>
      <c r="I484" s="51" t="str">
        <f>IF(ISBLANK(G484),"",IFERROR(VLOOKUP(G484,'CADASTRO DE MATERIAL'!$C$6:$J$500,8,FALSE),""))</f>
        <v/>
      </c>
      <c r="J484" s="59" t="str">
        <f t="shared" si="35"/>
        <v/>
      </c>
      <c r="K484" s="30"/>
      <c r="L484" s="51">
        <f t="shared" si="36"/>
        <v>0</v>
      </c>
      <c r="M484" s="59">
        <f t="shared" si="37"/>
        <v>0</v>
      </c>
      <c r="N484" s="65"/>
      <c r="O484" s="59">
        <f t="shared" si="38"/>
        <v>0</v>
      </c>
      <c r="P484" s="59" t="str">
        <f t="shared" si="39"/>
        <v/>
      </c>
    </row>
    <row r="485" spans="2:16" ht="16.8" hidden="1" customHeight="1" x14ac:dyDescent="0.4">
      <c r="B485" s="36" t="str">
        <f>IF(AND(ISBLANK(D485), ISBLANK(E485), ISBLANK(G485)), "", IF(AND(E485&lt;&gt;"", E485=E484, D485&lt;&gt;"", D485=D484), B484, "PED-" &amp; TEXT(IFERROR(VALUE(RIGHT(LOOKUP("PED-9999",$B$5:B484),4)),1000)+1, "0000")))</f>
        <v/>
      </c>
      <c r="C485" s="36" t="s">
        <v>518</v>
      </c>
      <c r="D485" s="41"/>
      <c r="E485" s="36"/>
      <c r="F485" s="36" t="str">
        <f>IF(ISBLANK(E485),"",IFERROR(VLOOKUP(E485,'CADASTRO DE CLIENTES'!$C$6:$E$500,3,FALSE),""))</f>
        <v/>
      </c>
      <c r="G485" s="36"/>
      <c r="H485" s="36"/>
      <c r="I485" s="49" t="str">
        <f>IF(ISBLANK(G485),"",IFERROR(VLOOKUP(G485,'CADASTRO DE MATERIAL'!$C$6:$J$500,8,FALSE),""))</f>
        <v/>
      </c>
      <c r="J485" s="54" t="str">
        <f t="shared" si="35"/>
        <v/>
      </c>
      <c r="K485" s="36"/>
      <c r="L485" s="49">
        <f t="shared" si="36"/>
        <v>0</v>
      </c>
      <c r="M485" s="54">
        <f t="shared" si="37"/>
        <v>0</v>
      </c>
      <c r="N485" s="66"/>
      <c r="O485" s="54">
        <f t="shared" si="38"/>
        <v>0</v>
      </c>
      <c r="P485" s="54" t="str">
        <f t="shared" si="39"/>
        <v/>
      </c>
    </row>
    <row r="486" spans="2:16" ht="16.8" hidden="1" customHeight="1" x14ac:dyDescent="0.4">
      <c r="B486" s="30" t="str">
        <f>IF(AND(ISBLANK(D486), ISBLANK(E486), ISBLANK(G486)), "", IF(AND(E486&lt;&gt;"", E486=E485, D486&lt;&gt;"", D486=D485), B485, "PED-" &amp; TEXT(IFERROR(VALUE(RIGHT(LOOKUP("PED-9999",$B$5:B485),4)),1000)+1, "0000")))</f>
        <v/>
      </c>
      <c r="C486" s="30" t="s">
        <v>519</v>
      </c>
      <c r="D486" s="42"/>
      <c r="E486" s="30"/>
      <c r="F486" s="30" t="str">
        <f>IF(ISBLANK(E486),"",IFERROR(VLOOKUP(E486,'CADASTRO DE CLIENTES'!$C$6:$E$500,3,FALSE),""))</f>
        <v/>
      </c>
      <c r="G486" s="30"/>
      <c r="H486" s="30"/>
      <c r="I486" s="51" t="str">
        <f>IF(ISBLANK(G486),"",IFERROR(VLOOKUP(G486,'CADASTRO DE MATERIAL'!$C$6:$J$500,8,FALSE),""))</f>
        <v/>
      </c>
      <c r="J486" s="59" t="str">
        <f t="shared" si="35"/>
        <v/>
      </c>
      <c r="K486" s="30"/>
      <c r="L486" s="51">
        <f t="shared" si="36"/>
        <v>0</v>
      </c>
      <c r="M486" s="59">
        <f t="shared" si="37"/>
        <v>0</v>
      </c>
      <c r="N486" s="65"/>
      <c r="O486" s="59">
        <f t="shared" si="38"/>
        <v>0</v>
      </c>
      <c r="P486" s="59" t="str">
        <f t="shared" si="39"/>
        <v/>
      </c>
    </row>
    <row r="487" spans="2:16" ht="16.8" hidden="1" customHeight="1" x14ac:dyDescent="0.4">
      <c r="B487" s="36" t="str">
        <f>IF(AND(ISBLANK(D487), ISBLANK(E487), ISBLANK(G487)), "", IF(AND(E487&lt;&gt;"", E487=E486, D487&lt;&gt;"", D487=D486), B486, "PED-" &amp; TEXT(IFERROR(VALUE(RIGHT(LOOKUP("PED-9999",$B$5:B486),4)),1000)+1, "0000")))</f>
        <v/>
      </c>
      <c r="C487" s="36" t="s">
        <v>520</v>
      </c>
      <c r="D487" s="41"/>
      <c r="E487" s="36"/>
      <c r="F487" s="36" t="str">
        <f>IF(ISBLANK(E487),"",IFERROR(VLOOKUP(E487,'CADASTRO DE CLIENTES'!$C$6:$E$500,3,FALSE),""))</f>
        <v/>
      </c>
      <c r="G487" s="36"/>
      <c r="H487" s="36"/>
      <c r="I487" s="49" t="str">
        <f>IF(ISBLANK(G487),"",IFERROR(VLOOKUP(G487,'CADASTRO DE MATERIAL'!$C$6:$J$500,8,FALSE),""))</f>
        <v/>
      </c>
      <c r="J487" s="54" t="str">
        <f t="shared" si="35"/>
        <v/>
      </c>
      <c r="K487" s="36"/>
      <c r="L487" s="49">
        <f t="shared" si="36"/>
        <v>0</v>
      </c>
      <c r="M487" s="54">
        <f t="shared" si="37"/>
        <v>0</v>
      </c>
      <c r="N487" s="66"/>
      <c r="O487" s="54">
        <f t="shared" si="38"/>
        <v>0</v>
      </c>
      <c r="P487" s="54" t="str">
        <f t="shared" si="39"/>
        <v/>
      </c>
    </row>
    <row r="488" spans="2:16" ht="16.8" hidden="1" customHeight="1" x14ac:dyDescent="0.4">
      <c r="B488" s="30" t="str">
        <f>IF(AND(ISBLANK(D488), ISBLANK(E488), ISBLANK(G488)), "", IF(AND(E488&lt;&gt;"", E488=E487, D488&lt;&gt;"", D488=D487), B487, "PED-" &amp; TEXT(IFERROR(VALUE(RIGHT(LOOKUP("PED-9999",$B$5:B487),4)),1000)+1, "0000")))</f>
        <v/>
      </c>
      <c r="C488" s="30" t="s">
        <v>521</v>
      </c>
      <c r="D488" s="42"/>
      <c r="E488" s="30"/>
      <c r="F488" s="30" t="str">
        <f>IF(ISBLANK(E488),"",IFERROR(VLOOKUP(E488,'CADASTRO DE CLIENTES'!$C$6:$E$500,3,FALSE),""))</f>
        <v/>
      </c>
      <c r="G488" s="30"/>
      <c r="H488" s="30"/>
      <c r="I488" s="51" t="str">
        <f>IF(ISBLANK(G488),"",IFERROR(VLOOKUP(G488,'CADASTRO DE MATERIAL'!$C$6:$J$500,8,FALSE),""))</f>
        <v/>
      </c>
      <c r="J488" s="59" t="str">
        <f t="shared" si="35"/>
        <v/>
      </c>
      <c r="K488" s="30"/>
      <c r="L488" s="51">
        <f t="shared" si="36"/>
        <v>0</v>
      </c>
      <c r="M488" s="59">
        <f t="shared" si="37"/>
        <v>0</v>
      </c>
      <c r="N488" s="65"/>
      <c r="O488" s="59">
        <f t="shared" si="38"/>
        <v>0</v>
      </c>
      <c r="P488" s="59" t="str">
        <f t="shared" si="39"/>
        <v/>
      </c>
    </row>
    <row r="489" spans="2:16" ht="16.8" hidden="1" customHeight="1" x14ac:dyDescent="0.4">
      <c r="B489" s="36" t="str">
        <f>IF(AND(ISBLANK(D489), ISBLANK(E489), ISBLANK(G489)), "", IF(AND(E489&lt;&gt;"", E489=E488, D489&lt;&gt;"", D489=D488), B488, "PED-" &amp; TEXT(IFERROR(VALUE(RIGHT(LOOKUP("PED-9999",$B$5:B488),4)),1000)+1, "0000")))</f>
        <v/>
      </c>
      <c r="C489" s="36" t="s">
        <v>522</v>
      </c>
      <c r="D489" s="41"/>
      <c r="E489" s="36"/>
      <c r="F489" s="36" t="str">
        <f>IF(ISBLANK(E489),"",IFERROR(VLOOKUP(E489,'CADASTRO DE CLIENTES'!$C$6:$E$500,3,FALSE),""))</f>
        <v/>
      </c>
      <c r="G489" s="36"/>
      <c r="H489" s="36"/>
      <c r="I489" s="49" t="str">
        <f>IF(ISBLANK(G489),"",IFERROR(VLOOKUP(G489,'CADASTRO DE MATERIAL'!$C$6:$J$500,8,FALSE),""))</f>
        <v/>
      </c>
      <c r="J489" s="54" t="str">
        <f t="shared" si="35"/>
        <v/>
      </c>
      <c r="K489" s="36"/>
      <c r="L489" s="49">
        <f t="shared" si="36"/>
        <v>0</v>
      </c>
      <c r="M489" s="54">
        <f t="shared" si="37"/>
        <v>0</v>
      </c>
      <c r="N489" s="66"/>
      <c r="O489" s="54">
        <f t="shared" si="38"/>
        <v>0</v>
      </c>
      <c r="P489" s="54" t="str">
        <f t="shared" si="39"/>
        <v/>
      </c>
    </row>
    <row r="490" spans="2:16" ht="16.8" hidden="1" customHeight="1" x14ac:dyDescent="0.4">
      <c r="B490" s="30" t="str">
        <f>IF(AND(ISBLANK(D490), ISBLANK(E490), ISBLANK(G490)), "", IF(AND(E490&lt;&gt;"", E490=E489, D490&lt;&gt;"", D490=D489), B489, "PED-" &amp; TEXT(IFERROR(VALUE(RIGHT(LOOKUP("PED-9999",$B$5:B489),4)),1000)+1, "0000")))</f>
        <v/>
      </c>
      <c r="C490" s="30" t="s">
        <v>523</v>
      </c>
      <c r="D490" s="42"/>
      <c r="E490" s="30"/>
      <c r="F490" s="30" t="str">
        <f>IF(ISBLANK(E490),"",IFERROR(VLOOKUP(E490,'CADASTRO DE CLIENTES'!$C$6:$E$500,3,FALSE),""))</f>
        <v/>
      </c>
      <c r="G490" s="30"/>
      <c r="H490" s="30"/>
      <c r="I490" s="51" t="str">
        <f>IF(ISBLANK(G490),"",IFERROR(VLOOKUP(G490,'CADASTRO DE MATERIAL'!$C$6:$J$500,8,FALSE),""))</f>
        <v/>
      </c>
      <c r="J490" s="59" t="str">
        <f t="shared" si="35"/>
        <v/>
      </c>
      <c r="K490" s="30"/>
      <c r="L490" s="51">
        <f t="shared" si="36"/>
        <v>0</v>
      </c>
      <c r="M490" s="59">
        <f t="shared" si="37"/>
        <v>0</v>
      </c>
      <c r="N490" s="65"/>
      <c r="O490" s="59">
        <f t="shared" si="38"/>
        <v>0</v>
      </c>
      <c r="P490" s="59" t="str">
        <f t="shared" si="39"/>
        <v/>
      </c>
    </row>
    <row r="491" spans="2:16" ht="16.8" hidden="1" customHeight="1" x14ac:dyDescent="0.4">
      <c r="B491" s="36" t="str">
        <f>IF(AND(ISBLANK(D491), ISBLANK(E491), ISBLANK(G491)), "", IF(AND(E491&lt;&gt;"", E491=E490, D491&lt;&gt;"", D491=D490), B490, "PED-" &amp; TEXT(IFERROR(VALUE(RIGHT(LOOKUP("PED-9999",$B$5:B490),4)),1000)+1, "0000")))</f>
        <v/>
      </c>
      <c r="C491" s="36" t="s">
        <v>524</v>
      </c>
      <c r="D491" s="41"/>
      <c r="E491" s="36"/>
      <c r="F491" s="36" t="str">
        <f>IF(ISBLANK(E491),"",IFERROR(VLOOKUP(E491,'CADASTRO DE CLIENTES'!$C$6:$E$500,3,FALSE),""))</f>
        <v/>
      </c>
      <c r="G491" s="36"/>
      <c r="H491" s="36"/>
      <c r="I491" s="49" t="str">
        <f>IF(ISBLANK(G491),"",IFERROR(VLOOKUP(G491,'CADASTRO DE MATERIAL'!$C$6:$J$500,8,FALSE),""))</f>
        <v/>
      </c>
      <c r="J491" s="54" t="str">
        <f t="shared" si="35"/>
        <v/>
      </c>
      <c r="K491" s="36"/>
      <c r="L491" s="49">
        <f t="shared" si="36"/>
        <v>0</v>
      </c>
      <c r="M491" s="54">
        <f t="shared" si="37"/>
        <v>0</v>
      </c>
      <c r="N491" s="66"/>
      <c r="O491" s="54">
        <f t="shared" si="38"/>
        <v>0</v>
      </c>
      <c r="P491" s="54" t="str">
        <f t="shared" si="39"/>
        <v/>
      </c>
    </row>
    <row r="492" spans="2:16" ht="16.8" hidden="1" customHeight="1" x14ac:dyDescent="0.4">
      <c r="B492" s="30" t="str">
        <f>IF(AND(ISBLANK(D492), ISBLANK(E492), ISBLANK(G492)), "", IF(AND(E492&lt;&gt;"", E492=E491, D492&lt;&gt;"", D492=D491), B491, "PED-" &amp; TEXT(IFERROR(VALUE(RIGHT(LOOKUP("PED-9999",$B$5:B491),4)),1000)+1, "0000")))</f>
        <v/>
      </c>
      <c r="C492" s="30" t="s">
        <v>525</v>
      </c>
      <c r="D492" s="42"/>
      <c r="E492" s="30"/>
      <c r="F492" s="30" t="str">
        <f>IF(ISBLANK(E492),"",IFERROR(VLOOKUP(E492,'CADASTRO DE CLIENTES'!$C$6:$E$500,3,FALSE),""))</f>
        <v/>
      </c>
      <c r="G492" s="30"/>
      <c r="H492" s="30"/>
      <c r="I492" s="51" t="str">
        <f>IF(ISBLANK(G492),"",IFERROR(VLOOKUP(G492,'CADASTRO DE MATERIAL'!$C$6:$J$500,8,FALSE),""))</f>
        <v/>
      </c>
      <c r="J492" s="59" t="str">
        <f t="shared" si="35"/>
        <v/>
      </c>
      <c r="K492" s="30"/>
      <c r="L492" s="51">
        <f t="shared" si="36"/>
        <v>0</v>
      </c>
      <c r="M492" s="59">
        <f t="shared" si="37"/>
        <v>0</v>
      </c>
      <c r="N492" s="65"/>
      <c r="O492" s="59">
        <f t="shared" si="38"/>
        <v>0</v>
      </c>
      <c r="P492" s="59" t="str">
        <f t="shared" si="39"/>
        <v/>
      </c>
    </row>
    <row r="493" spans="2:16" ht="16.8" hidden="1" customHeight="1" x14ac:dyDescent="0.4">
      <c r="B493" s="36" t="str">
        <f>IF(AND(ISBLANK(D493), ISBLANK(E493), ISBLANK(G493)), "", IF(AND(E493&lt;&gt;"", E493=E492, D493&lt;&gt;"", D493=D492), B492, "PED-" &amp; TEXT(IFERROR(VALUE(RIGHT(LOOKUP("PED-9999",$B$5:B492),4)),1000)+1, "0000")))</f>
        <v/>
      </c>
      <c r="C493" s="36" t="s">
        <v>526</v>
      </c>
      <c r="D493" s="41"/>
      <c r="E493" s="36"/>
      <c r="F493" s="36" t="str">
        <f>IF(ISBLANK(E493),"",IFERROR(VLOOKUP(E493,'CADASTRO DE CLIENTES'!$C$6:$E$500,3,FALSE),""))</f>
        <v/>
      </c>
      <c r="G493" s="36"/>
      <c r="H493" s="36"/>
      <c r="I493" s="49" t="str">
        <f>IF(ISBLANK(G493),"",IFERROR(VLOOKUP(G493,'CADASTRO DE MATERIAL'!$C$6:$J$500,8,FALSE),""))</f>
        <v/>
      </c>
      <c r="J493" s="54" t="str">
        <f t="shared" si="35"/>
        <v/>
      </c>
      <c r="K493" s="36"/>
      <c r="L493" s="49">
        <f t="shared" si="36"/>
        <v>0</v>
      </c>
      <c r="M493" s="54">
        <f t="shared" si="37"/>
        <v>0</v>
      </c>
      <c r="N493" s="66"/>
      <c r="O493" s="54">
        <f t="shared" si="38"/>
        <v>0</v>
      </c>
      <c r="P493" s="54" t="str">
        <f t="shared" si="39"/>
        <v/>
      </c>
    </row>
    <row r="494" spans="2:16" ht="16.8" hidden="1" customHeight="1" x14ac:dyDescent="0.4">
      <c r="B494" s="30" t="str">
        <f>IF(AND(ISBLANK(D494), ISBLANK(E494), ISBLANK(G494)), "", IF(AND(E494&lt;&gt;"", E494=E493, D494&lt;&gt;"", D494=D493), B493, "PED-" &amp; TEXT(IFERROR(VALUE(RIGHT(LOOKUP("PED-9999",$B$5:B493),4)),1000)+1, "0000")))</f>
        <v/>
      </c>
      <c r="C494" s="30" t="s">
        <v>527</v>
      </c>
      <c r="D494" s="42"/>
      <c r="E494" s="30"/>
      <c r="F494" s="30" t="str">
        <f>IF(ISBLANK(E494),"",IFERROR(VLOOKUP(E494,'CADASTRO DE CLIENTES'!$C$6:$E$500,3,FALSE),""))</f>
        <v/>
      </c>
      <c r="G494" s="30"/>
      <c r="H494" s="30"/>
      <c r="I494" s="51" t="str">
        <f>IF(ISBLANK(G494),"",IFERROR(VLOOKUP(G494,'CADASTRO DE MATERIAL'!$C$6:$J$500,8,FALSE),""))</f>
        <v/>
      </c>
      <c r="J494" s="59" t="str">
        <f t="shared" si="35"/>
        <v/>
      </c>
      <c r="K494" s="30"/>
      <c r="L494" s="51">
        <f t="shared" si="36"/>
        <v>0</v>
      </c>
      <c r="M494" s="59">
        <f t="shared" si="37"/>
        <v>0</v>
      </c>
      <c r="N494" s="65"/>
      <c r="O494" s="59">
        <f t="shared" si="38"/>
        <v>0</v>
      </c>
      <c r="P494" s="59" t="str">
        <f t="shared" si="39"/>
        <v/>
      </c>
    </row>
    <row r="495" spans="2:16" ht="16.8" hidden="1" customHeight="1" x14ac:dyDescent="0.4">
      <c r="B495" s="36" t="str">
        <f>IF(AND(ISBLANK(D495), ISBLANK(E495), ISBLANK(G495)), "", IF(AND(E495&lt;&gt;"", E495=E494, D495&lt;&gt;"", D495=D494), B494, "PED-" &amp; TEXT(IFERROR(VALUE(RIGHT(LOOKUP("PED-9999",$B$5:B494),4)),1000)+1, "0000")))</f>
        <v/>
      </c>
      <c r="C495" s="36" t="s">
        <v>528</v>
      </c>
      <c r="D495" s="41"/>
      <c r="E495" s="36"/>
      <c r="F495" s="36" t="str">
        <f>IF(ISBLANK(E495),"",IFERROR(VLOOKUP(E495,'CADASTRO DE CLIENTES'!$C$6:$E$500,3,FALSE),""))</f>
        <v/>
      </c>
      <c r="G495" s="36"/>
      <c r="H495" s="36"/>
      <c r="I495" s="49" t="str">
        <f>IF(ISBLANK(G495),"",IFERROR(VLOOKUP(G495,'CADASTRO DE MATERIAL'!$C$6:$J$500,8,FALSE),""))</f>
        <v/>
      </c>
      <c r="J495" s="54" t="str">
        <f t="shared" si="35"/>
        <v/>
      </c>
      <c r="K495" s="36"/>
      <c r="L495" s="49">
        <f t="shared" si="36"/>
        <v>0</v>
      </c>
      <c r="M495" s="54">
        <f t="shared" si="37"/>
        <v>0</v>
      </c>
      <c r="N495" s="66"/>
      <c r="O495" s="54">
        <f t="shared" si="38"/>
        <v>0</v>
      </c>
      <c r="P495" s="54" t="str">
        <f t="shared" si="39"/>
        <v/>
      </c>
    </row>
    <row r="496" spans="2:16" ht="16.8" hidden="1" customHeight="1" x14ac:dyDescent="0.4">
      <c r="B496" s="30" t="str">
        <f>IF(AND(ISBLANK(D496), ISBLANK(E496), ISBLANK(G496)), "", IF(AND(E496&lt;&gt;"", E496=E495, D496&lt;&gt;"", D496=D495), B495, "PED-" &amp; TEXT(IFERROR(VALUE(RIGHT(LOOKUP("PED-9999",$B$5:B495),4)),1000)+1, "0000")))</f>
        <v/>
      </c>
      <c r="C496" s="30" t="s">
        <v>529</v>
      </c>
      <c r="D496" s="42"/>
      <c r="E496" s="30"/>
      <c r="F496" s="30" t="str">
        <f>IF(ISBLANK(E496),"",IFERROR(VLOOKUP(E496,'CADASTRO DE CLIENTES'!$C$6:$E$500,3,FALSE),""))</f>
        <v/>
      </c>
      <c r="G496" s="30"/>
      <c r="H496" s="30"/>
      <c r="I496" s="51" t="str">
        <f>IF(ISBLANK(G496),"",IFERROR(VLOOKUP(G496,'CADASTRO DE MATERIAL'!$C$6:$J$500,8,FALSE),""))</f>
        <v/>
      </c>
      <c r="J496" s="59" t="str">
        <f t="shared" si="35"/>
        <v/>
      </c>
      <c r="K496" s="30"/>
      <c r="L496" s="51">
        <f t="shared" si="36"/>
        <v>0</v>
      </c>
      <c r="M496" s="59">
        <f t="shared" si="37"/>
        <v>0</v>
      </c>
      <c r="N496" s="65"/>
      <c r="O496" s="59">
        <f t="shared" si="38"/>
        <v>0</v>
      </c>
      <c r="P496" s="59" t="str">
        <f t="shared" si="39"/>
        <v/>
      </c>
    </row>
    <row r="497" spans="2:16" ht="16.8" hidden="1" customHeight="1" x14ac:dyDescent="0.4">
      <c r="B497" s="36" t="str">
        <f>IF(AND(ISBLANK(D497), ISBLANK(E497), ISBLANK(G497)), "", IF(AND(E497&lt;&gt;"", E497=E496, D497&lt;&gt;"", D497=D496), B496, "PED-" &amp; TEXT(IFERROR(VALUE(RIGHT(LOOKUP("PED-9999",$B$5:B496),4)),1000)+1, "0000")))</f>
        <v/>
      </c>
      <c r="C497" s="36" t="s">
        <v>530</v>
      </c>
      <c r="D497" s="41"/>
      <c r="E497" s="36"/>
      <c r="F497" s="36" t="str">
        <f>IF(ISBLANK(E497),"",IFERROR(VLOOKUP(E497,'CADASTRO DE CLIENTES'!$C$6:$E$500,3,FALSE),""))</f>
        <v/>
      </c>
      <c r="G497" s="36"/>
      <c r="H497" s="36"/>
      <c r="I497" s="49" t="str">
        <f>IF(ISBLANK(G497),"",IFERROR(VLOOKUP(G497,'CADASTRO DE MATERIAL'!$C$6:$J$500,8,FALSE),""))</f>
        <v/>
      </c>
      <c r="J497" s="54" t="str">
        <f t="shared" si="35"/>
        <v/>
      </c>
      <c r="K497" s="36"/>
      <c r="L497" s="49">
        <f t="shared" si="36"/>
        <v>0</v>
      </c>
      <c r="M497" s="54">
        <f t="shared" si="37"/>
        <v>0</v>
      </c>
      <c r="N497" s="66"/>
      <c r="O497" s="54">
        <f t="shared" si="38"/>
        <v>0</v>
      </c>
      <c r="P497" s="54" t="str">
        <f t="shared" si="39"/>
        <v/>
      </c>
    </row>
    <row r="498" spans="2:16" ht="16.8" hidden="1" customHeight="1" x14ac:dyDescent="0.4">
      <c r="B498" s="30" t="str">
        <f>IF(AND(ISBLANK(D498), ISBLANK(E498), ISBLANK(G498)), "", IF(AND(E498&lt;&gt;"", E498=E497, D498&lt;&gt;"", D498=D497), B497, "PED-" &amp; TEXT(IFERROR(VALUE(RIGHT(LOOKUP("PED-9999",$B$5:B497),4)),1000)+1, "0000")))</f>
        <v/>
      </c>
      <c r="C498" s="30" t="s">
        <v>531</v>
      </c>
      <c r="D498" s="42"/>
      <c r="E498" s="30"/>
      <c r="F498" s="30" t="str">
        <f>IF(ISBLANK(E498),"",IFERROR(VLOOKUP(E498,'CADASTRO DE CLIENTES'!$C$6:$E$500,3,FALSE),""))</f>
        <v/>
      </c>
      <c r="G498" s="30"/>
      <c r="H498" s="30"/>
      <c r="I498" s="51" t="str">
        <f>IF(ISBLANK(G498),"",IFERROR(VLOOKUP(G498,'CADASTRO DE MATERIAL'!$C$6:$J$500,8,FALSE),""))</f>
        <v/>
      </c>
      <c r="J498" s="59" t="str">
        <f t="shared" si="35"/>
        <v/>
      </c>
      <c r="K498" s="30"/>
      <c r="L498" s="51">
        <f t="shared" si="36"/>
        <v>0</v>
      </c>
      <c r="M498" s="59">
        <f t="shared" si="37"/>
        <v>0</v>
      </c>
      <c r="N498" s="65"/>
      <c r="O498" s="59">
        <f t="shared" si="38"/>
        <v>0</v>
      </c>
      <c r="P498" s="59" t="str">
        <f t="shared" si="39"/>
        <v/>
      </c>
    </row>
    <row r="499" spans="2:16" ht="16.8" hidden="1" customHeight="1" x14ac:dyDescent="0.4">
      <c r="B499" s="36" t="str">
        <f>IF(AND(ISBLANK(D499), ISBLANK(E499), ISBLANK(G499)), "", IF(AND(E499&lt;&gt;"", E499=E498, D499&lt;&gt;"", D499=D498), B498, "PED-" &amp; TEXT(IFERROR(VALUE(RIGHT(LOOKUP("PED-9999",$B$5:B498),4)),1000)+1, "0000")))</f>
        <v/>
      </c>
      <c r="C499" s="36" t="s">
        <v>532</v>
      </c>
      <c r="D499" s="41"/>
      <c r="E499" s="36"/>
      <c r="F499" s="36" t="str">
        <f>IF(ISBLANK(E499),"",IFERROR(VLOOKUP(E499,'CADASTRO DE CLIENTES'!$C$6:$E$500,3,FALSE),""))</f>
        <v/>
      </c>
      <c r="G499" s="36"/>
      <c r="H499" s="36"/>
      <c r="I499" s="49" t="str">
        <f>IF(ISBLANK(G499),"",IFERROR(VLOOKUP(G499,'CADASTRO DE MATERIAL'!$C$6:$J$500,8,FALSE),""))</f>
        <v/>
      </c>
      <c r="J499" s="54" t="str">
        <f t="shared" si="35"/>
        <v/>
      </c>
      <c r="K499" s="36"/>
      <c r="L499" s="49">
        <f t="shared" si="36"/>
        <v>0</v>
      </c>
      <c r="M499" s="54">
        <f t="shared" si="37"/>
        <v>0</v>
      </c>
      <c r="N499" s="66"/>
      <c r="O499" s="54">
        <f t="shared" si="38"/>
        <v>0</v>
      </c>
      <c r="P499" s="54" t="str">
        <f t="shared" si="39"/>
        <v/>
      </c>
    </row>
    <row r="500" spans="2:16" ht="16.8" hidden="1" customHeight="1" x14ac:dyDescent="0.4">
      <c r="B500" s="30" t="str">
        <f>IF(AND(ISBLANK(D500), ISBLANK(E500), ISBLANK(G500)), "", IF(AND(E500&lt;&gt;"", E500=E499, D500&lt;&gt;"", D500=D499), B499, "PED-" &amp; TEXT(IFERROR(VALUE(RIGHT(LOOKUP("PED-9999",$B$5:B499),4)),1000)+1, "0000")))</f>
        <v/>
      </c>
      <c r="C500" s="30" t="s">
        <v>533</v>
      </c>
      <c r="D500" s="42"/>
      <c r="E500" s="30"/>
      <c r="F500" s="30" t="str">
        <f>IF(ISBLANK(E500),"",IFERROR(VLOOKUP(E500,'CADASTRO DE CLIENTES'!$C$6:$E$500,3,FALSE),""))</f>
        <v/>
      </c>
      <c r="G500" s="30"/>
      <c r="H500" s="30"/>
      <c r="I500" s="51" t="str">
        <f>IF(ISBLANK(G500),"",IFERROR(VLOOKUP(G500,'CADASTRO DE MATERIAL'!$C$6:$J$500,8,FALSE),""))</f>
        <v/>
      </c>
      <c r="J500" s="59" t="str">
        <f t="shared" si="35"/>
        <v/>
      </c>
      <c r="K500" s="30"/>
      <c r="L500" s="51">
        <f t="shared" si="36"/>
        <v>0</v>
      </c>
      <c r="M500" s="59">
        <f t="shared" si="37"/>
        <v>0</v>
      </c>
      <c r="N500" s="65"/>
      <c r="O500" s="59">
        <f t="shared" si="38"/>
        <v>0</v>
      </c>
      <c r="P500" s="59" t="str">
        <f t="shared" si="39"/>
        <v/>
      </c>
    </row>
  </sheetData>
  <autoFilter ref="B5:P500" xr:uid="{00000000-0001-0000-0200-000000000000}">
    <filterColumn colId="3">
      <filters>
        <filter val="HADIJA"/>
      </filters>
    </filterColumn>
  </autoFilter>
  <dataValidations count="1">
    <dataValidation type="list" sqref="K6:K500" xr:uid="{00000000-0002-0000-0200-000000000000}">
      <formula1>"À Vista, A Prazo"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1000000}">
          <x14:formula1>
            <xm:f>'CADASTRO DE CLIENTES'!$C$6:$C$500</xm:f>
          </x14:formula1>
          <xm:sqref>E6:E500</xm:sqref>
        </x14:dataValidation>
        <x14:dataValidation type="list" xr:uid="{00000000-0002-0000-0200-000002000000}">
          <x14:formula1>
            <xm:f>'CADASTRO DE MATERIAL'!$C$6:$C$500</xm:f>
          </x14:formula1>
          <xm:sqref>G6:G500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499"/>
  <sheetViews>
    <sheetView topLeftCell="C3" zoomScale="70" zoomScaleNormal="70" workbookViewId="0">
      <selection activeCell="F11" sqref="F11"/>
    </sheetView>
  </sheetViews>
  <sheetFormatPr defaultRowHeight="14.4" x14ac:dyDescent="0.3"/>
  <cols>
    <col min="1" max="1" width="10.109375" customWidth="1"/>
    <col min="2" max="2" width="23" style="13" customWidth="1"/>
    <col min="3" max="3" width="21" style="13" customWidth="1"/>
    <col min="4" max="4" width="26" style="13" customWidth="1"/>
    <col min="5" max="5" width="19" style="13" customWidth="1"/>
    <col min="6" max="6" width="105.77734375" style="13" customWidth="1"/>
    <col min="7" max="7" width="19" style="13" customWidth="1"/>
    <col min="8" max="8" width="17" style="13" customWidth="1"/>
    <col min="9" max="9" width="26" style="13" customWidth="1"/>
    <col min="10" max="10" width="32" style="13" customWidth="1"/>
    <col min="11" max="11" width="20" style="13" customWidth="1"/>
    <col min="12" max="12" width="29" style="13" customWidth="1"/>
    <col min="13" max="13" width="15" style="13" customWidth="1"/>
  </cols>
  <sheetData>
    <row r="2" spans="2:13" ht="24.6" customHeight="1" x14ac:dyDescent="0.3">
      <c r="B2" s="60" t="s">
        <v>1300</v>
      </c>
    </row>
    <row r="3" spans="2:13" ht="15" customHeight="1" x14ac:dyDescent="0.3">
      <c r="B3" s="61" t="s">
        <v>1301</v>
      </c>
    </row>
    <row r="4" spans="2:13" ht="16.8" customHeight="1" x14ac:dyDescent="0.3">
      <c r="B4" s="14" t="s">
        <v>1302</v>
      </c>
      <c r="I4" s="15">
        <f ca="1">SUMIF(K6:K1500, "Pendente", J6:J1500)</f>
        <v>1839.7000000000007</v>
      </c>
      <c r="J4" s="67" t="s">
        <v>1303</v>
      </c>
      <c r="K4" s="68">
        <f ca="1">SUMIF(K6:K1500, "Atrasado", J6:J1500)</f>
        <v>0</v>
      </c>
      <c r="L4" s="14" t="s">
        <v>1304</v>
      </c>
      <c r="M4" s="15">
        <f ca="1">SUMIF(K6:K1500, "Pago", J6:J1500)</f>
        <v>0</v>
      </c>
    </row>
    <row r="5" spans="2:13" ht="16.8" customHeight="1" x14ac:dyDescent="0.3">
      <c r="B5" s="27" t="s">
        <v>3</v>
      </c>
      <c r="C5" s="27" t="s">
        <v>1305</v>
      </c>
      <c r="D5" s="27" t="s">
        <v>1306</v>
      </c>
      <c r="E5" s="27" t="s">
        <v>7</v>
      </c>
      <c r="F5" s="27" t="s">
        <v>1307</v>
      </c>
      <c r="G5" s="27" t="s">
        <v>1308</v>
      </c>
      <c r="H5" s="27" t="s">
        <v>1309</v>
      </c>
      <c r="I5" s="27" t="s">
        <v>1310</v>
      </c>
      <c r="J5" s="27" t="s">
        <v>1311</v>
      </c>
      <c r="K5" s="27" t="s">
        <v>1312</v>
      </c>
      <c r="L5" s="27" t="s">
        <v>1313</v>
      </c>
      <c r="M5" s="27" t="s">
        <v>1314</v>
      </c>
    </row>
    <row r="6" spans="2:13" ht="15" customHeight="1" x14ac:dyDescent="0.3">
      <c r="B6" s="28" t="s">
        <v>18</v>
      </c>
      <c r="C6" s="29">
        <f>IFERROR(VLOOKUP(B6,'SAÍDA DE VENDAS'!$B$6:$P$500,3,FALSE),"")</f>
        <v>46298</v>
      </c>
      <c r="D6" s="28" t="str">
        <f>IFERROR(VLOOKUP(B6,'SAÍDA DE VENDAS'!$B$6:$P$500,4,FALSE),"")</f>
        <v xml:space="preserve">ADRIANA PEDRO </v>
      </c>
      <c r="E6" s="28" t="str">
        <f>IFERROR(VLOOKUP(B6,'SAÍDA DE VENDAS'!$B$6:$P$500,5,FALSE),"")</f>
        <v>18 99818-0064</v>
      </c>
      <c r="F6" s="28" t="str">
        <f>IF(OR(ISBLANK(B6),B6=""), "", IFERROR(INDEX('SAÍDA DE VENDAS'!$H$6:$H$500 &amp; "x " &amp; 'SAÍDA DE VENDAS'!$G$6:$G$500, MATCH(B6, 'SAÍDA DE VENDAS'!$B$6:$B$500, 0)), "")&amp; IF(COUNTIF('SAÍDA DE VENDAS'!$B$6:$B$500, B6)&gt;1, " + " &amp; IFERROR(INDEX('SAÍDA DE VENDAS'!$H$6:$H$500 &amp; "x " &amp; 'SAÍDA DE VENDAS'!$G$6:$G$500, MATCH(B6, 'SAÍDA DE VENDAS'!$B$6:$B$500, 0)+1), ""), "")&amp; IF(COUNTIF('SAÍDA DE VENDAS'!$B$6:$B$500, B6)&gt;2, " + " &amp; IFERROR(INDEX('SAÍDA DE VENDAS'!$H$6:$H$500 &amp; "x " &amp; 'SAÍDA DE VENDAS'!$G$6:$G$500, MATCH(B6, 'SAÍDA DE VENDAS'!$B$6:$B$500, 0)+2), ""), "")&amp; IF(COUNTIF('SAÍDA DE VENDAS'!$B$6:$B$500, B6)&gt;3, " + " &amp; IFERROR(INDEX('SAÍDA DE VENDAS'!$H$6:$H$500 &amp; "x " &amp; 'SAÍDA DE VENDAS'!$G$6:$G$500, MATCH(B6, 'SAÍDA DE VENDAS'!$B$6:$B$500, 0)+3), ""), "")&amp; IF(COUNTIF('SAÍDA DE VENDAS'!$B$6:$B$500, B6)&gt;4, " + " &amp; IFERROR(INDEX('SAÍDA DE VENDAS'!$H$6:$H$500 &amp; "x " &amp; 'SAÍDA DE VENDAS'!$G$6:$G$500, MATCH(B6, 'SAÍDA DE VENDAS'!$B$6:$B$500, 0)+4), ""), "")&amp; IF(COUNTIF('SAÍDA DE VENDAS'!$B$6:$B$500, B6)&gt;5, " + " &amp; IFERROR(INDEX('SAÍDA DE VENDAS'!$H$6:$H$500 &amp; "x " &amp; 'SAÍDA DE VENDAS'!$G$6:$G$500, MATCH(B6, 'SAÍDA DE VENDAS'!$B$6:$B$500, 0)+5), ""), ""))</f>
        <v xml:space="preserve">1x KIT LENÇOL KING 2000 FIOS 3 PEÇAS </v>
      </c>
      <c r="G6" s="28" t="str">
        <f>IFERROR(VLOOKUP(B6,'SAÍDA DE VENDAS'!$B$6:$P$500,10,FALSE),"")</f>
        <v>À Vista</v>
      </c>
      <c r="H6" s="28" t="s">
        <v>1315</v>
      </c>
      <c r="I6" s="69">
        <f t="shared" ref="I6:I69" si="0">IF(OR(ISBLANK(B6), B6="", C6=""), "", C6 + (IFERROR(VALUE(LEFT(H6, FIND("/", H6)-1)), 1) * 30))</f>
        <v>46328</v>
      </c>
      <c r="J6" s="33">
        <f>IFERROR(VLOOKUP(B6,'SAÍDA DE VENDAS'!$B$6:$P$500,15,FALSE),"")</f>
        <v>0</v>
      </c>
      <c r="K6" s="28" t="str">
        <f t="shared" ref="K6:K69" ca="1" si="1">IF(B6="","", IF(OR(G6="À Vista", L6&lt;&gt;""), "Pago", IF(AND(I6&lt;&gt;"", I6&lt;TODAY()), "Atrasado", "Pendente")))</f>
        <v>Pago</v>
      </c>
      <c r="L6" s="28"/>
      <c r="M6" s="28"/>
    </row>
    <row r="7" spans="2:13" ht="15" customHeight="1" x14ac:dyDescent="0.3">
      <c r="B7" s="34" t="str">
        <f>IF(B6="","", IF(VALUE(LEFT(H6,FIND("/",H6)-1)) &lt; VALUE(RIGHT(H6,LEN(H6)-FIND("/",H6))), B6, IFERROR(INDEX('SAÍDA DE VENDAS'!$B$6:$B$500, MATCH(B6,'SAÍDA DE VENDAS'!$B$6:$B$500,0)+COUNTIF('SAÍDA DE VENDAS'!$B$6:$B$500, B6)),"")))</f>
        <v>PED-1002</v>
      </c>
      <c r="C7" s="35">
        <f>IFERROR(VLOOKUP(B7,'SAÍDA DE VENDAS'!$B$6:$P$500,3,FALSE),"")</f>
        <v>46298</v>
      </c>
      <c r="D7" s="34" t="str">
        <f>IFERROR(VLOOKUP(B7,'SAÍDA DE VENDAS'!$B$6:$P$500,4,FALSE),"")</f>
        <v xml:space="preserve">VALERIA ALVES </v>
      </c>
      <c r="E7" s="34" t="str">
        <f>IFERROR(VLOOKUP(B7,'SAÍDA DE VENDAS'!$B$6:$P$500,5,FALSE),"")</f>
        <v>18 93500-1704</v>
      </c>
      <c r="F7" s="34" t="str">
        <f>IF(OR(ISBLANK(B7),B7=""), "", IFERROR(INDEX('SAÍDA DE VENDAS'!$H$6:$H$500 &amp; "x " &amp; 'SAÍDA DE VENDAS'!$G$6:$G$500, MATCH(B7, 'SAÍDA DE VENDAS'!$B$6:$B$500, 0)), "")&amp; IF(COUNTIF('SAÍDA DE VENDAS'!$B$6:$B$500, B7)&gt;1, " + " &amp; IFERROR(INDEX('SAÍDA DE VENDAS'!$H$6:$H$500 &amp; "x " &amp; 'SAÍDA DE VENDAS'!$G$6:$G$500, MATCH(B7, 'SAÍDA DE VENDAS'!$B$6:$B$500, 0)+1), ""), "")&amp; IF(COUNTIF('SAÍDA DE VENDAS'!$B$6:$B$500, B7)&gt;2, " + " &amp; IFERROR(INDEX('SAÍDA DE VENDAS'!$H$6:$H$500 &amp; "x " &amp; 'SAÍDA DE VENDAS'!$G$6:$G$500, MATCH(B7, 'SAÍDA DE VENDAS'!$B$6:$B$500, 0)+2), ""), "")&amp; IF(COUNTIF('SAÍDA DE VENDAS'!$B$6:$B$500, B7)&gt;3, " + " &amp; IFERROR(INDEX('SAÍDA DE VENDAS'!$H$6:$H$500 &amp; "x " &amp; 'SAÍDA DE VENDAS'!$G$6:$G$500, MATCH(B7, 'SAÍDA DE VENDAS'!$B$6:$B$500, 0)+3), ""), "")&amp; IF(COUNTIF('SAÍDA DE VENDAS'!$B$6:$B$500, B7)&gt;4, " + " &amp; IFERROR(INDEX('SAÍDA DE VENDAS'!$H$6:$H$500 &amp; "x " &amp; 'SAÍDA DE VENDAS'!$G$6:$G$500, MATCH(B7, 'SAÍDA DE VENDAS'!$B$6:$B$500, 0)+4), ""), "")&amp; IF(COUNTIF('SAÍDA DE VENDAS'!$B$6:$B$500, B7)&gt;5, " + " &amp; IFERROR(INDEX('SAÍDA DE VENDAS'!$H$6:$H$500 &amp; "x " &amp; 'SAÍDA DE VENDAS'!$G$6:$G$500, MATCH(B7, 'SAÍDA DE VENDAS'!$B$6:$B$500, 0)+5), ""), ""))</f>
        <v>1x MANTA KING ALGODAO 2,45X2,85</v>
      </c>
      <c r="G7" s="34" t="str">
        <f>IFERROR(VLOOKUP(B7,'SAÍDA DE VENDAS'!$B$6:$P$500,10,FALSE),"")</f>
        <v>À Vista</v>
      </c>
      <c r="H7" s="34" t="str">
        <f>IF(OR(ISBLANK(B7),B7=""), "", IF(B7=B6, (VALUE(LEFT(H6,FIND("/",H6)-1))+1)&amp;"/"&amp;RIGHT(H6,LEN(H6)-FIND("/",H6)), "1/"&amp;IFERROR(VLOOKUP(B7,'SAÍDA DE VENDAS'!$B$6:$P$500,13,FALSE),"1")))</f>
        <v>1/1</v>
      </c>
      <c r="I7" s="35">
        <f t="shared" si="0"/>
        <v>46328</v>
      </c>
      <c r="J7" s="39">
        <f>IFERROR(VLOOKUP(B7,'SAÍDA DE VENDAS'!$B$6:$P$500,15,FALSE),"")</f>
        <v>0</v>
      </c>
      <c r="K7" s="34" t="str">
        <f t="shared" ca="1" si="1"/>
        <v>Pago</v>
      </c>
      <c r="L7" s="34"/>
      <c r="M7" s="34"/>
    </row>
    <row r="8" spans="2:13" ht="15" customHeight="1" x14ac:dyDescent="0.3">
      <c r="B8" s="28" t="str">
        <f>IF(B7="","", IF(VALUE(LEFT(H7,FIND("/",H7)-1)) &lt; VALUE(RIGHT(H7,LEN(H7)-FIND("/",H7))), B7, IFERROR(INDEX('SAÍDA DE VENDAS'!$B$6:$B$500, MATCH(B7,'SAÍDA DE VENDAS'!$B$6:$B$500,0)+COUNTIF('SAÍDA DE VENDAS'!$B$6:$B$500, B7)),"")))</f>
        <v>PED-1003</v>
      </c>
      <c r="C8" s="29">
        <f>IFERROR(VLOOKUP(B8,'SAÍDA DE VENDAS'!$B$6:$P$500,3,FALSE),"")</f>
        <v>46298</v>
      </c>
      <c r="D8" s="28" t="str">
        <f>IFERROR(VLOOKUP(B8,'SAÍDA DE VENDAS'!$B$6:$P$500,4,FALSE),"")</f>
        <v>FLAVIA BEZERRA</v>
      </c>
      <c r="E8" s="28" t="str">
        <f>IFERROR(VLOOKUP(B8,'SAÍDA DE VENDAS'!$B$6:$P$500,5,FALSE),"")</f>
        <v>18 99745-2150</v>
      </c>
      <c r="F8" s="28" t="str">
        <f>IF(OR(ISBLANK(B8),B8=""), "", IFERROR(INDEX('SAÍDA DE VENDAS'!$H$6:$H$500 &amp; "x " &amp; 'SAÍDA DE VENDAS'!$G$6:$G$500, MATCH(B8, 'SAÍDA DE VENDAS'!$B$6:$B$500, 0)), "")&amp; IF(COUNTIF('SAÍDA DE VENDAS'!$B$6:$B$500, B8)&gt;1, " + " &amp; IFERROR(INDEX('SAÍDA DE VENDAS'!$H$6:$H$500 &amp; "x " &amp; 'SAÍDA DE VENDAS'!$G$6:$G$500, MATCH(B8, 'SAÍDA DE VENDAS'!$B$6:$B$500, 0)+1), ""), "")&amp; IF(COUNTIF('SAÍDA DE VENDAS'!$B$6:$B$500, B8)&gt;2, " + " &amp; IFERROR(INDEX('SAÍDA DE VENDAS'!$H$6:$H$500 &amp; "x " &amp; 'SAÍDA DE VENDAS'!$G$6:$G$500, MATCH(B8, 'SAÍDA DE VENDAS'!$B$6:$B$500, 0)+2), ""), "")&amp; IF(COUNTIF('SAÍDA DE VENDAS'!$B$6:$B$500, B8)&gt;3, " + " &amp; IFERROR(INDEX('SAÍDA DE VENDAS'!$H$6:$H$500 &amp; "x " &amp; 'SAÍDA DE VENDAS'!$G$6:$G$500, MATCH(B8, 'SAÍDA DE VENDAS'!$B$6:$B$500, 0)+3), ""), "")&amp; IF(COUNTIF('SAÍDA DE VENDAS'!$B$6:$B$500, B8)&gt;4, " + " &amp; IFERROR(INDEX('SAÍDA DE VENDAS'!$H$6:$H$500 &amp; "x " &amp; 'SAÍDA DE VENDAS'!$G$6:$G$500, MATCH(B8, 'SAÍDA DE VENDAS'!$B$6:$B$500, 0)+4), ""), "")&amp; IF(COUNTIF('SAÍDA DE VENDAS'!$B$6:$B$500, B8)&gt;5, " + " &amp; IFERROR(INDEX('SAÍDA DE VENDAS'!$H$6:$H$500 &amp; "x " &amp; 'SAÍDA DE VENDAS'!$G$6:$G$500, MATCH(B8, 'SAÍDA DE VENDAS'!$B$6:$B$500, 0)+5), ""), ""))</f>
        <v>1x PASSADEIRA PIPOQUINHA 50X2,0</v>
      </c>
      <c r="G8" s="28" t="str">
        <f>IFERROR(VLOOKUP(B8,'SAÍDA DE VENDAS'!$B$6:$P$500,10,FALSE),"")</f>
        <v>À Vista</v>
      </c>
      <c r="H8" s="28" t="str">
        <f>IF(OR(ISBLANK(B8),B8=""), "", IF(B8=B7, (VALUE(LEFT(H7,FIND("/",H7)-1))+1)&amp;"/"&amp;RIGHT(H7,LEN(H7)-FIND("/",H7)), "1/"&amp;IFERROR(VLOOKUP(B8,'SAÍDA DE VENDAS'!$B$6:$P$500,13,FALSE),"1")))</f>
        <v>1/1</v>
      </c>
      <c r="I8" s="69">
        <f t="shared" si="0"/>
        <v>46328</v>
      </c>
      <c r="J8" s="33">
        <f>IFERROR(VLOOKUP(B8,'SAÍDA DE VENDAS'!$B$6:$P$500,15,FALSE),"")</f>
        <v>0</v>
      </c>
      <c r="K8" s="28" t="str">
        <f t="shared" ca="1" si="1"/>
        <v>Pago</v>
      </c>
      <c r="L8" s="28"/>
      <c r="M8" s="28"/>
    </row>
    <row r="9" spans="2:13" ht="15" customHeight="1" x14ac:dyDescent="0.3">
      <c r="B9" s="34" t="str">
        <f>IF(B8="","", IF(VALUE(LEFT(H8,FIND("/",H8)-1)) &lt; VALUE(RIGHT(H8,LEN(H8)-FIND("/",H8))), B8, IFERROR(INDEX('SAÍDA DE VENDAS'!$B$6:$B$500, MATCH(B8,'SAÍDA DE VENDAS'!$B$6:$B$500,0)+COUNTIF('SAÍDA DE VENDAS'!$B$6:$B$500, B8)),"")))</f>
        <v>PED-1004</v>
      </c>
      <c r="C9" s="35">
        <f>IFERROR(VLOOKUP(B9,'SAÍDA DE VENDAS'!$B$6:$P$500,3,FALSE),"")</f>
        <v>46300</v>
      </c>
      <c r="D9" s="34" t="str">
        <f>IFERROR(VLOOKUP(B9,'SAÍDA DE VENDAS'!$B$6:$P$500,4,FALSE),"")</f>
        <v>TELMA CAMPARI</v>
      </c>
      <c r="E9" s="34" t="str">
        <f>IFERROR(VLOOKUP(B9,'SAÍDA DE VENDAS'!$B$6:$P$500,5,FALSE),"")</f>
        <v>18 99800-5512</v>
      </c>
      <c r="F9" s="34" t="str">
        <f>IF(OR(ISBLANK(B9),B9=""), "", IFERROR(INDEX('SAÍDA DE VENDAS'!$H$6:$H$500 &amp; "x " &amp; 'SAÍDA DE VENDAS'!$G$6:$G$500, MATCH(B9, 'SAÍDA DE VENDAS'!$B$6:$B$500, 0)), "")&amp; IF(COUNTIF('SAÍDA DE VENDAS'!$B$6:$B$500, B9)&gt;1, " + " &amp; IFERROR(INDEX('SAÍDA DE VENDAS'!$H$6:$H$500 &amp; "x " &amp; 'SAÍDA DE VENDAS'!$G$6:$G$500, MATCH(B9, 'SAÍDA DE VENDAS'!$B$6:$B$500, 0)+1), ""), "")&amp; IF(COUNTIF('SAÍDA DE VENDAS'!$B$6:$B$500, B9)&gt;2, " + " &amp; IFERROR(INDEX('SAÍDA DE VENDAS'!$H$6:$H$500 &amp; "x " &amp; 'SAÍDA DE VENDAS'!$G$6:$G$500, MATCH(B9, 'SAÍDA DE VENDAS'!$B$6:$B$500, 0)+2), ""), "")&amp; IF(COUNTIF('SAÍDA DE VENDAS'!$B$6:$B$500, B9)&gt;3, " + " &amp; IFERROR(INDEX('SAÍDA DE VENDAS'!$H$6:$H$500 &amp; "x " &amp; 'SAÍDA DE VENDAS'!$G$6:$G$500, MATCH(B9, 'SAÍDA DE VENDAS'!$B$6:$B$500, 0)+3), ""), "")&amp; IF(COUNTIF('SAÍDA DE VENDAS'!$B$6:$B$500, B9)&gt;4, " + " &amp; IFERROR(INDEX('SAÍDA DE VENDAS'!$H$6:$H$500 &amp; "x " &amp; 'SAÍDA DE VENDAS'!$G$6:$G$500, MATCH(B9, 'SAÍDA DE VENDAS'!$B$6:$B$500, 0)+4), ""), "")&amp; IF(COUNTIF('SAÍDA DE VENDAS'!$B$6:$B$500, B9)&gt;5, " + " &amp; IFERROR(INDEX('SAÍDA DE VENDAS'!$H$6:$H$500 &amp; "x " &amp; 'SAÍDA DE VENDAS'!$G$6:$G$500, MATCH(B9, 'SAÍDA DE VENDAS'!$B$6:$B$500, 0)+5), ""), ""))</f>
        <v>1x MANTA SOFT CASAL SIMPLES</v>
      </c>
      <c r="G9" s="34" t="str">
        <f>IFERROR(VLOOKUP(B9,'SAÍDA DE VENDAS'!$B$6:$P$500,10,FALSE),"")</f>
        <v>A Prazo</v>
      </c>
      <c r="H9" s="34" t="str">
        <f>IF(OR(ISBLANK(B9),B9=""), "", IF(B9=B8, (VALUE(LEFT(H8,FIND("/",H8)-1))+1)&amp;"/"&amp;RIGHT(H8,LEN(H8)-FIND("/",H8)), "1/"&amp;IFERROR(VLOOKUP(B9,'SAÍDA DE VENDAS'!$B$6:$P$500,13,FALSE),"1")))</f>
        <v>1/1</v>
      </c>
      <c r="I9" s="35">
        <f t="shared" si="0"/>
        <v>46330</v>
      </c>
      <c r="J9" s="39">
        <f>IFERROR(VLOOKUP(B9,'SAÍDA DE VENDAS'!$B$6:$P$500,15,FALSE),"")</f>
        <v>39.9</v>
      </c>
      <c r="K9" s="34" t="str">
        <f t="shared" ca="1" si="1"/>
        <v>Pendente</v>
      </c>
      <c r="L9" s="34"/>
      <c r="M9" s="34"/>
    </row>
    <row r="10" spans="2:13" ht="15" customHeight="1" x14ac:dyDescent="0.3">
      <c r="B10" s="28" t="str">
        <f>IF(B9="","", IF(VALUE(LEFT(H9,FIND("/",H9)-1)) &lt; VALUE(RIGHT(H9,LEN(H9)-FIND("/",H9))), B9, IFERROR(INDEX('SAÍDA DE VENDAS'!$B$6:$B$500, MATCH(B9,'SAÍDA DE VENDAS'!$B$6:$B$500,0)+COUNTIF('SAÍDA DE VENDAS'!$B$6:$B$500, B9)),"")))</f>
        <v>PED-1005</v>
      </c>
      <c r="C10" s="29">
        <f>IFERROR(VLOOKUP(B10,'SAÍDA DE VENDAS'!$B$6:$P$500,3,FALSE),"")</f>
        <v>46300</v>
      </c>
      <c r="D10" s="28" t="str">
        <f>IFERROR(VLOOKUP(B10,'SAÍDA DE VENDAS'!$B$6:$P$500,4,FALSE),"")</f>
        <v xml:space="preserve">ADRIANA PEDRO </v>
      </c>
      <c r="E10" s="28" t="str">
        <f>IFERROR(VLOOKUP(B10,'SAÍDA DE VENDAS'!$B$6:$P$500,5,FALSE),"")</f>
        <v>18 99818-0064</v>
      </c>
      <c r="F10" s="28" t="str">
        <f>IF(OR(ISBLANK(B10),B10=""), "", IFERROR(INDEX('SAÍDA DE VENDAS'!$H$6:$H$500 &amp; "x " &amp; 'SAÍDA DE VENDAS'!$G$6:$G$500, MATCH(B10, 'SAÍDA DE VENDAS'!$B$6:$B$500, 0)), "")&amp; IF(COUNTIF('SAÍDA DE VENDAS'!$B$6:$B$500, B10)&gt;1, " + " &amp; IFERROR(INDEX('SAÍDA DE VENDAS'!$H$6:$H$500 &amp; "x " &amp; 'SAÍDA DE VENDAS'!$G$6:$G$500, MATCH(B10, 'SAÍDA DE VENDAS'!$B$6:$B$500, 0)+1), ""), "")&amp; IF(COUNTIF('SAÍDA DE VENDAS'!$B$6:$B$500, B10)&gt;2, " + " &amp; IFERROR(INDEX('SAÍDA DE VENDAS'!$H$6:$H$500 &amp; "x " &amp; 'SAÍDA DE VENDAS'!$G$6:$G$500, MATCH(B10, 'SAÍDA DE VENDAS'!$B$6:$B$500, 0)+2), ""), "")&amp; IF(COUNTIF('SAÍDA DE VENDAS'!$B$6:$B$500, B10)&gt;3, " + " &amp; IFERROR(INDEX('SAÍDA DE VENDAS'!$H$6:$H$500 &amp; "x " &amp; 'SAÍDA DE VENDAS'!$G$6:$G$500, MATCH(B10, 'SAÍDA DE VENDAS'!$B$6:$B$500, 0)+3), ""), "")&amp; IF(COUNTIF('SAÍDA DE VENDAS'!$B$6:$B$500, B10)&gt;4, " + " &amp; IFERROR(INDEX('SAÍDA DE VENDAS'!$H$6:$H$500 &amp; "x " &amp; 'SAÍDA DE VENDAS'!$G$6:$G$500, MATCH(B10, 'SAÍDA DE VENDAS'!$B$6:$B$500, 0)+4), ""), "")&amp; IF(COUNTIF('SAÍDA DE VENDAS'!$B$6:$B$500, B10)&gt;5, " + " &amp; IFERROR(INDEX('SAÍDA DE VENDAS'!$H$6:$H$500 &amp; "x " &amp; 'SAÍDA DE VENDAS'!$G$6:$G$500, MATCH(B10, 'SAÍDA DE VENDAS'!$B$6:$B$500, 0)+5), ""), ""))</f>
        <v>2x MANTA SOFT CASAL SIMPLES</v>
      </c>
      <c r="G10" s="28" t="str">
        <f>IFERROR(VLOOKUP(B10,'SAÍDA DE VENDAS'!$B$6:$P$500,10,FALSE),"")</f>
        <v>À Vista</v>
      </c>
      <c r="H10" s="28" t="str">
        <f>IF(OR(ISBLANK(B10),B10=""), "", IF(B10=B9, (VALUE(LEFT(H9,FIND("/",H9)-1))+1)&amp;"/"&amp;RIGHT(H9,LEN(H9)-FIND("/",H9)), "1/"&amp;IFERROR(VLOOKUP(B10,'SAÍDA DE VENDAS'!$B$6:$P$500,13,FALSE),"1")))</f>
        <v>1/1</v>
      </c>
      <c r="I10" s="69">
        <f t="shared" si="0"/>
        <v>46330</v>
      </c>
      <c r="J10" s="33">
        <f>IFERROR(VLOOKUP(B10,'SAÍDA DE VENDAS'!$B$6:$P$500,15,FALSE),"")</f>
        <v>0</v>
      </c>
      <c r="K10" s="28" t="str">
        <f t="shared" ca="1" si="1"/>
        <v>Pago</v>
      </c>
      <c r="L10" s="28"/>
      <c r="M10" s="28"/>
    </row>
    <row r="11" spans="2:13" ht="15" customHeight="1" x14ac:dyDescent="0.3">
      <c r="B11" s="34" t="str">
        <f>IF(B10="","", IF(VALUE(LEFT(H10,FIND("/",H10)-1)) &lt; VALUE(RIGHT(H10,LEN(H10)-FIND("/",H10))), B10, IFERROR(INDEX('SAÍDA DE VENDAS'!$B$6:$B$500, MATCH(B10,'SAÍDA DE VENDAS'!$B$6:$B$500,0)+COUNTIF('SAÍDA DE VENDAS'!$B$6:$B$500, B10)),"")))</f>
        <v>PED-1006</v>
      </c>
      <c r="C11" s="35">
        <f>IFERROR(VLOOKUP(B11,'SAÍDA DE VENDAS'!$B$6:$P$500,3,FALSE),"")</f>
        <v>46300</v>
      </c>
      <c r="D11" s="34" t="str">
        <f>IFERROR(VLOOKUP(B11,'SAÍDA DE VENDAS'!$B$6:$P$500,4,FALSE),"")</f>
        <v xml:space="preserve">LUCIA HELENA </v>
      </c>
      <c r="E11" s="34" t="str">
        <f>IFERROR(VLOOKUP(B11,'SAÍDA DE VENDAS'!$B$6:$P$500,5,FALSE),"")</f>
        <v>18 98205-2963</v>
      </c>
      <c r="F11" s="34" t="str">
        <f>IF(OR(ISBLANK(B11),B11=""), "", IFERROR(INDEX('SAÍDA DE VENDAS'!$H$6:$H$500 &amp; "x " &amp; 'SAÍDA DE VENDAS'!$G$6:$G$500, MATCH(B11, 'SAÍDA DE VENDAS'!$B$6:$B$500, 0)), "")&amp; IF(COUNTIF('SAÍDA DE VENDAS'!$B$6:$B$500, B11)&gt;1, " + " &amp; IFERROR(INDEX('SAÍDA DE VENDAS'!$H$6:$H$500 &amp; "x " &amp; 'SAÍDA DE VENDAS'!$G$6:$G$500, MATCH(B11, 'SAÍDA DE VENDAS'!$B$6:$B$500, 0)+1), ""), "")&amp; IF(COUNTIF('SAÍDA DE VENDAS'!$B$6:$B$500, B11)&gt;2, " + " &amp; IFERROR(INDEX('SAÍDA DE VENDAS'!$H$6:$H$500 &amp; "x " &amp; 'SAÍDA DE VENDAS'!$G$6:$G$500, MATCH(B11, 'SAÍDA DE VENDAS'!$B$6:$B$500, 0)+2), ""), "")&amp; IF(COUNTIF('SAÍDA DE VENDAS'!$B$6:$B$500, B11)&gt;3, " + " &amp; IFERROR(INDEX('SAÍDA DE VENDAS'!$H$6:$H$500 &amp; "x " &amp; 'SAÍDA DE VENDAS'!$G$6:$G$500, MATCH(B11, 'SAÍDA DE VENDAS'!$B$6:$B$500, 0)+3), ""), "")&amp; IF(COUNTIF('SAÍDA DE VENDAS'!$B$6:$B$500, B11)&gt;4, " + " &amp; IFERROR(INDEX('SAÍDA DE VENDAS'!$H$6:$H$500 &amp; "x " &amp; 'SAÍDA DE VENDAS'!$G$6:$G$500, MATCH(B11, 'SAÍDA DE VENDAS'!$B$6:$B$500, 0)+4), ""), "")&amp; IF(COUNTIF('SAÍDA DE VENDAS'!$B$6:$B$500, B11)&gt;5, " + " &amp; IFERROR(INDEX('SAÍDA DE VENDAS'!$H$6:$H$500 &amp; "x " &amp; 'SAÍDA DE VENDAS'!$G$6:$G$500, MATCH(B11, 'SAÍDA DE VENDAS'!$B$6:$B$500, 0)+5), ""), ""))</f>
        <v>2x MANTA SOFT CASAL SIMPLES</v>
      </c>
      <c r="G11" s="34" t="str">
        <f>IFERROR(VLOOKUP(B11,'SAÍDA DE VENDAS'!$B$6:$P$500,10,FALSE),"")</f>
        <v>A Prazo</v>
      </c>
      <c r="H11" s="34" t="str">
        <f>IF(OR(ISBLANK(B11),B11=""), "", IF(B11=B10, (VALUE(LEFT(H10,FIND("/",H10)-1))+1)&amp;"/"&amp;RIGHT(H10,LEN(H10)-FIND("/",H10)), "1/"&amp;IFERROR(VLOOKUP(B11,'SAÍDA DE VENDAS'!$B$6:$P$500,13,FALSE),"1")))</f>
        <v>1/1</v>
      </c>
      <c r="I11" s="35">
        <f t="shared" si="0"/>
        <v>46330</v>
      </c>
      <c r="J11" s="39">
        <f>IFERROR(VLOOKUP(B11,'SAÍDA DE VENDAS'!$B$6:$P$500,15,FALSE),"")</f>
        <v>79.8</v>
      </c>
      <c r="K11" s="34" t="str">
        <f t="shared" ca="1" si="1"/>
        <v>Pendente</v>
      </c>
      <c r="L11" s="34"/>
      <c r="M11" s="34"/>
    </row>
    <row r="12" spans="2:13" ht="15" customHeight="1" x14ac:dyDescent="0.3">
      <c r="B12" s="28" t="str">
        <f>IF(B11="","", IF(VALUE(LEFT(H11,FIND("/",H11)-1)) &lt; VALUE(RIGHT(H11,LEN(H11)-FIND("/",H11))), B11, IFERROR(INDEX('SAÍDA DE VENDAS'!$B$6:$B$500, MATCH(B11,'SAÍDA DE VENDAS'!$B$6:$B$500,0)+COUNTIF('SAÍDA DE VENDAS'!$B$6:$B$500, B11)),"")))</f>
        <v>PED-1007</v>
      </c>
      <c r="C12" s="29">
        <f>IFERROR(VLOOKUP(B12,'SAÍDA DE VENDAS'!$B$6:$P$500,3,FALSE),"")</f>
        <v>46300</v>
      </c>
      <c r="D12" s="28" t="str">
        <f>IFERROR(VLOOKUP(B12,'SAÍDA DE VENDAS'!$B$6:$P$500,4,FALSE),"")</f>
        <v xml:space="preserve">CLAUDIA SILVA </v>
      </c>
      <c r="E12" s="28">
        <f>IFERROR(VLOOKUP(B12,'SAÍDA DE VENDAS'!$B$6:$P$500,5,FALSE),"")</f>
        <v>0</v>
      </c>
      <c r="F12" s="28" t="str">
        <f>IF(OR(ISBLANK(B12),B12=""), "", IFERROR(INDEX('SAÍDA DE VENDAS'!$H$6:$H$500 &amp; "x " &amp; 'SAÍDA DE VENDAS'!$G$6:$G$500, MATCH(B12, 'SAÍDA DE VENDAS'!$B$6:$B$500, 0)), "")&amp; IF(COUNTIF('SAÍDA DE VENDAS'!$B$6:$B$500, B12)&gt;1, " + " &amp; IFERROR(INDEX('SAÍDA DE VENDAS'!$H$6:$H$500 &amp; "x " &amp; 'SAÍDA DE VENDAS'!$G$6:$G$500, MATCH(B12, 'SAÍDA DE VENDAS'!$B$6:$B$500, 0)+1), ""), "")&amp; IF(COUNTIF('SAÍDA DE VENDAS'!$B$6:$B$500, B12)&gt;2, " + " &amp; IFERROR(INDEX('SAÍDA DE VENDAS'!$H$6:$H$500 &amp; "x " &amp; 'SAÍDA DE VENDAS'!$G$6:$G$500, MATCH(B12, 'SAÍDA DE VENDAS'!$B$6:$B$500, 0)+2), ""), "")&amp; IF(COUNTIF('SAÍDA DE VENDAS'!$B$6:$B$500, B12)&gt;3, " + " &amp; IFERROR(INDEX('SAÍDA DE VENDAS'!$H$6:$H$500 &amp; "x " &amp; 'SAÍDA DE VENDAS'!$G$6:$G$500, MATCH(B12, 'SAÍDA DE VENDAS'!$B$6:$B$500, 0)+3), ""), "")&amp; IF(COUNTIF('SAÍDA DE VENDAS'!$B$6:$B$500, B12)&gt;4, " + " &amp; IFERROR(INDEX('SAÍDA DE VENDAS'!$H$6:$H$500 &amp; "x " &amp; 'SAÍDA DE VENDAS'!$G$6:$G$500, MATCH(B12, 'SAÍDA DE VENDAS'!$B$6:$B$500, 0)+4), ""), "")&amp; IF(COUNTIF('SAÍDA DE VENDAS'!$B$6:$B$500, B12)&gt;5, " + " &amp; IFERROR(INDEX('SAÍDA DE VENDAS'!$H$6:$H$500 &amp; "x " &amp; 'SAÍDA DE VENDAS'!$G$6:$G$500, MATCH(B12, 'SAÍDA DE VENDAS'!$B$6:$B$500, 0)+5), ""), ""))</f>
        <v>1x PASSADEIRA SEDA 2</v>
      </c>
      <c r="G12" s="28" t="str">
        <f>IFERROR(VLOOKUP(B12,'SAÍDA DE VENDAS'!$B$6:$P$500,10,FALSE),"")</f>
        <v>A Prazo</v>
      </c>
      <c r="H12" s="28" t="str">
        <f>IF(OR(ISBLANK(B12),B12=""), "", IF(B12=B11, (VALUE(LEFT(H11,FIND("/",H11)-1))+1)&amp;"/"&amp;RIGHT(H11,LEN(H11)-FIND("/",H11)), "1/"&amp;IFERROR(VLOOKUP(B12,'SAÍDA DE VENDAS'!$B$6:$P$500,13,FALSE),"1")))</f>
        <v>1/1</v>
      </c>
      <c r="I12" s="69">
        <f t="shared" si="0"/>
        <v>46330</v>
      </c>
      <c r="J12" s="33">
        <f>IFERROR(VLOOKUP(B12,'SAÍDA DE VENDAS'!$B$6:$P$500,15,FALSE),"")</f>
        <v>239.9</v>
      </c>
      <c r="K12" s="28" t="str">
        <f t="shared" ca="1" si="1"/>
        <v>Pendente</v>
      </c>
      <c r="L12" s="28"/>
      <c r="M12" s="28"/>
    </row>
    <row r="13" spans="2:13" ht="15" customHeight="1" x14ac:dyDescent="0.3">
      <c r="B13" s="34" t="str">
        <f>IF(B12="","", IF(VALUE(LEFT(H12,FIND("/",H12)-1)) &lt; VALUE(RIGHT(H12,LEN(H12)-FIND("/",H12))), B12, IFERROR(INDEX('SAÍDA DE VENDAS'!$B$6:$B$500, MATCH(B12,'SAÍDA DE VENDAS'!$B$6:$B$500,0)+COUNTIF('SAÍDA DE VENDAS'!$B$6:$B$500, B12)),"")))</f>
        <v>PED-1008</v>
      </c>
      <c r="C13" s="35">
        <f>IFERROR(VLOOKUP(B13,'SAÍDA DE VENDAS'!$B$6:$P$500,3,FALSE),"")</f>
        <v>46301</v>
      </c>
      <c r="D13" s="34" t="str">
        <f>IFERROR(VLOOKUP(B13,'SAÍDA DE VENDAS'!$B$6:$P$500,4,FALSE),"")</f>
        <v>SONIA MARIA</v>
      </c>
      <c r="E13" s="34">
        <f>IFERROR(VLOOKUP(B13,'SAÍDA DE VENDAS'!$B$6:$P$500,5,FALSE),"")</f>
        <v>0</v>
      </c>
      <c r="F13" s="34" t="str">
        <f>IF(OR(ISBLANK(B13),B13=""), "", IFERROR(INDEX('SAÍDA DE VENDAS'!$H$6:$H$500 &amp; "x " &amp; 'SAÍDA DE VENDAS'!$G$6:$G$500, MATCH(B13, 'SAÍDA DE VENDAS'!$B$6:$B$500, 0)), "")&amp; IF(COUNTIF('SAÍDA DE VENDAS'!$B$6:$B$500, B13)&gt;1, " + " &amp; IFERROR(INDEX('SAÍDA DE VENDAS'!$H$6:$H$500 &amp; "x " &amp; 'SAÍDA DE VENDAS'!$G$6:$G$500, MATCH(B13, 'SAÍDA DE VENDAS'!$B$6:$B$500, 0)+1), ""), "")&amp; IF(COUNTIF('SAÍDA DE VENDAS'!$B$6:$B$500, B13)&gt;2, " + " &amp; IFERROR(INDEX('SAÍDA DE VENDAS'!$H$6:$H$500 &amp; "x " &amp; 'SAÍDA DE VENDAS'!$G$6:$G$500, MATCH(B13, 'SAÍDA DE VENDAS'!$B$6:$B$500, 0)+2), ""), "")&amp; IF(COUNTIF('SAÍDA DE VENDAS'!$B$6:$B$500, B13)&gt;3, " + " &amp; IFERROR(INDEX('SAÍDA DE VENDAS'!$H$6:$H$500 &amp; "x " &amp; 'SAÍDA DE VENDAS'!$G$6:$G$500, MATCH(B13, 'SAÍDA DE VENDAS'!$B$6:$B$500, 0)+3), ""), "")&amp; IF(COUNTIF('SAÍDA DE VENDAS'!$B$6:$B$500, B13)&gt;4, " + " &amp; IFERROR(INDEX('SAÍDA DE VENDAS'!$H$6:$H$500 &amp; "x " &amp; 'SAÍDA DE VENDAS'!$G$6:$G$500, MATCH(B13, 'SAÍDA DE VENDAS'!$B$6:$B$500, 0)+4), ""), "")&amp; IF(COUNTIF('SAÍDA DE VENDAS'!$B$6:$B$500, B13)&gt;5, " + " &amp; IFERROR(INDEX('SAÍDA DE VENDAS'!$H$6:$H$500 &amp; "x " &amp; 'SAÍDA DE VENDAS'!$G$6:$G$500, MATCH(B13, 'SAÍDA DE VENDAS'!$B$6:$B$500, 0)+5), ""), ""))</f>
        <v>1x TOALHA DE CHA 90X90</v>
      </c>
      <c r="G13" s="34" t="str">
        <f>IFERROR(VLOOKUP(B13,'SAÍDA DE VENDAS'!$B$6:$P$500,10,FALSE),"")</f>
        <v>A Prazo</v>
      </c>
      <c r="H13" s="34" t="str">
        <f>IF(OR(ISBLANK(B13),B13=""), "", IF(B13=B12, (VALUE(LEFT(H12,FIND("/",H12)-1))+1)&amp;"/"&amp;RIGHT(H12,LEN(H12)-FIND("/",H12)), "1/"&amp;IFERROR(VLOOKUP(B13,'SAÍDA DE VENDAS'!$B$6:$P$500,13,FALSE),"1")))</f>
        <v>1/1</v>
      </c>
      <c r="I13" s="35">
        <f t="shared" si="0"/>
        <v>46331</v>
      </c>
      <c r="J13" s="39">
        <f>IFERROR(VLOOKUP(B13,'SAÍDA DE VENDAS'!$B$6:$P$500,15,FALSE),"")</f>
        <v>39.9</v>
      </c>
      <c r="K13" s="34" t="str">
        <f t="shared" ca="1" si="1"/>
        <v>Pendente</v>
      </c>
      <c r="L13" s="34"/>
      <c r="M13" s="34"/>
    </row>
    <row r="14" spans="2:13" ht="15" customHeight="1" x14ac:dyDescent="0.3">
      <c r="B14" s="28" t="str">
        <f>IF(B13="","", IF(VALUE(LEFT(H13,FIND("/",H13)-1)) &lt; VALUE(RIGHT(H13,LEN(H13)-FIND("/",H13))), B13, IFERROR(INDEX('SAÍDA DE VENDAS'!$B$6:$B$500, MATCH(B13,'SAÍDA DE VENDAS'!$B$6:$B$500,0)+COUNTIF('SAÍDA DE VENDAS'!$B$6:$B$500, B13)),"")))</f>
        <v>PED-1009</v>
      </c>
      <c r="C14" s="29">
        <f>IFERROR(VLOOKUP(B14,'SAÍDA DE VENDAS'!$B$6:$P$500,3,FALSE),"")</f>
        <v>46301</v>
      </c>
      <c r="D14" s="28" t="str">
        <f>IFERROR(VLOOKUP(B14,'SAÍDA DE VENDAS'!$B$6:$P$500,4,FALSE),"")</f>
        <v>ROSE GALDINO</v>
      </c>
      <c r="E14" s="28">
        <f>IFERROR(VLOOKUP(B14,'SAÍDA DE VENDAS'!$B$6:$P$500,5,FALSE),"")</f>
        <v>0</v>
      </c>
      <c r="F14" s="28" t="str">
        <f>IF(OR(ISBLANK(B14),B14=""), "", IFERROR(INDEX('SAÍDA DE VENDAS'!$H$6:$H$500 &amp; "x " &amp; 'SAÍDA DE VENDAS'!$G$6:$G$500, MATCH(B14, 'SAÍDA DE VENDAS'!$B$6:$B$500, 0)), "")&amp; IF(COUNTIF('SAÍDA DE VENDAS'!$B$6:$B$500, B14)&gt;1, " + " &amp; IFERROR(INDEX('SAÍDA DE VENDAS'!$H$6:$H$500 &amp; "x " &amp; 'SAÍDA DE VENDAS'!$G$6:$G$500, MATCH(B14, 'SAÍDA DE VENDAS'!$B$6:$B$500, 0)+1), ""), "")&amp; IF(COUNTIF('SAÍDA DE VENDAS'!$B$6:$B$500, B14)&gt;2, " + " &amp; IFERROR(INDEX('SAÍDA DE VENDAS'!$H$6:$H$500 &amp; "x " &amp; 'SAÍDA DE VENDAS'!$G$6:$G$500, MATCH(B14, 'SAÍDA DE VENDAS'!$B$6:$B$500, 0)+2), ""), "")&amp; IF(COUNTIF('SAÍDA DE VENDAS'!$B$6:$B$500, B14)&gt;3, " + " &amp; IFERROR(INDEX('SAÍDA DE VENDAS'!$H$6:$H$500 &amp; "x " &amp; 'SAÍDA DE VENDAS'!$G$6:$G$500, MATCH(B14, 'SAÍDA DE VENDAS'!$B$6:$B$500, 0)+3), ""), "")&amp; IF(COUNTIF('SAÍDA DE VENDAS'!$B$6:$B$500, B14)&gt;4, " + " &amp; IFERROR(INDEX('SAÍDA DE VENDAS'!$H$6:$H$500 &amp; "x " &amp; 'SAÍDA DE VENDAS'!$G$6:$G$500, MATCH(B14, 'SAÍDA DE VENDAS'!$B$6:$B$500, 0)+4), ""), "")&amp; IF(COUNTIF('SAÍDA DE VENDAS'!$B$6:$B$500, B14)&gt;5, " + " &amp; IFERROR(INDEX('SAÍDA DE VENDAS'!$H$6:$H$500 &amp; "x " &amp; 'SAÍDA DE VENDAS'!$G$6:$G$500, MATCH(B14, 'SAÍDA DE VENDAS'!$B$6:$B$500, 0)+5), ""), ""))</f>
        <v>1x MANTA SOFT CASAL SIMPLES</v>
      </c>
      <c r="G14" s="28" t="str">
        <f>IFERROR(VLOOKUP(B14,'SAÍDA DE VENDAS'!$B$6:$P$500,10,FALSE),"")</f>
        <v>A Prazo</v>
      </c>
      <c r="H14" s="28" t="str">
        <f>IF(OR(ISBLANK(B14),B14=""), "", IF(B14=B13, (VALUE(LEFT(H13,FIND("/",H13)-1))+1)&amp;"/"&amp;RIGHT(H13,LEN(H13)-FIND("/",H13)), "1/"&amp;IFERROR(VLOOKUP(B14,'SAÍDA DE VENDAS'!$B$6:$P$500,13,FALSE),"1")))</f>
        <v>1/1</v>
      </c>
      <c r="I14" s="69">
        <f t="shared" si="0"/>
        <v>46331</v>
      </c>
      <c r="J14" s="33">
        <f>IFERROR(VLOOKUP(B14,'SAÍDA DE VENDAS'!$B$6:$P$500,15,FALSE),"")</f>
        <v>39.9</v>
      </c>
      <c r="K14" s="28" t="str">
        <f t="shared" ca="1" si="1"/>
        <v>Pendente</v>
      </c>
      <c r="L14" s="28"/>
      <c r="M14" s="28"/>
    </row>
    <row r="15" spans="2:13" ht="15" customHeight="1" x14ac:dyDescent="0.3">
      <c r="B15" s="34" t="str">
        <f>IF(B14="","", IF(VALUE(LEFT(H14,FIND("/",H14)-1)) &lt; VALUE(RIGHT(H14,LEN(H14)-FIND("/",H14))), B14, IFERROR(INDEX('SAÍDA DE VENDAS'!$B$6:$B$500, MATCH(B14,'SAÍDA DE VENDAS'!$B$6:$B$500,0)+COUNTIF('SAÍDA DE VENDAS'!$B$6:$B$500, B14)),"")))</f>
        <v>PED-1010</v>
      </c>
      <c r="C15" s="35">
        <f>IFERROR(VLOOKUP(B15,'SAÍDA DE VENDAS'!$B$6:$P$500,3,FALSE),"")</f>
        <v>46302</v>
      </c>
      <c r="D15" s="34" t="str">
        <f>IFERROR(VLOOKUP(B15,'SAÍDA DE VENDAS'!$B$6:$P$500,4,FALSE),"")</f>
        <v xml:space="preserve">ADRIANA PEDRO </v>
      </c>
      <c r="E15" s="34" t="str">
        <f>IFERROR(VLOOKUP(B15,'SAÍDA DE VENDAS'!$B$6:$P$500,5,FALSE),"")</f>
        <v>18 99818-0064</v>
      </c>
      <c r="F15" s="34" t="str">
        <f>IF(OR(ISBLANK(B15),B15=""), "", IFERROR(INDEX('SAÍDA DE VENDAS'!$H$6:$H$500 &amp; "x " &amp; 'SAÍDA DE VENDAS'!$G$6:$G$500, MATCH(B15, 'SAÍDA DE VENDAS'!$B$6:$B$500, 0)), "")&amp; IF(COUNTIF('SAÍDA DE VENDAS'!$B$6:$B$500, B15)&gt;1, " + " &amp; IFERROR(INDEX('SAÍDA DE VENDAS'!$H$6:$H$500 &amp; "x " &amp; 'SAÍDA DE VENDAS'!$G$6:$G$500, MATCH(B15, 'SAÍDA DE VENDAS'!$B$6:$B$500, 0)+1), ""), "")&amp; IF(COUNTIF('SAÍDA DE VENDAS'!$B$6:$B$500, B15)&gt;2, " + " &amp; IFERROR(INDEX('SAÍDA DE VENDAS'!$H$6:$H$500 &amp; "x " &amp; 'SAÍDA DE VENDAS'!$G$6:$G$500, MATCH(B15, 'SAÍDA DE VENDAS'!$B$6:$B$500, 0)+2), ""), "")&amp; IF(COUNTIF('SAÍDA DE VENDAS'!$B$6:$B$500, B15)&gt;3, " + " &amp; IFERROR(INDEX('SAÍDA DE VENDAS'!$H$6:$H$500 &amp; "x " &amp; 'SAÍDA DE VENDAS'!$G$6:$G$500, MATCH(B15, 'SAÍDA DE VENDAS'!$B$6:$B$500, 0)+3), ""), "")&amp; IF(COUNTIF('SAÍDA DE VENDAS'!$B$6:$B$500, B15)&gt;4, " + " &amp; IFERROR(INDEX('SAÍDA DE VENDAS'!$H$6:$H$500 &amp; "x " &amp; 'SAÍDA DE VENDAS'!$G$6:$G$500, MATCH(B15, 'SAÍDA DE VENDAS'!$B$6:$B$500, 0)+4), ""), "")&amp; IF(COUNTIF('SAÍDA DE VENDAS'!$B$6:$B$500, B15)&gt;5, " + " &amp; IFERROR(INDEX('SAÍDA DE VENDAS'!$H$6:$H$500 &amp; "x " &amp; 'SAÍDA DE VENDAS'!$G$6:$G$500, MATCH(B15, 'SAÍDA DE VENDAS'!$B$6:$B$500, 0)+5), ""), ""))</f>
        <v xml:space="preserve">1x KIT LENÇOL KING 5200 FIOS 3 PEÇAS </v>
      </c>
      <c r="G15" s="34" t="str">
        <f>IFERROR(VLOOKUP(B15,'SAÍDA DE VENDAS'!$B$6:$P$500,10,FALSE),"")</f>
        <v>A Prazo</v>
      </c>
      <c r="H15" s="34" t="str">
        <f>IF(OR(ISBLANK(B15),B15=""), "", IF(B15=B14, (VALUE(LEFT(H14,FIND("/",H14)-1))+1)&amp;"/"&amp;RIGHT(H14,LEN(H14)-FIND("/",H14)), "1/"&amp;IFERROR(VLOOKUP(B15,'SAÍDA DE VENDAS'!$B$6:$P$500,13,FALSE),"1")))</f>
        <v>1/1</v>
      </c>
      <c r="I15" s="35">
        <f t="shared" si="0"/>
        <v>46332</v>
      </c>
      <c r="J15" s="39">
        <f>IFERROR(VLOOKUP(B15,'SAÍDA DE VENDAS'!$B$6:$P$500,15,FALSE),"")</f>
        <v>159.9</v>
      </c>
      <c r="K15" s="34" t="str">
        <f t="shared" ca="1" si="1"/>
        <v>Pendente</v>
      </c>
      <c r="L15" s="34"/>
      <c r="M15" s="34"/>
    </row>
    <row r="16" spans="2:13" ht="15" customHeight="1" x14ac:dyDescent="0.3">
      <c r="B16" s="28" t="str">
        <f>IF(B15="","", IF(VALUE(LEFT(H15,FIND("/",H15)-1)) &lt; VALUE(RIGHT(H15,LEN(H15)-FIND("/",H15))), B15, IFERROR(INDEX('SAÍDA DE VENDAS'!$B$6:$B$500, MATCH(B15,'SAÍDA DE VENDAS'!$B$6:$B$500,0)+COUNTIF('SAÍDA DE VENDAS'!$B$6:$B$500, B15)),"")))</f>
        <v>PED-1011</v>
      </c>
      <c r="C16" s="29">
        <f>IFERROR(VLOOKUP(B16,'SAÍDA DE VENDAS'!$B$6:$P$500,3,FALSE),"")</f>
        <v>46302</v>
      </c>
      <c r="D16" s="28" t="str">
        <f>IFERROR(VLOOKUP(B16,'SAÍDA DE VENDAS'!$B$6:$P$500,4,FALSE),"")</f>
        <v>SONIA MARIA</v>
      </c>
      <c r="E16" s="28">
        <f>IFERROR(VLOOKUP(B16,'SAÍDA DE VENDAS'!$B$6:$P$500,5,FALSE),"")</f>
        <v>0</v>
      </c>
      <c r="F16" s="28" t="str">
        <f>IF(OR(ISBLANK(B16),B16=""), "", IFERROR(INDEX('SAÍDA DE VENDAS'!$H$6:$H$500 &amp; "x " &amp; 'SAÍDA DE VENDAS'!$G$6:$G$500, MATCH(B16, 'SAÍDA DE VENDAS'!$B$6:$B$500, 0)), "")&amp; IF(COUNTIF('SAÍDA DE VENDAS'!$B$6:$B$500, B16)&gt;1, " + " &amp; IFERROR(INDEX('SAÍDA DE VENDAS'!$H$6:$H$500 &amp; "x " &amp; 'SAÍDA DE VENDAS'!$G$6:$G$500, MATCH(B16, 'SAÍDA DE VENDAS'!$B$6:$B$500, 0)+1), ""), "")&amp; IF(COUNTIF('SAÍDA DE VENDAS'!$B$6:$B$500, B16)&gt;2, " + " &amp; IFERROR(INDEX('SAÍDA DE VENDAS'!$H$6:$H$500 &amp; "x " &amp; 'SAÍDA DE VENDAS'!$G$6:$G$500, MATCH(B16, 'SAÍDA DE VENDAS'!$B$6:$B$500, 0)+2), ""), "")&amp; IF(COUNTIF('SAÍDA DE VENDAS'!$B$6:$B$500, B16)&gt;3, " + " &amp; IFERROR(INDEX('SAÍDA DE VENDAS'!$H$6:$H$500 &amp; "x " &amp; 'SAÍDA DE VENDAS'!$G$6:$G$500, MATCH(B16, 'SAÍDA DE VENDAS'!$B$6:$B$500, 0)+3), ""), "")&amp; IF(COUNTIF('SAÍDA DE VENDAS'!$B$6:$B$500, B16)&gt;4, " + " &amp; IFERROR(INDEX('SAÍDA DE VENDAS'!$H$6:$H$500 &amp; "x " &amp; 'SAÍDA DE VENDAS'!$G$6:$G$500, MATCH(B16, 'SAÍDA DE VENDAS'!$B$6:$B$500, 0)+4), ""), "")&amp; IF(COUNTIF('SAÍDA DE VENDAS'!$B$6:$B$500, B16)&gt;5, " + " &amp; IFERROR(INDEX('SAÍDA DE VENDAS'!$H$6:$H$500 &amp; "x " &amp; 'SAÍDA DE VENDAS'!$G$6:$G$500, MATCH(B16, 'SAÍDA DE VENDAS'!$B$6:$B$500, 0)+5), ""), ""))</f>
        <v>1x JOGO DE PASSADEIRA MALHA 3 PEÇAS 1,50</v>
      </c>
      <c r="G16" s="28" t="str">
        <f>IFERROR(VLOOKUP(B16,'SAÍDA DE VENDAS'!$B$6:$P$500,10,FALSE),"")</f>
        <v>A Prazo</v>
      </c>
      <c r="H16" s="28" t="str">
        <f>IF(OR(ISBLANK(B16),B16=""), "", IF(B16=B15, (VALUE(LEFT(H15,FIND("/",H15)-1))+1)&amp;"/"&amp;RIGHT(H15,LEN(H15)-FIND("/",H15)), "1/"&amp;IFERROR(VLOOKUP(B16,'SAÍDA DE VENDAS'!$B$6:$P$500,13,FALSE),"1")))</f>
        <v>1/1</v>
      </c>
      <c r="I16" s="69">
        <f t="shared" si="0"/>
        <v>46332</v>
      </c>
      <c r="J16" s="33">
        <f>IFERROR(VLOOKUP(B16,'SAÍDA DE VENDAS'!$B$6:$P$500,15,FALSE),"")</f>
        <v>99.9</v>
      </c>
      <c r="K16" s="28" t="str">
        <f t="shared" ca="1" si="1"/>
        <v>Pendente</v>
      </c>
      <c r="L16" s="28"/>
      <c r="M16" s="28"/>
    </row>
    <row r="17" spans="2:13" ht="15" customHeight="1" x14ac:dyDescent="0.3">
      <c r="B17" s="34" t="str">
        <f>IF(B16="","", IF(VALUE(LEFT(H16,FIND("/",H16)-1)) &lt; VALUE(RIGHT(H16,LEN(H16)-FIND("/",H16))), B16, IFERROR(INDEX('SAÍDA DE VENDAS'!$B$6:$B$500, MATCH(B16,'SAÍDA DE VENDAS'!$B$6:$B$500,0)+COUNTIF('SAÍDA DE VENDAS'!$B$6:$B$500, B16)),"")))</f>
        <v>PED-1012</v>
      </c>
      <c r="C17" s="35">
        <f>IFERROR(VLOOKUP(B17,'SAÍDA DE VENDAS'!$B$6:$P$500,3,FALSE),"")</f>
        <v>46302</v>
      </c>
      <c r="D17" s="34" t="str">
        <f>IFERROR(VLOOKUP(B17,'SAÍDA DE VENDAS'!$B$6:$P$500,4,FALSE),"")</f>
        <v>HADIJA</v>
      </c>
      <c r="E17" s="34">
        <f>IFERROR(VLOOKUP(B17,'SAÍDA DE VENDAS'!$B$6:$P$500,5,FALSE),"")</f>
        <v>0</v>
      </c>
      <c r="F17" s="34" t="str">
        <f>IF(OR(ISBLANK(B17),B17=""), "", IFERROR(INDEX('SAÍDA DE VENDAS'!$H$6:$H$500 &amp; "x " &amp; 'SAÍDA DE VENDAS'!$G$6:$G$500, MATCH(B17, 'SAÍDA DE VENDAS'!$B$6:$B$500, 0)), "")&amp; IF(COUNTIF('SAÍDA DE VENDAS'!$B$6:$B$500, B17)&gt;1, " + " &amp; IFERROR(INDEX('SAÍDA DE VENDAS'!$H$6:$H$500 &amp; "x " &amp; 'SAÍDA DE VENDAS'!$G$6:$G$500, MATCH(B17, 'SAÍDA DE VENDAS'!$B$6:$B$500, 0)+1), ""), "")&amp; IF(COUNTIF('SAÍDA DE VENDAS'!$B$6:$B$500, B17)&gt;2, " + " &amp; IFERROR(INDEX('SAÍDA DE VENDAS'!$H$6:$H$500 &amp; "x " &amp; 'SAÍDA DE VENDAS'!$G$6:$G$500, MATCH(B17, 'SAÍDA DE VENDAS'!$B$6:$B$500, 0)+2), ""), "")&amp; IF(COUNTIF('SAÍDA DE VENDAS'!$B$6:$B$500, B17)&gt;3, " + " &amp; IFERROR(INDEX('SAÍDA DE VENDAS'!$H$6:$H$500 &amp; "x " &amp; 'SAÍDA DE VENDAS'!$G$6:$G$500, MATCH(B17, 'SAÍDA DE VENDAS'!$B$6:$B$500, 0)+3), ""), "")&amp; IF(COUNTIF('SAÍDA DE VENDAS'!$B$6:$B$500, B17)&gt;4, " + " &amp; IFERROR(INDEX('SAÍDA DE VENDAS'!$H$6:$H$500 &amp; "x " &amp; 'SAÍDA DE VENDAS'!$G$6:$G$500, MATCH(B17, 'SAÍDA DE VENDAS'!$B$6:$B$500, 0)+4), ""), "")&amp; IF(COUNTIF('SAÍDA DE VENDAS'!$B$6:$B$500, B17)&gt;5, " + " &amp; IFERROR(INDEX('SAÍDA DE VENDAS'!$H$6:$H$500 &amp; "x " &amp; 'SAÍDA DE VENDAS'!$G$6:$G$500, MATCH(B17, 'SAÍDA DE VENDAS'!$B$6:$B$500, 0)+5), ""), ""))</f>
        <v>1x MANTA QUEEN ALGODAO 2,20X2,50 + 1x JOGO DE PASSADEIRA MALHA 3 PEÇAS 1,50 + 1x PAR TAPETE MALHA 50X80 + 1x PAR PASSADEIRA LUXO 50X1,50 + 2x TAPETE PREMIUM 50X80</v>
      </c>
      <c r="G17" s="34" t="str">
        <f>IFERROR(VLOOKUP(B17,'SAÍDA DE VENDAS'!$B$6:$P$500,10,FALSE),"")</f>
        <v>A Prazo</v>
      </c>
      <c r="H17" s="34" t="str">
        <f>IF(OR(ISBLANK(B17),B17=""), "", IF(B17=B16, (VALUE(LEFT(H16,FIND("/",H16)-1))+1)&amp;"/"&amp;RIGHT(H16,LEN(H16)-FIND("/",H16)), "1/"&amp;IFERROR(VLOOKUP(B17,'SAÍDA DE VENDAS'!$B$6:$P$500,13,FALSE),"1")))</f>
        <v>1/3</v>
      </c>
      <c r="I17" s="35">
        <f t="shared" si="0"/>
        <v>46332</v>
      </c>
      <c r="J17" s="39">
        <f>IFERROR(VLOOKUP(B17,'SAÍDA DE VENDAS'!$B$6:$P$500,15,FALSE),"")</f>
        <v>167.13333333333335</v>
      </c>
      <c r="K17" s="34" t="str">
        <f t="shared" ca="1" si="1"/>
        <v>Pendente</v>
      </c>
      <c r="L17" s="34"/>
      <c r="M17" s="34"/>
    </row>
    <row r="18" spans="2:13" ht="15" customHeight="1" x14ac:dyDescent="0.3">
      <c r="B18" s="28" t="str">
        <f>IF(B17="","", IF(VALUE(LEFT(H17,FIND("/",H17)-1)) &lt; VALUE(RIGHT(H17,LEN(H17)-FIND("/",H17))), B17, IFERROR(INDEX('SAÍDA DE VENDAS'!$B$6:$B$500, MATCH(B17,'SAÍDA DE VENDAS'!$B$6:$B$500,0)+COUNTIF('SAÍDA DE VENDAS'!$B$6:$B$500, B17)),"")))</f>
        <v>PED-1012</v>
      </c>
      <c r="C18" s="29">
        <f>IFERROR(VLOOKUP(B18,'SAÍDA DE VENDAS'!$B$6:$P$500,3,FALSE),"")</f>
        <v>46302</v>
      </c>
      <c r="D18" s="28" t="str">
        <f>IFERROR(VLOOKUP(B18,'SAÍDA DE VENDAS'!$B$6:$P$500,4,FALSE),"")</f>
        <v>HADIJA</v>
      </c>
      <c r="E18" s="28">
        <f>IFERROR(VLOOKUP(B18,'SAÍDA DE VENDAS'!$B$6:$P$500,5,FALSE),"")</f>
        <v>0</v>
      </c>
      <c r="F18" s="28" t="str">
        <f>IF(OR(ISBLANK(B18),B18=""), "", IFERROR(INDEX('SAÍDA DE VENDAS'!$H$6:$H$500 &amp; "x " &amp; 'SAÍDA DE VENDAS'!$G$6:$G$500, MATCH(B18, 'SAÍDA DE VENDAS'!$B$6:$B$500, 0)), "")&amp; IF(COUNTIF('SAÍDA DE VENDAS'!$B$6:$B$500, B18)&gt;1, " + " &amp; IFERROR(INDEX('SAÍDA DE VENDAS'!$H$6:$H$500 &amp; "x " &amp; 'SAÍDA DE VENDAS'!$G$6:$G$500, MATCH(B18, 'SAÍDA DE VENDAS'!$B$6:$B$500, 0)+1), ""), "")&amp; IF(COUNTIF('SAÍDA DE VENDAS'!$B$6:$B$500, B18)&gt;2, " + " &amp; IFERROR(INDEX('SAÍDA DE VENDAS'!$H$6:$H$500 &amp; "x " &amp; 'SAÍDA DE VENDAS'!$G$6:$G$500, MATCH(B18, 'SAÍDA DE VENDAS'!$B$6:$B$500, 0)+2), ""), "")&amp; IF(COUNTIF('SAÍDA DE VENDAS'!$B$6:$B$500, B18)&gt;3, " + " &amp; IFERROR(INDEX('SAÍDA DE VENDAS'!$H$6:$H$500 &amp; "x " &amp; 'SAÍDA DE VENDAS'!$G$6:$G$500, MATCH(B18, 'SAÍDA DE VENDAS'!$B$6:$B$500, 0)+3), ""), "")&amp; IF(COUNTIF('SAÍDA DE VENDAS'!$B$6:$B$500, B18)&gt;4, " + " &amp; IFERROR(INDEX('SAÍDA DE VENDAS'!$H$6:$H$500 &amp; "x " &amp; 'SAÍDA DE VENDAS'!$G$6:$G$500, MATCH(B18, 'SAÍDA DE VENDAS'!$B$6:$B$500, 0)+4), ""), "")&amp; IF(COUNTIF('SAÍDA DE VENDAS'!$B$6:$B$500, B18)&gt;5, " + " &amp; IFERROR(INDEX('SAÍDA DE VENDAS'!$H$6:$H$500 &amp; "x " &amp; 'SAÍDA DE VENDAS'!$G$6:$G$500, MATCH(B18, 'SAÍDA DE VENDAS'!$B$6:$B$500, 0)+5), ""), ""))</f>
        <v>1x MANTA QUEEN ALGODAO 2,20X2,50 + 1x JOGO DE PASSADEIRA MALHA 3 PEÇAS 1,50 + 1x PAR TAPETE MALHA 50X80 + 1x PAR PASSADEIRA LUXO 50X1,50 + 2x TAPETE PREMIUM 50X80</v>
      </c>
      <c r="G18" s="28" t="str">
        <f>IFERROR(VLOOKUP(B18,'SAÍDA DE VENDAS'!$B$6:$P$500,10,FALSE),"")</f>
        <v>A Prazo</v>
      </c>
      <c r="H18" s="28" t="str">
        <f>IF(OR(ISBLANK(B18),B18=""), "", IF(B18=B17, (VALUE(LEFT(H17,FIND("/",H17)-1))+1)&amp;"/"&amp;RIGHT(H17,LEN(H17)-FIND("/",H17)), "1/"&amp;IFERROR(VLOOKUP(B18,'SAÍDA DE VENDAS'!$B$6:$P$500,13,FALSE),"1")))</f>
        <v>2/3</v>
      </c>
      <c r="I18" s="69">
        <f t="shared" si="0"/>
        <v>46362</v>
      </c>
      <c r="J18" s="33">
        <f>IFERROR(VLOOKUP(B18,'SAÍDA DE VENDAS'!$B$6:$P$500,15,FALSE),"")</f>
        <v>167.13333333333335</v>
      </c>
      <c r="K18" s="28" t="str">
        <f t="shared" ca="1" si="1"/>
        <v>Pendente</v>
      </c>
      <c r="L18" s="28"/>
      <c r="M18" s="28"/>
    </row>
    <row r="19" spans="2:13" ht="15" customHeight="1" x14ac:dyDescent="0.3">
      <c r="B19" s="34" t="str">
        <f>IF(B18="","", IF(VALUE(LEFT(H18,FIND("/",H18)-1)) &lt; VALUE(RIGHT(H18,LEN(H18)-FIND("/",H18))), B18, IFERROR(INDEX('SAÍDA DE VENDAS'!$B$6:$B$500, MATCH(B18,'SAÍDA DE VENDAS'!$B$6:$B$500,0)+COUNTIF('SAÍDA DE VENDAS'!$B$6:$B$500, B18)),"")))</f>
        <v>PED-1012</v>
      </c>
      <c r="C19" s="35">
        <f>IFERROR(VLOOKUP(B19,'SAÍDA DE VENDAS'!$B$6:$P$500,3,FALSE),"")</f>
        <v>46302</v>
      </c>
      <c r="D19" s="34" t="str">
        <f>IFERROR(VLOOKUP(B19,'SAÍDA DE VENDAS'!$B$6:$P$500,4,FALSE),"")</f>
        <v>HADIJA</v>
      </c>
      <c r="E19" s="34">
        <f>IFERROR(VLOOKUP(B19,'SAÍDA DE VENDAS'!$B$6:$P$500,5,FALSE),"")</f>
        <v>0</v>
      </c>
      <c r="F19" s="34" t="str">
        <f>IF(OR(ISBLANK(B19),B19=""), "", IFERROR(INDEX('SAÍDA DE VENDAS'!$H$6:$H$500 &amp; "x " &amp; 'SAÍDA DE VENDAS'!$G$6:$G$500, MATCH(B19, 'SAÍDA DE VENDAS'!$B$6:$B$500, 0)), "")&amp; IF(COUNTIF('SAÍDA DE VENDAS'!$B$6:$B$500, B19)&gt;1, " + " &amp; IFERROR(INDEX('SAÍDA DE VENDAS'!$H$6:$H$500 &amp; "x " &amp; 'SAÍDA DE VENDAS'!$G$6:$G$500, MATCH(B19, 'SAÍDA DE VENDAS'!$B$6:$B$500, 0)+1), ""), "")&amp; IF(COUNTIF('SAÍDA DE VENDAS'!$B$6:$B$500, B19)&gt;2, " + " &amp; IFERROR(INDEX('SAÍDA DE VENDAS'!$H$6:$H$500 &amp; "x " &amp; 'SAÍDA DE VENDAS'!$G$6:$G$500, MATCH(B19, 'SAÍDA DE VENDAS'!$B$6:$B$500, 0)+2), ""), "")&amp; IF(COUNTIF('SAÍDA DE VENDAS'!$B$6:$B$500, B19)&gt;3, " + " &amp; IFERROR(INDEX('SAÍDA DE VENDAS'!$H$6:$H$500 &amp; "x " &amp; 'SAÍDA DE VENDAS'!$G$6:$G$500, MATCH(B19, 'SAÍDA DE VENDAS'!$B$6:$B$500, 0)+3), ""), "")&amp; IF(COUNTIF('SAÍDA DE VENDAS'!$B$6:$B$500, B19)&gt;4, " + " &amp; IFERROR(INDEX('SAÍDA DE VENDAS'!$H$6:$H$500 &amp; "x " &amp; 'SAÍDA DE VENDAS'!$G$6:$G$500, MATCH(B19, 'SAÍDA DE VENDAS'!$B$6:$B$500, 0)+4), ""), "")&amp; IF(COUNTIF('SAÍDA DE VENDAS'!$B$6:$B$500, B19)&gt;5, " + " &amp; IFERROR(INDEX('SAÍDA DE VENDAS'!$H$6:$H$500 &amp; "x " &amp; 'SAÍDA DE VENDAS'!$G$6:$G$500, MATCH(B19, 'SAÍDA DE VENDAS'!$B$6:$B$500, 0)+5), ""), ""))</f>
        <v>1x MANTA QUEEN ALGODAO 2,20X2,50 + 1x JOGO DE PASSADEIRA MALHA 3 PEÇAS 1,50 + 1x PAR TAPETE MALHA 50X80 + 1x PAR PASSADEIRA LUXO 50X1,50 + 2x TAPETE PREMIUM 50X80</v>
      </c>
      <c r="G19" s="34" t="str">
        <f>IFERROR(VLOOKUP(B19,'SAÍDA DE VENDAS'!$B$6:$P$500,10,FALSE),"")</f>
        <v>A Prazo</v>
      </c>
      <c r="H19" s="34" t="str">
        <f>IF(OR(ISBLANK(B19),B19=""), "", IF(B19=B18, (VALUE(LEFT(H18,FIND("/",H18)-1))+1)&amp;"/"&amp;RIGHT(H18,LEN(H18)-FIND("/",H18)), "1/"&amp;IFERROR(VLOOKUP(B19,'SAÍDA DE VENDAS'!$B$6:$P$500,13,FALSE),"1")))</f>
        <v>3/3</v>
      </c>
      <c r="I19" s="35">
        <f t="shared" si="0"/>
        <v>46392</v>
      </c>
      <c r="J19" s="39">
        <f>IFERROR(VLOOKUP(B19,'SAÍDA DE VENDAS'!$B$6:$P$500,15,FALSE),"")</f>
        <v>167.13333333333335</v>
      </c>
      <c r="K19" s="34" t="str">
        <f t="shared" ca="1" si="1"/>
        <v>Pendente</v>
      </c>
      <c r="L19" s="34"/>
      <c r="M19" s="34"/>
    </row>
    <row r="20" spans="2:13" ht="15" customHeight="1" x14ac:dyDescent="0.3">
      <c r="B20" s="28" t="str">
        <f>IF(B19="","", IF(VALUE(LEFT(H19,FIND("/",H19)-1)) &lt; VALUE(RIGHT(H19,LEN(H19)-FIND("/",H19))), B19, IFERROR(INDEX('SAÍDA DE VENDAS'!$B$6:$B$500, MATCH(B19,'SAÍDA DE VENDAS'!$B$6:$B$500,0)+COUNTIF('SAÍDA DE VENDAS'!$B$6:$B$500, B19)),"")))</f>
        <v>PED-1013</v>
      </c>
      <c r="C20" s="29">
        <f>IFERROR(VLOOKUP(B20,'SAÍDA DE VENDAS'!$B$6:$P$500,3,FALSE),"")</f>
        <v>46303</v>
      </c>
      <c r="D20" s="28" t="str">
        <f>IFERROR(VLOOKUP(B20,'SAÍDA DE VENDAS'!$B$6:$P$500,4,FALSE),"")</f>
        <v>JULIANA CORREA</v>
      </c>
      <c r="E20" s="28">
        <f>IFERROR(VLOOKUP(B20,'SAÍDA DE VENDAS'!$B$6:$P$500,5,FALSE),"")</f>
        <v>0</v>
      </c>
      <c r="F20" s="28" t="str">
        <f>IF(OR(ISBLANK(B20),B20=""), "", IFERROR(INDEX('SAÍDA DE VENDAS'!$H$6:$H$500 &amp; "x " &amp; 'SAÍDA DE VENDAS'!$G$6:$G$500, MATCH(B20, 'SAÍDA DE VENDAS'!$B$6:$B$500, 0)), "")&amp; IF(COUNTIF('SAÍDA DE VENDAS'!$B$6:$B$500, B20)&gt;1, " + " &amp; IFERROR(INDEX('SAÍDA DE VENDAS'!$H$6:$H$500 &amp; "x " &amp; 'SAÍDA DE VENDAS'!$G$6:$G$500, MATCH(B20, 'SAÍDA DE VENDAS'!$B$6:$B$500, 0)+1), ""), "")&amp; IF(COUNTIF('SAÍDA DE VENDAS'!$B$6:$B$500, B20)&gt;2, " + " &amp; IFERROR(INDEX('SAÍDA DE VENDAS'!$H$6:$H$500 &amp; "x " &amp; 'SAÍDA DE VENDAS'!$G$6:$G$500, MATCH(B20, 'SAÍDA DE VENDAS'!$B$6:$B$500, 0)+2), ""), "")&amp; IF(COUNTIF('SAÍDA DE VENDAS'!$B$6:$B$500, B20)&gt;3, " + " &amp; IFERROR(INDEX('SAÍDA DE VENDAS'!$H$6:$H$500 &amp; "x " &amp; 'SAÍDA DE VENDAS'!$G$6:$G$500, MATCH(B20, 'SAÍDA DE VENDAS'!$B$6:$B$500, 0)+3), ""), "")&amp; IF(COUNTIF('SAÍDA DE VENDAS'!$B$6:$B$500, B20)&gt;4, " + " &amp; IFERROR(INDEX('SAÍDA DE VENDAS'!$H$6:$H$500 &amp; "x " &amp; 'SAÍDA DE VENDAS'!$G$6:$G$500, MATCH(B20, 'SAÍDA DE VENDAS'!$B$6:$B$500, 0)+4), ""), "")&amp; IF(COUNTIF('SAÍDA DE VENDAS'!$B$6:$B$500, B20)&gt;5, " + " &amp; IFERROR(INDEX('SAÍDA DE VENDAS'!$H$6:$H$500 &amp; "x " &amp; 'SAÍDA DE VENDAS'!$G$6:$G$500, MATCH(B20, 'SAÍDA DE VENDAS'!$B$6:$B$500, 0)+5), ""), ""))</f>
        <v>2x TAPETE CIZAL PORTA 40X60</v>
      </c>
      <c r="G20" s="28" t="str">
        <f>IFERROR(VLOOKUP(B20,'SAÍDA DE VENDAS'!$B$6:$P$500,10,FALSE),"")</f>
        <v>A Prazo</v>
      </c>
      <c r="H20" s="28" t="str">
        <f>IF(OR(ISBLANK(B20),B20=""), "", IF(B20=B19, (VALUE(LEFT(H19,FIND("/",H19)-1))+1)&amp;"/"&amp;RIGHT(H19,LEN(H19)-FIND("/",H19)), "1/"&amp;IFERROR(VLOOKUP(B20,'SAÍDA DE VENDAS'!$B$6:$P$500,13,FALSE),"1")))</f>
        <v>1/1</v>
      </c>
      <c r="I20" s="69">
        <f t="shared" si="0"/>
        <v>46333</v>
      </c>
      <c r="J20" s="33">
        <f>IFERROR(VLOOKUP(B20,'SAÍDA DE VENDAS'!$B$6:$P$500,15,FALSE),"")</f>
        <v>139.80000000000001</v>
      </c>
      <c r="K20" s="28" t="str">
        <f t="shared" ca="1" si="1"/>
        <v>Pendente</v>
      </c>
      <c r="L20" s="28"/>
      <c r="M20" s="28"/>
    </row>
    <row r="21" spans="2:13" ht="15" customHeight="1" x14ac:dyDescent="0.3">
      <c r="B21" s="34" t="str">
        <f>IF(B20="","", IF(VALUE(LEFT(H20,FIND("/",H20)-1)) &lt; VALUE(RIGHT(H20,LEN(H20)-FIND("/",H20))), B20, IFERROR(INDEX('SAÍDA DE VENDAS'!$B$6:$B$500, MATCH(B20,'SAÍDA DE VENDAS'!$B$6:$B$500,0)+COUNTIF('SAÍDA DE VENDAS'!$B$6:$B$500, B20)),"")))</f>
        <v>PED-1014</v>
      </c>
      <c r="C21" s="35">
        <f>IFERROR(VLOOKUP(B21,'SAÍDA DE VENDAS'!$B$6:$P$500,3,FALSE),"")</f>
        <v>46303</v>
      </c>
      <c r="D21" s="34" t="str">
        <f>IFERROR(VLOOKUP(B21,'SAÍDA DE VENDAS'!$B$6:$P$500,4,FALSE),"")</f>
        <v>DEIGILAN</v>
      </c>
      <c r="E21" s="34">
        <f>IFERROR(VLOOKUP(B21,'SAÍDA DE VENDAS'!$B$6:$P$500,5,FALSE),"")</f>
        <v>0</v>
      </c>
      <c r="F21" s="34" t="str">
        <f>IF(OR(ISBLANK(B21),B21=""), "", IFERROR(INDEX('SAÍDA DE VENDAS'!$H$6:$H$500 &amp; "x " &amp; 'SAÍDA DE VENDAS'!$G$6:$G$500, MATCH(B21, 'SAÍDA DE VENDAS'!$B$6:$B$500, 0)), "")&amp; IF(COUNTIF('SAÍDA DE VENDAS'!$B$6:$B$500, B21)&gt;1, " + " &amp; IFERROR(INDEX('SAÍDA DE VENDAS'!$H$6:$H$500 &amp; "x " &amp; 'SAÍDA DE VENDAS'!$G$6:$G$500, MATCH(B21, 'SAÍDA DE VENDAS'!$B$6:$B$500, 0)+1), ""), "")&amp; IF(COUNTIF('SAÍDA DE VENDAS'!$B$6:$B$500, B21)&gt;2, " + " &amp; IFERROR(INDEX('SAÍDA DE VENDAS'!$H$6:$H$500 &amp; "x " &amp; 'SAÍDA DE VENDAS'!$G$6:$G$500, MATCH(B21, 'SAÍDA DE VENDAS'!$B$6:$B$500, 0)+2), ""), "")&amp; IF(COUNTIF('SAÍDA DE VENDAS'!$B$6:$B$500, B21)&gt;3, " + " &amp; IFERROR(INDEX('SAÍDA DE VENDAS'!$H$6:$H$500 &amp; "x " &amp; 'SAÍDA DE VENDAS'!$G$6:$G$500, MATCH(B21, 'SAÍDA DE VENDAS'!$B$6:$B$500, 0)+3), ""), "")&amp; IF(COUNTIF('SAÍDA DE VENDAS'!$B$6:$B$500, B21)&gt;4, " + " &amp; IFERROR(INDEX('SAÍDA DE VENDAS'!$H$6:$H$500 &amp; "x " &amp; 'SAÍDA DE VENDAS'!$G$6:$G$500, MATCH(B21, 'SAÍDA DE VENDAS'!$B$6:$B$500, 0)+4), ""), "")&amp; IF(COUNTIF('SAÍDA DE VENDAS'!$B$6:$B$500, B21)&gt;5, " + " &amp; IFERROR(INDEX('SAÍDA DE VENDAS'!$H$6:$H$500 &amp; "x " &amp; 'SAÍDA DE VENDAS'!$G$6:$G$500, MATCH(B21, 'SAÍDA DE VENDAS'!$B$6:$B$500, 0)+5), ""), ""))</f>
        <v>1x PAR TAPETE MALHA 50X80</v>
      </c>
      <c r="G21" s="34" t="str">
        <f>IFERROR(VLOOKUP(B21,'SAÍDA DE VENDAS'!$B$6:$P$500,10,FALSE),"")</f>
        <v>A Prazo</v>
      </c>
      <c r="H21" s="34" t="str">
        <f>IF(OR(ISBLANK(B21),B21=""), "", IF(B21=B20, (VALUE(LEFT(H20,FIND("/",H20)-1))+1)&amp;"/"&amp;RIGHT(H20,LEN(H20)-FIND("/",H20)), "1/"&amp;IFERROR(VLOOKUP(B21,'SAÍDA DE VENDAS'!$B$6:$P$500,13,FALSE),"1")))</f>
        <v>1/1</v>
      </c>
      <c r="I21" s="35">
        <f t="shared" si="0"/>
        <v>46333</v>
      </c>
      <c r="J21" s="39">
        <f>IFERROR(VLOOKUP(B21,'SAÍDA DE VENDAS'!$B$6:$P$500,15,FALSE),"")</f>
        <v>49.9</v>
      </c>
      <c r="K21" s="34" t="str">
        <f t="shared" ca="1" si="1"/>
        <v>Pendente</v>
      </c>
      <c r="L21" s="34"/>
      <c r="M21" s="34"/>
    </row>
    <row r="22" spans="2:13" ht="15" customHeight="1" x14ac:dyDescent="0.3">
      <c r="B22" s="28" t="str">
        <f>IF(B21="","", IF(VALUE(LEFT(H21,FIND("/",H21)-1)) &lt; VALUE(RIGHT(H21,LEN(H21)-FIND("/",H21))), B21, IFERROR(INDEX('SAÍDA DE VENDAS'!$B$6:$B$500, MATCH(B21,'SAÍDA DE VENDAS'!$B$6:$B$500,0)+COUNTIF('SAÍDA DE VENDAS'!$B$6:$B$500, B21)),"")))</f>
        <v>PED-1015</v>
      </c>
      <c r="C22" s="29">
        <f>IFERROR(VLOOKUP(B22,'SAÍDA DE VENDAS'!$B$6:$P$500,3,FALSE),"")</f>
        <v>46303</v>
      </c>
      <c r="D22" s="28" t="str">
        <f>IFERROR(VLOOKUP(B22,'SAÍDA DE VENDAS'!$B$6:$P$500,4,FALSE),"")</f>
        <v>ANDREIA FERREIRA</v>
      </c>
      <c r="E22" s="28">
        <f>IFERROR(VLOOKUP(B22,'SAÍDA DE VENDAS'!$B$6:$P$500,5,FALSE),"")</f>
        <v>0</v>
      </c>
      <c r="F22" s="28" t="str">
        <f>IF(OR(ISBLANK(B22),B22=""), "", IFERROR(INDEX('SAÍDA DE VENDAS'!$H$6:$H$500 &amp; "x " &amp; 'SAÍDA DE VENDAS'!$G$6:$G$500, MATCH(B22, 'SAÍDA DE VENDAS'!$B$6:$B$500, 0)), "")&amp; IF(COUNTIF('SAÍDA DE VENDAS'!$B$6:$B$500, B22)&gt;1, " + " &amp; IFERROR(INDEX('SAÍDA DE VENDAS'!$H$6:$H$500 &amp; "x " &amp; 'SAÍDA DE VENDAS'!$G$6:$G$500, MATCH(B22, 'SAÍDA DE VENDAS'!$B$6:$B$500, 0)+1), ""), "")&amp; IF(COUNTIF('SAÍDA DE VENDAS'!$B$6:$B$500, B22)&gt;2, " + " &amp; IFERROR(INDEX('SAÍDA DE VENDAS'!$H$6:$H$500 &amp; "x " &amp; 'SAÍDA DE VENDAS'!$G$6:$G$500, MATCH(B22, 'SAÍDA DE VENDAS'!$B$6:$B$500, 0)+2), ""), "")&amp; IF(COUNTIF('SAÍDA DE VENDAS'!$B$6:$B$500, B22)&gt;3, " + " &amp; IFERROR(INDEX('SAÍDA DE VENDAS'!$H$6:$H$500 &amp; "x " &amp; 'SAÍDA DE VENDAS'!$G$6:$G$500, MATCH(B22, 'SAÍDA DE VENDAS'!$B$6:$B$500, 0)+3), ""), "")&amp; IF(COUNTIF('SAÍDA DE VENDAS'!$B$6:$B$500, B22)&gt;4, " + " &amp; IFERROR(INDEX('SAÍDA DE VENDAS'!$H$6:$H$500 &amp; "x " &amp; 'SAÍDA DE VENDAS'!$G$6:$G$500, MATCH(B22, 'SAÍDA DE VENDAS'!$B$6:$B$500, 0)+4), ""), "")&amp; IF(COUNTIF('SAÍDA DE VENDAS'!$B$6:$B$500, B22)&gt;5, " + " &amp; IFERROR(INDEX('SAÍDA DE VENDAS'!$H$6:$H$500 &amp; "x " &amp; 'SAÍDA DE VENDAS'!$G$6:$G$500, MATCH(B22, 'SAÍDA DE VENDAS'!$B$6:$B$500, 0)+5), ""), ""))</f>
        <v>1x TAPETE CIZAL PORTA 40X60</v>
      </c>
      <c r="G22" s="28" t="str">
        <f>IFERROR(VLOOKUP(B22,'SAÍDA DE VENDAS'!$B$6:$P$500,10,FALSE),"")</f>
        <v>À Vista</v>
      </c>
      <c r="H22" s="28" t="str">
        <f>IF(OR(ISBLANK(B22),B22=""), "", IF(B22=B21, (VALUE(LEFT(H21,FIND("/",H21)-1))+1)&amp;"/"&amp;RIGHT(H21,LEN(H21)-FIND("/",H21)), "1/"&amp;IFERROR(VLOOKUP(B22,'SAÍDA DE VENDAS'!$B$6:$P$500,13,FALSE),"1")))</f>
        <v>1/1</v>
      </c>
      <c r="I22" s="69">
        <f t="shared" si="0"/>
        <v>46333</v>
      </c>
      <c r="J22" s="33">
        <f>IFERROR(VLOOKUP(B22,'SAÍDA DE VENDAS'!$B$6:$P$500,15,FALSE),"")</f>
        <v>0</v>
      </c>
      <c r="K22" s="28" t="str">
        <f t="shared" ca="1" si="1"/>
        <v>Pago</v>
      </c>
      <c r="L22" s="28"/>
      <c r="M22" s="28"/>
    </row>
    <row r="23" spans="2:13" ht="15" customHeight="1" x14ac:dyDescent="0.3">
      <c r="B23" s="34" t="str">
        <f>IF(B22="","", IF(VALUE(LEFT(H22,FIND("/",H22)-1)) &lt; VALUE(RIGHT(H22,LEN(H22)-FIND("/",H22))), B22, IFERROR(INDEX('SAÍDA DE VENDAS'!$B$6:$B$500, MATCH(B22,'SAÍDA DE VENDAS'!$B$6:$B$500,0)+COUNTIF('SAÍDA DE VENDAS'!$B$6:$B$500, B22)),"")))</f>
        <v>PED-1016</v>
      </c>
      <c r="C23" s="35">
        <f>IFERROR(VLOOKUP(B23,'SAÍDA DE VENDAS'!$B$6:$P$500,3,FALSE),"")</f>
        <v>46303</v>
      </c>
      <c r="D23" s="34" t="str">
        <f>IFERROR(VLOOKUP(B23,'SAÍDA DE VENDAS'!$B$6:$P$500,4,FALSE),"")</f>
        <v xml:space="preserve">CLEIDE LOPES </v>
      </c>
      <c r="E23" s="34">
        <f>IFERROR(VLOOKUP(B23,'SAÍDA DE VENDAS'!$B$6:$P$500,5,FALSE),"")</f>
        <v>0</v>
      </c>
      <c r="F23" s="34" t="str">
        <f>IF(OR(ISBLANK(B23),B23=""), "", IFERROR(INDEX('SAÍDA DE VENDAS'!$H$6:$H$500 &amp; "x " &amp; 'SAÍDA DE VENDAS'!$G$6:$G$500, MATCH(B23, 'SAÍDA DE VENDAS'!$B$6:$B$500, 0)), "")&amp; IF(COUNTIF('SAÍDA DE VENDAS'!$B$6:$B$500, B23)&gt;1, " + " &amp; IFERROR(INDEX('SAÍDA DE VENDAS'!$H$6:$H$500 &amp; "x " &amp; 'SAÍDA DE VENDAS'!$G$6:$G$500, MATCH(B23, 'SAÍDA DE VENDAS'!$B$6:$B$500, 0)+1), ""), "")&amp; IF(COUNTIF('SAÍDA DE VENDAS'!$B$6:$B$500, B23)&gt;2, " + " &amp; IFERROR(INDEX('SAÍDA DE VENDAS'!$H$6:$H$500 &amp; "x " &amp; 'SAÍDA DE VENDAS'!$G$6:$G$500, MATCH(B23, 'SAÍDA DE VENDAS'!$B$6:$B$500, 0)+2), ""), "")&amp; IF(COUNTIF('SAÍDA DE VENDAS'!$B$6:$B$500, B23)&gt;3, " + " &amp; IFERROR(INDEX('SAÍDA DE VENDAS'!$H$6:$H$500 &amp; "x " &amp; 'SAÍDA DE VENDAS'!$G$6:$G$500, MATCH(B23, 'SAÍDA DE VENDAS'!$B$6:$B$500, 0)+3), ""), "")&amp; IF(COUNTIF('SAÍDA DE VENDAS'!$B$6:$B$500, B23)&gt;4, " + " &amp; IFERROR(INDEX('SAÍDA DE VENDAS'!$H$6:$H$500 &amp; "x " &amp; 'SAÍDA DE VENDAS'!$G$6:$G$500, MATCH(B23, 'SAÍDA DE VENDAS'!$B$6:$B$500, 0)+4), ""), "")&amp; IF(COUNTIF('SAÍDA DE VENDAS'!$B$6:$B$500, B23)&gt;5, " + " &amp; IFERROR(INDEX('SAÍDA DE VENDAS'!$H$6:$H$500 &amp; "x " &amp; 'SAÍDA DE VENDAS'!$G$6:$G$500, MATCH(B23, 'SAÍDA DE VENDAS'!$B$6:$B$500, 0)+5), ""), ""))</f>
        <v>1x TAPETE AQUARELA 50X80</v>
      </c>
      <c r="G23" s="34" t="str">
        <f>IFERROR(VLOOKUP(B23,'SAÍDA DE VENDAS'!$B$6:$P$500,10,FALSE),"")</f>
        <v>À Vista</v>
      </c>
      <c r="H23" s="34" t="str">
        <f>IF(OR(ISBLANK(B23),B23=""), "", IF(B23=B22, (VALUE(LEFT(H22,FIND("/",H22)-1))+1)&amp;"/"&amp;RIGHT(H22,LEN(H22)-FIND("/",H22)), "1/"&amp;IFERROR(VLOOKUP(B23,'SAÍDA DE VENDAS'!$B$6:$P$500,13,FALSE),"1")))</f>
        <v>1/1</v>
      </c>
      <c r="I23" s="35">
        <f t="shared" si="0"/>
        <v>46333</v>
      </c>
      <c r="J23" s="39">
        <f>IFERROR(VLOOKUP(B23,'SAÍDA DE VENDAS'!$B$6:$P$500,15,FALSE),"")</f>
        <v>0</v>
      </c>
      <c r="K23" s="34" t="str">
        <f t="shared" ca="1" si="1"/>
        <v>Pago</v>
      </c>
      <c r="L23" s="34"/>
      <c r="M23" s="34"/>
    </row>
    <row r="24" spans="2:13" ht="15" customHeight="1" x14ac:dyDescent="0.3">
      <c r="B24" s="28" t="str">
        <f>IF(B23="","", IF(VALUE(LEFT(H23,FIND("/",H23)-1)) &lt; VALUE(RIGHT(H23,LEN(H23)-FIND("/",H23))), B23, IFERROR(INDEX('SAÍDA DE VENDAS'!$B$6:$B$500, MATCH(B23,'SAÍDA DE VENDAS'!$B$6:$B$500,0)+COUNTIF('SAÍDA DE VENDAS'!$B$6:$B$500, B23)),"")))</f>
        <v>PED-1017</v>
      </c>
      <c r="C24" s="29">
        <f>IFERROR(VLOOKUP(B24,'SAÍDA DE VENDAS'!$B$6:$P$500,3,FALSE),"")</f>
        <v>46303</v>
      </c>
      <c r="D24" s="28" t="str">
        <f>IFERROR(VLOOKUP(B24,'SAÍDA DE VENDAS'!$B$6:$P$500,4,FALSE),"")</f>
        <v>DEIGILAN</v>
      </c>
      <c r="E24" s="28">
        <f>IFERROR(VLOOKUP(B24,'SAÍDA DE VENDAS'!$B$6:$P$500,5,FALSE),"")</f>
        <v>0</v>
      </c>
      <c r="F24" s="28" t="str">
        <f>IF(OR(ISBLANK(B24),B24=""), "", IFERROR(INDEX('SAÍDA DE VENDAS'!$H$6:$H$500 &amp; "x " &amp; 'SAÍDA DE VENDAS'!$G$6:$G$500, MATCH(B24, 'SAÍDA DE VENDAS'!$B$6:$B$500, 0)), "")&amp; IF(COUNTIF('SAÍDA DE VENDAS'!$B$6:$B$500, B24)&gt;1, " + " &amp; IFERROR(INDEX('SAÍDA DE VENDAS'!$H$6:$H$500 &amp; "x " &amp; 'SAÍDA DE VENDAS'!$G$6:$G$500, MATCH(B24, 'SAÍDA DE VENDAS'!$B$6:$B$500, 0)+1), ""), "")&amp; IF(COUNTIF('SAÍDA DE VENDAS'!$B$6:$B$500, B24)&gt;2, " + " &amp; IFERROR(INDEX('SAÍDA DE VENDAS'!$H$6:$H$500 &amp; "x " &amp; 'SAÍDA DE VENDAS'!$G$6:$G$500, MATCH(B24, 'SAÍDA DE VENDAS'!$B$6:$B$500, 0)+2), ""), "")&amp; IF(COUNTIF('SAÍDA DE VENDAS'!$B$6:$B$500, B24)&gt;3, " + " &amp; IFERROR(INDEX('SAÍDA DE VENDAS'!$H$6:$H$500 &amp; "x " &amp; 'SAÍDA DE VENDAS'!$G$6:$G$500, MATCH(B24, 'SAÍDA DE VENDAS'!$B$6:$B$500, 0)+3), ""), "")&amp; IF(COUNTIF('SAÍDA DE VENDAS'!$B$6:$B$500, B24)&gt;4, " + " &amp; IFERROR(INDEX('SAÍDA DE VENDAS'!$H$6:$H$500 &amp; "x " &amp; 'SAÍDA DE VENDAS'!$G$6:$G$500, MATCH(B24, 'SAÍDA DE VENDAS'!$B$6:$B$500, 0)+4), ""), "")&amp; IF(COUNTIF('SAÍDA DE VENDAS'!$B$6:$B$500, B24)&gt;5, " + " &amp; IFERROR(INDEX('SAÍDA DE VENDAS'!$H$6:$H$500 &amp; "x " &amp; 'SAÍDA DE VENDAS'!$G$6:$G$500, MATCH(B24, 'SAÍDA DE VENDAS'!$B$6:$B$500, 0)+5), ""), ""))</f>
        <v>1x CAMINHO DE MESA NATAL 1,0</v>
      </c>
      <c r="G24" s="28" t="str">
        <f>IFERROR(VLOOKUP(B24,'SAÍDA DE VENDAS'!$B$6:$P$500,10,FALSE),"")</f>
        <v>A Prazo</v>
      </c>
      <c r="H24" s="28" t="str">
        <f>IF(OR(ISBLANK(B24),B24=""), "", IF(B24=B23, (VALUE(LEFT(H23,FIND("/",H23)-1))+1)&amp;"/"&amp;RIGHT(H23,LEN(H23)-FIND("/",H23)), "1/"&amp;IFERROR(VLOOKUP(B24,'SAÍDA DE VENDAS'!$B$6:$P$500,13,FALSE),"1")))</f>
        <v>1/1</v>
      </c>
      <c r="I24" s="69">
        <f t="shared" si="0"/>
        <v>46333</v>
      </c>
      <c r="J24" s="33">
        <f>IFERROR(VLOOKUP(B24,'SAÍDA DE VENDAS'!$B$6:$P$500,15,FALSE),"")</f>
        <v>49.9</v>
      </c>
      <c r="K24" s="28" t="str">
        <f t="shared" ca="1" si="1"/>
        <v>Pendente</v>
      </c>
      <c r="L24" s="28"/>
      <c r="M24" s="28"/>
    </row>
    <row r="25" spans="2:13" ht="15" customHeight="1" x14ac:dyDescent="0.3">
      <c r="B25" s="34" t="str">
        <f>IF(B24="","", IF(VALUE(LEFT(H24,FIND("/",H24)-1)) &lt; VALUE(RIGHT(H24,LEN(H24)-FIND("/",H24))), B24, IFERROR(INDEX('SAÍDA DE VENDAS'!$B$6:$B$500, MATCH(B24,'SAÍDA DE VENDAS'!$B$6:$B$500,0)+COUNTIF('SAÍDA DE VENDAS'!$B$6:$B$500, B24)),"")))</f>
        <v>PED-1018</v>
      </c>
      <c r="C25" s="35">
        <f>IFERROR(VLOOKUP(B25,'SAÍDA DE VENDAS'!$B$6:$P$500,3,FALSE),"")</f>
        <v>46303</v>
      </c>
      <c r="D25" s="34" t="str">
        <f>IFERROR(VLOOKUP(B25,'SAÍDA DE VENDAS'!$B$6:$P$500,4,FALSE),"")</f>
        <v>MADALENA UNIMED</v>
      </c>
      <c r="E25" s="34">
        <f>IFERROR(VLOOKUP(B25,'SAÍDA DE VENDAS'!$B$6:$P$500,5,FALSE),"")</f>
        <v>0</v>
      </c>
      <c r="F25" s="34" t="str">
        <f>IF(OR(ISBLANK(B25),B25=""), "", IFERROR(INDEX('SAÍDA DE VENDAS'!$H$6:$H$500 &amp; "x " &amp; 'SAÍDA DE VENDAS'!$G$6:$G$500, MATCH(B25, 'SAÍDA DE VENDAS'!$B$6:$B$500, 0)), "")&amp; IF(COUNTIF('SAÍDA DE VENDAS'!$B$6:$B$500, B25)&gt;1, " + " &amp; IFERROR(INDEX('SAÍDA DE VENDAS'!$H$6:$H$500 &amp; "x " &amp; 'SAÍDA DE VENDAS'!$G$6:$G$500, MATCH(B25, 'SAÍDA DE VENDAS'!$B$6:$B$500, 0)+1), ""), "")&amp; IF(COUNTIF('SAÍDA DE VENDAS'!$B$6:$B$500, B25)&gt;2, " + " &amp; IFERROR(INDEX('SAÍDA DE VENDAS'!$H$6:$H$500 &amp; "x " &amp; 'SAÍDA DE VENDAS'!$G$6:$G$500, MATCH(B25, 'SAÍDA DE VENDAS'!$B$6:$B$500, 0)+2), ""), "")&amp; IF(COUNTIF('SAÍDA DE VENDAS'!$B$6:$B$500, B25)&gt;3, " + " &amp; IFERROR(INDEX('SAÍDA DE VENDAS'!$H$6:$H$500 &amp; "x " &amp; 'SAÍDA DE VENDAS'!$G$6:$G$500, MATCH(B25, 'SAÍDA DE VENDAS'!$B$6:$B$500, 0)+3), ""), "")&amp; IF(COUNTIF('SAÍDA DE VENDAS'!$B$6:$B$500, B25)&gt;4, " + " &amp; IFERROR(INDEX('SAÍDA DE VENDAS'!$H$6:$H$500 &amp; "x " &amp; 'SAÍDA DE VENDAS'!$G$6:$G$500, MATCH(B25, 'SAÍDA DE VENDAS'!$B$6:$B$500, 0)+4), ""), "")&amp; IF(COUNTIF('SAÍDA DE VENDAS'!$B$6:$B$500, B25)&gt;5, " + " &amp; IFERROR(INDEX('SAÍDA DE VENDAS'!$H$6:$H$500 &amp; "x " &amp; 'SAÍDA DE VENDAS'!$G$6:$G$500, MATCH(B25, 'SAÍDA DE VENDAS'!$B$6:$B$500, 0)+5), ""), ""))</f>
        <v>1x TAPETE CIZAL PORTA 40X60</v>
      </c>
      <c r="G25" s="34" t="str">
        <f>IFERROR(VLOOKUP(B25,'SAÍDA DE VENDAS'!$B$6:$P$500,10,FALSE),"")</f>
        <v>À Vista</v>
      </c>
      <c r="H25" s="34" t="str">
        <f>IF(OR(ISBLANK(B25),B25=""), "", IF(B25=B24, (VALUE(LEFT(H24,FIND("/",H24)-1))+1)&amp;"/"&amp;RIGHT(H24,LEN(H24)-FIND("/",H24)), "1/"&amp;IFERROR(VLOOKUP(B25,'SAÍDA DE VENDAS'!$B$6:$P$500,13,FALSE),"1")))</f>
        <v>1/1</v>
      </c>
      <c r="I25" s="35">
        <f t="shared" si="0"/>
        <v>46333</v>
      </c>
      <c r="J25" s="39">
        <f>IFERROR(VLOOKUP(B25,'SAÍDA DE VENDAS'!$B$6:$P$500,15,FALSE),"")</f>
        <v>0</v>
      </c>
      <c r="K25" s="34" t="str">
        <f t="shared" ca="1" si="1"/>
        <v>Pago</v>
      </c>
      <c r="L25" s="34"/>
      <c r="M25" s="34"/>
    </row>
    <row r="26" spans="2:13" ht="15" customHeight="1" x14ac:dyDescent="0.3">
      <c r="B26" s="28" t="str">
        <f>IF(B25="","", IF(VALUE(LEFT(H25,FIND("/",H25)-1)) &lt; VALUE(RIGHT(H25,LEN(H25)-FIND("/",H25))), B25, IFERROR(INDEX('SAÍDA DE VENDAS'!$B$6:$B$500, MATCH(B25,'SAÍDA DE VENDAS'!$B$6:$B$500,0)+COUNTIF('SAÍDA DE VENDAS'!$B$6:$B$500, B25)),"")))</f>
        <v>PED-1019</v>
      </c>
      <c r="C26" s="29">
        <f>IFERROR(VLOOKUP(B26,'SAÍDA DE VENDAS'!$B$6:$P$500,3,FALSE),"")</f>
        <v>46303</v>
      </c>
      <c r="D26" s="28" t="str">
        <f>IFERROR(VLOOKUP(B26,'SAÍDA DE VENDAS'!$B$6:$P$500,4,FALSE),"")</f>
        <v>SONIA MARIA</v>
      </c>
      <c r="E26" s="28">
        <f>IFERROR(VLOOKUP(B26,'SAÍDA DE VENDAS'!$B$6:$P$500,5,FALSE),"")</f>
        <v>0</v>
      </c>
      <c r="F26" s="28" t="str">
        <f>IF(OR(ISBLANK(B26),B26=""), "", IFERROR(INDEX('SAÍDA DE VENDAS'!$H$6:$H$500 &amp; "x " &amp; 'SAÍDA DE VENDAS'!$G$6:$G$500, MATCH(B26, 'SAÍDA DE VENDAS'!$B$6:$B$500, 0)), "")&amp; IF(COUNTIF('SAÍDA DE VENDAS'!$B$6:$B$500, B26)&gt;1, " + " &amp; IFERROR(INDEX('SAÍDA DE VENDAS'!$H$6:$H$500 &amp; "x " &amp; 'SAÍDA DE VENDAS'!$G$6:$G$500, MATCH(B26, 'SAÍDA DE VENDAS'!$B$6:$B$500, 0)+1), ""), "")&amp; IF(COUNTIF('SAÍDA DE VENDAS'!$B$6:$B$500, B26)&gt;2, " + " &amp; IFERROR(INDEX('SAÍDA DE VENDAS'!$H$6:$H$500 &amp; "x " &amp; 'SAÍDA DE VENDAS'!$G$6:$G$500, MATCH(B26, 'SAÍDA DE VENDAS'!$B$6:$B$500, 0)+2), ""), "")&amp; IF(COUNTIF('SAÍDA DE VENDAS'!$B$6:$B$500, B26)&gt;3, " + " &amp; IFERROR(INDEX('SAÍDA DE VENDAS'!$H$6:$H$500 &amp; "x " &amp; 'SAÍDA DE VENDAS'!$G$6:$G$500, MATCH(B26, 'SAÍDA DE VENDAS'!$B$6:$B$500, 0)+3), ""), "")&amp; IF(COUNTIF('SAÍDA DE VENDAS'!$B$6:$B$500, B26)&gt;4, " + " &amp; IFERROR(INDEX('SAÍDA DE VENDAS'!$H$6:$H$500 &amp; "x " &amp; 'SAÍDA DE VENDAS'!$G$6:$G$500, MATCH(B26, 'SAÍDA DE VENDAS'!$B$6:$B$500, 0)+4), ""), "")&amp; IF(COUNTIF('SAÍDA DE VENDAS'!$B$6:$B$500, B26)&gt;5, " + " &amp; IFERROR(INDEX('SAÍDA DE VENDAS'!$H$6:$H$500 &amp; "x " &amp; 'SAÍDA DE VENDAS'!$G$6:$G$500, MATCH(B26, 'SAÍDA DE VENDAS'!$B$6:$B$500, 0)+5), ""), ""))</f>
        <v>1x TAPETE CIZAL PORTA 40X60</v>
      </c>
      <c r="G26" s="28" t="str">
        <f>IFERROR(VLOOKUP(B26,'SAÍDA DE VENDAS'!$B$6:$P$500,10,FALSE),"")</f>
        <v>A Prazo</v>
      </c>
      <c r="H26" s="28" t="str">
        <f>IF(OR(ISBLANK(B26),B26=""), "", IF(B26=B25, (VALUE(LEFT(H25,FIND("/",H25)-1))+1)&amp;"/"&amp;RIGHT(H25,LEN(H25)-FIND("/",H25)), "1/"&amp;IFERROR(VLOOKUP(B26,'SAÍDA DE VENDAS'!$B$6:$P$500,13,FALSE),"1")))</f>
        <v>1/1</v>
      </c>
      <c r="I26" s="69">
        <f t="shared" si="0"/>
        <v>46333</v>
      </c>
      <c r="J26" s="33">
        <f>IFERROR(VLOOKUP(B26,'SAÍDA DE VENDAS'!$B$6:$P$500,15,FALSE),"")</f>
        <v>69.900000000000006</v>
      </c>
      <c r="K26" s="28" t="str">
        <f t="shared" ca="1" si="1"/>
        <v>Pendente</v>
      </c>
      <c r="L26" s="28"/>
      <c r="M26" s="28"/>
    </row>
    <row r="27" spans="2:13" ht="15" customHeight="1" x14ac:dyDescent="0.3">
      <c r="B27" s="34" t="str">
        <f>IF(B26="","", IF(VALUE(LEFT(H26,FIND("/",H26)-1)) &lt; VALUE(RIGHT(H26,LEN(H26)-FIND("/",H26))), B26, IFERROR(INDEX('SAÍDA DE VENDAS'!$B$6:$B$500, MATCH(B26,'SAÍDA DE VENDAS'!$B$6:$B$500,0)+COUNTIF('SAÍDA DE VENDAS'!$B$6:$B$500, B26)),"")))</f>
        <v>PED-1020</v>
      </c>
      <c r="C27" s="35">
        <f>IFERROR(VLOOKUP(B27,'SAÍDA DE VENDAS'!$B$6:$P$500,3,FALSE),"")</f>
        <v>46303</v>
      </c>
      <c r="D27" s="34" t="str">
        <f>IFERROR(VLOOKUP(B27,'SAÍDA DE VENDAS'!$B$6:$P$500,4,FALSE),"")</f>
        <v>EDINA REGINA</v>
      </c>
      <c r="E27" s="34">
        <f>IFERROR(VLOOKUP(B27,'SAÍDA DE VENDAS'!$B$6:$P$500,5,FALSE),"")</f>
        <v>0</v>
      </c>
      <c r="F27" s="34" t="str">
        <f>IF(OR(ISBLANK(B27),B27=""), "", IFERROR(INDEX('SAÍDA DE VENDAS'!$H$6:$H$500 &amp; "x " &amp; 'SAÍDA DE VENDAS'!$G$6:$G$500, MATCH(B27, 'SAÍDA DE VENDAS'!$B$6:$B$500, 0)), "")&amp; IF(COUNTIF('SAÍDA DE VENDAS'!$B$6:$B$500, B27)&gt;1, " + " &amp; IFERROR(INDEX('SAÍDA DE VENDAS'!$H$6:$H$500 &amp; "x " &amp; 'SAÍDA DE VENDAS'!$G$6:$G$500, MATCH(B27, 'SAÍDA DE VENDAS'!$B$6:$B$500, 0)+1), ""), "")&amp; IF(COUNTIF('SAÍDA DE VENDAS'!$B$6:$B$500, B27)&gt;2, " + " &amp; IFERROR(INDEX('SAÍDA DE VENDAS'!$H$6:$H$500 &amp; "x " &amp; 'SAÍDA DE VENDAS'!$G$6:$G$500, MATCH(B27, 'SAÍDA DE VENDAS'!$B$6:$B$500, 0)+2), ""), "")&amp; IF(COUNTIF('SAÍDA DE VENDAS'!$B$6:$B$500, B27)&gt;3, " + " &amp; IFERROR(INDEX('SAÍDA DE VENDAS'!$H$6:$H$500 &amp; "x " &amp; 'SAÍDA DE VENDAS'!$G$6:$G$500, MATCH(B27, 'SAÍDA DE VENDAS'!$B$6:$B$500, 0)+3), ""), "")&amp; IF(COUNTIF('SAÍDA DE VENDAS'!$B$6:$B$500, B27)&gt;4, " + " &amp; IFERROR(INDEX('SAÍDA DE VENDAS'!$H$6:$H$500 &amp; "x " &amp; 'SAÍDA DE VENDAS'!$G$6:$G$500, MATCH(B27, 'SAÍDA DE VENDAS'!$B$6:$B$500, 0)+4), ""), "")&amp; IF(COUNTIF('SAÍDA DE VENDAS'!$B$6:$B$500, B27)&gt;5, " + " &amp; IFERROR(INDEX('SAÍDA DE VENDAS'!$H$6:$H$500 &amp; "x " &amp; 'SAÍDA DE VENDAS'!$G$6:$G$500, MATCH(B27, 'SAÍDA DE VENDAS'!$B$6:$B$500, 0)+5), ""), ""))</f>
        <v>1x TAPETE DUPLA FACE TRADIOCIONAL CAFÉ CARAMELO</v>
      </c>
      <c r="G27" s="34" t="str">
        <f>IFERROR(VLOOKUP(B27,'SAÍDA DE VENDAS'!$B$6:$P$500,10,FALSE),"")</f>
        <v>A Prazo</v>
      </c>
      <c r="H27" s="34" t="str">
        <f>IF(OR(ISBLANK(B27),B27=""), "", IF(B27=B26, (VALUE(LEFT(H26,FIND("/",H26)-1))+1)&amp;"/"&amp;RIGHT(H26,LEN(H26)-FIND("/",H26)), "1/"&amp;IFERROR(VLOOKUP(B27,'SAÍDA DE VENDAS'!$B$6:$P$500,13,FALSE),"1")))</f>
        <v>1/1</v>
      </c>
      <c r="I27" s="35">
        <f t="shared" si="0"/>
        <v>46333</v>
      </c>
      <c r="J27" s="39">
        <f>IFERROR(VLOOKUP(B27,'SAÍDA DE VENDAS'!$B$6:$P$500,15,FALSE),"")</f>
        <v>39.9</v>
      </c>
      <c r="K27" s="34" t="str">
        <f t="shared" ca="1" si="1"/>
        <v>Pendente</v>
      </c>
      <c r="L27" s="34"/>
      <c r="M27" s="34"/>
    </row>
    <row r="28" spans="2:13" ht="15" customHeight="1" x14ac:dyDescent="0.3">
      <c r="B28" s="28" t="str">
        <f>IF(B27="","", IF(VALUE(LEFT(H27,FIND("/",H27)-1)) &lt; VALUE(RIGHT(H27,LEN(H27)-FIND("/",H27))), B27, IFERROR(INDEX('SAÍDA DE VENDAS'!$B$6:$B$500, MATCH(B27,'SAÍDA DE VENDAS'!$B$6:$B$500,0)+COUNTIF('SAÍDA DE VENDAS'!$B$6:$B$500, B27)),"")))</f>
        <v>PED-1021</v>
      </c>
      <c r="C28" s="29">
        <f>IFERROR(VLOOKUP(B28,'SAÍDA DE VENDAS'!$B$6:$P$500,3,FALSE),"")</f>
        <v>46303</v>
      </c>
      <c r="D28" s="28" t="str">
        <f>IFERROR(VLOOKUP(B28,'SAÍDA DE VENDAS'!$B$6:$P$500,4,FALSE),"")</f>
        <v xml:space="preserve">LUCIA HELENA </v>
      </c>
      <c r="E28" s="28" t="str">
        <f>IFERROR(VLOOKUP(B28,'SAÍDA DE VENDAS'!$B$6:$P$500,5,FALSE),"")</f>
        <v>18 98205-2963</v>
      </c>
      <c r="F28" s="28" t="str">
        <f>IF(OR(ISBLANK(B28),B28=""), "", IFERROR(INDEX('SAÍDA DE VENDAS'!$H$6:$H$500 &amp; "x " &amp; 'SAÍDA DE VENDAS'!$G$6:$G$500, MATCH(B28, 'SAÍDA DE VENDAS'!$B$6:$B$500, 0)), "")&amp; IF(COUNTIF('SAÍDA DE VENDAS'!$B$6:$B$500, B28)&gt;1, " + " &amp; IFERROR(INDEX('SAÍDA DE VENDAS'!$H$6:$H$500 &amp; "x " &amp; 'SAÍDA DE VENDAS'!$G$6:$G$500, MATCH(B28, 'SAÍDA DE VENDAS'!$B$6:$B$500, 0)+1), ""), "")&amp; IF(COUNTIF('SAÍDA DE VENDAS'!$B$6:$B$500, B28)&gt;2, " + " &amp; IFERROR(INDEX('SAÍDA DE VENDAS'!$H$6:$H$500 &amp; "x " &amp; 'SAÍDA DE VENDAS'!$G$6:$G$500, MATCH(B28, 'SAÍDA DE VENDAS'!$B$6:$B$500, 0)+2), ""), "")&amp; IF(COUNTIF('SAÍDA DE VENDAS'!$B$6:$B$500, B28)&gt;3, " + " &amp; IFERROR(INDEX('SAÍDA DE VENDAS'!$H$6:$H$500 &amp; "x " &amp; 'SAÍDA DE VENDAS'!$G$6:$G$500, MATCH(B28, 'SAÍDA DE VENDAS'!$B$6:$B$500, 0)+3), ""), "")&amp; IF(COUNTIF('SAÍDA DE VENDAS'!$B$6:$B$500, B28)&gt;4, " + " &amp; IFERROR(INDEX('SAÍDA DE VENDAS'!$H$6:$H$500 &amp; "x " &amp; 'SAÍDA DE VENDAS'!$G$6:$G$500, MATCH(B28, 'SAÍDA DE VENDAS'!$B$6:$B$500, 0)+4), ""), "")&amp; IF(COUNTIF('SAÍDA DE VENDAS'!$B$6:$B$500, B28)&gt;5, " + " &amp; IFERROR(INDEX('SAÍDA DE VENDAS'!$H$6:$H$500 &amp; "x " &amp; 'SAÍDA DE VENDAS'!$G$6:$G$500, MATCH(B28, 'SAÍDA DE VENDAS'!$B$6:$B$500, 0)+5), ""), ""))</f>
        <v>1x TAPETE CIZAL PORTA 40X60</v>
      </c>
      <c r="G28" s="28" t="str">
        <f>IFERROR(VLOOKUP(B28,'SAÍDA DE VENDAS'!$B$6:$P$500,10,FALSE),"")</f>
        <v>A Prazo</v>
      </c>
      <c r="H28" s="28" t="str">
        <f>IF(OR(ISBLANK(B28),B28=""), "", IF(B28=B27, (VALUE(LEFT(H27,FIND("/",H27)-1))+1)&amp;"/"&amp;RIGHT(H27,LEN(H27)-FIND("/",H27)), "1/"&amp;IFERROR(VLOOKUP(B28,'SAÍDA DE VENDAS'!$B$6:$P$500,13,FALSE),"1")))</f>
        <v>1/1</v>
      </c>
      <c r="I28" s="69">
        <f t="shared" si="0"/>
        <v>46333</v>
      </c>
      <c r="J28" s="33">
        <f>IFERROR(VLOOKUP(B28,'SAÍDA DE VENDAS'!$B$6:$P$500,15,FALSE),"")</f>
        <v>69.900000000000006</v>
      </c>
      <c r="K28" s="28" t="str">
        <f t="shared" ca="1" si="1"/>
        <v>Pendente</v>
      </c>
      <c r="L28" s="28"/>
      <c r="M28" s="28"/>
    </row>
    <row r="29" spans="2:13" ht="15" customHeight="1" x14ac:dyDescent="0.3">
      <c r="B29" s="34" t="str">
        <f>IF(B28="","", IF(VALUE(LEFT(H28,FIND("/",H28)-1)) &lt; VALUE(RIGHT(H28,LEN(H28)-FIND("/",H28))), B28, IFERROR(INDEX('SAÍDA DE VENDAS'!$B$6:$B$500, MATCH(B28,'SAÍDA DE VENDAS'!$B$6:$B$500,0)+COUNTIF('SAÍDA DE VENDAS'!$B$6:$B$500, B28)),"")))</f>
        <v>PED-1022</v>
      </c>
      <c r="C29" s="35">
        <f>IFERROR(VLOOKUP(B29,'SAÍDA DE VENDAS'!$B$6:$P$500,3,FALSE),"")</f>
        <v>46304</v>
      </c>
      <c r="D29" s="34" t="str">
        <f>IFERROR(VLOOKUP(B29,'SAÍDA DE VENDAS'!$B$6:$P$500,4,FALSE),"")</f>
        <v>ROSI UNIMED</v>
      </c>
      <c r="E29" s="34">
        <f>IFERROR(VLOOKUP(B29,'SAÍDA DE VENDAS'!$B$6:$P$500,5,FALSE),"")</f>
        <v>0</v>
      </c>
      <c r="F29" s="34" t="str">
        <f>IF(OR(ISBLANK(B29),B29=""), "", IFERROR(INDEX('SAÍDA DE VENDAS'!$H$6:$H$500 &amp; "x " &amp; 'SAÍDA DE VENDAS'!$G$6:$G$500, MATCH(B29, 'SAÍDA DE VENDAS'!$B$6:$B$500, 0)), "")&amp; IF(COUNTIF('SAÍDA DE VENDAS'!$B$6:$B$500, B29)&gt;1, " + " &amp; IFERROR(INDEX('SAÍDA DE VENDAS'!$H$6:$H$500 &amp; "x " &amp; 'SAÍDA DE VENDAS'!$G$6:$G$500, MATCH(B29, 'SAÍDA DE VENDAS'!$B$6:$B$500, 0)+1), ""), "")&amp; IF(COUNTIF('SAÍDA DE VENDAS'!$B$6:$B$500, B29)&gt;2, " + " &amp; IFERROR(INDEX('SAÍDA DE VENDAS'!$H$6:$H$500 &amp; "x " &amp; 'SAÍDA DE VENDAS'!$G$6:$G$500, MATCH(B29, 'SAÍDA DE VENDAS'!$B$6:$B$500, 0)+2), ""), "")&amp; IF(COUNTIF('SAÍDA DE VENDAS'!$B$6:$B$500, B29)&gt;3, " + " &amp; IFERROR(INDEX('SAÍDA DE VENDAS'!$H$6:$H$500 &amp; "x " &amp; 'SAÍDA DE VENDAS'!$G$6:$G$500, MATCH(B29, 'SAÍDA DE VENDAS'!$B$6:$B$500, 0)+3), ""), "")&amp; IF(COUNTIF('SAÍDA DE VENDAS'!$B$6:$B$500, B29)&gt;4, " + " &amp; IFERROR(INDEX('SAÍDA DE VENDAS'!$H$6:$H$500 &amp; "x " &amp; 'SAÍDA DE VENDAS'!$G$6:$G$500, MATCH(B29, 'SAÍDA DE VENDAS'!$B$6:$B$500, 0)+4), ""), "")&amp; IF(COUNTIF('SAÍDA DE VENDAS'!$B$6:$B$500, B29)&gt;5, " + " &amp; IFERROR(INDEX('SAÍDA DE VENDAS'!$H$6:$H$500 &amp; "x " &amp; 'SAÍDA DE VENDAS'!$G$6:$G$500, MATCH(B29, 'SAÍDA DE VENDAS'!$B$6:$B$500, 0)+5), ""), ""))</f>
        <v>1x CAMINHO DE MESA NATAL 2,0</v>
      </c>
      <c r="G29" s="34" t="str">
        <f>IFERROR(VLOOKUP(B29,'SAÍDA DE VENDAS'!$B$6:$P$500,10,FALSE),"")</f>
        <v>A Prazo</v>
      </c>
      <c r="H29" s="34" t="str">
        <f>IF(OR(ISBLANK(B29),B29=""), "", IF(B29=B28, (VALUE(LEFT(H28,FIND("/",H28)-1))+1)&amp;"/"&amp;RIGHT(H28,LEN(H28)-FIND("/",H28)), "1/"&amp;IFERROR(VLOOKUP(B29,'SAÍDA DE VENDAS'!$B$6:$P$500,13,FALSE),"1")))</f>
        <v>1/1</v>
      </c>
      <c r="I29" s="35">
        <f t="shared" si="0"/>
        <v>46334</v>
      </c>
      <c r="J29" s="39">
        <f>IFERROR(VLOOKUP(B29,'SAÍDA DE VENDAS'!$B$6:$P$500,15,FALSE),"")</f>
        <v>89.9</v>
      </c>
      <c r="K29" s="34" t="str">
        <f t="shared" ca="1" si="1"/>
        <v>Pendente</v>
      </c>
      <c r="L29" s="34"/>
      <c r="M29" s="34"/>
    </row>
    <row r="30" spans="2:13" ht="15" customHeight="1" x14ac:dyDescent="0.3">
      <c r="B30" s="28" t="str">
        <f>IF(B29="","", IF(VALUE(LEFT(H29,FIND("/",H29)-1)) &lt; VALUE(RIGHT(H29,LEN(H29)-FIND("/",H29))), B29, IFERROR(INDEX('SAÍDA DE VENDAS'!$B$6:$B$500, MATCH(B29,'SAÍDA DE VENDAS'!$B$6:$B$500,0)+COUNTIF('SAÍDA DE VENDAS'!$B$6:$B$500, B29)),"")))</f>
        <v>PED-1023</v>
      </c>
      <c r="C30" s="29">
        <f>IFERROR(VLOOKUP(B30,'SAÍDA DE VENDAS'!$B$6:$P$500,3,FALSE),"")</f>
        <v>46304</v>
      </c>
      <c r="D30" s="28" t="str">
        <f>IFERROR(VLOOKUP(B30,'SAÍDA DE VENDAS'!$B$6:$P$500,4,FALSE),"")</f>
        <v>ROSE GALDINO</v>
      </c>
      <c r="E30" s="28">
        <f>IFERROR(VLOOKUP(B30,'SAÍDA DE VENDAS'!$B$6:$P$500,5,FALSE),"")</f>
        <v>0</v>
      </c>
      <c r="F30" s="28" t="str">
        <f>IF(OR(ISBLANK(B30),B30=""), "", IFERROR(INDEX('SAÍDA DE VENDAS'!$H$6:$H$500 &amp; "x " &amp; 'SAÍDA DE VENDAS'!$G$6:$G$500, MATCH(B30, 'SAÍDA DE VENDAS'!$B$6:$B$500, 0)), "")&amp; IF(COUNTIF('SAÍDA DE VENDAS'!$B$6:$B$500, B30)&gt;1, " + " &amp; IFERROR(INDEX('SAÍDA DE VENDAS'!$H$6:$H$500 &amp; "x " &amp; 'SAÍDA DE VENDAS'!$G$6:$G$500, MATCH(B30, 'SAÍDA DE VENDAS'!$B$6:$B$500, 0)+1), ""), "")&amp; IF(COUNTIF('SAÍDA DE VENDAS'!$B$6:$B$500, B30)&gt;2, " + " &amp; IFERROR(INDEX('SAÍDA DE VENDAS'!$H$6:$H$500 &amp; "x " &amp; 'SAÍDA DE VENDAS'!$G$6:$G$500, MATCH(B30, 'SAÍDA DE VENDAS'!$B$6:$B$500, 0)+2), ""), "")&amp; IF(COUNTIF('SAÍDA DE VENDAS'!$B$6:$B$500, B30)&gt;3, " + " &amp; IFERROR(INDEX('SAÍDA DE VENDAS'!$H$6:$H$500 &amp; "x " &amp; 'SAÍDA DE VENDAS'!$G$6:$G$500, MATCH(B30, 'SAÍDA DE VENDAS'!$B$6:$B$500, 0)+3), ""), "")&amp; IF(COUNTIF('SAÍDA DE VENDAS'!$B$6:$B$500, B30)&gt;4, " + " &amp; IFERROR(INDEX('SAÍDA DE VENDAS'!$H$6:$H$500 &amp; "x " &amp; 'SAÍDA DE VENDAS'!$G$6:$G$500, MATCH(B30, 'SAÍDA DE VENDAS'!$B$6:$B$500, 0)+4), ""), "")&amp; IF(COUNTIF('SAÍDA DE VENDAS'!$B$6:$B$500, B30)&gt;5, " + " &amp; IFERROR(INDEX('SAÍDA DE VENDAS'!$H$6:$H$500 &amp; "x " &amp; 'SAÍDA DE VENDAS'!$G$6:$G$500, MATCH(B30, 'SAÍDA DE VENDAS'!$B$6:$B$500, 0)+5), ""), ""))</f>
        <v>1x JOGO PASSADEIRA 3 PEÇAS 2,0</v>
      </c>
      <c r="G30" s="28" t="str">
        <f>IFERROR(VLOOKUP(B30,'SAÍDA DE VENDAS'!$B$6:$P$500,10,FALSE),"")</f>
        <v>A Prazo</v>
      </c>
      <c r="H30" s="28" t="str">
        <f>IF(OR(ISBLANK(B30),B30=""), "", IF(B30=B29, (VALUE(LEFT(H29,FIND("/",H29)-1))+1)&amp;"/"&amp;RIGHT(H29,LEN(H29)-FIND("/",H29)), "1/"&amp;IFERROR(VLOOKUP(B30,'SAÍDA DE VENDAS'!$B$6:$P$500,13,FALSE),"1")))</f>
        <v>1/1</v>
      </c>
      <c r="I30" s="69">
        <f t="shared" si="0"/>
        <v>46334</v>
      </c>
      <c r="J30" s="33">
        <f>IFERROR(VLOOKUP(B30,'SAÍDA DE VENDAS'!$B$6:$P$500,15,FALSE),"")</f>
        <v>129.9</v>
      </c>
      <c r="K30" s="28" t="str">
        <f t="shared" ca="1" si="1"/>
        <v>Pendente</v>
      </c>
      <c r="L30" s="28"/>
      <c r="M30" s="28"/>
    </row>
    <row r="31" spans="2:13" ht="15" customHeight="1" x14ac:dyDescent="0.3">
      <c r="B31" s="34" t="str">
        <f>IF(B30="","", IF(VALUE(LEFT(H30,FIND("/",H30)-1)) &lt; VALUE(RIGHT(H30,LEN(H30)-FIND("/",H30))), B30, IFERROR(INDEX('SAÍDA DE VENDAS'!$B$6:$B$500, MATCH(B30,'SAÍDA DE VENDAS'!$B$6:$B$500,0)+COUNTIF('SAÍDA DE VENDAS'!$B$6:$B$500, B30)),"")))</f>
        <v/>
      </c>
      <c r="C31" s="35">
        <f>IFERROR(VLOOKUP(B31,'SAÍDA DE VENDAS'!$B$6:$P$500,3,FALSE),"")</f>
        <v>0</v>
      </c>
      <c r="D31" s="34">
        <f>IFERROR(VLOOKUP(B31,'SAÍDA DE VENDAS'!$B$6:$P$500,4,FALSE),"")</f>
        <v>0</v>
      </c>
      <c r="E31" s="34" t="str">
        <f>IFERROR(VLOOKUP(B31,'SAÍDA DE VENDAS'!$B$6:$P$500,5,FALSE),"")</f>
        <v/>
      </c>
      <c r="F31" s="34" t="str">
        <f>IF(OR(ISBLANK(B31),B31=""), "", IFERROR(INDEX('SAÍDA DE VENDAS'!$H$6:$H$500 &amp; "x " &amp; 'SAÍDA DE VENDAS'!$G$6:$G$500, MATCH(B31, 'SAÍDA DE VENDAS'!$B$6:$B$500, 0)), "")&amp; IF(COUNTIF('SAÍDA DE VENDAS'!$B$6:$B$500, B31)&gt;1, " + " &amp; IFERROR(INDEX('SAÍDA DE VENDAS'!$H$6:$H$500 &amp; "x " &amp; 'SAÍDA DE VENDAS'!$G$6:$G$500, MATCH(B31, 'SAÍDA DE VENDAS'!$B$6:$B$500, 0)+1), ""), "")&amp; IF(COUNTIF('SAÍDA DE VENDAS'!$B$6:$B$500, B31)&gt;2, " + " &amp; IFERROR(INDEX('SAÍDA DE VENDAS'!$H$6:$H$500 &amp; "x " &amp; 'SAÍDA DE VENDAS'!$G$6:$G$500, MATCH(B31, 'SAÍDA DE VENDAS'!$B$6:$B$500, 0)+2), ""), "")&amp; IF(COUNTIF('SAÍDA DE VENDAS'!$B$6:$B$500, B31)&gt;3, " + " &amp; IFERROR(INDEX('SAÍDA DE VENDAS'!$H$6:$H$500 &amp; "x " &amp; 'SAÍDA DE VENDAS'!$G$6:$G$500, MATCH(B31, 'SAÍDA DE VENDAS'!$B$6:$B$500, 0)+3), ""), "")&amp; IF(COUNTIF('SAÍDA DE VENDAS'!$B$6:$B$500, B31)&gt;4, " + " &amp; IFERROR(INDEX('SAÍDA DE VENDAS'!$H$6:$H$500 &amp; "x " &amp; 'SAÍDA DE VENDAS'!$G$6:$G$500, MATCH(B31, 'SAÍDA DE VENDAS'!$B$6:$B$500, 0)+4), ""), "")&amp; IF(COUNTIF('SAÍDA DE VENDAS'!$B$6:$B$500, B31)&gt;5, " + " &amp; IFERROR(INDEX('SAÍDA DE VENDAS'!$H$6:$H$500 &amp; "x " &amp; 'SAÍDA DE VENDAS'!$G$6:$G$500, MATCH(B31, 'SAÍDA DE VENDAS'!$B$6:$B$500, 0)+5), ""), ""))</f>
        <v/>
      </c>
      <c r="G31" s="34">
        <f>IFERROR(VLOOKUP(B31,'SAÍDA DE VENDAS'!$B$6:$P$500,10,FALSE),"")</f>
        <v>0</v>
      </c>
      <c r="H31" s="34" t="str">
        <f>IF(OR(ISBLANK(B31),B31=""), "", IF(B31=B30, (VALUE(LEFT(H30,FIND("/",H30)-1))+1)&amp;"/"&amp;RIGHT(H30,LEN(H30)-FIND("/",H30)), "1/"&amp;IFERROR(VLOOKUP(B31,'SAÍDA DE VENDAS'!$B$6:$P$500,13,FALSE),"1")))</f>
        <v/>
      </c>
      <c r="I31" s="35" t="str">
        <f t="shared" si="0"/>
        <v/>
      </c>
      <c r="J31" s="39" t="str">
        <f>IFERROR(VLOOKUP(B31,'SAÍDA DE VENDAS'!$B$6:$P$500,15,FALSE),"")</f>
        <v/>
      </c>
      <c r="K31" s="34" t="str">
        <f t="shared" ca="1" si="1"/>
        <v/>
      </c>
      <c r="L31" s="34"/>
      <c r="M31" s="34"/>
    </row>
    <row r="32" spans="2:13" ht="15" customHeight="1" x14ac:dyDescent="0.3">
      <c r="B32" s="28" t="str">
        <f>IF(B31="","", IF(VALUE(LEFT(H31,FIND("/",H31)-1)) &lt; VALUE(RIGHT(H31,LEN(H31)-FIND("/",H31))), B31, IFERROR(INDEX('SAÍDA DE VENDAS'!$B$6:$B$500, MATCH(B31,'SAÍDA DE VENDAS'!$B$6:$B$500,0)+COUNTIF('SAÍDA DE VENDAS'!$B$6:$B$500, B31)),"")))</f>
        <v/>
      </c>
      <c r="C32" s="29">
        <f>IFERROR(VLOOKUP(B32,'SAÍDA DE VENDAS'!$B$6:$P$500,3,FALSE),"")</f>
        <v>0</v>
      </c>
      <c r="D32" s="28">
        <f>IFERROR(VLOOKUP(B32,'SAÍDA DE VENDAS'!$B$6:$P$500,4,FALSE),"")</f>
        <v>0</v>
      </c>
      <c r="E32" s="28" t="str">
        <f>IFERROR(VLOOKUP(B32,'SAÍDA DE VENDAS'!$B$6:$P$500,5,FALSE),"")</f>
        <v/>
      </c>
      <c r="F32" s="28" t="str">
        <f>IF(OR(ISBLANK(B32),B32=""), "", IFERROR(INDEX('SAÍDA DE VENDAS'!$H$6:$H$500 &amp; "x " &amp; 'SAÍDA DE VENDAS'!$G$6:$G$500, MATCH(B32, 'SAÍDA DE VENDAS'!$B$6:$B$500, 0)), "")&amp; IF(COUNTIF('SAÍDA DE VENDAS'!$B$6:$B$500, B32)&gt;1, " + " &amp; IFERROR(INDEX('SAÍDA DE VENDAS'!$H$6:$H$500 &amp; "x " &amp; 'SAÍDA DE VENDAS'!$G$6:$G$500, MATCH(B32, 'SAÍDA DE VENDAS'!$B$6:$B$500, 0)+1), ""), "")&amp; IF(COUNTIF('SAÍDA DE VENDAS'!$B$6:$B$500, B32)&gt;2, " + " &amp; IFERROR(INDEX('SAÍDA DE VENDAS'!$H$6:$H$500 &amp; "x " &amp; 'SAÍDA DE VENDAS'!$G$6:$G$500, MATCH(B32, 'SAÍDA DE VENDAS'!$B$6:$B$500, 0)+2), ""), "")&amp; IF(COUNTIF('SAÍDA DE VENDAS'!$B$6:$B$500, B32)&gt;3, " + " &amp; IFERROR(INDEX('SAÍDA DE VENDAS'!$H$6:$H$500 &amp; "x " &amp; 'SAÍDA DE VENDAS'!$G$6:$G$500, MATCH(B32, 'SAÍDA DE VENDAS'!$B$6:$B$500, 0)+3), ""), "")&amp; IF(COUNTIF('SAÍDA DE VENDAS'!$B$6:$B$500, B32)&gt;4, " + " &amp; IFERROR(INDEX('SAÍDA DE VENDAS'!$H$6:$H$500 &amp; "x " &amp; 'SAÍDA DE VENDAS'!$G$6:$G$500, MATCH(B32, 'SAÍDA DE VENDAS'!$B$6:$B$500, 0)+4), ""), "")&amp; IF(COUNTIF('SAÍDA DE VENDAS'!$B$6:$B$500, B32)&gt;5, " + " &amp; IFERROR(INDEX('SAÍDA DE VENDAS'!$H$6:$H$500 &amp; "x " &amp; 'SAÍDA DE VENDAS'!$G$6:$G$500, MATCH(B32, 'SAÍDA DE VENDAS'!$B$6:$B$500, 0)+5), ""), ""))</f>
        <v/>
      </c>
      <c r="G32" s="28">
        <f>IFERROR(VLOOKUP(B32,'SAÍDA DE VENDAS'!$B$6:$P$500,10,FALSE),"")</f>
        <v>0</v>
      </c>
      <c r="H32" s="28" t="str">
        <f>IF(OR(ISBLANK(B32),B32=""), "", IF(B32=B31, (VALUE(LEFT(H31,FIND("/",H31)-1))+1)&amp;"/"&amp;RIGHT(H31,LEN(H31)-FIND("/",H31)), "1/"&amp;IFERROR(VLOOKUP(B32,'SAÍDA DE VENDAS'!$B$6:$P$500,13,FALSE),"1")))</f>
        <v/>
      </c>
      <c r="I32" s="69" t="str">
        <f t="shared" si="0"/>
        <v/>
      </c>
      <c r="J32" s="33" t="str">
        <f>IFERROR(VLOOKUP(B32,'SAÍDA DE VENDAS'!$B$6:$P$500,15,FALSE),"")</f>
        <v/>
      </c>
      <c r="K32" s="28" t="str">
        <f t="shared" ca="1" si="1"/>
        <v/>
      </c>
      <c r="L32" s="28"/>
      <c r="M32" s="28"/>
    </row>
    <row r="33" spans="2:13" ht="15" customHeight="1" x14ac:dyDescent="0.3">
      <c r="B33" s="34" t="str">
        <f>IF(B32="","", IF(VALUE(LEFT(H32,FIND("/",H32)-1)) &lt; VALUE(RIGHT(H32,LEN(H32)-FIND("/",H32))), B32, IFERROR(INDEX('SAÍDA DE VENDAS'!$B$6:$B$500, MATCH(B32,'SAÍDA DE VENDAS'!$B$6:$B$500,0)+COUNTIF('SAÍDA DE VENDAS'!$B$6:$B$500, B32)),"")))</f>
        <v/>
      </c>
      <c r="C33" s="35">
        <f>IFERROR(VLOOKUP(B33,'SAÍDA DE VENDAS'!$B$6:$P$500,3,FALSE),"")</f>
        <v>0</v>
      </c>
      <c r="D33" s="34">
        <f>IFERROR(VLOOKUP(B33,'SAÍDA DE VENDAS'!$B$6:$P$500,4,FALSE),"")</f>
        <v>0</v>
      </c>
      <c r="E33" s="34" t="str">
        <f>IFERROR(VLOOKUP(B33,'SAÍDA DE VENDAS'!$B$6:$P$500,5,FALSE),"")</f>
        <v/>
      </c>
      <c r="F33" s="34" t="str">
        <f>IF(OR(ISBLANK(B33),B33=""), "", IFERROR(INDEX('SAÍDA DE VENDAS'!$H$6:$H$500 &amp; "x " &amp; 'SAÍDA DE VENDAS'!$G$6:$G$500, MATCH(B33, 'SAÍDA DE VENDAS'!$B$6:$B$500, 0)), "")&amp; IF(COUNTIF('SAÍDA DE VENDAS'!$B$6:$B$500, B33)&gt;1, " + " &amp; IFERROR(INDEX('SAÍDA DE VENDAS'!$H$6:$H$500 &amp; "x " &amp; 'SAÍDA DE VENDAS'!$G$6:$G$500, MATCH(B33, 'SAÍDA DE VENDAS'!$B$6:$B$500, 0)+1), ""), "")&amp; IF(COUNTIF('SAÍDA DE VENDAS'!$B$6:$B$500, B33)&gt;2, " + " &amp; IFERROR(INDEX('SAÍDA DE VENDAS'!$H$6:$H$500 &amp; "x " &amp; 'SAÍDA DE VENDAS'!$G$6:$G$500, MATCH(B33, 'SAÍDA DE VENDAS'!$B$6:$B$500, 0)+2), ""), "")&amp; IF(COUNTIF('SAÍDA DE VENDAS'!$B$6:$B$500, B33)&gt;3, " + " &amp; IFERROR(INDEX('SAÍDA DE VENDAS'!$H$6:$H$500 &amp; "x " &amp; 'SAÍDA DE VENDAS'!$G$6:$G$500, MATCH(B33, 'SAÍDA DE VENDAS'!$B$6:$B$500, 0)+3), ""), "")&amp; IF(COUNTIF('SAÍDA DE VENDAS'!$B$6:$B$500, B33)&gt;4, " + " &amp; IFERROR(INDEX('SAÍDA DE VENDAS'!$H$6:$H$500 &amp; "x " &amp; 'SAÍDA DE VENDAS'!$G$6:$G$500, MATCH(B33, 'SAÍDA DE VENDAS'!$B$6:$B$500, 0)+4), ""), "")&amp; IF(COUNTIF('SAÍDA DE VENDAS'!$B$6:$B$500, B33)&gt;5, " + " &amp; IFERROR(INDEX('SAÍDA DE VENDAS'!$H$6:$H$500 &amp; "x " &amp; 'SAÍDA DE VENDAS'!$G$6:$G$500, MATCH(B33, 'SAÍDA DE VENDAS'!$B$6:$B$500, 0)+5), ""), ""))</f>
        <v/>
      </c>
      <c r="G33" s="34">
        <f>IFERROR(VLOOKUP(B33,'SAÍDA DE VENDAS'!$B$6:$P$500,10,FALSE),"")</f>
        <v>0</v>
      </c>
      <c r="H33" s="34" t="str">
        <f>IF(OR(ISBLANK(B33),B33=""), "", IF(B33=B32, (VALUE(LEFT(H32,FIND("/",H32)-1))+1)&amp;"/"&amp;RIGHT(H32,LEN(H32)-FIND("/",H32)), "1/"&amp;IFERROR(VLOOKUP(B33,'SAÍDA DE VENDAS'!$B$6:$P$500,13,FALSE),"1")))</f>
        <v/>
      </c>
      <c r="I33" s="35" t="str">
        <f t="shared" si="0"/>
        <v/>
      </c>
      <c r="J33" s="39" t="str">
        <f>IFERROR(VLOOKUP(B33,'SAÍDA DE VENDAS'!$B$6:$P$500,15,FALSE),"")</f>
        <v/>
      </c>
      <c r="K33" s="34" t="str">
        <f t="shared" ca="1" si="1"/>
        <v/>
      </c>
      <c r="L33" s="34"/>
      <c r="M33" s="34"/>
    </row>
    <row r="34" spans="2:13" ht="15" customHeight="1" x14ac:dyDescent="0.3">
      <c r="B34" s="28" t="str">
        <f>IF(B33="","", IF(VALUE(LEFT(H33,FIND("/",H33)-1)) &lt; VALUE(RIGHT(H33,LEN(H33)-FIND("/",H33))), B33, IFERROR(INDEX('SAÍDA DE VENDAS'!$B$6:$B$500, MATCH(B33,'SAÍDA DE VENDAS'!$B$6:$B$500,0)+COUNTIF('SAÍDA DE VENDAS'!$B$6:$B$500, B33)),"")))</f>
        <v/>
      </c>
      <c r="C34" s="29">
        <f>IFERROR(VLOOKUP(B34,'SAÍDA DE VENDAS'!$B$6:$P$500,3,FALSE),"")</f>
        <v>0</v>
      </c>
      <c r="D34" s="28">
        <f>IFERROR(VLOOKUP(B34,'SAÍDA DE VENDAS'!$B$6:$P$500,4,FALSE),"")</f>
        <v>0</v>
      </c>
      <c r="E34" s="28" t="str">
        <f>IFERROR(VLOOKUP(B34,'SAÍDA DE VENDAS'!$B$6:$P$500,5,FALSE),"")</f>
        <v/>
      </c>
      <c r="F34" s="28" t="str">
        <f>IF(OR(ISBLANK(B34),B34=""), "", IFERROR(INDEX('SAÍDA DE VENDAS'!$H$6:$H$500 &amp; "x " &amp; 'SAÍDA DE VENDAS'!$G$6:$G$500, MATCH(B34, 'SAÍDA DE VENDAS'!$B$6:$B$500, 0)), "")&amp; IF(COUNTIF('SAÍDA DE VENDAS'!$B$6:$B$500, B34)&gt;1, " + " &amp; IFERROR(INDEX('SAÍDA DE VENDAS'!$H$6:$H$500 &amp; "x " &amp; 'SAÍDA DE VENDAS'!$G$6:$G$500, MATCH(B34, 'SAÍDA DE VENDAS'!$B$6:$B$500, 0)+1), ""), "")&amp; IF(COUNTIF('SAÍDA DE VENDAS'!$B$6:$B$500, B34)&gt;2, " + " &amp; IFERROR(INDEX('SAÍDA DE VENDAS'!$H$6:$H$500 &amp; "x " &amp; 'SAÍDA DE VENDAS'!$G$6:$G$500, MATCH(B34, 'SAÍDA DE VENDAS'!$B$6:$B$500, 0)+2), ""), "")&amp; IF(COUNTIF('SAÍDA DE VENDAS'!$B$6:$B$500, B34)&gt;3, " + " &amp; IFERROR(INDEX('SAÍDA DE VENDAS'!$H$6:$H$500 &amp; "x " &amp; 'SAÍDA DE VENDAS'!$G$6:$G$500, MATCH(B34, 'SAÍDA DE VENDAS'!$B$6:$B$500, 0)+3), ""), "")&amp; IF(COUNTIF('SAÍDA DE VENDAS'!$B$6:$B$500, B34)&gt;4, " + " &amp; IFERROR(INDEX('SAÍDA DE VENDAS'!$H$6:$H$500 &amp; "x " &amp; 'SAÍDA DE VENDAS'!$G$6:$G$500, MATCH(B34, 'SAÍDA DE VENDAS'!$B$6:$B$500, 0)+4), ""), "")&amp; IF(COUNTIF('SAÍDA DE VENDAS'!$B$6:$B$500, B34)&gt;5, " + " &amp; IFERROR(INDEX('SAÍDA DE VENDAS'!$H$6:$H$500 &amp; "x " &amp; 'SAÍDA DE VENDAS'!$G$6:$G$500, MATCH(B34, 'SAÍDA DE VENDAS'!$B$6:$B$500, 0)+5), ""), ""))</f>
        <v/>
      </c>
      <c r="G34" s="28">
        <f>IFERROR(VLOOKUP(B34,'SAÍDA DE VENDAS'!$B$6:$P$500,10,FALSE),"")</f>
        <v>0</v>
      </c>
      <c r="H34" s="28" t="str">
        <f>IF(OR(ISBLANK(B34),B34=""), "", IF(B34=B33, (VALUE(LEFT(H33,FIND("/",H33)-1))+1)&amp;"/"&amp;RIGHT(H33,LEN(H33)-FIND("/",H33)), "1/"&amp;IFERROR(VLOOKUP(B34,'SAÍDA DE VENDAS'!$B$6:$P$500,13,FALSE),"1")))</f>
        <v/>
      </c>
      <c r="I34" s="69" t="str">
        <f t="shared" si="0"/>
        <v/>
      </c>
      <c r="J34" s="33" t="str">
        <f>IFERROR(VLOOKUP(B34,'SAÍDA DE VENDAS'!$B$6:$P$500,15,FALSE),"")</f>
        <v/>
      </c>
      <c r="K34" s="28" t="str">
        <f t="shared" ca="1" si="1"/>
        <v/>
      </c>
      <c r="L34" s="28"/>
      <c r="M34" s="28"/>
    </row>
    <row r="35" spans="2:13" ht="15" customHeight="1" x14ac:dyDescent="0.3">
      <c r="B35" s="34" t="str">
        <f>IF(B34="","", IF(VALUE(LEFT(H34,FIND("/",H34)-1)) &lt; VALUE(RIGHT(H34,LEN(H34)-FIND("/",H34))), B34, IFERROR(INDEX('SAÍDA DE VENDAS'!$B$6:$B$500, MATCH(B34,'SAÍDA DE VENDAS'!$B$6:$B$500,0)+COUNTIF('SAÍDA DE VENDAS'!$B$6:$B$500, B34)),"")))</f>
        <v/>
      </c>
      <c r="C35" s="35">
        <f>IFERROR(VLOOKUP(B35,'SAÍDA DE VENDAS'!$B$6:$P$500,3,FALSE),"")</f>
        <v>0</v>
      </c>
      <c r="D35" s="34">
        <f>IFERROR(VLOOKUP(B35,'SAÍDA DE VENDAS'!$B$6:$P$500,4,FALSE),"")</f>
        <v>0</v>
      </c>
      <c r="E35" s="34" t="str">
        <f>IFERROR(VLOOKUP(B35,'SAÍDA DE VENDAS'!$B$6:$P$500,5,FALSE),"")</f>
        <v/>
      </c>
      <c r="F35" s="34" t="str">
        <f>IF(OR(ISBLANK(B35),B35=""), "", IFERROR(INDEX('SAÍDA DE VENDAS'!$H$6:$H$500 &amp; "x " &amp; 'SAÍDA DE VENDAS'!$G$6:$G$500, MATCH(B35, 'SAÍDA DE VENDAS'!$B$6:$B$500, 0)), "")&amp; IF(COUNTIF('SAÍDA DE VENDAS'!$B$6:$B$500, B35)&gt;1, " + " &amp; IFERROR(INDEX('SAÍDA DE VENDAS'!$H$6:$H$500 &amp; "x " &amp; 'SAÍDA DE VENDAS'!$G$6:$G$500, MATCH(B35, 'SAÍDA DE VENDAS'!$B$6:$B$500, 0)+1), ""), "")&amp; IF(COUNTIF('SAÍDA DE VENDAS'!$B$6:$B$500, B35)&gt;2, " + " &amp; IFERROR(INDEX('SAÍDA DE VENDAS'!$H$6:$H$500 &amp; "x " &amp; 'SAÍDA DE VENDAS'!$G$6:$G$500, MATCH(B35, 'SAÍDA DE VENDAS'!$B$6:$B$500, 0)+2), ""), "")&amp; IF(COUNTIF('SAÍDA DE VENDAS'!$B$6:$B$500, B35)&gt;3, " + " &amp; IFERROR(INDEX('SAÍDA DE VENDAS'!$H$6:$H$500 &amp; "x " &amp; 'SAÍDA DE VENDAS'!$G$6:$G$500, MATCH(B35, 'SAÍDA DE VENDAS'!$B$6:$B$500, 0)+3), ""), "")&amp; IF(COUNTIF('SAÍDA DE VENDAS'!$B$6:$B$500, B35)&gt;4, " + " &amp; IFERROR(INDEX('SAÍDA DE VENDAS'!$H$6:$H$500 &amp; "x " &amp; 'SAÍDA DE VENDAS'!$G$6:$G$500, MATCH(B35, 'SAÍDA DE VENDAS'!$B$6:$B$500, 0)+4), ""), "")&amp; IF(COUNTIF('SAÍDA DE VENDAS'!$B$6:$B$500, B35)&gt;5, " + " &amp; IFERROR(INDEX('SAÍDA DE VENDAS'!$H$6:$H$500 &amp; "x " &amp; 'SAÍDA DE VENDAS'!$G$6:$G$500, MATCH(B35, 'SAÍDA DE VENDAS'!$B$6:$B$500, 0)+5), ""), ""))</f>
        <v/>
      </c>
      <c r="G35" s="34">
        <f>IFERROR(VLOOKUP(B35,'SAÍDA DE VENDAS'!$B$6:$P$500,10,FALSE),"")</f>
        <v>0</v>
      </c>
      <c r="H35" s="34" t="str">
        <f>IF(OR(ISBLANK(B35),B35=""), "", IF(B35=B34, (VALUE(LEFT(H34,FIND("/",H34)-1))+1)&amp;"/"&amp;RIGHT(H34,LEN(H34)-FIND("/",H34)), "1/"&amp;IFERROR(VLOOKUP(B35,'SAÍDA DE VENDAS'!$B$6:$P$500,13,FALSE),"1")))</f>
        <v/>
      </c>
      <c r="I35" s="35" t="str">
        <f t="shared" si="0"/>
        <v/>
      </c>
      <c r="J35" s="39" t="str">
        <f>IFERROR(VLOOKUP(B35,'SAÍDA DE VENDAS'!$B$6:$P$500,15,FALSE),"")</f>
        <v/>
      </c>
      <c r="K35" s="34" t="str">
        <f t="shared" ca="1" si="1"/>
        <v/>
      </c>
      <c r="L35" s="34"/>
      <c r="M35" s="34"/>
    </row>
    <row r="36" spans="2:13" ht="15" customHeight="1" x14ac:dyDescent="0.3">
      <c r="B36" s="28" t="str">
        <f>IF(B35="","", IF(VALUE(LEFT(H35,FIND("/",H35)-1)) &lt; VALUE(RIGHT(H35,LEN(H35)-FIND("/",H35))), B35, IFERROR(INDEX('SAÍDA DE VENDAS'!$B$6:$B$500, MATCH(B35,'SAÍDA DE VENDAS'!$B$6:$B$500,0)+COUNTIF('SAÍDA DE VENDAS'!$B$6:$B$500, B35)),"")))</f>
        <v/>
      </c>
      <c r="C36" s="29">
        <f>IFERROR(VLOOKUP(B36,'SAÍDA DE VENDAS'!$B$6:$P$500,3,FALSE),"")</f>
        <v>0</v>
      </c>
      <c r="D36" s="28">
        <f>IFERROR(VLOOKUP(B36,'SAÍDA DE VENDAS'!$B$6:$P$500,4,FALSE),"")</f>
        <v>0</v>
      </c>
      <c r="E36" s="28" t="str">
        <f>IFERROR(VLOOKUP(B36,'SAÍDA DE VENDAS'!$B$6:$P$500,5,FALSE),"")</f>
        <v/>
      </c>
      <c r="F36" s="28" t="str">
        <f>IF(OR(ISBLANK(B36),B36=""), "", IFERROR(INDEX('SAÍDA DE VENDAS'!$H$6:$H$500 &amp; "x " &amp; 'SAÍDA DE VENDAS'!$G$6:$G$500, MATCH(B36, 'SAÍDA DE VENDAS'!$B$6:$B$500, 0)), "")&amp; IF(COUNTIF('SAÍDA DE VENDAS'!$B$6:$B$500, B36)&gt;1, " + " &amp; IFERROR(INDEX('SAÍDA DE VENDAS'!$H$6:$H$500 &amp; "x " &amp; 'SAÍDA DE VENDAS'!$G$6:$G$500, MATCH(B36, 'SAÍDA DE VENDAS'!$B$6:$B$500, 0)+1), ""), "")&amp; IF(COUNTIF('SAÍDA DE VENDAS'!$B$6:$B$500, B36)&gt;2, " + " &amp; IFERROR(INDEX('SAÍDA DE VENDAS'!$H$6:$H$500 &amp; "x " &amp; 'SAÍDA DE VENDAS'!$G$6:$G$500, MATCH(B36, 'SAÍDA DE VENDAS'!$B$6:$B$500, 0)+2), ""), "")&amp; IF(COUNTIF('SAÍDA DE VENDAS'!$B$6:$B$500, B36)&gt;3, " + " &amp; IFERROR(INDEX('SAÍDA DE VENDAS'!$H$6:$H$500 &amp; "x " &amp; 'SAÍDA DE VENDAS'!$G$6:$G$500, MATCH(B36, 'SAÍDA DE VENDAS'!$B$6:$B$500, 0)+3), ""), "")&amp; IF(COUNTIF('SAÍDA DE VENDAS'!$B$6:$B$500, B36)&gt;4, " + " &amp; IFERROR(INDEX('SAÍDA DE VENDAS'!$H$6:$H$500 &amp; "x " &amp; 'SAÍDA DE VENDAS'!$G$6:$G$500, MATCH(B36, 'SAÍDA DE VENDAS'!$B$6:$B$500, 0)+4), ""), "")&amp; IF(COUNTIF('SAÍDA DE VENDAS'!$B$6:$B$500, B36)&gt;5, " + " &amp; IFERROR(INDEX('SAÍDA DE VENDAS'!$H$6:$H$500 &amp; "x " &amp; 'SAÍDA DE VENDAS'!$G$6:$G$500, MATCH(B36, 'SAÍDA DE VENDAS'!$B$6:$B$500, 0)+5), ""), ""))</f>
        <v/>
      </c>
      <c r="G36" s="28">
        <f>IFERROR(VLOOKUP(B36,'SAÍDA DE VENDAS'!$B$6:$P$500,10,FALSE),"")</f>
        <v>0</v>
      </c>
      <c r="H36" s="28" t="str">
        <f>IF(OR(ISBLANK(B36),B36=""), "", IF(B36=B35, (VALUE(LEFT(H35,FIND("/",H35)-1))+1)&amp;"/"&amp;RIGHT(H35,LEN(H35)-FIND("/",H35)), "1/"&amp;IFERROR(VLOOKUP(B36,'SAÍDA DE VENDAS'!$B$6:$P$500,13,FALSE),"1")))</f>
        <v/>
      </c>
      <c r="I36" s="69" t="str">
        <f t="shared" si="0"/>
        <v/>
      </c>
      <c r="J36" s="33" t="str">
        <f>IFERROR(VLOOKUP(B36,'SAÍDA DE VENDAS'!$B$6:$P$500,15,FALSE),"")</f>
        <v/>
      </c>
      <c r="K36" s="28" t="str">
        <f t="shared" ca="1" si="1"/>
        <v/>
      </c>
      <c r="L36" s="28"/>
      <c r="M36" s="28"/>
    </row>
    <row r="37" spans="2:13" ht="15" customHeight="1" x14ac:dyDescent="0.3">
      <c r="B37" s="34" t="str">
        <f>IF(B36="","", IF(VALUE(LEFT(H36,FIND("/",H36)-1)) &lt; VALUE(RIGHT(H36,LEN(H36)-FIND("/",H36))), B36, IFERROR(INDEX('SAÍDA DE VENDAS'!$B$6:$B$500, MATCH(B36,'SAÍDA DE VENDAS'!$B$6:$B$500,0)+COUNTIF('SAÍDA DE VENDAS'!$B$6:$B$500, B36)),"")))</f>
        <v/>
      </c>
      <c r="C37" s="35">
        <f>IFERROR(VLOOKUP(B37,'SAÍDA DE VENDAS'!$B$6:$P$500,3,FALSE),"")</f>
        <v>0</v>
      </c>
      <c r="D37" s="34">
        <f>IFERROR(VLOOKUP(B37,'SAÍDA DE VENDAS'!$B$6:$P$500,4,FALSE),"")</f>
        <v>0</v>
      </c>
      <c r="E37" s="34" t="str">
        <f>IFERROR(VLOOKUP(B37,'SAÍDA DE VENDAS'!$B$6:$P$500,5,FALSE),"")</f>
        <v/>
      </c>
      <c r="F37" s="34" t="str">
        <f>IF(OR(ISBLANK(B37),B37=""), "", IFERROR(INDEX('SAÍDA DE VENDAS'!$H$6:$H$500 &amp; "x " &amp; 'SAÍDA DE VENDAS'!$G$6:$G$500, MATCH(B37, 'SAÍDA DE VENDAS'!$B$6:$B$500, 0)), "")&amp; IF(COUNTIF('SAÍDA DE VENDAS'!$B$6:$B$500, B37)&gt;1, " + " &amp; IFERROR(INDEX('SAÍDA DE VENDAS'!$H$6:$H$500 &amp; "x " &amp; 'SAÍDA DE VENDAS'!$G$6:$G$500, MATCH(B37, 'SAÍDA DE VENDAS'!$B$6:$B$500, 0)+1), ""), "")&amp; IF(COUNTIF('SAÍDA DE VENDAS'!$B$6:$B$500, B37)&gt;2, " + " &amp; IFERROR(INDEX('SAÍDA DE VENDAS'!$H$6:$H$500 &amp; "x " &amp; 'SAÍDA DE VENDAS'!$G$6:$G$500, MATCH(B37, 'SAÍDA DE VENDAS'!$B$6:$B$500, 0)+2), ""), "")&amp; IF(COUNTIF('SAÍDA DE VENDAS'!$B$6:$B$500, B37)&gt;3, " + " &amp; IFERROR(INDEX('SAÍDA DE VENDAS'!$H$6:$H$500 &amp; "x " &amp; 'SAÍDA DE VENDAS'!$G$6:$G$500, MATCH(B37, 'SAÍDA DE VENDAS'!$B$6:$B$500, 0)+3), ""), "")&amp; IF(COUNTIF('SAÍDA DE VENDAS'!$B$6:$B$500, B37)&gt;4, " + " &amp; IFERROR(INDEX('SAÍDA DE VENDAS'!$H$6:$H$500 &amp; "x " &amp; 'SAÍDA DE VENDAS'!$G$6:$G$500, MATCH(B37, 'SAÍDA DE VENDAS'!$B$6:$B$500, 0)+4), ""), "")&amp; IF(COUNTIF('SAÍDA DE VENDAS'!$B$6:$B$500, B37)&gt;5, " + " &amp; IFERROR(INDEX('SAÍDA DE VENDAS'!$H$6:$H$500 &amp; "x " &amp; 'SAÍDA DE VENDAS'!$G$6:$G$500, MATCH(B37, 'SAÍDA DE VENDAS'!$B$6:$B$500, 0)+5), ""), ""))</f>
        <v/>
      </c>
      <c r="G37" s="34">
        <f>IFERROR(VLOOKUP(B37,'SAÍDA DE VENDAS'!$B$6:$P$500,10,FALSE),"")</f>
        <v>0</v>
      </c>
      <c r="H37" s="34" t="str">
        <f>IF(OR(ISBLANK(B37),B37=""), "", IF(B37=B36, (VALUE(LEFT(H36,FIND("/",H36)-1))+1)&amp;"/"&amp;RIGHT(H36,LEN(H36)-FIND("/",H36)), "1/"&amp;IFERROR(VLOOKUP(B37,'SAÍDA DE VENDAS'!$B$6:$P$500,13,FALSE),"1")))</f>
        <v/>
      </c>
      <c r="I37" s="35" t="str">
        <f t="shared" si="0"/>
        <v/>
      </c>
      <c r="J37" s="39" t="str">
        <f>IFERROR(VLOOKUP(B37,'SAÍDA DE VENDAS'!$B$6:$P$500,15,FALSE),"")</f>
        <v/>
      </c>
      <c r="K37" s="34" t="str">
        <f t="shared" ca="1" si="1"/>
        <v/>
      </c>
      <c r="L37" s="34"/>
      <c r="M37" s="34"/>
    </row>
    <row r="38" spans="2:13" ht="15" customHeight="1" x14ac:dyDescent="0.3">
      <c r="B38" s="28" t="str">
        <f>IF(B37="","", IF(VALUE(LEFT(H37,FIND("/",H37)-1)) &lt; VALUE(RIGHT(H37,LEN(H37)-FIND("/",H37))), B37, IFERROR(INDEX('SAÍDA DE VENDAS'!$B$6:$B$500, MATCH(B37,'SAÍDA DE VENDAS'!$B$6:$B$500,0)+COUNTIF('SAÍDA DE VENDAS'!$B$6:$B$500, B37)),"")))</f>
        <v/>
      </c>
      <c r="C38" s="29">
        <f>IFERROR(VLOOKUP(B38,'SAÍDA DE VENDAS'!$B$6:$P$500,3,FALSE),"")</f>
        <v>0</v>
      </c>
      <c r="D38" s="28">
        <f>IFERROR(VLOOKUP(B38,'SAÍDA DE VENDAS'!$B$6:$P$500,4,FALSE),"")</f>
        <v>0</v>
      </c>
      <c r="E38" s="28" t="str">
        <f>IFERROR(VLOOKUP(B38,'SAÍDA DE VENDAS'!$B$6:$P$500,5,FALSE),"")</f>
        <v/>
      </c>
      <c r="F38" s="28" t="str">
        <f>IF(OR(ISBLANK(B38),B38=""), "", IFERROR(INDEX('SAÍDA DE VENDAS'!$H$6:$H$500 &amp; "x " &amp; 'SAÍDA DE VENDAS'!$G$6:$G$500, MATCH(B38, 'SAÍDA DE VENDAS'!$B$6:$B$500, 0)), "")&amp; IF(COUNTIF('SAÍDA DE VENDAS'!$B$6:$B$500, B38)&gt;1, " + " &amp; IFERROR(INDEX('SAÍDA DE VENDAS'!$H$6:$H$500 &amp; "x " &amp; 'SAÍDA DE VENDAS'!$G$6:$G$500, MATCH(B38, 'SAÍDA DE VENDAS'!$B$6:$B$500, 0)+1), ""), "")&amp; IF(COUNTIF('SAÍDA DE VENDAS'!$B$6:$B$500, B38)&gt;2, " + " &amp; IFERROR(INDEX('SAÍDA DE VENDAS'!$H$6:$H$500 &amp; "x " &amp; 'SAÍDA DE VENDAS'!$G$6:$G$500, MATCH(B38, 'SAÍDA DE VENDAS'!$B$6:$B$500, 0)+2), ""), "")&amp; IF(COUNTIF('SAÍDA DE VENDAS'!$B$6:$B$500, B38)&gt;3, " + " &amp; IFERROR(INDEX('SAÍDA DE VENDAS'!$H$6:$H$500 &amp; "x " &amp; 'SAÍDA DE VENDAS'!$G$6:$G$500, MATCH(B38, 'SAÍDA DE VENDAS'!$B$6:$B$500, 0)+3), ""), "")&amp; IF(COUNTIF('SAÍDA DE VENDAS'!$B$6:$B$500, B38)&gt;4, " + " &amp; IFERROR(INDEX('SAÍDA DE VENDAS'!$H$6:$H$500 &amp; "x " &amp; 'SAÍDA DE VENDAS'!$G$6:$G$500, MATCH(B38, 'SAÍDA DE VENDAS'!$B$6:$B$500, 0)+4), ""), "")&amp; IF(COUNTIF('SAÍDA DE VENDAS'!$B$6:$B$500, B38)&gt;5, " + " &amp; IFERROR(INDEX('SAÍDA DE VENDAS'!$H$6:$H$500 &amp; "x " &amp; 'SAÍDA DE VENDAS'!$G$6:$G$500, MATCH(B38, 'SAÍDA DE VENDAS'!$B$6:$B$500, 0)+5), ""), ""))</f>
        <v/>
      </c>
      <c r="G38" s="28">
        <f>IFERROR(VLOOKUP(B38,'SAÍDA DE VENDAS'!$B$6:$P$500,10,FALSE),"")</f>
        <v>0</v>
      </c>
      <c r="H38" s="28" t="str">
        <f>IF(OR(ISBLANK(B38),B38=""), "", IF(B38=B37, (VALUE(LEFT(H37,FIND("/",H37)-1))+1)&amp;"/"&amp;RIGHT(H37,LEN(H37)-FIND("/",H37)), "1/"&amp;IFERROR(VLOOKUP(B38,'SAÍDA DE VENDAS'!$B$6:$P$500,13,FALSE),"1")))</f>
        <v/>
      </c>
      <c r="I38" s="69" t="str">
        <f t="shared" si="0"/>
        <v/>
      </c>
      <c r="J38" s="33" t="str">
        <f>IFERROR(VLOOKUP(B38,'SAÍDA DE VENDAS'!$B$6:$P$500,15,FALSE),"")</f>
        <v/>
      </c>
      <c r="K38" s="28" t="str">
        <f t="shared" ca="1" si="1"/>
        <v/>
      </c>
      <c r="L38" s="28"/>
      <c r="M38" s="28"/>
    </row>
    <row r="39" spans="2:13" ht="15" customHeight="1" x14ac:dyDescent="0.3">
      <c r="B39" s="34" t="str">
        <f>IF(B38="","", IF(VALUE(LEFT(H38,FIND("/",H38)-1)) &lt; VALUE(RIGHT(H38,LEN(H38)-FIND("/",H38))), B38, IFERROR(INDEX('SAÍDA DE VENDAS'!$B$6:$B$500, MATCH(B38,'SAÍDA DE VENDAS'!$B$6:$B$500,0)+COUNTIF('SAÍDA DE VENDAS'!$B$6:$B$500, B38)),"")))</f>
        <v/>
      </c>
      <c r="C39" s="35">
        <f>IFERROR(VLOOKUP(B39,'SAÍDA DE VENDAS'!$B$6:$P$500,3,FALSE),"")</f>
        <v>0</v>
      </c>
      <c r="D39" s="34">
        <f>IFERROR(VLOOKUP(B39,'SAÍDA DE VENDAS'!$B$6:$P$500,4,FALSE),"")</f>
        <v>0</v>
      </c>
      <c r="E39" s="34" t="str">
        <f>IFERROR(VLOOKUP(B39,'SAÍDA DE VENDAS'!$B$6:$P$500,5,FALSE),"")</f>
        <v/>
      </c>
      <c r="F39" s="34" t="str">
        <f>IF(OR(ISBLANK(B39),B39=""), "", IFERROR(INDEX('SAÍDA DE VENDAS'!$H$6:$H$500 &amp; "x " &amp; 'SAÍDA DE VENDAS'!$G$6:$G$500, MATCH(B39, 'SAÍDA DE VENDAS'!$B$6:$B$500, 0)), "")&amp; IF(COUNTIF('SAÍDA DE VENDAS'!$B$6:$B$500, B39)&gt;1, " + " &amp; IFERROR(INDEX('SAÍDA DE VENDAS'!$H$6:$H$500 &amp; "x " &amp; 'SAÍDA DE VENDAS'!$G$6:$G$500, MATCH(B39, 'SAÍDA DE VENDAS'!$B$6:$B$500, 0)+1), ""), "")&amp; IF(COUNTIF('SAÍDA DE VENDAS'!$B$6:$B$500, B39)&gt;2, " + " &amp; IFERROR(INDEX('SAÍDA DE VENDAS'!$H$6:$H$500 &amp; "x " &amp; 'SAÍDA DE VENDAS'!$G$6:$G$500, MATCH(B39, 'SAÍDA DE VENDAS'!$B$6:$B$500, 0)+2), ""), "")&amp; IF(COUNTIF('SAÍDA DE VENDAS'!$B$6:$B$500, B39)&gt;3, " + " &amp; IFERROR(INDEX('SAÍDA DE VENDAS'!$H$6:$H$500 &amp; "x " &amp; 'SAÍDA DE VENDAS'!$G$6:$G$500, MATCH(B39, 'SAÍDA DE VENDAS'!$B$6:$B$500, 0)+3), ""), "")&amp; IF(COUNTIF('SAÍDA DE VENDAS'!$B$6:$B$500, B39)&gt;4, " + " &amp; IFERROR(INDEX('SAÍDA DE VENDAS'!$H$6:$H$500 &amp; "x " &amp; 'SAÍDA DE VENDAS'!$G$6:$G$500, MATCH(B39, 'SAÍDA DE VENDAS'!$B$6:$B$500, 0)+4), ""), "")&amp; IF(COUNTIF('SAÍDA DE VENDAS'!$B$6:$B$500, B39)&gt;5, " + " &amp; IFERROR(INDEX('SAÍDA DE VENDAS'!$H$6:$H$500 &amp; "x " &amp; 'SAÍDA DE VENDAS'!$G$6:$G$500, MATCH(B39, 'SAÍDA DE VENDAS'!$B$6:$B$500, 0)+5), ""), ""))</f>
        <v/>
      </c>
      <c r="G39" s="34">
        <f>IFERROR(VLOOKUP(B39,'SAÍDA DE VENDAS'!$B$6:$P$500,10,FALSE),"")</f>
        <v>0</v>
      </c>
      <c r="H39" s="34" t="str">
        <f>IF(OR(ISBLANK(B39),B39=""), "", IF(B39=B38, (VALUE(LEFT(H38,FIND("/",H38)-1))+1)&amp;"/"&amp;RIGHT(H38,LEN(H38)-FIND("/",H38)), "1/"&amp;IFERROR(VLOOKUP(B39,'SAÍDA DE VENDAS'!$B$6:$P$500,13,FALSE),"1")))</f>
        <v/>
      </c>
      <c r="I39" s="35" t="str">
        <f t="shared" si="0"/>
        <v/>
      </c>
      <c r="J39" s="39" t="str">
        <f>IFERROR(VLOOKUP(B39,'SAÍDA DE VENDAS'!$B$6:$P$500,15,FALSE),"")</f>
        <v/>
      </c>
      <c r="K39" s="34" t="str">
        <f t="shared" ca="1" si="1"/>
        <v/>
      </c>
      <c r="L39" s="34"/>
      <c r="M39" s="34"/>
    </row>
    <row r="40" spans="2:13" ht="15" customHeight="1" x14ac:dyDescent="0.3">
      <c r="B40" s="28" t="str">
        <f>IF(B39="","", IF(VALUE(LEFT(H39,FIND("/",H39)-1)) &lt; VALUE(RIGHT(H39,LEN(H39)-FIND("/",H39))), B39, IFERROR(INDEX('SAÍDA DE VENDAS'!$B$6:$B$500, MATCH(B39,'SAÍDA DE VENDAS'!$B$6:$B$500,0)+COUNTIF('SAÍDA DE VENDAS'!$B$6:$B$500, B39)),"")))</f>
        <v/>
      </c>
      <c r="C40" s="29">
        <f>IFERROR(VLOOKUP(B40,'SAÍDA DE VENDAS'!$B$6:$P$500,3,FALSE),"")</f>
        <v>0</v>
      </c>
      <c r="D40" s="28">
        <f>IFERROR(VLOOKUP(B40,'SAÍDA DE VENDAS'!$B$6:$P$500,4,FALSE),"")</f>
        <v>0</v>
      </c>
      <c r="E40" s="28" t="str">
        <f>IFERROR(VLOOKUP(B40,'SAÍDA DE VENDAS'!$B$6:$P$500,5,FALSE),"")</f>
        <v/>
      </c>
      <c r="F40" s="28" t="str">
        <f>IF(OR(ISBLANK(B40),B40=""), "", IFERROR(INDEX('SAÍDA DE VENDAS'!$H$6:$H$500 &amp; "x " &amp; 'SAÍDA DE VENDAS'!$G$6:$G$500, MATCH(B40, 'SAÍDA DE VENDAS'!$B$6:$B$500, 0)), "")&amp; IF(COUNTIF('SAÍDA DE VENDAS'!$B$6:$B$500, B40)&gt;1, " + " &amp; IFERROR(INDEX('SAÍDA DE VENDAS'!$H$6:$H$500 &amp; "x " &amp; 'SAÍDA DE VENDAS'!$G$6:$G$500, MATCH(B40, 'SAÍDA DE VENDAS'!$B$6:$B$500, 0)+1), ""), "")&amp; IF(COUNTIF('SAÍDA DE VENDAS'!$B$6:$B$500, B40)&gt;2, " + " &amp; IFERROR(INDEX('SAÍDA DE VENDAS'!$H$6:$H$500 &amp; "x " &amp; 'SAÍDA DE VENDAS'!$G$6:$G$500, MATCH(B40, 'SAÍDA DE VENDAS'!$B$6:$B$500, 0)+2), ""), "")&amp; IF(COUNTIF('SAÍDA DE VENDAS'!$B$6:$B$500, B40)&gt;3, " + " &amp; IFERROR(INDEX('SAÍDA DE VENDAS'!$H$6:$H$500 &amp; "x " &amp; 'SAÍDA DE VENDAS'!$G$6:$G$500, MATCH(B40, 'SAÍDA DE VENDAS'!$B$6:$B$500, 0)+3), ""), "")&amp; IF(COUNTIF('SAÍDA DE VENDAS'!$B$6:$B$500, B40)&gt;4, " + " &amp; IFERROR(INDEX('SAÍDA DE VENDAS'!$H$6:$H$500 &amp; "x " &amp; 'SAÍDA DE VENDAS'!$G$6:$G$500, MATCH(B40, 'SAÍDA DE VENDAS'!$B$6:$B$500, 0)+4), ""), "")&amp; IF(COUNTIF('SAÍDA DE VENDAS'!$B$6:$B$500, B40)&gt;5, " + " &amp; IFERROR(INDEX('SAÍDA DE VENDAS'!$H$6:$H$500 &amp; "x " &amp; 'SAÍDA DE VENDAS'!$G$6:$G$500, MATCH(B40, 'SAÍDA DE VENDAS'!$B$6:$B$500, 0)+5), ""), ""))</f>
        <v/>
      </c>
      <c r="G40" s="28">
        <f>IFERROR(VLOOKUP(B40,'SAÍDA DE VENDAS'!$B$6:$P$500,10,FALSE),"")</f>
        <v>0</v>
      </c>
      <c r="H40" s="28" t="str">
        <f>IF(OR(ISBLANK(B40),B40=""), "", IF(B40=B39, (VALUE(LEFT(H39,FIND("/",H39)-1))+1)&amp;"/"&amp;RIGHT(H39,LEN(H39)-FIND("/",H39)), "1/"&amp;IFERROR(VLOOKUP(B40,'SAÍDA DE VENDAS'!$B$6:$P$500,13,FALSE),"1")))</f>
        <v/>
      </c>
      <c r="I40" s="69" t="str">
        <f t="shared" si="0"/>
        <v/>
      </c>
      <c r="J40" s="33" t="str">
        <f>IFERROR(VLOOKUP(B40,'SAÍDA DE VENDAS'!$B$6:$P$500,15,FALSE),"")</f>
        <v/>
      </c>
      <c r="K40" s="28" t="str">
        <f t="shared" ca="1" si="1"/>
        <v/>
      </c>
      <c r="L40" s="28"/>
      <c r="M40" s="28"/>
    </row>
    <row r="41" spans="2:13" ht="15" customHeight="1" x14ac:dyDescent="0.3">
      <c r="B41" s="34" t="str">
        <f>IF(B40="","", IF(VALUE(LEFT(H40,FIND("/",H40)-1)) &lt; VALUE(RIGHT(H40,LEN(H40)-FIND("/",H40))), B40, IFERROR(INDEX('SAÍDA DE VENDAS'!$B$6:$B$500, MATCH(B40,'SAÍDA DE VENDAS'!$B$6:$B$500,0)+COUNTIF('SAÍDA DE VENDAS'!$B$6:$B$500, B40)),"")))</f>
        <v/>
      </c>
      <c r="C41" s="35">
        <f>IFERROR(VLOOKUP(B41,'SAÍDA DE VENDAS'!$B$6:$P$500,3,FALSE),"")</f>
        <v>0</v>
      </c>
      <c r="D41" s="34">
        <f>IFERROR(VLOOKUP(B41,'SAÍDA DE VENDAS'!$B$6:$P$500,4,FALSE),"")</f>
        <v>0</v>
      </c>
      <c r="E41" s="34" t="str">
        <f>IFERROR(VLOOKUP(B41,'SAÍDA DE VENDAS'!$B$6:$P$500,5,FALSE),"")</f>
        <v/>
      </c>
      <c r="F41" s="34" t="str">
        <f>IF(OR(ISBLANK(B41),B41=""), "", IFERROR(INDEX('SAÍDA DE VENDAS'!$H$6:$H$500 &amp; "x " &amp; 'SAÍDA DE VENDAS'!$G$6:$G$500, MATCH(B41, 'SAÍDA DE VENDAS'!$B$6:$B$500, 0)), "")&amp; IF(COUNTIF('SAÍDA DE VENDAS'!$B$6:$B$500, B41)&gt;1, " + " &amp; IFERROR(INDEX('SAÍDA DE VENDAS'!$H$6:$H$500 &amp; "x " &amp; 'SAÍDA DE VENDAS'!$G$6:$G$500, MATCH(B41, 'SAÍDA DE VENDAS'!$B$6:$B$500, 0)+1), ""), "")&amp; IF(COUNTIF('SAÍDA DE VENDAS'!$B$6:$B$500, B41)&gt;2, " + " &amp; IFERROR(INDEX('SAÍDA DE VENDAS'!$H$6:$H$500 &amp; "x " &amp; 'SAÍDA DE VENDAS'!$G$6:$G$500, MATCH(B41, 'SAÍDA DE VENDAS'!$B$6:$B$500, 0)+2), ""), "")&amp; IF(COUNTIF('SAÍDA DE VENDAS'!$B$6:$B$500, B41)&gt;3, " + " &amp; IFERROR(INDEX('SAÍDA DE VENDAS'!$H$6:$H$500 &amp; "x " &amp; 'SAÍDA DE VENDAS'!$G$6:$G$500, MATCH(B41, 'SAÍDA DE VENDAS'!$B$6:$B$500, 0)+3), ""), "")&amp; IF(COUNTIF('SAÍDA DE VENDAS'!$B$6:$B$500, B41)&gt;4, " + " &amp; IFERROR(INDEX('SAÍDA DE VENDAS'!$H$6:$H$500 &amp; "x " &amp; 'SAÍDA DE VENDAS'!$G$6:$G$500, MATCH(B41, 'SAÍDA DE VENDAS'!$B$6:$B$500, 0)+4), ""), "")&amp; IF(COUNTIF('SAÍDA DE VENDAS'!$B$6:$B$500, B41)&gt;5, " + " &amp; IFERROR(INDEX('SAÍDA DE VENDAS'!$H$6:$H$500 &amp; "x " &amp; 'SAÍDA DE VENDAS'!$G$6:$G$500, MATCH(B41, 'SAÍDA DE VENDAS'!$B$6:$B$500, 0)+5), ""), ""))</f>
        <v/>
      </c>
      <c r="G41" s="34">
        <f>IFERROR(VLOOKUP(B41,'SAÍDA DE VENDAS'!$B$6:$P$500,10,FALSE),"")</f>
        <v>0</v>
      </c>
      <c r="H41" s="34" t="str">
        <f>IF(OR(ISBLANK(B41),B41=""), "", IF(B41=B40, (VALUE(LEFT(H40,FIND("/",H40)-1))+1)&amp;"/"&amp;RIGHT(H40,LEN(H40)-FIND("/",H40)), "1/"&amp;IFERROR(VLOOKUP(B41,'SAÍDA DE VENDAS'!$B$6:$P$500,13,FALSE),"1")))</f>
        <v/>
      </c>
      <c r="I41" s="35" t="str">
        <f t="shared" si="0"/>
        <v/>
      </c>
      <c r="J41" s="39" t="str">
        <f>IFERROR(VLOOKUP(B41,'SAÍDA DE VENDAS'!$B$6:$P$500,15,FALSE),"")</f>
        <v/>
      </c>
      <c r="K41" s="34" t="str">
        <f t="shared" ca="1" si="1"/>
        <v/>
      </c>
      <c r="L41" s="34"/>
      <c r="M41" s="34"/>
    </row>
    <row r="42" spans="2:13" ht="15" customHeight="1" x14ac:dyDescent="0.3">
      <c r="B42" s="28" t="str">
        <f>IF(B41="","", IF(VALUE(LEFT(H41,FIND("/",H41)-1)) &lt; VALUE(RIGHT(H41,LEN(H41)-FIND("/",H41))), B41, IFERROR(INDEX('SAÍDA DE VENDAS'!$B$6:$B$500, MATCH(B41,'SAÍDA DE VENDAS'!$B$6:$B$500,0)+COUNTIF('SAÍDA DE VENDAS'!$B$6:$B$500, B41)),"")))</f>
        <v/>
      </c>
      <c r="C42" s="29">
        <f>IFERROR(VLOOKUP(B42,'SAÍDA DE VENDAS'!$B$6:$P$500,3,FALSE),"")</f>
        <v>0</v>
      </c>
      <c r="D42" s="28">
        <f>IFERROR(VLOOKUP(B42,'SAÍDA DE VENDAS'!$B$6:$P$500,4,FALSE),"")</f>
        <v>0</v>
      </c>
      <c r="E42" s="28" t="str">
        <f>IFERROR(VLOOKUP(B42,'SAÍDA DE VENDAS'!$B$6:$P$500,5,FALSE),"")</f>
        <v/>
      </c>
      <c r="F42" s="28" t="str">
        <f>IF(OR(ISBLANK(B42),B42=""), "", IFERROR(INDEX('SAÍDA DE VENDAS'!$H$6:$H$500 &amp; "x " &amp; 'SAÍDA DE VENDAS'!$G$6:$G$500, MATCH(B42, 'SAÍDA DE VENDAS'!$B$6:$B$500, 0)), "")&amp; IF(COUNTIF('SAÍDA DE VENDAS'!$B$6:$B$500, B42)&gt;1, " + " &amp; IFERROR(INDEX('SAÍDA DE VENDAS'!$H$6:$H$500 &amp; "x " &amp; 'SAÍDA DE VENDAS'!$G$6:$G$500, MATCH(B42, 'SAÍDA DE VENDAS'!$B$6:$B$500, 0)+1), ""), "")&amp; IF(COUNTIF('SAÍDA DE VENDAS'!$B$6:$B$500, B42)&gt;2, " + " &amp; IFERROR(INDEX('SAÍDA DE VENDAS'!$H$6:$H$500 &amp; "x " &amp; 'SAÍDA DE VENDAS'!$G$6:$G$500, MATCH(B42, 'SAÍDA DE VENDAS'!$B$6:$B$500, 0)+2), ""), "")&amp; IF(COUNTIF('SAÍDA DE VENDAS'!$B$6:$B$500, B42)&gt;3, " + " &amp; IFERROR(INDEX('SAÍDA DE VENDAS'!$H$6:$H$500 &amp; "x " &amp; 'SAÍDA DE VENDAS'!$G$6:$G$500, MATCH(B42, 'SAÍDA DE VENDAS'!$B$6:$B$500, 0)+3), ""), "")&amp; IF(COUNTIF('SAÍDA DE VENDAS'!$B$6:$B$500, B42)&gt;4, " + " &amp; IFERROR(INDEX('SAÍDA DE VENDAS'!$H$6:$H$500 &amp; "x " &amp; 'SAÍDA DE VENDAS'!$G$6:$G$500, MATCH(B42, 'SAÍDA DE VENDAS'!$B$6:$B$500, 0)+4), ""), "")&amp; IF(COUNTIF('SAÍDA DE VENDAS'!$B$6:$B$500, B42)&gt;5, " + " &amp; IFERROR(INDEX('SAÍDA DE VENDAS'!$H$6:$H$500 &amp; "x " &amp; 'SAÍDA DE VENDAS'!$G$6:$G$500, MATCH(B42, 'SAÍDA DE VENDAS'!$B$6:$B$500, 0)+5), ""), ""))</f>
        <v/>
      </c>
      <c r="G42" s="28">
        <f>IFERROR(VLOOKUP(B42,'SAÍDA DE VENDAS'!$B$6:$P$500,10,FALSE),"")</f>
        <v>0</v>
      </c>
      <c r="H42" s="28" t="str">
        <f>IF(OR(ISBLANK(B42),B42=""), "", IF(B42=B41, (VALUE(LEFT(H41,FIND("/",H41)-1))+1)&amp;"/"&amp;RIGHT(H41,LEN(H41)-FIND("/",H41)), "1/"&amp;IFERROR(VLOOKUP(B42,'SAÍDA DE VENDAS'!$B$6:$P$500,13,FALSE),"1")))</f>
        <v/>
      </c>
      <c r="I42" s="69" t="str">
        <f t="shared" si="0"/>
        <v/>
      </c>
      <c r="J42" s="33" t="str">
        <f>IFERROR(VLOOKUP(B42,'SAÍDA DE VENDAS'!$B$6:$P$500,15,FALSE),"")</f>
        <v/>
      </c>
      <c r="K42" s="28" t="str">
        <f t="shared" ca="1" si="1"/>
        <v/>
      </c>
      <c r="L42" s="28"/>
      <c r="M42" s="28"/>
    </row>
    <row r="43" spans="2:13" ht="15" customHeight="1" x14ac:dyDescent="0.3">
      <c r="B43" s="34" t="str">
        <f>IF(B42="","", IF(VALUE(LEFT(H42,FIND("/",H42)-1)) &lt; VALUE(RIGHT(H42,LEN(H42)-FIND("/",H42))), B42, IFERROR(INDEX('SAÍDA DE VENDAS'!$B$6:$B$500, MATCH(B42,'SAÍDA DE VENDAS'!$B$6:$B$500,0)+COUNTIF('SAÍDA DE VENDAS'!$B$6:$B$500, B42)),"")))</f>
        <v/>
      </c>
      <c r="C43" s="35">
        <f>IFERROR(VLOOKUP(B43,'SAÍDA DE VENDAS'!$B$6:$P$500,3,FALSE),"")</f>
        <v>0</v>
      </c>
      <c r="D43" s="34">
        <f>IFERROR(VLOOKUP(B43,'SAÍDA DE VENDAS'!$B$6:$P$500,4,FALSE),"")</f>
        <v>0</v>
      </c>
      <c r="E43" s="34" t="str">
        <f>IFERROR(VLOOKUP(B43,'SAÍDA DE VENDAS'!$B$6:$P$500,5,FALSE),"")</f>
        <v/>
      </c>
      <c r="F43" s="34" t="str">
        <f>IF(OR(ISBLANK(B43),B43=""), "", IFERROR(INDEX('SAÍDA DE VENDAS'!$H$6:$H$500 &amp; "x " &amp; 'SAÍDA DE VENDAS'!$G$6:$G$500, MATCH(B43, 'SAÍDA DE VENDAS'!$B$6:$B$500, 0)), "")&amp; IF(COUNTIF('SAÍDA DE VENDAS'!$B$6:$B$500, B43)&gt;1, " + " &amp; IFERROR(INDEX('SAÍDA DE VENDAS'!$H$6:$H$500 &amp; "x " &amp; 'SAÍDA DE VENDAS'!$G$6:$G$500, MATCH(B43, 'SAÍDA DE VENDAS'!$B$6:$B$500, 0)+1), ""), "")&amp; IF(COUNTIF('SAÍDA DE VENDAS'!$B$6:$B$500, B43)&gt;2, " + " &amp; IFERROR(INDEX('SAÍDA DE VENDAS'!$H$6:$H$500 &amp; "x " &amp; 'SAÍDA DE VENDAS'!$G$6:$G$500, MATCH(B43, 'SAÍDA DE VENDAS'!$B$6:$B$500, 0)+2), ""), "")&amp; IF(COUNTIF('SAÍDA DE VENDAS'!$B$6:$B$500, B43)&gt;3, " + " &amp; IFERROR(INDEX('SAÍDA DE VENDAS'!$H$6:$H$500 &amp; "x " &amp; 'SAÍDA DE VENDAS'!$G$6:$G$500, MATCH(B43, 'SAÍDA DE VENDAS'!$B$6:$B$500, 0)+3), ""), "")&amp; IF(COUNTIF('SAÍDA DE VENDAS'!$B$6:$B$500, B43)&gt;4, " + " &amp; IFERROR(INDEX('SAÍDA DE VENDAS'!$H$6:$H$500 &amp; "x " &amp; 'SAÍDA DE VENDAS'!$G$6:$G$500, MATCH(B43, 'SAÍDA DE VENDAS'!$B$6:$B$500, 0)+4), ""), "")&amp; IF(COUNTIF('SAÍDA DE VENDAS'!$B$6:$B$500, B43)&gt;5, " + " &amp; IFERROR(INDEX('SAÍDA DE VENDAS'!$H$6:$H$500 &amp; "x " &amp; 'SAÍDA DE VENDAS'!$G$6:$G$500, MATCH(B43, 'SAÍDA DE VENDAS'!$B$6:$B$500, 0)+5), ""), ""))</f>
        <v/>
      </c>
      <c r="G43" s="34">
        <f>IFERROR(VLOOKUP(B43,'SAÍDA DE VENDAS'!$B$6:$P$500,10,FALSE),"")</f>
        <v>0</v>
      </c>
      <c r="H43" s="34" t="str">
        <f>IF(OR(ISBLANK(B43),B43=""), "", IF(B43=B42, (VALUE(LEFT(H42,FIND("/",H42)-1))+1)&amp;"/"&amp;RIGHT(H42,LEN(H42)-FIND("/",H42)), "1/"&amp;IFERROR(VLOOKUP(B43,'SAÍDA DE VENDAS'!$B$6:$P$500,13,FALSE),"1")))</f>
        <v/>
      </c>
      <c r="I43" s="35" t="str">
        <f t="shared" si="0"/>
        <v/>
      </c>
      <c r="J43" s="39" t="str">
        <f>IFERROR(VLOOKUP(B43,'SAÍDA DE VENDAS'!$B$6:$P$500,15,FALSE),"")</f>
        <v/>
      </c>
      <c r="K43" s="34" t="str">
        <f t="shared" ca="1" si="1"/>
        <v/>
      </c>
      <c r="L43" s="34"/>
      <c r="M43" s="34"/>
    </row>
    <row r="44" spans="2:13" ht="15" customHeight="1" x14ac:dyDescent="0.3">
      <c r="B44" s="28" t="str">
        <f>IF(B43="","", IF(VALUE(LEFT(H43,FIND("/",H43)-1)) &lt; VALUE(RIGHT(H43,LEN(H43)-FIND("/",H43))), B43, IFERROR(INDEX('SAÍDA DE VENDAS'!$B$6:$B$500, MATCH(B43,'SAÍDA DE VENDAS'!$B$6:$B$500,0)+COUNTIF('SAÍDA DE VENDAS'!$B$6:$B$500, B43)),"")))</f>
        <v/>
      </c>
      <c r="C44" s="29">
        <f>IFERROR(VLOOKUP(B44,'SAÍDA DE VENDAS'!$B$6:$P$500,3,FALSE),"")</f>
        <v>0</v>
      </c>
      <c r="D44" s="28">
        <f>IFERROR(VLOOKUP(B44,'SAÍDA DE VENDAS'!$B$6:$P$500,4,FALSE),"")</f>
        <v>0</v>
      </c>
      <c r="E44" s="28" t="str">
        <f>IFERROR(VLOOKUP(B44,'SAÍDA DE VENDAS'!$B$6:$P$500,5,FALSE),"")</f>
        <v/>
      </c>
      <c r="F44" s="28" t="str">
        <f>IF(OR(ISBLANK(B44),B44=""), "", IFERROR(INDEX('SAÍDA DE VENDAS'!$H$6:$H$500 &amp; "x " &amp; 'SAÍDA DE VENDAS'!$G$6:$G$500, MATCH(B44, 'SAÍDA DE VENDAS'!$B$6:$B$500, 0)), "")&amp; IF(COUNTIF('SAÍDA DE VENDAS'!$B$6:$B$500, B44)&gt;1, " + " &amp; IFERROR(INDEX('SAÍDA DE VENDAS'!$H$6:$H$500 &amp; "x " &amp; 'SAÍDA DE VENDAS'!$G$6:$G$500, MATCH(B44, 'SAÍDA DE VENDAS'!$B$6:$B$500, 0)+1), ""), "")&amp; IF(COUNTIF('SAÍDA DE VENDAS'!$B$6:$B$500, B44)&gt;2, " + " &amp; IFERROR(INDEX('SAÍDA DE VENDAS'!$H$6:$H$500 &amp; "x " &amp; 'SAÍDA DE VENDAS'!$G$6:$G$500, MATCH(B44, 'SAÍDA DE VENDAS'!$B$6:$B$500, 0)+2), ""), "")&amp; IF(COUNTIF('SAÍDA DE VENDAS'!$B$6:$B$500, B44)&gt;3, " + " &amp; IFERROR(INDEX('SAÍDA DE VENDAS'!$H$6:$H$500 &amp; "x " &amp; 'SAÍDA DE VENDAS'!$G$6:$G$500, MATCH(B44, 'SAÍDA DE VENDAS'!$B$6:$B$500, 0)+3), ""), "")&amp; IF(COUNTIF('SAÍDA DE VENDAS'!$B$6:$B$500, B44)&gt;4, " + " &amp; IFERROR(INDEX('SAÍDA DE VENDAS'!$H$6:$H$500 &amp; "x " &amp; 'SAÍDA DE VENDAS'!$G$6:$G$500, MATCH(B44, 'SAÍDA DE VENDAS'!$B$6:$B$500, 0)+4), ""), "")&amp; IF(COUNTIF('SAÍDA DE VENDAS'!$B$6:$B$500, B44)&gt;5, " + " &amp; IFERROR(INDEX('SAÍDA DE VENDAS'!$H$6:$H$500 &amp; "x " &amp; 'SAÍDA DE VENDAS'!$G$6:$G$500, MATCH(B44, 'SAÍDA DE VENDAS'!$B$6:$B$500, 0)+5), ""), ""))</f>
        <v/>
      </c>
      <c r="G44" s="28">
        <f>IFERROR(VLOOKUP(B44,'SAÍDA DE VENDAS'!$B$6:$P$500,10,FALSE),"")</f>
        <v>0</v>
      </c>
      <c r="H44" s="28" t="str">
        <f>IF(OR(ISBLANK(B44),B44=""), "", IF(B44=B43, (VALUE(LEFT(H43,FIND("/",H43)-1))+1)&amp;"/"&amp;RIGHT(H43,LEN(H43)-FIND("/",H43)), "1/"&amp;IFERROR(VLOOKUP(B44,'SAÍDA DE VENDAS'!$B$6:$P$500,13,FALSE),"1")))</f>
        <v/>
      </c>
      <c r="I44" s="69" t="str">
        <f t="shared" si="0"/>
        <v/>
      </c>
      <c r="J44" s="33" t="str">
        <f>IFERROR(VLOOKUP(B44,'SAÍDA DE VENDAS'!$B$6:$P$500,15,FALSE),"")</f>
        <v/>
      </c>
      <c r="K44" s="28" t="str">
        <f t="shared" ca="1" si="1"/>
        <v/>
      </c>
      <c r="L44" s="28"/>
      <c r="M44" s="28"/>
    </row>
    <row r="45" spans="2:13" ht="15" customHeight="1" x14ac:dyDescent="0.3">
      <c r="B45" s="34" t="str">
        <f>IF(B44="","", IF(VALUE(LEFT(H44,FIND("/",H44)-1)) &lt; VALUE(RIGHT(H44,LEN(H44)-FIND("/",H44))), B44, IFERROR(INDEX('SAÍDA DE VENDAS'!$B$6:$B$500, MATCH(B44,'SAÍDA DE VENDAS'!$B$6:$B$500,0)+COUNTIF('SAÍDA DE VENDAS'!$B$6:$B$500, B44)),"")))</f>
        <v/>
      </c>
      <c r="C45" s="35">
        <f>IFERROR(VLOOKUP(B45,'SAÍDA DE VENDAS'!$B$6:$P$500,3,FALSE),"")</f>
        <v>0</v>
      </c>
      <c r="D45" s="34">
        <f>IFERROR(VLOOKUP(B45,'SAÍDA DE VENDAS'!$B$6:$P$500,4,FALSE),"")</f>
        <v>0</v>
      </c>
      <c r="E45" s="34" t="str">
        <f>IFERROR(VLOOKUP(B45,'SAÍDA DE VENDAS'!$B$6:$P$500,5,FALSE),"")</f>
        <v/>
      </c>
      <c r="F45" s="34" t="str">
        <f>IF(OR(ISBLANK(B45),B45=""), "", IFERROR(INDEX('SAÍDA DE VENDAS'!$H$6:$H$500 &amp; "x " &amp; 'SAÍDA DE VENDAS'!$G$6:$G$500, MATCH(B45, 'SAÍDA DE VENDAS'!$B$6:$B$500, 0)), "")&amp; IF(COUNTIF('SAÍDA DE VENDAS'!$B$6:$B$500, B45)&gt;1, " + " &amp; IFERROR(INDEX('SAÍDA DE VENDAS'!$H$6:$H$500 &amp; "x " &amp; 'SAÍDA DE VENDAS'!$G$6:$G$500, MATCH(B45, 'SAÍDA DE VENDAS'!$B$6:$B$500, 0)+1), ""), "")&amp; IF(COUNTIF('SAÍDA DE VENDAS'!$B$6:$B$500, B45)&gt;2, " + " &amp; IFERROR(INDEX('SAÍDA DE VENDAS'!$H$6:$H$500 &amp; "x " &amp; 'SAÍDA DE VENDAS'!$G$6:$G$500, MATCH(B45, 'SAÍDA DE VENDAS'!$B$6:$B$500, 0)+2), ""), "")&amp; IF(COUNTIF('SAÍDA DE VENDAS'!$B$6:$B$500, B45)&gt;3, " + " &amp; IFERROR(INDEX('SAÍDA DE VENDAS'!$H$6:$H$500 &amp; "x " &amp; 'SAÍDA DE VENDAS'!$G$6:$G$500, MATCH(B45, 'SAÍDA DE VENDAS'!$B$6:$B$500, 0)+3), ""), "")&amp; IF(COUNTIF('SAÍDA DE VENDAS'!$B$6:$B$500, B45)&gt;4, " + " &amp; IFERROR(INDEX('SAÍDA DE VENDAS'!$H$6:$H$500 &amp; "x " &amp; 'SAÍDA DE VENDAS'!$G$6:$G$500, MATCH(B45, 'SAÍDA DE VENDAS'!$B$6:$B$500, 0)+4), ""), "")&amp; IF(COUNTIF('SAÍDA DE VENDAS'!$B$6:$B$500, B45)&gt;5, " + " &amp; IFERROR(INDEX('SAÍDA DE VENDAS'!$H$6:$H$500 &amp; "x " &amp; 'SAÍDA DE VENDAS'!$G$6:$G$500, MATCH(B45, 'SAÍDA DE VENDAS'!$B$6:$B$500, 0)+5), ""), ""))</f>
        <v/>
      </c>
      <c r="G45" s="34">
        <f>IFERROR(VLOOKUP(B45,'SAÍDA DE VENDAS'!$B$6:$P$500,10,FALSE),"")</f>
        <v>0</v>
      </c>
      <c r="H45" s="34" t="str">
        <f>IF(OR(ISBLANK(B45),B45=""), "", IF(B45=B44, (VALUE(LEFT(H44,FIND("/",H44)-1))+1)&amp;"/"&amp;RIGHT(H44,LEN(H44)-FIND("/",H44)), "1/"&amp;IFERROR(VLOOKUP(B45,'SAÍDA DE VENDAS'!$B$6:$P$500,13,FALSE),"1")))</f>
        <v/>
      </c>
      <c r="I45" s="35" t="str">
        <f t="shared" si="0"/>
        <v/>
      </c>
      <c r="J45" s="39" t="str">
        <f>IFERROR(VLOOKUP(B45,'SAÍDA DE VENDAS'!$B$6:$P$500,15,FALSE),"")</f>
        <v/>
      </c>
      <c r="K45" s="34" t="str">
        <f t="shared" ca="1" si="1"/>
        <v/>
      </c>
      <c r="L45" s="34"/>
      <c r="M45" s="34"/>
    </row>
    <row r="46" spans="2:13" ht="15" customHeight="1" x14ac:dyDescent="0.3">
      <c r="B46" s="28" t="str">
        <f>IF(B45="","", IF(VALUE(LEFT(H45,FIND("/",H45)-1)) &lt; VALUE(RIGHT(H45,LEN(H45)-FIND("/",H45))), B45, IFERROR(INDEX('SAÍDA DE VENDAS'!$B$6:$B$500, MATCH(B45,'SAÍDA DE VENDAS'!$B$6:$B$500,0)+COUNTIF('SAÍDA DE VENDAS'!$B$6:$B$500, B45)),"")))</f>
        <v/>
      </c>
      <c r="C46" s="29">
        <f>IFERROR(VLOOKUP(B46,'SAÍDA DE VENDAS'!$B$6:$P$500,3,FALSE),"")</f>
        <v>0</v>
      </c>
      <c r="D46" s="28">
        <f>IFERROR(VLOOKUP(B46,'SAÍDA DE VENDAS'!$B$6:$P$500,4,FALSE),"")</f>
        <v>0</v>
      </c>
      <c r="E46" s="28" t="str">
        <f>IFERROR(VLOOKUP(B46,'SAÍDA DE VENDAS'!$B$6:$P$500,5,FALSE),"")</f>
        <v/>
      </c>
      <c r="F46" s="28" t="str">
        <f>IF(OR(ISBLANK(B46),B46=""), "", IFERROR(INDEX('SAÍDA DE VENDAS'!$H$6:$H$500 &amp; "x " &amp; 'SAÍDA DE VENDAS'!$G$6:$G$500, MATCH(B46, 'SAÍDA DE VENDAS'!$B$6:$B$500, 0)), "")&amp; IF(COUNTIF('SAÍDA DE VENDAS'!$B$6:$B$500, B46)&gt;1, " + " &amp; IFERROR(INDEX('SAÍDA DE VENDAS'!$H$6:$H$500 &amp; "x " &amp; 'SAÍDA DE VENDAS'!$G$6:$G$500, MATCH(B46, 'SAÍDA DE VENDAS'!$B$6:$B$500, 0)+1), ""), "")&amp; IF(COUNTIF('SAÍDA DE VENDAS'!$B$6:$B$500, B46)&gt;2, " + " &amp; IFERROR(INDEX('SAÍDA DE VENDAS'!$H$6:$H$500 &amp; "x " &amp; 'SAÍDA DE VENDAS'!$G$6:$G$500, MATCH(B46, 'SAÍDA DE VENDAS'!$B$6:$B$500, 0)+2), ""), "")&amp; IF(COUNTIF('SAÍDA DE VENDAS'!$B$6:$B$500, B46)&gt;3, " + " &amp; IFERROR(INDEX('SAÍDA DE VENDAS'!$H$6:$H$500 &amp; "x " &amp; 'SAÍDA DE VENDAS'!$G$6:$G$500, MATCH(B46, 'SAÍDA DE VENDAS'!$B$6:$B$500, 0)+3), ""), "")&amp; IF(COUNTIF('SAÍDA DE VENDAS'!$B$6:$B$500, B46)&gt;4, " + " &amp; IFERROR(INDEX('SAÍDA DE VENDAS'!$H$6:$H$500 &amp; "x " &amp; 'SAÍDA DE VENDAS'!$G$6:$G$500, MATCH(B46, 'SAÍDA DE VENDAS'!$B$6:$B$500, 0)+4), ""), "")&amp; IF(COUNTIF('SAÍDA DE VENDAS'!$B$6:$B$500, B46)&gt;5, " + " &amp; IFERROR(INDEX('SAÍDA DE VENDAS'!$H$6:$H$500 &amp; "x " &amp; 'SAÍDA DE VENDAS'!$G$6:$G$500, MATCH(B46, 'SAÍDA DE VENDAS'!$B$6:$B$500, 0)+5), ""), ""))</f>
        <v/>
      </c>
      <c r="G46" s="28">
        <f>IFERROR(VLOOKUP(B46,'SAÍDA DE VENDAS'!$B$6:$P$500,10,FALSE),"")</f>
        <v>0</v>
      </c>
      <c r="H46" s="28" t="str">
        <f>IF(OR(ISBLANK(B46),B46=""), "", IF(B46=B45, (VALUE(LEFT(H45,FIND("/",H45)-1))+1)&amp;"/"&amp;RIGHT(H45,LEN(H45)-FIND("/",H45)), "1/"&amp;IFERROR(VLOOKUP(B46,'SAÍDA DE VENDAS'!$B$6:$P$500,13,FALSE),"1")))</f>
        <v/>
      </c>
      <c r="I46" s="69" t="str">
        <f t="shared" si="0"/>
        <v/>
      </c>
      <c r="J46" s="33" t="str">
        <f>IFERROR(VLOOKUP(B46,'SAÍDA DE VENDAS'!$B$6:$P$500,15,FALSE),"")</f>
        <v/>
      </c>
      <c r="K46" s="28" t="str">
        <f t="shared" ca="1" si="1"/>
        <v/>
      </c>
      <c r="L46" s="28"/>
      <c r="M46" s="28"/>
    </row>
    <row r="47" spans="2:13" ht="15" customHeight="1" x14ac:dyDescent="0.3">
      <c r="B47" s="34" t="str">
        <f>IF(B46="","", IF(VALUE(LEFT(H46,FIND("/",H46)-1)) &lt; VALUE(RIGHT(H46,LEN(H46)-FIND("/",H46))), B46, IFERROR(INDEX('SAÍDA DE VENDAS'!$B$6:$B$500, MATCH(B46,'SAÍDA DE VENDAS'!$B$6:$B$500,0)+COUNTIF('SAÍDA DE VENDAS'!$B$6:$B$500, B46)),"")))</f>
        <v/>
      </c>
      <c r="C47" s="35">
        <f>IFERROR(VLOOKUP(B47,'SAÍDA DE VENDAS'!$B$6:$P$500,3,FALSE),"")</f>
        <v>0</v>
      </c>
      <c r="D47" s="34">
        <f>IFERROR(VLOOKUP(B47,'SAÍDA DE VENDAS'!$B$6:$P$500,4,FALSE),"")</f>
        <v>0</v>
      </c>
      <c r="E47" s="34" t="str">
        <f>IFERROR(VLOOKUP(B47,'SAÍDA DE VENDAS'!$B$6:$P$500,5,FALSE),"")</f>
        <v/>
      </c>
      <c r="F47" s="34" t="str">
        <f>IF(OR(ISBLANK(B47),B47=""), "", IFERROR(INDEX('SAÍDA DE VENDAS'!$H$6:$H$500 &amp; "x " &amp; 'SAÍDA DE VENDAS'!$G$6:$G$500, MATCH(B47, 'SAÍDA DE VENDAS'!$B$6:$B$500, 0)), "")&amp; IF(COUNTIF('SAÍDA DE VENDAS'!$B$6:$B$500, B47)&gt;1, " + " &amp; IFERROR(INDEX('SAÍDA DE VENDAS'!$H$6:$H$500 &amp; "x " &amp; 'SAÍDA DE VENDAS'!$G$6:$G$500, MATCH(B47, 'SAÍDA DE VENDAS'!$B$6:$B$500, 0)+1), ""), "")&amp; IF(COUNTIF('SAÍDA DE VENDAS'!$B$6:$B$500, B47)&gt;2, " + " &amp; IFERROR(INDEX('SAÍDA DE VENDAS'!$H$6:$H$500 &amp; "x " &amp; 'SAÍDA DE VENDAS'!$G$6:$G$500, MATCH(B47, 'SAÍDA DE VENDAS'!$B$6:$B$500, 0)+2), ""), "")&amp; IF(COUNTIF('SAÍDA DE VENDAS'!$B$6:$B$500, B47)&gt;3, " + " &amp; IFERROR(INDEX('SAÍDA DE VENDAS'!$H$6:$H$500 &amp; "x " &amp; 'SAÍDA DE VENDAS'!$G$6:$G$500, MATCH(B47, 'SAÍDA DE VENDAS'!$B$6:$B$500, 0)+3), ""), "")&amp; IF(COUNTIF('SAÍDA DE VENDAS'!$B$6:$B$500, B47)&gt;4, " + " &amp; IFERROR(INDEX('SAÍDA DE VENDAS'!$H$6:$H$500 &amp; "x " &amp; 'SAÍDA DE VENDAS'!$G$6:$G$500, MATCH(B47, 'SAÍDA DE VENDAS'!$B$6:$B$500, 0)+4), ""), "")&amp; IF(COUNTIF('SAÍDA DE VENDAS'!$B$6:$B$500, B47)&gt;5, " + " &amp; IFERROR(INDEX('SAÍDA DE VENDAS'!$H$6:$H$500 &amp; "x " &amp; 'SAÍDA DE VENDAS'!$G$6:$G$500, MATCH(B47, 'SAÍDA DE VENDAS'!$B$6:$B$500, 0)+5), ""), ""))</f>
        <v/>
      </c>
      <c r="G47" s="34">
        <f>IFERROR(VLOOKUP(B47,'SAÍDA DE VENDAS'!$B$6:$P$500,10,FALSE),"")</f>
        <v>0</v>
      </c>
      <c r="H47" s="34" t="str">
        <f>IF(OR(ISBLANK(B47),B47=""), "", IF(B47=B46, (VALUE(LEFT(H46,FIND("/",H46)-1))+1)&amp;"/"&amp;RIGHT(H46,LEN(H46)-FIND("/",H46)), "1/"&amp;IFERROR(VLOOKUP(B47,'SAÍDA DE VENDAS'!$B$6:$P$500,13,FALSE),"1")))</f>
        <v/>
      </c>
      <c r="I47" s="35" t="str">
        <f t="shared" si="0"/>
        <v/>
      </c>
      <c r="J47" s="39" t="str">
        <f>IFERROR(VLOOKUP(B47,'SAÍDA DE VENDAS'!$B$6:$P$500,15,FALSE),"")</f>
        <v/>
      </c>
      <c r="K47" s="34" t="str">
        <f t="shared" ca="1" si="1"/>
        <v/>
      </c>
      <c r="L47" s="34"/>
      <c r="M47" s="34"/>
    </row>
    <row r="48" spans="2:13" ht="15" customHeight="1" x14ac:dyDescent="0.3">
      <c r="B48" s="28" t="str">
        <f>IF(B47="","", IF(VALUE(LEFT(H47,FIND("/",H47)-1)) &lt; VALUE(RIGHT(H47,LEN(H47)-FIND("/",H47))), B47, IFERROR(INDEX('SAÍDA DE VENDAS'!$B$6:$B$500, MATCH(B47,'SAÍDA DE VENDAS'!$B$6:$B$500,0)+COUNTIF('SAÍDA DE VENDAS'!$B$6:$B$500, B47)),"")))</f>
        <v/>
      </c>
      <c r="C48" s="29">
        <f>IFERROR(VLOOKUP(B48,'SAÍDA DE VENDAS'!$B$6:$P$500,3,FALSE),"")</f>
        <v>0</v>
      </c>
      <c r="D48" s="28">
        <f>IFERROR(VLOOKUP(B48,'SAÍDA DE VENDAS'!$B$6:$P$500,4,FALSE),"")</f>
        <v>0</v>
      </c>
      <c r="E48" s="28" t="str">
        <f>IFERROR(VLOOKUP(B48,'SAÍDA DE VENDAS'!$B$6:$P$500,5,FALSE),"")</f>
        <v/>
      </c>
      <c r="F48" s="28" t="str">
        <f>IF(OR(ISBLANK(B48),B48=""), "", IFERROR(INDEX('SAÍDA DE VENDAS'!$H$6:$H$500 &amp; "x " &amp; 'SAÍDA DE VENDAS'!$G$6:$G$500, MATCH(B48, 'SAÍDA DE VENDAS'!$B$6:$B$500, 0)), "")&amp; IF(COUNTIF('SAÍDA DE VENDAS'!$B$6:$B$500, B48)&gt;1, " + " &amp; IFERROR(INDEX('SAÍDA DE VENDAS'!$H$6:$H$500 &amp; "x " &amp; 'SAÍDA DE VENDAS'!$G$6:$G$500, MATCH(B48, 'SAÍDA DE VENDAS'!$B$6:$B$500, 0)+1), ""), "")&amp; IF(COUNTIF('SAÍDA DE VENDAS'!$B$6:$B$500, B48)&gt;2, " + " &amp; IFERROR(INDEX('SAÍDA DE VENDAS'!$H$6:$H$500 &amp; "x " &amp; 'SAÍDA DE VENDAS'!$G$6:$G$500, MATCH(B48, 'SAÍDA DE VENDAS'!$B$6:$B$500, 0)+2), ""), "")&amp; IF(COUNTIF('SAÍDA DE VENDAS'!$B$6:$B$500, B48)&gt;3, " + " &amp; IFERROR(INDEX('SAÍDA DE VENDAS'!$H$6:$H$500 &amp; "x " &amp; 'SAÍDA DE VENDAS'!$G$6:$G$500, MATCH(B48, 'SAÍDA DE VENDAS'!$B$6:$B$500, 0)+3), ""), "")&amp; IF(COUNTIF('SAÍDA DE VENDAS'!$B$6:$B$500, B48)&gt;4, " + " &amp; IFERROR(INDEX('SAÍDA DE VENDAS'!$H$6:$H$500 &amp; "x " &amp; 'SAÍDA DE VENDAS'!$G$6:$G$500, MATCH(B48, 'SAÍDA DE VENDAS'!$B$6:$B$500, 0)+4), ""), "")&amp; IF(COUNTIF('SAÍDA DE VENDAS'!$B$6:$B$500, B48)&gt;5, " + " &amp; IFERROR(INDEX('SAÍDA DE VENDAS'!$H$6:$H$500 &amp; "x " &amp; 'SAÍDA DE VENDAS'!$G$6:$G$500, MATCH(B48, 'SAÍDA DE VENDAS'!$B$6:$B$500, 0)+5), ""), ""))</f>
        <v/>
      </c>
      <c r="G48" s="28">
        <f>IFERROR(VLOOKUP(B48,'SAÍDA DE VENDAS'!$B$6:$P$500,10,FALSE),"")</f>
        <v>0</v>
      </c>
      <c r="H48" s="28" t="str">
        <f>IF(OR(ISBLANK(B48),B48=""), "", IF(B48=B47, (VALUE(LEFT(H47,FIND("/",H47)-1))+1)&amp;"/"&amp;RIGHT(H47,LEN(H47)-FIND("/",H47)), "1/"&amp;IFERROR(VLOOKUP(B48,'SAÍDA DE VENDAS'!$B$6:$P$500,13,FALSE),"1")))</f>
        <v/>
      </c>
      <c r="I48" s="69" t="str">
        <f t="shared" si="0"/>
        <v/>
      </c>
      <c r="J48" s="33" t="str">
        <f>IFERROR(VLOOKUP(B48,'SAÍDA DE VENDAS'!$B$6:$P$500,15,FALSE),"")</f>
        <v/>
      </c>
      <c r="K48" s="28" t="str">
        <f t="shared" ca="1" si="1"/>
        <v/>
      </c>
      <c r="L48" s="28"/>
      <c r="M48" s="28"/>
    </row>
    <row r="49" spans="2:13" ht="15" customHeight="1" x14ac:dyDescent="0.3">
      <c r="B49" s="34" t="str">
        <f>IF(B48="","", IF(VALUE(LEFT(H48,FIND("/",H48)-1)) &lt; VALUE(RIGHT(H48,LEN(H48)-FIND("/",H48))), B48, IFERROR(INDEX('SAÍDA DE VENDAS'!$B$6:$B$500, MATCH(B48,'SAÍDA DE VENDAS'!$B$6:$B$500,0)+COUNTIF('SAÍDA DE VENDAS'!$B$6:$B$500, B48)),"")))</f>
        <v/>
      </c>
      <c r="C49" s="35">
        <f>IFERROR(VLOOKUP(B49,'SAÍDA DE VENDAS'!$B$6:$P$500,3,FALSE),"")</f>
        <v>0</v>
      </c>
      <c r="D49" s="34">
        <f>IFERROR(VLOOKUP(B49,'SAÍDA DE VENDAS'!$B$6:$P$500,4,FALSE),"")</f>
        <v>0</v>
      </c>
      <c r="E49" s="34" t="str">
        <f>IFERROR(VLOOKUP(B49,'SAÍDA DE VENDAS'!$B$6:$P$500,5,FALSE),"")</f>
        <v/>
      </c>
      <c r="F49" s="34" t="str">
        <f>IF(OR(ISBLANK(B49),B49=""), "", IFERROR(INDEX('SAÍDA DE VENDAS'!$H$6:$H$500 &amp; "x " &amp; 'SAÍDA DE VENDAS'!$G$6:$G$500, MATCH(B49, 'SAÍDA DE VENDAS'!$B$6:$B$500, 0)), "")&amp; IF(COUNTIF('SAÍDA DE VENDAS'!$B$6:$B$500, B49)&gt;1, " + " &amp; IFERROR(INDEX('SAÍDA DE VENDAS'!$H$6:$H$500 &amp; "x " &amp; 'SAÍDA DE VENDAS'!$G$6:$G$500, MATCH(B49, 'SAÍDA DE VENDAS'!$B$6:$B$500, 0)+1), ""), "")&amp; IF(COUNTIF('SAÍDA DE VENDAS'!$B$6:$B$500, B49)&gt;2, " + " &amp; IFERROR(INDEX('SAÍDA DE VENDAS'!$H$6:$H$500 &amp; "x " &amp; 'SAÍDA DE VENDAS'!$G$6:$G$500, MATCH(B49, 'SAÍDA DE VENDAS'!$B$6:$B$500, 0)+2), ""), "")&amp; IF(COUNTIF('SAÍDA DE VENDAS'!$B$6:$B$500, B49)&gt;3, " + " &amp; IFERROR(INDEX('SAÍDA DE VENDAS'!$H$6:$H$500 &amp; "x " &amp; 'SAÍDA DE VENDAS'!$G$6:$G$500, MATCH(B49, 'SAÍDA DE VENDAS'!$B$6:$B$500, 0)+3), ""), "")&amp; IF(COUNTIF('SAÍDA DE VENDAS'!$B$6:$B$500, B49)&gt;4, " + " &amp; IFERROR(INDEX('SAÍDA DE VENDAS'!$H$6:$H$500 &amp; "x " &amp; 'SAÍDA DE VENDAS'!$G$6:$G$500, MATCH(B49, 'SAÍDA DE VENDAS'!$B$6:$B$500, 0)+4), ""), "")&amp; IF(COUNTIF('SAÍDA DE VENDAS'!$B$6:$B$500, B49)&gt;5, " + " &amp; IFERROR(INDEX('SAÍDA DE VENDAS'!$H$6:$H$500 &amp; "x " &amp; 'SAÍDA DE VENDAS'!$G$6:$G$500, MATCH(B49, 'SAÍDA DE VENDAS'!$B$6:$B$500, 0)+5), ""), ""))</f>
        <v/>
      </c>
      <c r="G49" s="34">
        <f>IFERROR(VLOOKUP(B49,'SAÍDA DE VENDAS'!$B$6:$P$500,10,FALSE),"")</f>
        <v>0</v>
      </c>
      <c r="H49" s="34" t="str">
        <f>IF(OR(ISBLANK(B49),B49=""), "", IF(B49=B48, (VALUE(LEFT(H48,FIND("/",H48)-1))+1)&amp;"/"&amp;RIGHT(H48,LEN(H48)-FIND("/",H48)), "1/"&amp;IFERROR(VLOOKUP(B49,'SAÍDA DE VENDAS'!$B$6:$P$500,13,FALSE),"1")))</f>
        <v/>
      </c>
      <c r="I49" s="35" t="str">
        <f t="shared" si="0"/>
        <v/>
      </c>
      <c r="J49" s="39" t="str">
        <f>IFERROR(VLOOKUP(B49,'SAÍDA DE VENDAS'!$B$6:$P$500,15,FALSE),"")</f>
        <v/>
      </c>
      <c r="K49" s="34" t="str">
        <f t="shared" ca="1" si="1"/>
        <v/>
      </c>
      <c r="L49" s="34"/>
      <c r="M49" s="34"/>
    </row>
    <row r="50" spans="2:13" ht="15" customHeight="1" x14ac:dyDescent="0.3">
      <c r="B50" s="28" t="str">
        <f>IF(B49="","", IF(VALUE(LEFT(H49,FIND("/",H49)-1)) &lt; VALUE(RIGHT(H49,LEN(H49)-FIND("/",H49))), B49, IFERROR(INDEX('SAÍDA DE VENDAS'!$B$6:$B$500, MATCH(B49,'SAÍDA DE VENDAS'!$B$6:$B$500,0)+COUNTIF('SAÍDA DE VENDAS'!$B$6:$B$500, B49)),"")))</f>
        <v/>
      </c>
      <c r="C50" s="29">
        <f>IFERROR(VLOOKUP(B50,'SAÍDA DE VENDAS'!$B$6:$P$500,3,FALSE),"")</f>
        <v>0</v>
      </c>
      <c r="D50" s="28">
        <f>IFERROR(VLOOKUP(B50,'SAÍDA DE VENDAS'!$B$6:$P$500,4,FALSE),"")</f>
        <v>0</v>
      </c>
      <c r="E50" s="28" t="str">
        <f>IFERROR(VLOOKUP(B50,'SAÍDA DE VENDAS'!$B$6:$P$500,5,FALSE),"")</f>
        <v/>
      </c>
      <c r="F50" s="28" t="str">
        <f>IF(OR(ISBLANK(B50),B50=""), "", IFERROR(INDEX('SAÍDA DE VENDAS'!$H$6:$H$500 &amp; "x " &amp; 'SAÍDA DE VENDAS'!$G$6:$G$500, MATCH(B50, 'SAÍDA DE VENDAS'!$B$6:$B$500, 0)), "")&amp; IF(COUNTIF('SAÍDA DE VENDAS'!$B$6:$B$500, B50)&gt;1, " + " &amp; IFERROR(INDEX('SAÍDA DE VENDAS'!$H$6:$H$500 &amp; "x " &amp; 'SAÍDA DE VENDAS'!$G$6:$G$500, MATCH(B50, 'SAÍDA DE VENDAS'!$B$6:$B$500, 0)+1), ""), "")&amp; IF(COUNTIF('SAÍDA DE VENDAS'!$B$6:$B$500, B50)&gt;2, " + " &amp; IFERROR(INDEX('SAÍDA DE VENDAS'!$H$6:$H$500 &amp; "x " &amp; 'SAÍDA DE VENDAS'!$G$6:$G$500, MATCH(B50, 'SAÍDA DE VENDAS'!$B$6:$B$500, 0)+2), ""), "")&amp; IF(COUNTIF('SAÍDA DE VENDAS'!$B$6:$B$500, B50)&gt;3, " + " &amp; IFERROR(INDEX('SAÍDA DE VENDAS'!$H$6:$H$500 &amp; "x " &amp; 'SAÍDA DE VENDAS'!$G$6:$G$500, MATCH(B50, 'SAÍDA DE VENDAS'!$B$6:$B$500, 0)+3), ""), "")&amp; IF(COUNTIF('SAÍDA DE VENDAS'!$B$6:$B$500, B50)&gt;4, " + " &amp; IFERROR(INDEX('SAÍDA DE VENDAS'!$H$6:$H$500 &amp; "x " &amp; 'SAÍDA DE VENDAS'!$G$6:$G$500, MATCH(B50, 'SAÍDA DE VENDAS'!$B$6:$B$500, 0)+4), ""), "")&amp; IF(COUNTIF('SAÍDA DE VENDAS'!$B$6:$B$500, B50)&gt;5, " + " &amp; IFERROR(INDEX('SAÍDA DE VENDAS'!$H$6:$H$500 &amp; "x " &amp; 'SAÍDA DE VENDAS'!$G$6:$G$500, MATCH(B50, 'SAÍDA DE VENDAS'!$B$6:$B$500, 0)+5), ""), ""))</f>
        <v/>
      </c>
      <c r="G50" s="28">
        <f>IFERROR(VLOOKUP(B50,'SAÍDA DE VENDAS'!$B$6:$P$500,10,FALSE),"")</f>
        <v>0</v>
      </c>
      <c r="H50" s="28" t="str">
        <f>IF(OR(ISBLANK(B50),B50=""), "", IF(B50=B49, (VALUE(LEFT(H49,FIND("/",H49)-1))+1)&amp;"/"&amp;RIGHT(H49,LEN(H49)-FIND("/",H49)), "1/"&amp;IFERROR(VLOOKUP(B50,'SAÍDA DE VENDAS'!$B$6:$P$500,13,FALSE),"1")))</f>
        <v/>
      </c>
      <c r="I50" s="69" t="str">
        <f t="shared" si="0"/>
        <v/>
      </c>
      <c r="J50" s="33" t="str">
        <f>IFERROR(VLOOKUP(B50,'SAÍDA DE VENDAS'!$B$6:$P$500,15,FALSE),"")</f>
        <v/>
      </c>
      <c r="K50" s="28" t="str">
        <f t="shared" ca="1" si="1"/>
        <v/>
      </c>
      <c r="L50" s="28"/>
      <c r="M50" s="28"/>
    </row>
    <row r="51" spans="2:13" ht="15" customHeight="1" x14ac:dyDescent="0.3">
      <c r="B51" s="34" t="str">
        <f>IF(B50="","", IF(VALUE(LEFT(H50,FIND("/",H50)-1)) &lt; VALUE(RIGHT(H50,LEN(H50)-FIND("/",H50))), B50, IFERROR(INDEX('SAÍDA DE VENDAS'!$B$6:$B$500, MATCH(B50,'SAÍDA DE VENDAS'!$B$6:$B$500,0)+COUNTIF('SAÍDA DE VENDAS'!$B$6:$B$500, B50)),"")))</f>
        <v/>
      </c>
      <c r="C51" s="35">
        <f>IFERROR(VLOOKUP(B51,'SAÍDA DE VENDAS'!$B$6:$P$500,3,FALSE),"")</f>
        <v>0</v>
      </c>
      <c r="D51" s="34">
        <f>IFERROR(VLOOKUP(B51,'SAÍDA DE VENDAS'!$B$6:$P$500,4,FALSE),"")</f>
        <v>0</v>
      </c>
      <c r="E51" s="34" t="str">
        <f>IFERROR(VLOOKUP(B51,'SAÍDA DE VENDAS'!$B$6:$P$500,5,FALSE),"")</f>
        <v/>
      </c>
      <c r="F51" s="34" t="str">
        <f>IF(OR(ISBLANK(B51),B51=""), "", IFERROR(INDEX('SAÍDA DE VENDAS'!$H$6:$H$500 &amp; "x " &amp; 'SAÍDA DE VENDAS'!$G$6:$G$500, MATCH(B51, 'SAÍDA DE VENDAS'!$B$6:$B$500, 0)), "")&amp; IF(COUNTIF('SAÍDA DE VENDAS'!$B$6:$B$500, B51)&gt;1, " + " &amp; IFERROR(INDEX('SAÍDA DE VENDAS'!$H$6:$H$500 &amp; "x " &amp; 'SAÍDA DE VENDAS'!$G$6:$G$500, MATCH(B51, 'SAÍDA DE VENDAS'!$B$6:$B$500, 0)+1), ""), "")&amp; IF(COUNTIF('SAÍDA DE VENDAS'!$B$6:$B$500, B51)&gt;2, " + " &amp; IFERROR(INDEX('SAÍDA DE VENDAS'!$H$6:$H$500 &amp; "x " &amp; 'SAÍDA DE VENDAS'!$G$6:$G$500, MATCH(B51, 'SAÍDA DE VENDAS'!$B$6:$B$500, 0)+2), ""), "")&amp; IF(COUNTIF('SAÍDA DE VENDAS'!$B$6:$B$500, B51)&gt;3, " + " &amp; IFERROR(INDEX('SAÍDA DE VENDAS'!$H$6:$H$500 &amp; "x " &amp; 'SAÍDA DE VENDAS'!$G$6:$G$500, MATCH(B51, 'SAÍDA DE VENDAS'!$B$6:$B$500, 0)+3), ""), "")&amp; IF(COUNTIF('SAÍDA DE VENDAS'!$B$6:$B$500, B51)&gt;4, " + " &amp; IFERROR(INDEX('SAÍDA DE VENDAS'!$H$6:$H$500 &amp; "x " &amp; 'SAÍDA DE VENDAS'!$G$6:$G$500, MATCH(B51, 'SAÍDA DE VENDAS'!$B$6:$B$500, 0)+4), ""), "")&amp; IF(COUNTIF('SAÍDA DE VENDAS'!$B$6:$B$500, B51)&gt;5, " + " &amp; IFERROR(INDEX('SAÍDA DE VENDAS'!$H$6:$H$500 &amp; "x " &amp; 'SAÍDA DE VENDAS'!$G$6:$G$500, MATCH(B51, 'SAÍDA DE VENDAS'!$B$6:$B$500, 0)+5), ""), ""))</f>
        <v/>
      </c>
      <c r="G51" s="34">
        <f>IFERROR(VLOOKUP(B51,'SAÍDA DE VENDAS'!$B$6:$P$500,10,FALSE),"")</f>
        <v>0</v>
      </c>
      <c r="H51" s="34" t="str">
        <f>IF(OR(ISBLANK(B51),B51=""), "", IF(B51=B50, (VALUE(LEFT(H50,FIND("/",H50)-1))+1)&amp;"/"&amp;RIGHT(H50,LEN(H50)-FIND("/",H50)), "1/"&amp;IFERROR(VLOOKUP(B51,'SAÍDA DE VENDAS'!$B$6:$P$500,13,FALSE),"1")))</f>
        <v/>
      </c>
      <c r="I51" s="35" t="str">
        <f t="shared" si="0"/>
        <v/>
      </c>
      <c r="J51" s="39" t="str">
        <f>IFERROR(VLOOKUP(B51,'SAÍDA DE VENDAS'!$B$6:$P$500,15,FALSE),"")</f>
        <v/>
      </c>
      <c r="K51" s="34" t="str">
        <f t="shared" ca="1" si="1"/>
        <v/>
      </c>
      <c r="L51" s="34"/>
      <c r="M51" s="34"/>
    </row>
    <row r="52" spans="2:13" ht="15" customHeight="1" x14ac:dyDescent="0.3">
      <c r="B52" s="28" t="str">
        <f>IF(B51="","", IF(VALUE(LEFT(H51,FIND("/",H51)-1)) &lt; VALUE(RIGHT(H51,LEN(H51)-FIND("/",H51))), B51, IFERROR(INDEX('SAÍDA DE VENDAS'!$B$6:$B$500, MATCH(B51,'SAÍDA DE VENDAS'!$B$6:$B$500,0)+COUNTIF('SAÍDA DE VENDAS'!$B$6:$B$500, B51)),"")))</f>
        <v/>
      </c>
      <c r="C52" s="29">
        <f>IFERROR(VLOOKUP(B52,'SAÍDA DE VENDAS'!$B$6:$P$500,3,FALSE),"")</f>
        <v>0</v>
      </c>
      <c r="D52" s="28">
        <f>IFERROR(VLOOKUP(B52,'SAÍDA DE VENDAS'!$B$6:$P$500,4,FALSE),"")</f>
        <v>0</v>
      </c>
      <c r="E52" s="28" t="str">
        <f>IFERROR(VLOOKUP(B52,'SAÍDA DE VENDAS'!$B$6:$P$500,5,FALSE),"")</f>
        <v/>
      </c>
      <c r="F52" s="28" t="str">
        <f>IF(OR(ISBLANK(B52),B52=""), "", IFERROR(INDEX('SAÍDA DE VENDAS'!$H$6:$H$500 &amp; "x " &amp; 'SAÍDA DE VENDAS'!$G$6:$G$500, MATCH(B52, 'SAÍDA DE VENDAS'!$B$6:$B$500, 0)), "")&amp; IF(COUNTIF('SAÍDA DE VENDAS'!$B$6:$B$500, B52)&gt;1, " + " &amp; IFERROR(INDEX('SAÍDA DE VENDAS'!$H$6:$H$500 &amp; "x " &amp; 'SAÍDA DE VENDAS'!$G$6:$G$500, MATCH(B52, 'SAÍDA DE VENDAS'!$B$6:$B$500, 0)+1), ""), "")&amp; IF(COUNTIF('SAÍDA DE VENDAS'!$B$6:$B$500, B52)&gt;2, " + " &amp; IFERROR(INDEX('SAÍDA DE VENDAS'!$H$6:$H$500 &amp; "x " &amp; 'SAÍDA DE VENDAS'!$G$6:$G$500, MATCH(B52, 'SAÍDA DE VENDAS'!$B$6:$B$500, 0)+2), ""), "")&amp; IF(COUNTIF('SAÍDA DE VENDAS'!$B$6:$B$500, B52)&gt;3, " + " &amp; IFERROR(INDEX('SAÍDA DE VENDAS'!$H$6:$H$500 &amp; "x " &amp; 'SAÍDA DE VENDAS'!$G$6:$G$500, MATCH(B52, 'SAÍDA DE VENDAS'!$B$6:$B$500, 0)+3), ""), "")&amp; IF(COUNTIF('SAÍDA DE VENDAS'!$B$6:$B$500, B52)&gt;4, " + " &amp; IFERROR(INDEX('SAÍDA DE VENDAS'!$H$6:$H$500 &amp; "x " &amp; 'SAÍDA DE VENDAS'!$G$6:$G$500, MATCH(B52, 'SAÍDA DE VENDAS'!$B$6:$B$500, 0)+4), ""), "")&amp; IF(COUNTIF('SAÍDA DE VENDAS'!$B$6:$B$500, B52)&gt;5, " + " &amp; IFERROR(INDEX('SAÍDA DE VENDAS'!$H$6:$H$500 &amp; "x " &amp; 'SAÍDA DE VENDAS'!$G$6:$G$500, MATCH(B52, 'SAÍDA DE VENDAS'!$B$6:$B$500, 0)+5), ""), ""))</f>
        <v/>
      </c>
      <c r="G52" s="28">
        <f>IFERROR(VLOOKUP(B52,'SAÍDA DE VENDAS'!$B$6:$P$500,10,FALSE),"")</f>
        <v>0</v>
      </c>
      <c r="H52" s="28" t="str">
        <f>IF(OR(ISBLANK(B52),B52=""), "", IF(B52=B51, (VALUE(LEFT(H51,FIND("/",H51)-1))+1)&amp;"/"&amp;RIGHT(H51,LEN(H51)-FIND("/",H51)), "1/"&amp;IFERROR(VLOOKUP(B52,'SAÍDA DE VENDAS'!$B$6:$P$500,13,FALSE),"1")))</f>
        <v/>
      </c>
      <c r="I52" s="69" t="str">
        <f t="shared" si="0"/>
        <v/>
      </c>
      <c r="J52" s="33" t="str">
        <f>IFERROR(VLOOKUP(B52,'SAÍDA DE VENDAS'!$B$6:$P$500,15,FALSE),"")</f>
        <v/>
      </c>
      <c r="K52" s="28" t="str">
        <f t="shared" ca="1" si="1"/>
        <v/>
      </c>
      <c r="L52" s="28"/>
      <c r="M52" s="28"/>
    </row>
    <row r="53" spans="2:13" ht="15" customHeight="1" x14ac:dyDescent="0.3">
      <c r="B53" s="34" t="str">
        <f>IF(B52="","", IF(VALUE(LEFT(H52,FIND("/",H52)-1)) &lt; VALUE(RIGHT(H52,LEN(H52)-FIND("/",H52))), B52, IFERROR(INDEX('SAÍDA DE VENDAS'!$B$6:$B$500, MATCH(B52,'SAÍDA DE VENDAS'!$B$6:$B$500,0)+COUNTIF('SAÍDA DE VENDAS'!$B$6:$B$500, B52)),"")))</f>
        <v/>
      </c>
      <c r="C53" s="35">
        <f>IFERROR(VLOOKUP(B53,'SAÍDA DE VENDAS'!$B$6:$P$500,3,FALSE),"")</f>
        <v>0</v>
      </c>
      <c r="D53" s="34">
        <f>IFERROR(VLOOKUP(B53,'SAÍDA DE VENDAS'!$B$6:$P$500,4,FALSE),"")</f>
        <v>0</v>
      </c>
      <c r="E53" s="34" t="str">
        <f>IFERROR(VLOOKUP(B53,'SAÍDA DE VENDAS'!$B$6:$P$500,5,FALSE),"")</f>
        <v/>
      </c>
      <c r="F53" s="34" t="str">
        <f>IF(OR(ISBLANK(B53),B53=""), "", IFERROR(INDEX('SAÍDA DE VENDAS'!$H$6:$H$500 &amp; "x " &amp; 'SAÍDA DE VENDAS'!$G$6:$G$500, MATCH(B53, 'SAÍDA DE VENDAS'!$B$6:$B$500, 0)), "")&amp; IF(COUNTIF('SAÍDA DE VENDAS'!$B$6:$B$500, B53)&gt;1, " + " &amp; IFERROR(INDEX('SAÍDA DE VENDAS'!$H$6:$H$500 &amp; "x " &amp; 'SAÍDA DE VENDAS'!$G$6:$G$500, MATCH(B53, 'SAÍDA DE VENDAS'!$B$6:$B$500, 0)+1), ""), "")&amp; IF(COUNTIF('SAÍDA DE VENDAS'!$B$6:$B$500, B53)&gt;2, " + " &amp; IFERROR(INDEX('SAÍDA DE VENDAS'!$H$6:$H$500 &amp; "x " &amp; 'SAÍDA DE VENDAS'!$G$6:$G$500, MATCH(B53, 'SAÍDA DE VENDAS'!$B$6:$B$500, 0)+2), ""), "")&amp; IF(COUNTIF('SAÍDA DE VENDAS'!$B$6:$B$500, B53)&gt;3, " + " &amp; IFERROR(INDEX('SAÍDA DE VENDAS'!$H$6:$H$500 &amp; "x " &amp; 'SAÍDA DE VENDAS'!$G$6:$G$500, MATCH(B53, 'SAÍDA DE VENDAS'!$B$6:$B$500, 0)+3), ""), "")&amp; IF(COUNTIF('SAÍDA DE VENDAS'!$B$6:$B$500, B53)&gt;4, " + " &amp; IFERROR(INDEX('SAÍDA DE VENDAS'!$H$6:$H$500 &amp; "x " &amp; 'SAÍDA DE VENDAS'!$G$6:$G$500, MATCH(B53, 'SAÍDA DE VENDAS'!$B$6:$B$500, 0)+4), ""), "")&amp; IF(COUNTIF('SAÍDA DE VENDAS'!$B$6:$B$500, B53)&gt;5, " + " &amp; IFERROR(INDEX('SAÍDA DE VENDAS'!$H$6:$H$500 &amp; "x " &amp; 'SAÍDA DE VENDAS'!$G$6:$G$500, MATCH(B53, 'SAÍDA DE VENDAS'!$B$6:$B$500, 0)+5), ""), ""))</f>
        <v/>
      </c>
      <c r="G53" s="34">
        <f>IFERROR(VLOOKUP(B53,'SAÍDA DE VENDAS'!$B$6:$P$500,10,FALSE),"")</f>
        <v>0</v>
      </c>
      <c r="H53" s="34" t="str">
        <f>IF(OR(ISBLANK(B53),B53=""), "", IF(B53=B52, (VALUE(LEFT(H52,FIND("/",H52)-1))+1)&amp;"/"&amp;RIGHT(H52,LEN(H52)-FIND("/",H52)), "1/"&amp;IFERROR(VLOOKUP(B53,'SAÍDA DE VENDAS'!$B$6:$P$500,13,FALSE),"1")))</f>
        <v/>
      </c>
      <c r="I53" s="35" t="str">
        <f t="shared" si="0"/>
        <v/>
      </c>
      <c r="J53" s="39" t="str">
        <f>IFERROR(VLOOKUP(B53,'SAÍDA DE VENDAS'!$B$6:$P$500,15,FALSE),"")</f>
        <v/>
      </c>
      <c r="K53" s="34" t="str">
        <f t="shared" ca="1" si="1"/>
        <v/>
      </c>
      <c r="L53" s="34"/>
      <c r="M53" s="34"/>
    </row>
    <row r="54" spans="2:13" ht="15" customHeight="1" x14ac:dyDescent="0.3">
      <c r="B54" s="28" t="str">
        <f>IF(B53="","", IF(VALUE(LEFT(H53,FIND("/",H53)-1)) &lt; VALUE(RIGHT(H53,LEN(H53)-FIND("/",H53))), B53, IFERROR(INDEX('SAÍDA DE VENDAS'!$B$6:$B$500, MATCH(B53,'SAÍDA DE VENDAS'!$B$6:$B$500,0)+COUNTIF('SAÍDA DE VENDAS'!$B$6:$B$500, B53)),"")))</f>
        <v/>
      </c>
      <c r="C54" s="29">
        <f>IFERROR(VLOOKUP(B54,'SAÍDA DE VENDAS'!$B$6:$P$500,3,FALSE),"")</f>
        <v>0</v>
      </c>
      <c r="D54" s="28">
        <f>IFERROR(VLOOKUP(B54,'SAÍDA DE VENDAS'!$B$6:$P$500,4,FALSE),"")</f>
        <v>0</v>
      </c>
      <c r="E54" s="28" t="str">
        <f>IFERROR(VLOOKUP(B54,'SAÍDA DE VENDAS'!$B$6:$P$500,5,FALSE),"")</f>
        <v/>
      </c>
      <c r="F54" s="28" t="str">
        <f>IF(OR(ISBLANK(B54),B54=""), "", IFERROR(INDEX('SAÍDA DE VENDAS'!$H$6:$H$500 &amp; "x " &amp; 'SAÍDA DE VENDAS'!$G$6:$G$500, MATCH(B54, 'SAÍDA DE VENDAS'!$B$6:$B$500, 0)), "")&amp; IF(COUNTIF('SAÍDA DE VENDAS'!$B$6:$B$500, B54)&gt;1, " + " &amp; IFERROR(INDEX('SAÍDA DE VENDAS'!$H$6:$H$500 &amp; "x " &amp; 'SAÍDA DE VENDAS'!$G$6:$G$500, MATCH(B54, 'SAÍDA DE VENDAS'!$B$6:$B$500, 0)+1), ""), "")&amp; IF(COUNTIF('SAÍDA DE VENDAS'!$B$6:$B$500, B54)&gt;2, " + " &amp; IFERROR(INDEX('SAÍDA DE VENDAS'!$H$6:$H$500 &amp; "x " &amp; 'SAÍDA DE VENDAS'!$G$6:$G$500, MATCH(B54, 'SAÍDA DE VENDAS'!$B$6:$B$500, 0)+2), ""), "")&amp; IF(COUNTIF('SAÍDA DE VENDAS'!$B$6:$B$500, B54)&gt;3, " + " &amp; IFERROR(INDEX('SAÍDA DE VENDAS'!$H$6:$H$500 &amp; "x " &amp; 'SAÍDA DE VENDAS'!$G$6:$G$500, MATCH(B54, 'SAÍDA DE VENDAS'!$B$6:$B$500, 0)+3), ""), "")&amp; IF(COUNTIF('SAÍDA DE VENDAS'!$B$6:$B$500, B54)&gt;4, " + " &amp; IFERROR(INDEX('SAÍDA DE VENDAS'!$H$6:$H$500 &amp; "x " &amp; 'SAÍDA DE VENDAS'!$G$6:$G$500, MATCH(B54, 'SAÍDA DE VENDAS'!$B$6:$B$500, 0)+4), ""), "")&amp; IF(COUNTIF('SAÍDA DE VENDAS'!$B$6:$B$500, B54)&gt;5, " + " &amp; IFERROR(INDEX('SAÍDA DE VENDAS'!$H$6:$H$500 &amp; "x " &amp; 'SAÍDA DE VENDAS'!$G$6:$G$500, MATCH(B54, 'SAÍDA DE VENDAS'!$B$6:$B$500, 0)+5), ""), ""))</f>
        <v/>
      </c>
      <c r="G54" s="28">
        <f>IFERROR(VLOOKUP(B54,'SAÍDA DE VENDAS'!$B$6:$P$500,10,FALSE),"")</f>
        <v>0</v>
      </c>
      <c r="H54" s="28" t="str">
        <f>IF(OR(ISBLANK(B54),B54=""), "", IF(B54=B53, (VALUE(LEFT(H53,FIND("/",H53)-1))+1)&amp;"/"&amp;RIGHT(H53,LEN(H53)-FIND("/",H53)), "1/"&amp;IFERROR(VLOOKUP(B54,'SAÍDA DE VENDAS'!$B$6:$P$500,13,FALSE),"1")))</f>
        <v/>
      </c>
      <c r="I54" s="69" t="str">
        <f t="shared" si="0"/>
        <v/>
      </c>
      <c r="J54" s="33" t="str">
        <f>IFERROR(VLOOKUP(B54,'SAÍDA DE VENDAS'!$B$6:$P$500,15,FALSE),"")</f>
        <v/>
      </c>
      <c r="K54" s="28" t="str">
        <f t="shared" ca="1" si="1"/>
        <v/>
      </c>
      <c r="L54" s="28"/>
      <c r="M54" s="28"/>
    </row>
    <row r="55" spans="2:13" ht="15" customHeight="1" x14ac:dyDescent="0.3">
      <c r="B55" s="34" t="str">
        <f>IF(B54="","", IF(VALUE(LEFT(H54,FIND("/",H54)-1)) &lt; VALUE(RIGHT(H54,LEN(H54)-FIND("/",H54))), B54, IFERROR(INDEX('SAÍDA DE VENDAS'!$B$6:$B$500, MATCH(B54,'SAÍDA DE VENDAS'!$B$6:$B$500,0)+COUNTIF('SAÍDA DE VENDAS'!$B$6:$B$500, B54)),"")))</f>
        <v/>
      </c>
      <c r="C55" s="35">
        <f>IFERROR(VLOOKUP(B55,'SAÍDA DE VENDAS'!$B$6:$P$500,3,FALSE),"")</f>
        <v>0</v>
      </c>
      <c r="D55" s="34">
        <f>IFERROR(VLOOKUP(B55,'SAÍDA DE VENDAS'!$B$6:$P$500,4,FALSE),"")</f>
        <v>0</v>
      </c>
      <c r="E55" s="34" t="str">
        <f>IFERROR(VLOOKUP(B55,'SAÍDA DE VENDAS'!$B$6:$P$500,5,FALSE),"")</f>
        <v/>
      </c>
      <c r="F55" s="34" t="str">
        <f>IF(OR(ISBLANK(B55),B55=""), "", IFERROR(INDEX('SAÍDA DE VENDAS'!$H$6:$H$500 &amp; "x " &amp; 'SAÍDA DE VENDAS'!$G$6:$G$500, MATCH(B55, 'SAÍDA DE VENDAS'!$B$6:$B$500, 0)), "")&amp; IF(COUNTIF('SAÍDA DE VENDAS'!$B$6:$B$500, B55)&gt;1, " + " &amp; IFERROR(INDEX('SAÍDA DE VENDAS'!$H$6:$H$500 &amp; "x " &amp; 'SAÍDA DE VENDAS'!$G$6:$G$500, MATCH(B55, 'SAÍDA DE VENDAS'!$B$6:$B$500, 0)+1), ""), "")&amp; IF(COUNTIF('SAÍDA DE VENDAS'!$B$6:$B$500, B55)&gt;2, " + " &amp; IFERROR(INDEX('SAÍDA DE VENDAS'!$H$6:$H$500 &amp; "x " &amp; 'SAÍDA DE VENDAS'!$G$6:$G$500, MATCH(B55, 'SAÍDA DE VENDAS'!$B$6:$B$500, 0)+2), ""), "")&amp; IF(COUNTIF('SAÍDA DE VENDAS'!$B$6:$B$500, B55)&gt;3, " + " &amp; IFERROR(INDEX('SAÍDA DE VENDAS'!$H$6:$H$500 &amp; "x " &amp; 'SAÍDA DE VENDAS'!$G$6:$G$500, MATCH(B55, 'SAÍDA DE VENDAS'!$B$6:$B$500, 0)+3), ""), "")&amp; IF(COUNTIF('SAÍDA DE VENDAS'!$B$6:$B$500, B55)&gt;4, " + " &amp; IFERROR(INDEX('SAÍDA DE VENDAS'!$H$6:$H$500 &amp; "x " &amp; 'SAÍDA DE VENDAS'!$G$6:$G$500, MATCH(B55, 'SAÍDA DE VENDAS'!$B$6:$B$500, 0)+4), ""), "")&amp; IF(COUNTIF('SAÍDA DE VENDAS'!$B$6:$B$500, B55)&gt;5, " + " &amp; IFERROR(INDEX('SAÍDA DE VENDAS'!$H$6:$H$500 &amp; "x " &amp; 'SAÍDA DE VENDAS'!$G$6:$G$500, MATCH(B55, 'SAÍDA DE VENDAS'!$B$6:$B$500, 0)+5), ""), ""))</f>
        <v/>
      </c>
      <c r="G55" s="34">
        <f>IFERROR(VLOOKUP(B55,'SAÍDA DE VENDAS'!$B$6:$P$500,10,FALSE),"")</f>
        <v>0</v>
      </c>
      <c r="H55" s="34" t="str">
        <f>IF(OR(ISBLANK(B55),B55=""), "", IF(B55=B54, (VALUE(LEFT(H54,FIND("/",H54)-1))+1)&amp;"/"&amp;RIGHT(H54,LEN(H54)-FIND("/",H54)), "1/"&amp;IFERROR(VLOOKUP(B55,'SAÍDA DE VENDAS'!$B$6:$P$500,13,FALSE),"1")))</f>
        <v/>
      </c>
      <c r="I55" s="35" t="str">
        <f t="shared" si="0"/>
        <v/>
      </c>
      <c r="J55" s="39" t="str">
        <f>IFERROR(VLOOKUP(B55,'SAÍDA DE VENDAS'!$B$6:$P$500,15,FALSE),"")</f>
        <v/>
      </c>
      <c r="K55" s="34" t="str">
        <f t="shared" ca="1" si="1"/>
        <v/>
      </c>
      <c r="L55" s="34"/>
      <c r="M55" s="34"/>
    </row>
    <row r="56" spans="2:13" ht="15" customHeight="1" x14ac:dyDescent="0.3">
      <c r="B56" s="28" t="str">
        <f>IF(B55="","", IF(VALUE(LEFT(H55,FIND("/",H55)-1)) &lt; VALUE(RIGHT(H55,LEN(H55)-FIND("/",H55))), B55, IFERROR(INDEX('SAÍDA DE VENDAS'!$B$6:$B$500, MATCH(B55,'SAÍDA DE VENDAS'!$B$6:$B$500,0)+COUNTIF('SAÍDA DE VENDAS'!$B$6:$B$500, B55)),"")))</f>
        <v/>
      </c>
      <c r="C56" s="29">
        <f>IFERROR(VLOOKUP(B56,'SAÍDA DE VENDAS'!$B$6:$P$500,3,FALSE),"")</f>
        <v>0</v>
      </c>
      <c r="D56" s="28">
        <f>IFERROR(VLOOKUP(B56,'SAÍDA DE VENDAS'!$B$6:$P$500,4,FALSE),"")</f>
        <v>0</v>
      </c>
      <c r="E56" s="28" t="str">
        <f>IFERROR(VLOOKUP(B56,'SAÍDA DE VENDAS'!$B$6:$P$500,5,FALSE),"")</f>
        <v/>
      </c>
      <c r="F56" s="28" t="str">
        <f>IF(OR(ISBLANK(B56),B56=""), "", IFERROR(INDEX('SAÍDA DE VENDAS'!$H$6:$H$500 &amp; "x " &amp; 'SAÍDA DE VENDAS'!$G$6:$G$500, MATCH(B56, 'SAÍDA DE VENDAS'!$B$6:$B$500, 0)), "")&amp; IF(COUNTIF('SAÍDA DE VENDAS'!$B$6:$B$500, B56)&gt;1, " + " &amp; IFERROR(INDEX('SAÍDA DE VENDAS'!$H$6:$H$500 &amp; "x " &amp; 'SAÍDA DE VENDAS'!$G$6:$G$500, MATCH(B56, 'SAÍDA DE VENDAS'!$B$6:$B$500, 0)+1), ""), "")&amp; IF(COUNTIF('SAÍDA DE VENDAS'!$B$6:$B$500, B56)&gt;2, " + " &amp; IFERROR(INDEX('SAÍDA DE VENDAS'!$H$6:$H$500 &amp; "x " &amp; 'SAÍDA DE VENDAS'!$G$6:$G$500, MATCH(B56, 'SAÍDA DE VENDAS'!$B$6:$B$500, 0)+2), ""), "")&amp; IF(COUNTIF('SAÍDA DE VENDAS'!$B$6:$B$500, B56)&gt;3, " + " &amp; IFERROR(INDEX('SAÍDA DE VENDAS'!$H$6:$H$500 &amp; "x " &amp; 'SAÍDA DE VENDAS'!$G$6:$G$500, MATCH(B56, 'SAÍDA DE VENDAS'!$B$6:$B$500, 0)+3), ""), "")&amp; IF(COUNTIF('SAÍDA DE VENDAS'!$B$6:$B$500, B56)&gt;4, " + " &amp; IFERROR(INDEX('SAÍDA DE VENDAS'!$H$6:$H$500 &amp; "x " &amp; 'SAÍDA DE VENDAS'!$G$6:$G$500, MATCH(B56, 'SAÍDA DE VENDAS'!$B$6:$B$500, 0)+4), ""), "")&amp; IF(COUNTIF('SAÍDA DE VENDAS'!$B$6:$B$500, B56)&gt;5, " + " &amp; IFERROR(INDEX('SAÍDA DE VENDAS'!$H$6:$H$500 &amp; "x " &amp; 'SAÍDA DE VENDAS'!$G$6:$G$500, MATCH(B56, 'SAÍDA DE VENDAS'!$B$6:$B$500, 0)+5), ""), ""))</f>
        <v/>
      </c>
      <c r="G56" s="28">
        <f>IFERROR(VLOOKUP(B56,'SAÍDA DE VENDAS'!$B$6:$P$500,10,FALSE),"")</f>
        <v>0</v>
      </c>
      <c r="H56" s="28" t="str">
        <f>IF(OR(ISBLANK(B56),B56=""), "", IF(B56=B55, (VALUE(LEFT(H55,FIND("/",H55)-1))+1)&amp;"/"&amp;RIGHT(H55,LEN(H55)-FIND("/",H55)), "1/"&amp;IFERROR(VLOOKUP(B56,'SAÍDA DE VENDAS'!$B$6:$P$500,13,FALSE),"1")))</f>
        <v/>
      </c>
      <c r="I56" s="69" t="str">
        <f t="shared" si="0"/>
        <v/>
      </c>
      <c r="J56" s="33" t="str">
        <f>IFERROR(VLOOKUP(B56,'SAÍDA DE VENDAS'!$B$6:$P$500,15,FALSE),"")</f>
        <v/>
      </c>
      <c r="K56" s="28" t="str">
        <f t="shared" ca="1" si="1"/>
        <v/>
      </c>
      <c r="L56" s="28"/>
      <c r="M56" s="28"/>
    </row>
    <row r="57" spans="2:13" ht="15" customHeight="1" x14ac:dyDescent="0.3">
      <c r="B57" s="34" t="str">
        <f>IF(B56="","", IF(VALUE(LEFT(H56,FIND("/",H56)-1)) &lt; VALUE(RIGHT(H56,LEN(H56)-FIND("/",H56))), B56, IFERROR(INDEX('SAÍDA DE VENDAS'!$B$6:$B$500, MATCH(B56,'SAÍDA DE VENDAS'!$B$6:$B$500,0)+COUNTIF('SAÍDA DE VENDAS'!$B$6:$B$500, B56)),"")))</f>
        <v/>
      </c>
      <c r="C57" s="35">
        <f>IFERROR(VLOOKUP(B57,'SAÍDA DE VENDAS'!$B$6:$P$500,3,FALSE),"")</f>
        <v>0</v>
      </c>
      <c r="D57" s="34">
        <f>IFERROR(VLOOKUP(B57,'SAÍDA DE VENDAS'!$B$6:$P$500,4,FALSE),"")</f>
        <v>0</v>
      </c>
      <c r="E57" s="34" t="str">
        <f>IFERROR(VLOOKUP(B57,'SAÍDA DE VENDAS'!$B$6:$P$500,5,FALSE),"")</f>
        <v/>
      </c>
      <c r="F57" s="34" t="str">
        <f>IF(OR(ISBLANK(B57),B57=""), "", IFERROR(INDEX('SAÍDA DE VENDAS'!$H$6:$H$500 &amp; "x " &amp; 'SAÍDA DE VENDAS'!$G$6:$G$500, MATCH(B57, 'SAÍDA DE VENDAS'!$B$6:$B$500, 0)), "")&amp; IF(COUNTIF('SAÍDA DE VENDAS'!$B$6:$B$500, B57)&gt;1, " + " &amp; IFERROR(INDEX('SAÍDA DE VENDAS'!$H$6:$H$500 &amp; "x " &amp; 'SAÍDA DE VENDAS'!$G$6:$G$500, MATCH(B57, 'SAÍDA DE VENDAS'!$B$6:$B$500, 0)+1), ""), "")&amp; IF(COUNTIF('SAÍDA DE VENDAS'!$B$6:$B$500, B57)&gt;2, " + " &amp; IFERROR(INDEX('SAÍDA DE VENDAS'!$H$6:$H$500 &amp; "x " &amp; 'SAÍDA DE VENDAS'!$G$6:$G$500, MATCH(B57, 'SAÍDA DE VENDAS'!$B$6:$B$500, 0)+2), ""), "")&amp; IF(COUNTIF('SAÍDA DE VENDAS'!$B$6:$B$500, B57)&gt;3, " + " &amp; IFERROR(INDEX('SAÍDA DE VENDAS'!$H$6:$H$500 &amp; "x " &amp; 'SAÍDA DE VENDAS'!$G$6:$G$500, MATCH(B57, 'SAÍDA DE VENDAS'!$B$6:$B$500, 0)+3), ""), "")&amp; IF(COUNTIF('SAÍDA DE VENDAS'!$B$6:$B$500, B57)&gt;4, " + " &amp; IFERROR(INDEX('SAÍDA DE VENDAS'!$H$6:$H$500 &amp; "x " &amp; 'SAÍDA DE VENDAS'!$G$6:$G$500, MATCH(B57, 'SAÍDA DE VENDAS'!$B$6:$B$500, 0)+4), ""), "")&amp; IF(COUNTIF('SAÍDA DE VENDAS'!$B$6:$B$500, B57)&gt;5, " + " &amp; IFERROR(INDEX('SAÍDA DE VENDAS'!$H$6:$H$500 &amp; "x " &amp; 'SAÍDA DE VENDAS'!$G$6:$G$500, MATCH(B57, 'SAÍDA DE VENDAS'!$B$6:$B$500, 0)+5), ""), ""))</f>
        <v/>
      </c>
      <c r="G57" s="34">
        <f>IFERROR(VLOOKUP(B57,'SAÍDA DE VENDAS'!$B$6:$P$500,10,FALSE),"")</f>
        <v>0</v>
      </c>
      <c r="H57" s="34" t="str">
        <f>IF(OR(ISBLANK(B57),B57=""), "", IF(B57=B56, (VALUE(LEFT(H56,FIND("/",H56)-1))+1)&amp;"/"&amp;RIGHT(H56,LEN(H56)-FIND("/",H56)), "1/"&amp;IFERROR(VLOOKUP(B57,'SAÍDA DE VENDAS'!$B$6:$P$500,13,FALSE),"1")))</f>
        <v/>
      </c>
      <c r="I57" s="35" t="str">
        <f t="shared" si="0"/>
        <v/>
      </c>
      <c r="J57" s="39" t="str">
        <f>IFERROR(VLOOKUP(B57,'SAÍDA DE VENDAS'!$B$6:$P$500,15,FALSE),"")</f>
        <v/>
      </c>
      <c r="K57" s="34" t="str">
        <f t="shared" ca="1" si="1"/>
        <v/>
      </c>
      <c r="L57" s="34"/>
      <c r="M57" s="34"/>
    </row>
    <row r="58" spans="2:13" ht="15" customHeight="1" x14ac:dyDescent="0.3">
      <c r="B58" s="28" t="str">
        <f>IF(B57="","", IF(VALUE(LEFT(H57,FIND("/",H57)-1)) &lt; VALUE(RIGHT(H57,LEN(H57)-FIND("/",H57))), B57, IFERROR(INDEX('SAÍDA DE VENDAS'!$B$6:$B$500, MATCH(B57,'SAÍDA DE VENDAS'!$B$6:$B$500,0)+COUNTIF('SAÍDA DE VENDAS'!$B$6:$B$500, B57)),"")))</f>
        <v/>
      </c>
      <c r="C58" s="29">
        <f>IFERROR(VLOOKUP(B58,'SAÍDA DE VENDAS'!$B$6:$P$500,3,FALSE),"")</f>
        <v>0</v>
      </c>
      <c r="D58" s="28">
        <f>IFERROR(VLOOKUP(B58,'SAÍDA DE VENDAS'!$B$6:$P$500,4,FALSE),"")</f>
        <v>0</v>
      </c>
      <c r="E58" s="28" t="str">
        <f>IFERROR(VLOOKUP(B58,'SAÍDA DE VENDAS'!$B$6:$P$500,5,FALSE),"")</f>
        <v/>
      </c>
      <c r="F58" s="28" t="str">
        <f>IF(OR(ISBLANK(B58),B58=""), "", IFERROR(INDEX('SAÍDA DE VENDAS'!$H$6:$H$500 &amp; "x " &amp; 'SAÍDA DE VENDAS'!$G$6:$G$500, MATCH(B58, 'SAÍDA DE VENDAS'!$B$6:$B$500, 0)), "")&amp; IF(COUNTIF('SAÍDA DE VENDAS'!$B$6:$B$500, B58)&gt;1, " + " &amp; IFERROR(INDEX('SAÍDA DE VENDAS'!$H$6:$H$500 &amp; "x " &amp; 'SAÍDA DE VENDAS'!$G$6:$G$500, MATCH(B58, 'SAÍDA DE VENDAS'!$B$6:$B$500, 0)+1), ""), "")&amp; IF(COUNTIF('SAÍDA DE VENDAS'!$B$6:$B$500, B58)&gt;2, " + " &amp; IFERROR(INDEX('SAÍDA DE VENDAS'!$H$6:$H$500 &amp; "x " &amp; 'SAÍDA DE VENDAS'!$G$6:$G$500, MATCH(B58, 'SAÍDA DE VENDAS'!$B$6:$B$500, 0)+2), ""), "")&amp; IF(COUNTIF('SAÍDA DE VENDAS'!$B$6:$B$500, B58)&gt;3, " + " &amp; IFERROR(INDEX('SAÍDA DE VENDAS'!$H$6:$H$500 &amp; "x " &amp; 'SAÍDA DE VENDAS'!$G$6:$G$500, MATCH(B58, 'SAÍDA DE VENDAS'!$B$6:$B$500, 0)+3), ""), "")&amp; IF(COUNTIF('SAÍDA DE VENDAS'!$B$6:$B$500, B58)&gt;4, " + " &amp; IFERROR(INDEX('SAÍDA DE VENDAS'!$H$6:$H$500 &amp; "x " &amp; 'SAÍDA DE VENDAS'!$G$6:$G$500, MATCH(B58, 'SAÍDA DE VENDAS'!$B$6:$B$500, 0)+4), ""), "")&amp; IF(COUNTIF('SAÍDA DE VENDAS'!$B$6:$B$500, B58)&gt;5, " + " &amp; IFERROR(INDEX('SAÍDA DE VENDAS'!$H$6:$H$500 &amp; "x " &amp; 'SAÍDA DE VENDAS'!$G$6:$G$500, MATCH(B58, 'SAÍDA DE VENDAS'!$B$6:$B$500, 0)+5), ""), ""))</f>
        <v/>
      </c>
      <c r="G58" s="28">
        <f>IFERROR(VLOOKUP(B58,'SAÍDA DE VENDAS'!$B$6:$P$500,10,FALSE),"")</f>
        <v>0</v>
      </c>
      <c r="H58" s="28" t="str">
        <f>IF(OR(ISBLANK(B58),B58=""), "", IF(B58=B57, (VALUE(LEFT(H57,FIND("/",H57)-1))+1)&amp;"/"&amp;RIGHT(H57,LEN(H57)-FIND("/",H57)), "1/"&amp;IFERROR(VLOOKUP(B58,'SAÍDA DE VENDAS'!$B$6:$P$500,13,FALSE),"1")))</f>
        <v/>
      </c>
      <c r="I58" s="69" t="str">
        <f t="shared" si="0"/>
        <v/>
      </c>
      <c r="J58" s="33" t="str">
        <f>IFERROR(VLOOKUP(B58,'SAÍDA DE VENDAS'!$B$6:$P$500,15,FALSE),"")</f>
        <v/>
      </c>
      <c r="K58" s="28" t="str">
        <f t="shared" ca="1" si="1"/>
        <v/>
      </c>
      <c r="L58" s="28"/>
      <c r="M58" s="28"/>
    </row>
    <row r="59" spans="2:13" ht="15" customHeight="1" x14ac:dyDescent="0.3">
      <c r="B59" s="34" t="str">
        <f>IF(B58="","", IF(VALUE(LEFT(H58,FIND("/",H58)-1)) &lt; VALUE(RIGHT(H58,LEN(H58)-FIND("/",H58))), B58, IFERROR(INDEX('SAÍDA DE VENDAS'!$B$6:$B$500, MATCH(B58,'SAÍDA DE VENDAS'!$B$6:$B$500,0)+COUNTIF('SAÍDA DE VENDAS'!$B$6:$B$500, B58)),"")))</f>
        <v/>
      </c>
      <c r="C59" s="35">
        <f>IFERROR(VLOOKUP(B59,'SAÍDA DE VENDAS'!$B$6:$P$500,3,FALSE),"")</f>
        <v>0</v>
      </c>
      <c r="D59" s="34">
        <f>IFERROR(VLOOKUP(B59,'SAÍDA DE VENDAS'!$B$6:$P$500,4,FALSE),"")</f>
        <v>0</v>
      </c>
      <c r="E59" s="34" t="str">
        <f>IFERROR(VLOOKUP(B59,'SAÍDA DE VENDAS'!$B$6:$P$500,5,FALSE),"")</f>
        <v/>
      </c>
      <c r="F59" s="34" t="str">
        <f>IF(OR(ISBLANK(B59),B59=""), "", IFERROR(INDEX('SAÍDA DE VENDAS'!$H$6:$H$500 &amp; "x " &amp; 'SAÍDA DE VENDAS'!$G$6:$G$500, MATCH(B59, 'SAÍDA DE VENDAS'!$B$6:$B$500, 0)), "")&amp; IF(COUNTIF('SAÍDA DE VENDAS'!$B$6:$B$500, B59)&gt;1, " + " &amp; IFERROR(INDEX('SAÍDA DE VENDAS'!$H$6:$H$500 &amp; "x " &amp; 'SAÍDA DE VENDAS'!$G$6:$G$500, MATCH(B59, 'SAÍDA DE VENDAS'!$B$6:$B$500, 0)+1), ""), "")&amp; IF(COUNTIF('SAÍDA DE VENDAS'!$B$6:$B$500, B59)&gt;2, " + " &amp; IFERROR(INDEX('SAÍDA DE VENDAS'!$H$6:$H$500 &amp; "x " &amp; 'SAÍDA DE VENDAS'!$G$6:$G$500, MATCH(B59, 'SAÍDA DE VENDAS'!$B$6:$B$500, 0)+2), ""), "")&amp; IF(COUNTIF('SAÍDA DE VENDAS'!$B$6:$B$500, B59)&gt;3, " + " &amp; IFERROR(INDEX('SAÍDA DE VENDAS'!$H$6:$H$500 &amp; "x " &amp; 'SAÍDA DE VENDAS'!$G$6:$G$500, MATCH(B59, 'SAÍDA DE VENDAS'!$B$6:$B$500, 0)+3), ""), "")&amp; IF(COUNTIF('SAÍDA DE VENDAS'!$B$6:$B$500, B59)&gt;4, " + " &amp; IFERROR(INDEX('SAÍDA DE VENDAS'!$H$6:$H$500 &amp; "x " &amp; 'SAÍDA DE VENDAS'!$G$6:$G$500, MATCH(B59, 'SAÍDA DE VENDAS'!$B$6:$B$500, 0)+4), ""), "")&amp; IF(COUNTIF('SAÍDA DE VENDAS'!$B$6:$B$500, B59)&gt;5, " + " &amp; IFERROR(INDEX('SAÍDA DE VENDAS'!$H$6:$H$500 &amp; "x " &amp; 'SAÍDA DE VENDAS'!$G$6:$G$500, MATCH(B59, 'SAÍDA DE VENDAS'!$B$6:$B$500, 0)+5), ""), ""))</f>
        <v/>
      </c>
      <c r="G59" s="34">
        <f>IFERROR(VLOOKUP(B59,'SAÍDA DE VENDAS'!$B$6:$P$500,10,FALSE),"")</f>
        <v>0</v>
      </c>
      <c r="H59" s="34" t="str">
        <f>IF(OR(ISBLANK(B59),B59=""), "", IF(B59=B58, (VALUE(LEFT(H58,FIND("/",H58)-1))+1)&amp;"/"&amp;RIGHT(H58,LEN(H58)-FIND("/",H58)), "1/"&amp;IFERROR(VLOOKUP(B59,'SAÍDA DE VENDAS'!$B$6:$P$500,13,FALSE),"1")))</f>
        <v/>
      </c>
      <c r="I59" s="35" t="str">
        <f t="shared" si="0"/>
        <v/>
      </c>
      <c r="J59" s="39" t="str">
        <f>IFERROR(VLOOKUP(B59,'SAÍDA DE VENDAS'!$B$6:$P$500,15,FALSE),"")</f>
        <v/>
      </c>
      <c r="K59" s="34" t="str">
        <f t="shared" ca="1" si="1"/>
        <v/>
      </c>
      <c r="L59" s="34"/>
      <c r="M59" s="34"/>
    </row>
    <row r="60" spans="2:13" ht="15" customHeight="1" x14ac:dyDescent="0.3">
      <c r="B60" s="28" t="str">
        <f>IF(B59="","", IF(VALUE(LEFT(H59,FIND("/",H59)-1)) &lt; VALUE(RIGHT(H59,LEN(H59)-FIND("/",H59))), B59, IFERROR(INDEX('SAÍDA DE VENDAS'!$B$6:$B$500, MATCH(B59,'SAÍDA DE VENDAS'!$B$6:$B$500,0)+COUNTIF('SAÍDA DE VENDAS'!$B$6:$B$500, B59)),"")))</f>
        <v/>
      </c>
      <c r="C60" s="29">
        <f>IFERROR(VLOOKUP(B60,'SAÍDA DE VENDAS'!$B$6:$P$500,3,FALSE),"")</f>
        <v>0</v>
      </c>
      <c r="D60" s="28">
        <f>IFERROR(VLOOKUP(B60,'SAÍDA DE VENDAS'!$B$6:$P$500,4,FALSE),"")</f>
        <v>0</v>
      </c>
      <c r="E60" s="28" t="str">
        <f>IFERROR(VLOOKUP(B60,'SAÍDA DE VENDAS'!$B$6:$P$500,5,FALSE),"")</f>
        <v/>
      </c>
      <c r="F60" s="28" t="str">
        <f>IF(OR(ISBLANK(B60),B60=""), "", IFERROR(INDEX('SAÍDA DE VENDAS'!$H$6:$H$500 &amp; "x " &amp; 'SAÍDA DE VENDAS'!$G$6:$G$500, MATCH(B60, 'SAÍDA DE VENDAS'!$B$6:$B$500, 0)), "")&amp; IF(COUNTIF('SAÍDA DE VENDAS'!$B$6:$B$500, B60)&gt;1, " + " &amp; IFERROR(INDEX('SAÍDA DE VENDAS'!$H$6:$H$500 &amp; "x " &amp; 'SAÍDA DE VENDAS'!$G$6:$G$500, MATCH(B60, 'SAÍDA DE VENDAS'!$B$6:$B$500, 0)+1), ""), "")&amp; IF(COUNTIF('SAÍDA DE VENDAS'!$B$6:$B$500, B60)&gt;2, " + " &amp; IFERROR(INDEX('SAÍDA DE VENDAS'!$H$6:$H$500 &amp; "x " &amp; 'SAÍDA DE VENDAS'!$G$6:$G$500, MATCH(B60, 'SAÍDA DE VENDAS'!$B$6:$B$500, 0)+2), ""), "")&amp; IF(COUNTIF('SAÍDA DE VENDAS'!$B$6:$B$500, B60)&gt;3, " + " &amp; IFERROR(INDEX('SAÍDA DE VENDAS'!$H$6:$H$500 &amp; "x " &amp; 'SAÍDA DE VENDAS'!$G$6:$G$500, MATCH(B60, 'SAÍDA DE VENDAS'!$B$6:$B$500, 0)+3), ""), "")&amp; IF(COUNTIF('SAÍDA DE VENDAS'!$B$6:$B$500, B60)&gt;4, " + " &amp; IFERROR(INDEX('SAÍDA DE VENDAS'!$H$6:$H$500 &amp; "x " &amp; 'SAÍDA DE VENDAS'!$G$6:$G$500, MATCH(B60, 'SAÍDA DE VENDAS'!$B$6:$B$500, 0)+4), ""), "")&amp; IF(COUNTIF('SAÍDA DE VENDAS'!$B$6:$B$500, B60)&gt;5, " + " &amp; IFERROR(INDEX('SAÍDA DE VENDAS'!$H$6:$H$500 &amp; "x " &amp; 'SAÍDA DE VENDAS'!$G$6:$G$500, MATCH(B60, 'SAÍDA DE VENDAS'!$B$6:$B$500, 0)+5), ""), ""))</f>
        <v/>
      </c>
      <c r="G60" s="28">
        <f>IFERROR(VLOOKUP(B60,'SAÍDA DE VENDAS'!$B$6:$P$500,10,FALSE),"")</f>
        <v>0</v>
      </c>
      <c r="H60" s="28" t="str">
        <f>IF(OR(ISBLANK(B60),B60=""), "", IF(B60=B59, (VALUE(LEFT(H59,FIND("/",H59)-1))+1)&amp;"/"&amp;RIGHT(H59,LEN(H59)-FIND("/",H59)), "1/"&amp;IFERROR(VLOOKUP(B60,'SAÍDA DE VENDAS'!$B$6:$P$500,13,FALSE),"1")))</f>
        <v/>
      </c>
      <c r="I60" s="69" t="str">
        <f t="shared" si="0"/>
        <v/>
      </c>
      <c r="J60" s="33" t="str">
        <f>IFERROR(VLOOKUP(B60,'SAÍDA DE VENDAS'!$B$6:$P$500,15,FALSE),"")</f>
        <v/>
      </c>
      <c r="K60" s="28" t="str">
        <f t="shared" ca="1" si="1"/>
        <v/>
      </c>
      <c r="L60" s="28"/>
      <c r="M60" s="28"/>
    </row>
    <row r="61" spans="2:13" ht="15" customHeight="1" x14ac:dyDescent="0.3">
      <c r="B61" s="34" t="str">
        <f>IF(B60="","", IF(VALUE(LEFT(H60,FIND("/",H60)-1)) &lt; VALUE(RIGHT(H60,LEN(H60)-FIND("/",H60))), B60, IFERROR(INDEX('SAÍDA DE VENDAS'!$B$6:$B$500, MATCH(B60,'SAÍDA DE VENDAS'!$B$6:$B$500,0)+COUNTIF('SAÍDA DE VENDAS'!$B$6:$B$500, B60)),"")))</f>
        <v/>
      </c>
      <c r="C61" s="35">
        <f>IFERROR(VLOOKUP(B61,'SAÍDA DE VENDAS'!$B$6:$P$500,3,FALSE),"")</f>
        <v>0</v>
      </c>
      <c r="D61" s="34">
        <f>IFERROR(VLOOKUP(B61,'SAÍDA DE VENDAS'!$B$6:$P$500,4,FALSE),"")</f>
        <v>0</v>
      </c>
      <c r="E61" s="34" t="str">
        <f>IFERROR(VLOOKUP(B61,'SAÍDA DE VENDAS'!$B$6:$P$500,5,FALSE),"")</f>
        <v/>
      </c>
      <c r="F61" s="34" t="str">
        <f>IF(OR(ISBLANK(B61),B61=""), "", IFERROR(INDEX('SAÍDA DE VENDAS'!$H$6:$H$500 &amp; "x " &amp; 'SAÍDA DE VENDAS'!$G$6:$G$500, MATCH(B61, 'SAÍDA DE VENDAS'!$B$6:$B$500, 0)), "")&amp; IF(COUNTIF('SAÍDA DE VENDAS'!$B$6:$B$500, B61)&gt;1, " + " &amp; IFERROR(INDEX('SAÍDA DE VENDAS'!$H$6:$H$500 &amp; "x " &amp; 'SAÍDA DE VENDAS'!$G$6:$G$500, MATCH(B61, 'SAÍDA DE VENDAS'!$B$6:$B$500, 0)+1), ""), "")&amp; IF(COUNTIF('SAÍDA DE VENDAS'!$B$6:$B$500, B61)&gt;2, " + " &amp; IFERROR(INDEX('SAÍDA DE VENDAS'!$H$6:$H$500 &amp; "x " &amp; 'SAÍDA DE VENDAS'!$G$6:$G$500, MATCH(B61, 'SAÍDA DE VENDAS'!$B$6:$B$500, 0)+2), ""), "")&amp; IF(COUNTIF('SAÍDA DE VENDAS'!$B$6:$B$500, B61)&gt;3, " + " &amp; IFERROR(INDEX('SAÍDA DE VENDAS'!$H$6:$H$500 &amp; "x " &amp; 'SAÍDA DE VENDAS'!$G$6:$G$500, MATCH(B61, 'SAÍDA DE VENDAS'!$B$6:$B$500, 0)+3), ""), "")&amp; IF(COUNTIF('SAÍDA DE VENDAS'!$B$6:$B$500, B61)&gt;4, " + " &amp; IFERROR(INDEX('SAÍDA DE VENDAS'!$H$6:$H$500 &amp; "x " &amp; 'SAÍDA DE VENDAS'!$G$6:$G$500, MATCH(B61, 'SAÍDA DE VENDAS'!$B$6:$B$500, 0)+4), ""), "")&amp; IF(COUNTIF('SAÍDA DE VENDAS'!$B$6:$B$500, B61)&gt;5, " + " &amp; IFERROR(INDEX('SAÍDA DE VENDAS'!$H$6:$H$500 &amp; "x " &amp; 'SAÍDA DE VENDAS'!$G$6:$G$500, MATCH(B61, 'SAÍDA DE VENDAS'!$B$6:$B$500, 0)+5), ""), ""))</f>
        <v/>
      </c>
      <c r="G61" s="34">
        <f>IFERROR(VLOOKUP(B61,'SAÍDA DE VENDAS'!$B$6:$P$500,10,FALSE),"")</f>
        <v>0</v>
      </c>
      <c r="H61" s="34" t="str">
        <f>IF(OR(ISBLANK(B61),B61=""), "", IF(B61=B60, (VALUE(LEFT(H60,FIND("/",H60)-1))+1)&amp;"/"&amp;RIGHT(H60,LEN(H60)-FIND("/",H60)), "1/"&amp;IFERROR(VLOOKUP(B61,'SAÍDA DE VENDAS'!$B$6:$P$500,13,FALSE),"1")))</f>
        <v/>
      </c>
      <c r="I61" s="35" t="str">
        <f t="shared" si="0"/>
        <v/>
      </c>
      <c r="J61" s="39" t="str">
        <f>IFERROR(VLOOKUP(B61,'SAÍDA DE VENDAS'!$B$6:$P$500,15,FALSE),"")</f>
        <v/>
      </c>
      <c r="K61" s="34" t="str">
        <f t="shared" ca="1" si="1"/>
        <v/>
      </c>
      <c r="L61" s="34"/>
      <c r="M61" s="34"/>
    </row>
    <row r="62" spans="2:13" ht="15" customHeight="1" x14ac:dyDescent="0.3">
      <c r="B62" s="28" t="str">
        <f>IF(B61="","", IF(VALUE(LEFT(H61,FIND("/",H61)-1)) &lt; VALUE(RIGHT(H61,LEN(H61)-FIND("/",H61))), B61, IFERROR(INDEX('SAÍDA DE VENDAS'!$B$6:$B$500, MATCH(B61,'SAÍDA DE VENDAS'!$B$6:$B$500,0)+COUNTIF('SAÍDA DE VENDAS'!$B$6:$B$500, B61)),"")))</f>
        <v/>
      </c>
      <c r="C62" s="29">
        <f>IFERROR(VLOOKUP(B62,'SAÍDA DE VENDAS'!$B$6:$P$500,3,FALSE),"")</f>
        <v>0</v>
      </c>
      <c r="D62" s="28">
        <f>IFERROR(VLOOKUP(B62,'SAÍDA DE VENDAS'!$B$6:$P$500,4,FALSE),"")</f>
        <v>0</v>
      </c>
      <c r="E62" s="28" t="str">
        <f>IFERROR(VLOOKUP(B62,'SAÍDA DE VENDAS'!$B$6:$P$500,5,FALSE),"")</f>
        <v/>
      </c>
      <c r="F62" s="28" t="str">
        <f>IF(OR(ISBLANK(B62),B62=""), "", IFERROR(INDEX('SAÍDA DE VENDAS'!$H$6:$H$500 &amp; "x " &amp; 'SAÍDA DE VENDAS'!$G$6:$G$500, MATCH(B62, 'SAÍDA DE VENDAS'!$B$6:$B$500, 0)), "")&amp; IF(COUNTIF('SAÍDA DE VENDAS'!$B$6:$B$500, B62)&gt;1, " + " &amp; IFERROR(INDEX('SAÍDA DE VENDAS'!$H$6:$H$500 &amp; "x " &amp; 'SAÍDA DE VENDAS'!$G$6:$G$500, MATCH(B62, 'SAÍDA DE VENDAS'!$B$6:$B$500, 0)+1), ""), "")&amp; IF(COUNTIF('SAÍDA DE VENDAS'!$B$6:$B$500, B62)&gt;2, " + " &amp; IFERROR(INDEX('SAÍDA DE VENDAS'!$H$6:$H$500 &amp; "x " &amp; 'SAÍDA DE VENDAS'!$G$6:$G$500, MATCH(B62, 'SAÍDA DE VENDAS'!$B$6:$B$500, 0)+2), ""), "")&amp; IF(COUNTIF('SAÍDA DE VENDAS'!$B$6:$B$500, B62)&gt;3, " + " &amp; IFERROR(INDEX('SAÍDA DE VENDAS'!$H$6:$H$500 &amp; "x " &amp; 'SAÍDA DE VENDAS'!$G$6:$G$500, MATCH(B62, 'SAÍDA DE VENDAS'!$B$6:$B$500, 0)+3), ""), "")&amp; IF(COUNTIF('SAÍDA DE VENDAS'!$B$6:$B$500, B62)&gt;4, " + " &amp; IFERROR(INDEX('SAÍDA DE VENDAS'!$H$6:$H$500 &amp; "x " &amp; 'SAÍDA DE VENDAS'!$G$6:$G$500, MATCH(B62, 'SAÍDA DE VENDAS'!$B$6:$B$500, 0)+4), ""), "")&amp; IF(COUNTIF('SAÍDA DE VENDAS'!$B$6:$B$500, B62)&gt;5, " + " &amp; IFERROR(INDEX('SAÍDA DE VENDAS'!$H$6:$H$500 &amp; "x " &amp; 'SAÍDA DE VENDAS'!$G$6:$G$500, MATCH(B62, 'SAÍDA DE VENDAS'!$B$6:$B$500, 0)+5), ""), ""))</f>
        <v/>
      </c>
      <c r="G62" s="28">
        <f>IFERROR(VLOOKUP(B62,'SAÍDA DE VENDAS'!$B$6:$P$500,10,FALSE),"")</f>
        <v>0</v>
      </c>
      <c r="H62" s="28" t="str">
        <f>IF(OR(ISBLANK(B62),B62=""), "", IF(B62=B61, (VALUE(LEFT(H61,FIND("/",H61)-1))+1)&amp;"/"&amp;RIGHT(H61,LEN(H61)-FIND("/",H61)), "1/"&amp;IFERROR(VLOOKUP(B62,'SAÍDA DE VENDAS'!$B$6:$P$500,13,FALSE),"1")))</f>
        <v/>
      </c>
      <c r="I62" s="69" t="str">
        <f t="shared" si="0"/>
        <v/>
      </c>
      <c r="J62" s="33" t="str">
        <f>IFERROR(VLOOKUP(B62,'SAÍDA DE VENDAS'!$B$6:$P$500,15,FALSE),"")</f>
        <v/>
      </c>
      <c r="K62" s="28" t="str">
        <f t="shared" ca="1" si="1"/>
        <v/>
      </c>
      <c r="L62" s="28"/>
      <c r="M62" s="28"/>
    </row>
    <row r="63" spans="2:13" ht="15" customHeight="1" x14ac:dyDescent="0.3">
      <c r="B63" s="34" t="str">
        <f>IF(B62="","", IF(VALUE(LEFT(H62,FIND("/",H62)-1)) &lt; VALUE(RIGHT(H62,LEN(H62)-FIND("/",H62))), B62, IFERROR(INDEX('SAÍDA DE VENDAS'!$B$6:$B$500, MATCH(B62,'SAÍDA DE VENDAS'!$B$6:$B$500,0)+COUNTIF('SAÍDA DE VENDAS'!$B$6:$B$500, B62)),"")))</f>
        <v/>
      </c>
      <c r="C63" s="35">
        <f>IFERROR(VLOOKUP(B63,'SAÍDA DE VENDAS'!$B$6:$P$500,3,FALSE),"")</f>
        <v>0</v>
      </c>
      <c r="D63" s="34">
        <f>IFERROR(VLOOKUP(B63,'SAÍDA DE VENDAS'!$B$6:$P$500,4,FALSE),"")</f>
        <v>0</v>
      </c>
      <c r="E63" s="34" t="str">
        <f>IFERROR(VLOOKUP(B63,'SAÍDA DE VENDAS'!$B$6:$P$500,5,FALSE),"")</f>
        <v/>
      </c>
      <c r="F63" s="34" t="str">
        <f>IF(OR(ISBLANK(B63),B63=""), "", IFERROR(INDEX('SAÍDA DE VENDAS'!$H$6:$H$500 &amp; "x " &amp; 'SAÍDA DE VENDAS'!$G$6:$G$500, MATCH(B63, 'SAÍDA DE VENDAS'!$B$6:$B$500, 0)), "")&amp; IF(COUNTIF('SAÍDA DE VENDAS'!$B$6:$B$500, B63)&gt;1, " + " &amp; IFERROR(INDEX('SAÍDA DE VENDAS'!$H$6:$H$500 &amp; "x " &amp; 'SAÍDA DE VENDAS'!$G$6:$G$500, MATCH(B63, 'SAÍDA DE VENDAS'!$B$6:$B$500, 0)+1), ""), "")&amp; IF(COUNTIF('SAÍDA DE VENDAS'!$B$6:$B$500, B63)&gt;2, " + " &amp; IFERROR(INDEX('SAÍDA DE VENDAS'!$H$6:$H$500 &amp; "x " &amp; 'SAÍDA DE VENDAS'!$G$6:$G$500, MATCH(B63, 'SAÍDA DE VENDAS'!$B$6:$B$500, 0)+2), ""), "")&amp; IF(COUNTIF('SAÍDA DE VENDAS'!$B$6:$B$500, B63)&gt;3, " + " &amp; IFERROR(INDEX('SAÍDA DE VENDAS'!$H$6:$H$500 &amp; "x " &amp; 'SAÍDA DE VENDAS'!$G$6:$G$500, MATCH(B63, 'SAÍDA DE VENDAS'!$B$6:$B$500, 0)+3), ""), "")&amp; IF(COUNTIF('SAÍDA DE VENDAS'!$B$6:$B$500, B63)&gt;4, " + " &amp; IFERROR(INDEX('SAÍDA DE VENDAS'!$H$6:$H$500 &amp; "x " &amp; 'SAÍDA DE VENDAS'!$G$6:$G$500, MATCH(B63, 'SAÍDA DE VENDAS'!$B$6:$B$500, 0)+4), ""), "")&amp; IF(COUNTIF('SAÍDA DE VENDAS'!$B$6:$B$500, B63)&gt;5, " + " &amp; IFERROR(INDEX('SAÍDA DE VENDAS'!$H$6:$H$500 &amp; "x " &amp; 'SAÍDA DE VENDAS'!$G$6:$G$500, MATCH(B63, 'SAÍDA DE VENDAS'!$B$6:$B$500, 0)+5), ""), ""))</f>
        <v/>
      </c>
      <c r="G63" s="34">
        <f>IFERROR(VLOOKUP(B63,'SAÍDA DE VENDAS'!$B$6:$P$500,10,FALSE),"")</f>
        <v>0</v>
      </c>
      <c r="H63" s="34" t="str">
        <f>IF(OR(ISBLANK(B63),B63=""), "", IF(B63=B62, (VALUE(LEFT(H62,FIND("/",H62)-1))+1)&amp;"/"&amp;RIGHT(H62,LEN(H62)-FIND("/",H62)), "1/"&amp;IFERROR(VLOOKUP(B63,'SAÍDA DE VENDAS'!$B$6:$P$500,13,FALSE),"1")))</f>
        <v/>
      </c>
      <c r="I63" s="35" t="str">
        <f t="shared" si="0"/>
        <v/>
      </c>
      <c r="J63" s="39" t="str">
        <f>IFERROR(VLOOKUP(B63,'SAÍDA DE VENDAS'!$B$6:$P$500,15,FALSE),"")</f>
        <v/>
      </c>
      <c r="K63" s="34" t="str">
        <f t="shared" ca="1" si="1"/>
        <v/>
      </c>
      <c r="L63" s="34"/>
      <c r="M63" s="34"/>
    </row>
    <row r="64" spans="2:13" ht="15" customHeight="1" x14ac:dyDescent="0.3">
      <c r="B64" s="28" t="str">
        <f>IF(B63="","", IF(VALUE(LEFT(H63,FIND("/",H63)-1)) &lt; VALUE(RIGHT(H63,LEN(H63)-FIND("/",H63))), B63, IFERROR(INDEX('SAÍDA DE VENDAS'!$B$6:$B$500, MATCH(B63,'SAÍDA DE VENDAS'!$B$6:$B$500,0)+COUNTIF('SAÍDA DE VENDAS'!$B$6:$B$500, B63)),"")))</f>
        <v/>
      </c>
      <c r="C64" s="29">
        <f>IFERROR(VLOOKUP(B64,'SAÍDA DE VENDAS'!$B$6:$P$500,3,FALSE),"")</f>
        <v>0</v>
      </c>
      <c r="D64" s="28">
        <f>IFERROR(VLOOKUP(B64,'SAÍDA DE VENDAS'!$B$6:$P$500,4,FALSE),"")</f>
        <v>0</v>
      </c>
      <c r="E64" s="28" t="str">
        <f>IFERROR(VLOOKUP(B64,'SAÍDA DE VENDAS'!$B$6:$P$500,5,FALSE),"")</f>
        <v/>
      </c>
      <c r="F64" s="28" t="str">
        <f>IF(OR(ISBLANK(B64),B64=""), "", IFERROR(INDEX('SAÍDA DE VENDAS'!$H$6:$H$500 &amp; "x " &amp; 'SAÍDA DE VENDAS'!$G$6:$G$500, MATCH(B64, 'SAÍDA DE VENDAS'!$B$6:$B$500, 0)), "")&amp; IF(COUNTIF('SAÍDA DE VENDAS'!$B$6:$B$500, B64)&gt;1, " + " &amp; IFERROR(INDEX('SAÍDA DE VENDAS'!$H$6:$H$500 &amp; "x " &amp; 'SAÍDA DE VENDAS'!$G$6:$G$500, MATCH(B64, 'SAÍDA DE VENDAS'!$B$6:$B$500, 0)+1), ""), "")&amp; IF(COUNTIF('SAÍDA DE VENDAS'!$B$6:$B$500, B64)&gt;2, " + " &amp; IFERROR(INDEX('SAÍDA DE VENDAS'!$H$6:$H$500 &amp; "x " &amp; 'SAÍDA DE VENDAS'!$G$6:$G$500, MATCH(B64, 'SAÍDA DE VENDAS'!$B$6:$B$500, 0)+2), ""), "")&amp; IF(COUNTIF('SAÍDA DE VENDAS'!$B$6:$B$500, B64)&gt;3, " + " &amp; IFERROR(INDEX('SAÍDA DE VENDAS'!$H$6:$H$500 &amp; "x " &amp; 'SAÍDA DE VENDAS'!$G$6:$G$500, MATCH(B64, 'SAÍDA DE VENDAS'!$B$6:$B$500, 0)+3), ""), "")&amp; IF(COUNTIF('SAÍDA DE VENDAS'!$B$6:$B$500, B64)&gt;4, " + " &amp; IFERROR(INDEX('SAÍDA DE VENDAS'!$H$6:$H$500 &amp; "x " &amp; 'SAÍDA DE VENDAS'!$G$6:$G$500, MATCH(B64, 'SAÍDA DE VENDAS'!$B$6:$B$500, 0)+4), ""), "")&amp; IF(COUNTIF('SAÍDA DE VENDAS'!$B$6:$B$500, B64)&gt;5, " + " &amp; IFERROR(INDEX('SAÍDA DE VENDAS'!$H$6:$H$500 &amp; "x " &amp; 'SAÍDA DE VENDAS'!$G$6:$G$500, MATCH(B64, 'SAÍDA DE VENDAS'!$B$6:$B$500, 0)+5), ""), ""))</f>
        <v/>
      </c>
      <c r="G64" s="28">
        <f>IFERROR(VLOOKUP(B64,'SAÍDA DE VENDAS'!$B$6:$P$500,10,FALSE),"")</f>
        <v>0</v>
      </c>
      <c r="H64" s="28" t="str">
        <f>IF(OR(ISBLANK(B64),B64=""), "", IF(B64=B63, (VALUE(LEFT(H63,FIND("/",H63)-1))+1)&amp;"/"&amp;RIGHT(H63,LEN(H63)-FIND("/",H63)), "1/"&amp;IFERROR(VLOOKUP(B64,'SAÍDA DE VENDAS'!$B$6:$P$500,13,FALSE),"1")))</f>
        <v/>
      </c>
      <c r="I64" s="69" t="str">
        <f t="shared" si="0"/>
        <v/>
      </c>
      <c r="J64" s="33" t="str">
        <f>IFERROR(VLOOKUP(B64,'SAÍDA DE VENDAS'!$B$6:$P$500,15,FALSE),"")</f>
        <v/>
      </c>
      <c r="K64" s="28" t="str">
        <f t="shared" ca="1" si="1"/>
        <v/>
      </c>
      <c r="L64" s="28"/>
      <c r="M64" s="28"/>
    </row>
    <row r="65" spans="2:13" ht="15" customHeight="1" x14ac:dyDescent="0.3">
      <c r="B65" s="34" t="str">
        <f>IF(B64="","", IF(VALUE(LEFT(H64,FIND("/",H64)-1)) &lt; VALUE(RIGHT(H64,LEN(H64)-FIND("/",H64))), B64, IFERROR(INDEX('SAÍDA DE VENDAS'!$B$6:$B$500, MATCH(B64,'SAÍDA DE VENDAS'!$B$6:$B$500,0)+COUNTIF('SAÍDA DE VENDAS'!$B$6:$B$500, B64)),"")))</f>
        <v/>
      </c>
      <c r="C65" s="35">
        <f>IFERROR(VLOOKUP(B65,'SAÍDA DE VENDAS'!$B$6:$P$500,3,FALSE),"")</f>
        <v>0</v>
      </c>
      <c r="D65" s="34">
        <f>IFERROR(VLOOKUP(B65,'SAÍDA DE VENDAS'!$B$6:$P$500,4,FALSE),"")</f>
        <v>0</v>
      </c>
      <c r="E65" s="34" t="str">
        <f>IFERROR(VLOOKUP(B65,'SAÍDA DE VENDAS'!$B$6:$P$500,5,FALSE),"")</f>
        <v/>
      </c>
      <c r="F65" s="34" t="str">
        <f>IF(OR(ISBLANK(B65),B65=""), "", IFERROR(INDEX('SAÍDA DE VENDAS'!$H$6:$H$500 &amp; "x " &amp; 'SAÍDA DE VENDAS'!$G$6:$G$500, MATCH(B65, 'SAÍDA DE VENDAS'!$B$6:$B$500, 0)), "")&amp; IF(COUNTIF('SAÍDA DE VENDAS'!$B$6:$B$500, B65)&gt;1, " + " &amp; IFERROR(INDEX('SAÍDA DE VENDAS'!$H$6:$H$500 &amp; "x " &amp; 'SAÍDA DE VENDAS'!$G$6:$G$500, MATCH(B65, 'SAÍDA DE VENDAS'!$B$6:$B$500, 0)+1), ""), "")&amp; IF(COUNTIF('SAÍDA DE VENDAS'!$B$6:$B$500, B65)&gt;2, " + " &amp; IFERROR(INDEX('SAÍDA DE VENDAS'!$H$6:$H$500 &amp; "x " &amp; 'SAÍDA DE VENDAS'!$G$6:$G$500, MATCH(B65, 'SAÍDA DE VENDAS'!$B$6:$B$500, 0)+2), ""), "")&amp; IF(COUNTIF('SAÍDA DE VENDAS'!$B$6:$B$500, B65)&gt;3, " + " &amp; IFERROR(INDEX('SAÍDA DE VENDAS'!$H$6:$H$500 &amp; "x " &amp; 'SAÍDA DE VENDAS'!$G$6:$G$500, MATCH(B65, 'SAÍDA DE VENDAS'!$B$6:$B$500, 0)+3), ""), "")&amp; IF(COUNTIF('SAÍDA DE VENDAS'!$B$6:$B$500, B65)&gt;4, " + " &amp; IFERROR(INDEX('SAÍDA DE VENDAS'!$H$6:$H$500 &amp; "x " &amp; 'SAÍDA DE VENDAS'!$G$6:$G$500, MATCH(B65, 'SAÍDA DE VENDAS'!$B$6:$B$500, 0)+4), ""), "")&amp; IF(COUNTIF('SAÍDA DE VENDAS'!$B$6:$B$500, B65)&gt;5, " + " &amp; IFERROR(INDEX('SAÍDA DE VENDAS'!$H$6:$H$500 &amp; "x " &amp; 'SAÍDA DE VENDAS'!$G$6:$G$500, MATCH(B65, 'SAÍDA DE VENDAS'!$B$6:$B$500, 0)+5), ""), ""))</f>
        <v/>
      </c>
      <c r="G65" s="34">
        <f>IFERROR(VLOOKUP(B65,'SAÍDA DE VENDAS'!$B$6:$P$500,10,FALSE),"")</f>
        <v>0</v>
      </c>
      <c r="H65" s="34" t="str">
        <f>IF(OR(ISBLANK(B65),B65=""), "", IF(B65=B64, (VALUE(LEFT(H64,FIND("/",H64)-1))+1)&amp;"/"&amp;RIGHT(H64,LEN(H64)-FIND("/",H64)), "1/"&amp;IFERROR(VLOOKUP(B65,'SAÍDA DE VENDAS'!$B$6:$P$500,13,FALSE),"1")))</f>
        <v/>
      </c>
      <c r="I65" s="35" t="str">
        <f t="shared" si="0"/>
        <v/>
      </c>
      <c r="J65" s="39" t="str">
        <f>IFERROR(VLOOKUP(B65,'SAÍDA DE VENDAS'!$B$6:$P$500,15,FALSE),"")</f>
        <v/>
      </c>
      <c r="K65" s="34" t="str">
        <f t="shared" ca="1" si="1"/>
        <v/>
      </c>
      <c r="L65" s="34"/>
      <c r="M65" s="34"/>
    </row>
    <row r="66" spans="2:13" ht="15" customHeight="1" x14ac:dyDescent="0.3">
      <c r="B66" s="28" t="str">
        <f>IF(B65="","", IF(VALUE(LEFT(H65,FIND("/",H65)-1)) &lt; VALUE(RIGHT(H65,LEN(H65)-FIND("/",H65))), B65, IFERROR(INDEX('SAÍDA DE VENDAS'!$B$6:$B$500, MATCH(B65,'SAÍDA DE VENDAS'!$B$6:$B$500,0)+COUNTIF('SAÍDA DE VENDAS'!$B$6:$B$500, B65)),"")))</f>
        <v/>
      </c>
      <c r="C66" s="29">
        <f>IFERROR(VLOOKUP(B66,'SAÍDA DE VENDAS'!$B$6:$P$500,3,FALSE),"")</f>
        <v>0</v>
      </c>
      <c r="D66" s="28">
        <f>IFERROR(VLOOKUP(B66,'SAÍDA DE VENDAS'!$B$6:$P$500,4,FALSE),"")</f>
        <v>0</v>
      </c>
      <c r="E66" s="28" t="str">
        <f>IFERROR(VLOOKUP(B66,'SAÍDA DE VENDAS'!$B$6:$P$500,5,FALSE),"")</f>
        <v/>
      </c>
      <c r="F66" s="28" t="str">
        <f>IF(OR(ISBLANK(B66),B66=""), "", IFERROR(INDEX('SAÍDA DE VENDAS'!$H$6:$H$500 &amp; "x " &amp; 'SAÍDA DE VENDAS'!$G$6:$G$500, MATCH(B66, 'SAÍDA DE VENDAS'!$B$6:$B$500, 0)), "")&amp; IF(COUNTIF('SAÍDA DE VENDAS'!$B$6:$B$500, B66)&gt;1, " + " &amp; IFERROR(INDEX('SAÍDA DE VENDAS'!$H$6:$H$500 &amp; "x " &amp; 'SAÍDA DE VENDAS'!$G$6:$G$500, MATCH(B66, 'SAÍDA DE VENDAS'!$B$6:$B$500, 0)+1), ""), "")&amp; IF(COUNTIF('SAÍDA DE VENDAS'!$B$6:$B$500, B66)&gt;2, " + " &amp; IFERROR(INDEX('SAÍDA DE VENDAS'!$H$6:$H$500 &amp; "x " &amp; 'SAÍDA DE VENDAS'!$G$6:$G$500, MATCH(B66, 'SAÍDA DE VENDAS'!$B$6:$B$500, 0)+2), ""), "")&amp; IF(COUNTIF('SAÍDA DE VENDAS'!$B$6:$B$500, B66)&gt;3, " + " &amp; IFERROR(INDEX('SAÍDA DE VENDAS'!$H$6:$H$500 &amp; "x " &amp; 'SAÍDA DE VENDAS'!$G$6:$G$500, MATCH(B66, 'SAÍDA DE VENDAS'!$B$6:$B$500, 0)+3), ""), "")&amp; IF(COUNTIF('SAÍDA DE VENDAS'!$B$6:$B$500, B66)&gt;4, " + " &amp; IFERROR(INDEX('SAÍDA DE VENDAS'!$H$6:$H$500 &amp; "x " &amp; 'SAÍDA DE VENDAS'!$G$6:$G$500, MATCH(B66, 'SAÍDA DE VENDAS'!$B$6:$B$500, 0)+4), ""), "")&amp; IF(COUNTIF('SAÍDA DE VENDAS'!$B$6:$B$500, B66)&gt;5, " + " &amp; IFERROR(INDEX('SAÍDA DE VENDAS'!$H$6:$H$500 &amp; "x " &amp; 'SAÍDA DE VENDAS'!$G$6:$G$500, MATCH(B66, 'SAÍDA DE VENDAS'!$B$6:$B$500, 0)+5), ""), ""))</f>
        <v/>
      </c>
      <c r="G66" s="28">
        <f>IFERROR(VLOOKUP(B66,'SAÍDA DE VENDAS'!$B$6:$P$500,10,FALSE),"")</f>
        <v>0</v>
      </c>
      <c r="H66" s="28" t="str">
        <f>IF(OR(ISBLANK(B66),B66=""), "", IF(B66=B65, (VALUE(LEFT(H65,FIND("/",H65)-1))+1)&amp;"/"&amp;RIGHT(H65,LEN(H65)-FIND("/",H65)), "1/"&amp;IFERROR(VLOOKUP(B66,'SAÍDA DE VENDAS'!$B$6:$P$500,13,FALSE),"1")))</f>
        <v/>
      </c>
      <c r="I66" s="69" t="str">
        <f t="shared" si="0"/>
        <v/>
      </c>
      <c r="J66" s="33" t="str">
        <f>IFERROR(VLOOKUP(B66,'SAÍDA DE VENDAS'!$B$6:$P$500,15,FALSE),"")</f>
        <v/>
      </c>
      <c r="K66" s="28" t="str">
        <f t="shared" ca="1" si="1"/>
        <v/>
      </c>
      <c r="L66" s="28"/>
      <c r="M66" s="28"/>
    </row>
    <row r="67" spans="2:13" ht="15" customHeight="1" x14ac:dyDescent="0.3">
      <c r="B67" s="34" t="str">
        <f>IF(B66="","", IF(VALUE(LEFT(H66,FIND("/",H66)-1)) &lt; VALUE(RIGHT(H66,LEN(H66)-FIND("/",H66))), B66, IFERROR(INDEX('SAÍDA DE VENDAS'!$B$6:$B$500, MATCH(B66,'SAÍDA DE VENDAS'!$B$6:$B$500,0)+COUNTIF('SAÍDA DE VENDAS'!$B$6:$B$500, B66)),"")))</f>
        <v/>
      </c>
      <c r="C67" s="35">
        <f>IFERROR(VLOOKUP(B67,'SAÍDA DE VENDAS'!$B$6:$P$500,3,FALSE),"")</f>
        <v>0</v>
      </c>
      <c r="D67" s="34">
        <f>IFERROR(VLOOKUP(B67,'SAÍDA DE VENDAS'!$B$6:$P$500,4,FALSE),"")</f>
        <v>0</v>
      </c>
      <c r="E67" s="34" t="str">
        <f>IFERROR(VLOOKUP(B67,'SAÍDA DE VENDAS'!$B$6:$P$500,5,FALSE),"")</f>
        <v/>
      </c>
      <c r="F67" s="34" t="str">
        <f>IF(OR(ISBLANK(B67),B67=""), "", IFERROR(INDEX('SAÍDA DE VENDAS'!$H$6:$H$500 &amp; "x " &amp; 'SAÍDA DE VENDAS'!$G$6:$G$500, MATCH(B67, 'SAÍDA DE VENDAS'!$B$6:$B$500, 0)), "")&amp; IF(COUNTIF('SAÍDA DE VENDAS'!$B$6:$B$500, B67)&gt;1, " + " &amp; IFERROR(INDEX('SAÍDA DE VENDAS'!$H$6:$H$500 &amp; "x " &amp; 'SAÍDA DE VENDAS'!$G$6:$G$500, MATCH(B67, 'SAÍDA DE VENDAS'!$B$6:$B$500, 0)+1), ""), "")&amp; IF(COUNTIF('SAÍDA DE VENDAS'!$B$6:$B$500, B67)&gt;2, " + " &amp; IFERROR(INDEX('SAÍDA DE VENDAS'!$H$6:$H$500 &amp; "x " &amp; 'SAÍDA DE VENDAS'!$G$6:$G$500, MATCH(B67, 'SAÍDA DE VENDAS'!$B$6:$B$500, 0)+2), ""), "")&amp; IF(COUNTIF('SAÍDA DE VENDAS'!$B$6:$B$500, B67)&gt;3, " + " &amp; IFERROR(INDEX('SAÍDA DE VENDAS'!$H$6:$H$500 &amp; "x " &amp; 'SAÍDA DE VENDAS'!$G$6:$G$500, MATCH(B67, 'SAÍDA DE VENDAS'!$B$6:$B$500, 0)+3), ""), "")&amp; IF(COUNTIF('SAÍDA DE VENDAS'!$B$6:$B$500, B67)&gt;4, " + " &amp; IFERROR(INDEX('SAÍDA DE VENDAS'!$H$6:$H$500 &amp; "x " &amp; 'SAÍDA DE VENDAS'!$G$6:$G$500, MATCH(B67, 'SAÍDA DE VENDAS'!$B$6:$B$500, 0)+4), ""), "")&amp; IF(COUNTIF('SAÍDA DE VENDAS'!$B$6:$B$500, B67)&gt;5, " + " &amp; IFERROR(INDEX('SAÍDA DE VENDAS'!$H$6:$H$500 &amp; "x " &amp; 'SAÍDA DE VENDAS'!$G$6:$G$500, MATCH(B67, 'SAÍDA DE VENDAS'!$B$6:$B$500, 0)+5), ""), ""))</f>
        <v/>
      </c>
      <c r="G67" s="34">
        <f>IFERROR(VLOOKUP(B67,'SAÍDA DE VENDAS'!$B$6:$P$500,10,FALSE),"")</f>
        <v>0</v>
      </c>
      <c r="H67" s="34" t="str">
        <f>IF(OR(ISBLANK(B67),B67=""), "", IF(B67=B66, (VALUE(LEFT(H66,FIND("/",H66)-1))+1)&amp;"/"&amp;RIGHT(H66,LEN(H66)-FIND("/",H66)), "1/"&amp;IFERROR(VLOOKUP(B67,'SAÍDA DE VENDAS'!$B$6:$P$500,13,FALSE),"1")))</f>
        <v/>
      </c>
      <c r="I67" s="35" t="str">
        <f t="shared" si="0"/>
        <v/>
      </c>
      <c r="J67" s="39" t="str">
        <f>IFERROR(VLOOKUP(B67,'SAÍDA DE VENDAS'!$B$6:$P$500,15,FALSE),"")</f>
        <v/>
      </c>
      <c r="K67" s="34" t="str">
        <f t="shared" ca="1" si="1"/>
        <v/>
      </c>
      <c r="L67" s="34"/>
      <c r="M67" s="34"/>
    </row>
    <row r="68" spans="2:13" ht="15" customHeight="1" x14ac:dyDescent="0.3">
      <c r="B68" s="28" t="str">
        <f>IF(B67="","", IF(VALUE(LEFT(H67,FIND("/",H67)-1)) &lt; VALUE(RIGHT(H67,LEN(H67)-FIND("/",H67))), B67, IFERROR(INDEX('SAÍDA DE VENDAS'!$B$6:$B$500, MATCH(B67,'SAÍDA DE VENDAS'!$B$6:$B$500,0)+COUNTIF('SAÍDA DE VENDAS'!$B$6:$B$500, B67)),"")))</f>
        <v/>
      </c>
      <c r="C68" s="29">
        <f>IFERROR(VLOOKUP(B68,'SAÍDA DE VENDAS'!$B$6:$P$500,3,FALSE),"")</f>
        <v>0</v>
      </c>
      <c r="D68" s="28">
        <f>IFERROR(VLOOKUP(B68,'SAÍDA DE VENDAS'!$B$6:$P$500,4,FALSE),"")</f>
        <v>0</v>
      </c>
      <c r="E68" s="28" t="str">
        <f>IFERROR(VLOOKUP(B68,'SAÍDA DE VENDAS'!$B$6:$P$500,5,FALSE),"")</f>
        <v/>
      </c>
      <c r="F68" s="28" t="str">
        <f>IF(OR(ISBLANK(B68),B68=""), "", IFERROR(INDEX('SAÍDA DE VENDAS'!$H$6:$H$500 &amp; "x " &amp; 'SAÍDA DE VENDAS'!$G$6:$G$500, MATCH(B68, 'SAÍDA DE VENDAS'!$B$6:$B$500, 0)), "")&amp; IF(COUNTIF('SAÍDA DE VENDAS'!$B$6:$B$500, B68)&gt;1, " + " &amp; IFERROR(INDEX('SAÍDA DE VENDAS'!$H$6:$H$500 &amp; "x " &amp; 'SAÍDA DE VENDAS'!$G$6:$G$500, MATCH(B68, 'SAÍDA DE VENDAS'!$B$6:$B$500, 0)+1), ""), "")&amp; IF(COUNTIF('SAÍDA DE VENDAS'!$B$6:$B$500, B68)&gt;2, " + " &amp; IFERROR(INDEX('SAÍDA DE VENDAS'!$H$6:$H$500 &amp; "x " &amp; 'SAÍDA DE VENDAS'!$G$6:$G$500, MATCH(B68, 'SAÍDA DE VENDAS'!$B$6:$B$500, 0)+2), ""), "")&amp; IF(COUNTIF('SAÍDA DE VENDAS'!$B$6:$B$500, B68)&gt;3, " + " &amp; IFERROR(INDEX('SAÍDA DE VENDAS'!$H$6:$H$500 &amp; "x " &amp; 'SAÍDA DE VENDAS'!$G$6:$G$500, MATCH(B68, 'SAÍDA DE VENDAS'!$B$6:$B$500, 0)+3), ""), "")&amp; IF(COUNTIF('SAÍDA DE VENDAS'!$B$6:$B$500, B68)&gt;4, " + " &amp; IFERROR(INDEX('SAÍDA DE VENDAS'!$H$6:$H$500 &amp; "x " &amp; 'SAÍDA DE VENDAS'!$G$6:$G$500, MATCH(B68, 'SAÍDA DE VENDAS'!$B$6:$B$500, 0)+4), ""), "")&amp; IF(COUNTIF('SAÍDA DE VENDAS'!$B$6:$B$500, B68)&gt;5, " + " &amp; IFERROR(INDEX('SAÍDA DE VENDAS'!$H$6:$H$500 &amp; "x " &amp; 'SAÍDA DE VENDAS'!$G$6:$G$500, MATCH(B68, 'SAÍDA DE VENDAS'!$B$6:$B$500, 0)+5), ""), ""))</f>
        <v/>
      </c>
      <c r="G68" s="28">
        <f>IFERROR(VLOOKUP(B68,'SAÍDA DE VENDAS'!$B$6:$P$500,10,FALSE),"")</f>
        <v>0</v>
      </c>
      <c r="H68" s="28" t="str">
        <f>IF(OR(ISBLANK(B68),B68=""), "", IF(B68=B67, (VALUE(LEFT(H67,FIND("/",H67)-1))+1)&amp;"/"&amp;RIGHT(H67,LEN(H67)-FIND("/",H67)), "1/"&amp;IFERROR(VLOOKUP(B68,'SAÍDA DE VENDAS'!$B$6:$P$500,13,FALSE),"1")))</f>
        <v/>
      </c>
      <c r="I68" s="69" t="str">
        <f t="shared" si="0"/>
        <v/>
      </c>
      <c r="J68" s="33" t="str">
        <f>IFERROR(VLOOKUP(B68,'SAÍDA DE VENDAS'!$B$6:$P$500,15,FALSE),"")</f>
        <v/>
      </c>
      <c r="K68" s="28" t="str">
        <f t="shared" ca="1" si="1"/>
        <v/>
      </c>
      <c r="L68" s="28"/>
      <c r="M68" s="28"/>
    </row>
    <row r="69" spans="2:13" ht="15" customHeight="1" x14ac:dyDescent="0.3">
      <c r="B69" s="34" t="str">
        <f>IF(B68="","", IF(VALUE(LEFT(H68,FIND("/",H68)-1)) &lt; VALUE(RIGHT(H68,LEN(H68)-FIND("/",H68))), B68, IFERROR(INDEX('SAÍDA DE VENDAS'!$B$6:$B$500, MATCH(B68,'SAÍDA DE VENDAS'!$B$6:$B$500,0)+COUNTIF('SAÍDA DE VENDAS'!$B$6:$B$500, B68)),"")))</f>
        <v/>
      </c>
      <c r="C69" s="35">
        <f>IFERROR(VLOOKUP(B69,'SAÍDA DE VENDAS'!$B$6:$P$500,3,FALSE),"")</f>
        <v>0</v>
      </c>
      <c r="D69" s="34">
        <f>IFERROR(VLOOKUP(B69,'SAÍDA DE VENDAS'!$B$6:$P$500,4,FALSE),"")</f>
        <v>0</v>
      </c>
      <c r="E69" s="34" t="str">
        <f>IFERROR(VLOOKUP(B69,'SAÍDA DE VENDAS'!$B$6:$P$500,5,FALSE),"")</f>
        <v/>
      </c>
      <c r="F69" s="34" t="str">
        <f>IF(OR(ISBLANK(B69),B69=""), "", IFERROR(INDEX('SAÍDA DE VENDAS'!$H$6:$H$500 &amp; "x " &amp; 'SAÍDA DE VENDAS'!$G$6:$G$500, MATCH(B69, 'SAÍDA DE VENDAS'!$B$6:$B$500, 0)), "")&amp; IF(COUNTIF('SAÍDA DE VENDAS'!$B$6:$B$500, B69)&gt;1, " + " &amp; IFERROR(INDEX('SAÍDA DE VENDAS'!$H$6:$H$500 &amp; "x " &amp; 'SAÍDA DE VENDAS'!$G$6:$G$500, MATCH(B69, 'SAÍDA DE VENDAS'!$B$6:$B$500, 0)+1), ""), "")&amp; IF(COUNTIF('SAÍDA DE VENDAS'!$B$6:$B$500, B69)&gt;2, " + " &amp; IFERROR(INDEX('SAÍDA DE VENDAS'!$H$6:$H$500 &amp; "x " &amp; 'SAÍDA DE VENDAS'!$G$6:$G$500, MATCH(B69, 'SAÍDA DE VENDAS'!$B$6:$B$500, 0)+2), ""), "")&amp; IF(COUNTIF('SAÍDA DE VENDAS'!$B$6:$B$500, B69)&gt;3, " + " &amp; IFERROR(INDEX('SAÍDA DE VENDAS'!$H$6:$H$500 &amp; "x " &amp; 'SAÍDA DE VENDAS'!$G$6:$G$500, MATCH(B69, 'SAÍDA DE VENDAS'!$B$6:$B$500, 0)+3), ""), "")&amp; IF(COUNTIF('SAÍDA DE VENDAS'!$B$6:$B$500, B69)&gt;4, " + " &amp; IFERROR(INDEX('SAÍDA DE VENDAS'!$H$6:$H$500 &amp; "x " &amp; 'SAÍDA DE VENDAS'!$G$6:$G$500, MATCH(B69, 'SAÍDA DE VENDAS'!$B$6:$B$500, 0)+4), ""), "")&amp; IF(COUNTIF('SAÍDA DE VENDAS'!$B$6:$B$500, B69)&gt;5, " + " &amp; IFERROR(INDEX('SAÍDA DE VENDAS'!$H$6:$H$500 &amp; "x " &amp; 'SAÍDA DE VENDAS'!$G$6:$G$500, MATCH(B69, 'SAÍDA DE VENDAS'!$B$6:$B$500, 0)+5), ""), ""))</f>
        <v/>
      </c>
      <c r="G69" s="34">
        <f>IFERROR(VLOOKUP(B69,'SAÍDA DE VENDAS'!$B$6:$P$500,10,FALSE),"")</f>
        <v>0</v>
      </c>
      <c r="H69" s="34" t="str">
        <f>IF(OR(ISBLANK(B69),B69=""), "", IF(B69=B68, (VALUE(LEFT(H68,FIND("/",H68)-1))+1)&amp;"/"&amp;RIGHT(H68,LEN(H68)-FIND("/",H68)), "1/"&amp;IFERROR(VLOOKUP(B69,'SAÍDA DE VENDAS'!$B$6:$P$500,13,FALSE),"1")))</f>
        <v/>
      </c>
      <c r="I69" s="35" t="str">
        <f t="shared" si="0"/>
        <v/>
      </c>
      <c r="J69" s="39" t="str">
        <f>IFERROR(VLOOKUP(B69,'SAÍDA DE VENDAS'!$B$6:$P$500,15,FALSE),"")</f>
        <v/>
      </c>
      <c r="K69" s="34" t="str">
        <f t="shared" ca="1" si="1"/>
        <v/>
      </c>
      <c r="L69" s="34"/>
      <c r="M69" s="34"/>
    </row>
    <row r="70" spans="2:13" ht="15" customHeight="1" x14ac:dyDescent="0.3">
      <c r="B70" s="28" t="str">
        <f>IF(B69="","", IF(VALUE(LEFT(H69,FIND("/",H69)-1)) &lt; VALUE(RIGHT(H69,LEN(H69)-FIND("/",H69))), B69, IFERROR(INDEX('SAÍDA DE VENDAS'!$B$6:$B$500, MATCH(B69,'SAÍDA DE VENDAS'!$B$6:$B$500,0)+COUNTIF('SAÍDA DE VENDAS'!$B$6:$B$500, B69)),"")))</f>
        <v/>
      </c>
      <c r="C70" s="29">
        <f>IFERROR(VLOOKUP(B70,'SAÍDA DE VENDAS'!$B$6:$P$500,3,FALSE),"")</f>
        <v>0</v>
      </c>
      <c r="D70" s="28">
        <f>IFERROR(VLOOKUP(B70,'SAÍDA DE VENDAS'!$B$6:$P$500,4,FALSE),"")</f>
        <v>0</v>
      </c>
      <c r="E70" s="28" t="str">
        <f>IFERROR(VLOOKUP(B70,'SAÍDA DE VENDAS'!$B$6:$P$500,5,FALSE),"")</f>
        <v/>
      </c>
      <c r="F70" s="28" t="str">
        <f>IF(OR(ISBLANK(B70),B70=""), "", IFERROR(INDEX('SAÍDA DE VENDAS'!$H$6:$H$500 &amp; "x " &amp; 'SAÍDA DE VENDAS'!$G$6:$G$500, MATCH(B70, 'SAÍDA DE VENDAS'!$B$6:$B$500, 0)), "")&amp; IF(COUNTIF('SAÍDA DE VENDAS'!$B$6:$B$500, B70)&gt;1, " + " &amp; IFERROR(INDEX('SAÍDA DE VENDAS'!$H$6:$H$500 &amp; "x " &amp; 'SAÍDA DE VENDAS'!$G$6:$G$500, MATCH(B70, 'SAÍDA DE VENDAS'!$B$6:$B$500, 0)+1), ""), "")&amp; IF(COUNTIF('SAÍDA DE VENDAS'!$B$6:$B$500, B70)&gt;2, " + " &amp; IFERROR(INDEX('SAÍDA DE VENDAS'!$H$6:$H$500 &amp; "x " &amp; 'SAÍDA DE VENDAS'!$G$6:$G$500, MATCH(B70, 'SAÍDA DE VENDAS'!$B$6:$B$500, 0)+2), ""), "")&amp; IF(COUNTIF('SAÍDA DE VENDAS'!$B$6:$B$500, B70)&gt;3, " + " &amp; IFERROR(INDEX('SAÍDA DE VENDAS'!$H$6:$H$500 &amp; "x " &amp; 'SAÍDA DE VENDAS'!$G$6:$G$500, MATCH(B70, 'SAÍDA DE VENDAS'!$B$6:$B$500, 0)+3), ""), "")&amp; IF(COUNTIF('SAÍDA DE VENDAS'!$B$6:$B$500, B70)&gt;4, " + " &amp; IFERROR(INDEX('SAÍDA DE VENDAS'!$H$6:$H$500 &amp; "x " &amp; 'SAÍDA DE VENDAS'!$G$6:$G$500, MATCH(B70, 'SAÍDA DE VENDAS'!$B$6:$B$500, 0)+4), ""), "")&amp; IF(COUNTIF('SAÍDA DE VENDAS'!$B$6:$B$500, B70)&gt;5, " + " &amp; IFERROR(INDEX('SAÍDA DE VENDAS'!$H$6:$H$500 &amp; "x " &amp; 'SAÍDA DE VENDAS'!$G$6:$G$500, MATCH(B70, 'SAÍDA DE VENDAS'!$B$6:$B$500, 0)+5), ""), ""))</f>
        <v/>
      </c>
      <c r="G70" s="28">
        <f>IFERROR(VLOOKUP(B70,'SAÍDA DE VENDAS'!$B$6:$P$500,10,FALSE),"")</f>
        <v>0</v>
      </c>
      <c r="H70" s="28" t="str">
        <f>IF(OR(ISBLANK(B70),B70=""), "", IF(B70=B69, (VALUE(LEFT(H69,FIND("/",H69)-1))+1)&amp;"/"&amp;RIGHT(H69,LEN(H69)-FIND("/",H69)), "1/"&amp;IFERROR(VLOOKUP(B70,'SAÍDA DE VENDAS'!$B$6:$P$500,13,FALSE),"1")))</f>
        <v/>
      </c>
      <c r="I70" s="69" t="str">
        <f t="shared" ref="I70:I133" si="2">IF(OR(ISBLANK(B70), B70="", C70=""), "", C70 + (IFERROR(VALUE(LEFT(H70, FIND("/", H70)-1)), 1) * 30))</f>
        <v/>
      </c>
      <c r="J70" s="33" t="str">
        <f>IFERROR(VLOOKUP(B70,'SAÍDA DE VENDAS'!$B$6:$P$500,15,FALSE),"")</f>
        <v/>
      </c>
      <c r="K70" s="28" t="str">
        <f t="shared" ref="K70:K133" ca="1" si="3">IF(B70="","", IF(OR(G70="À Vista", L70&lt;&gt;""), "Pago", IF(AND(I70&lt;&gt;"", I70&lt;TODAY()), "Atrasado", "Pendente")))</f>
        <v/>
      </c>
      <c r="L70" s="28"/>
      <c r="M70" s="28"/>
    </row>
    <row r="71" spans="2:13" ht="15" customHeight="1" x14ac:dyDescent="0.3">
      <c r="B71" s="34" t="str">
        <f>IF(B70="","", IF(VALUE(LEFT(H70,FIND("/",H70)-1)) &lt; VALUE(RIGHT(H70,LEN(H70)-FIND("/",H70))), B70, IFERROR(INDEX('SAÍDA DE VENDAS'!$B$6:$B$500, MATCH(B70,'SAÍDA DE VENDAS'!$B$6:$B$500,0)+COUNTIF('SAÍDA DE VENDAS'!$B$6:$B$500, B70)),"")))</f>
        <v/>
      </c>
      <c r="C71" s="35">
        <f>IFERROR(VLOOKUP(B71,'SAÍDA DE VENDAS'!$B$6:$P$500,3,FALSE),"")</f>
        <v>0</v>
      </c>
      <c r="D71" s="34">
        <f>IFERROR(VLOOKUP(B71,'SAÍDA DE VENDAS'!$B$6:$P$500,4,FALSE),"")</f>
        <v>0</v>
      </c>
      <c r="E71" s="34" t="str">
        <f>IFERROR(VLOOKUP(B71,'SAÍDA DE VENDAS'!$B$6:$P$500,5,FALSE),"")</f>
        <v/>
      </c>
      <c r="F71" s="34" t="str">
        <f>IF(OR(ISBLANK(B71),B71=""), "", IFERROR(INDEX('SAÍDA DE VENDAS'!$H$6:$H$500 &amp; "x " &amp; 'SAÍDA DE VENDAS'!$G$6:$G$500, MATCH(B71, 'SAÍDA DE VENDAS'!$B$6:$B$500, 0)), "")&amp; IF(COUNTIF('SAÍDA DE VENDAS'!$B$6:$B$500, B71)&gt;1, " + " &amp; IFERROR(INDEX('SAÍDA DE VENDAS'!$H$6:$H$500 &amp; "x " &amp; 'SAÍDA DE VENDAS'!$G$6:$G$500, MATCH(B71, 'SAÍDA DE VENDAS'!$B$6:$B$500, 0)+1), ""), "")&amp; IF(COUNTIF('SAÍDA DE VENDAS'!$B$6:$B$500, B71)&gt;2, " + " &amp; IFERROR(INDEX('SAÍDA DE VENDAS'!$H$6:$H$500 &amp; "x " &amp; 'SAÍDA DE VENDAS'!$G$6:$G$500, MATCH(B71, 'SAÍDA DE VENDAS'!$B$6:$B$500, 0)+2), ""), "")&amp; IF(COUNTIF('SAÍDA DE VENDAS'!$B$6:$B$500, B71)&gt;3, " + " &amp; IFERROR(INDEX('SAÍDA DE VENDAS'!$H$6:$H$500 &amp; "x " &amp; 'SAÍDA DE VENDAS'!$G$6:$G$500, MATCH(B71, 'SAÍDA DE VENDAS'!$B$6:$B$500, 0)+3), ""), "")&amp; IF(COUNTIF('SAÍDA DE VENDAS'!$B$6:$B$500, B71)&gt;4, " + " &amp; IFERROR(INDEX('SAÍDA DE VENDAS'!$H$6:$H$500 &amp; "x " &amp; 'SAÍDA DE VENDAS'!$G$6:$G$500, MATCH(B71, 'SAÍDA DE VENDAS'!$B$6:$B$500, 0)+4), ""), "")&amp; IF(COUNTIF('SAÍDA DE VENDAS'!$B$6:$B$500, B71)&gt;5, " + " &amp; IFERROR(INDEX('SAÍDA DE VENDAS'!$H$6:$H$500 &amp; "x " &amp; 'SAÍDA DE VENDAS'!$G$6:$G$500, MATCH(B71, 'SAÍDA DE VENDAS'!$B$6:$B$500, 0)+5), ""), ""))</f>
        <v/>
      </c>
      <c r="G71" s="34">
        <f>IFERROR(VLOOKUP(B71,'SAÍDA DE VENDAS'!$B$6:$P$500,10,FALSE),"")</f>
        <v>0</v>
      </c>
      <c r="H71" s="34" t="str">
        <f>IF(OR(ISBLANK(B71),B71=""), "", IF(B71=B70, (VALUE(LEFT(H70,FIND("/",H70)-1))+1)&amp;"/"&amp;RIGHT(H70,LEN(H70)-FIND("/",H70)), "1/"&amp;IFERROR(VLOOKUP(B71,'SAÍDA DE VENDAS'!$B$6:$P$500,13,FALSE),"1")))</f>
        <v/>
      </c>
      <c r="I71" s="35" t="str">
        <f t="shared" si="2"/>
        <v/>
      </c>
      <c r="J71" s="39" t="str">
        <f>IFERROR(VLOOKUP(B71,'SAÍDA DE VENDAS'!$B$6:$P$500,15,FALSE),"")</f>
        <v/>
      </c>
      <c r="K71" s="34" t="str">
        <f t="shared" ca="1" si="3"/>
        <v/>
      </c>
      <c r="L71" s="34"/>
      <c r="M71" s="34"/>
    </row>
    <row r="72" spans="2:13" ht="15" customHeight="1" x14ac:dyDescent="0.3">
      <c r="B72" s="28" t="str">
        <f>IF(B71="","", IF(VALUE(LEFT(H71,FIND("/",H71)-1)) &lt; VALUE(RIGHT(H71,LEN(H71)-FIND("/",H71))), B71, IFERROR(INDEX('SAÍDA DE VENDAS'!$B$6:$B$500, MATCH(B71,'SAÍDA DE VENDAS'!$B$6:$B$500,0)+COUNTIF('SAÍDA DE VENDAS'!$B$6:$B$500, B71)),"")))</f>
        <v/>
      </c>
      <c r="C72" s="29">
        <f>IFERROR(VLOOKUP(B72,'SAÍDA DE VENDAS'!$B$6:$P$500,3,FALSE),"")</f>
        <v>0</v>
      </c>
      <c r="D72" s="28">
        <f>IFERROR(VLOOKUP(B72,'SAÍDA DE VENDAS'!$B$6:$P$500,4,FALSE),"")</f>
        <v>0</v>
      </c>
      <c r="E72" s="28" t="str">
        <f>IFERROR(VLOOKUP(B72,'SAÍDA DE VENDAS'!$B$6:$P$500,5,FALSE),"")</f>
        <v/>
      </c>
      <c r="F72" s="28" t="str">
        <f>IF(OR(ISBLANK(B72),B72=""), "", IFERROR(INDEX('SAÍDA DE VENDAS'!$H$6:$H$500 &amp; "x " &amp; 'SAÍDA DE VENDAS'!$G$6:$G$500, MATCH(B72, 'SAÍDA DE VENDAS'!$B$6:$B$500, 0)), "")&amp; IF(COUNTIF('SAÍDA DE VENDAS'!$B$6:$B$500, B72)&gt;1, " + " &amp; IFERROR(INDEX('SAÍDA DE VENDAS'!$H$6:$H$500 &amp; "x " &amp; 'SAÍDA DE VENDAS'!$G$6:$G$500, MATCH(B72, 'SAÍDA DE VENDAS'!$B$6:$B$500, 0)+1), ""), "")&amp; IF(COUNTIF('SAÍDA DE VENDAS'!$B$6:$B$500, B72)&gt;2, " + " &amp; IFERROR(INDEX('SAÍDA DE VENDAS'!$H$6:$H$500 &amp; "x " &amp; 'SAÍDA DE VENDAS'!$G$6:$G$500, MATCH(B72, 'SAÍDA DE VENDAS'!$B$6:$B$500, 0)+2), ""), "")&amp; IF(COUNTIF('SAÍDA DE VENDAS'!$B$6:$B$500, B72)&gt;3, " + " &amp; IFERROR(INDEX('SAÍDA DE VENDAS'!$H$6:$H$500 &amp; "x " &amp; 'SAÍDA DE VENDAS'!$G$6:$G$500, MATCH(B72, 'SAÍDA DE VENDAS'!$B$6:$B$500, 0)+3), ""), "")&amp; IF(COUNTIF('SAÍDA DE VENDAS'!$B$6:$B$500, B72)&gt;4, " + " &amp; IFERROR(INDEX('SAÍDA DE VENDAS'!$H$6:$H$500 &amp; "x " &amp; 'SAÍDA DE VENDAS'!$G$6:$G$500, MATCH(B72, 'SAÍDA DE VENDAS'!$B$6:$B$500, 0)+4), ""), "")&amp; IF(COUNTIF('SAÍDA DE VENDAS'!$B$6:$B$500, B72)&gt;5, " + " &amp; IFERROR(INDEX('SAÍDA DE VENDAS'!$H$6:$H$500 &amp; "x " &amp; 'SAÍDA DE VENDAS'!$G$6:$G$500, MATCH(B72, 'SAÍDA DE VENDAS'!$B$6:$B$500, 0)+5), ""), ""))</f>
        <v/>
      </c>
      <c r="G72" s="28">
        <f>IFERROR(VLOOKUP(B72,'SAÍDA DE VENDAS'!$B$6:$P$500,10,FALSE),"")</f>
        <v>0</v>
      </c>
      <c r="H72" s="28" t="str">
        <f>IF(OR(ISBLANK(B72),B72=""), "", IF(B72=B71, (VALUE(LEFT(H71,FIND("/",H71)-1))+1)&amp;"/"&amp;RIGHT(H71,LEN(H71)-FIND("/",H71)), "1/"&amp;IFERROR(VLOOKUP(B72,'SAÍDA DE VENDAS'!$B$6:$P$500,13,FALSE),"1")))</f>
        <v/>
      </c>
      <c r="I72" s="69" t="str">
        <f t="shared" si="2"/>
        <v/>
      </c>
      <c r="J72" s="33" t="str">
        <f>IFERROR(VLOOKUP(B72,'SAÍDA DE VENDAS'!$B$6:$P$500,15,FALSE),"")</f>
        <v/>
      </c>
      <c r="K72" s="28" t="str">
        <f t="shared" ca="1" si="3"/>
        <v/>
      </c>
      <c r="L72" s="28"/>
      <c r="M72" s="28"/>
    </row>
    <row r="73" spans="2:13" ht="15" customHeight="1" x14ac:dyDescent="0.3">
      <c r="B73" s="34" t="str">
        <f>IF(B72="","", IF(VALUE(LEFT(H72,FIND("/",H72)-1)) &lt; VALUE(RIGHT(H72,LEN(H72)-FIND("/",H72))), B72, IFERROR(INDEX('SAÍDA DE VENDAS'!$B$6:$B$500, MATCH(B72,'SAÍDA DE VENDAS'!$B$6:$B$500,0)+COUNTIF('SAÍDA DE VENDAS'!$B$6:$B$500, B72)),"")))</f>
        <v/>
      </c>
      <c r="C73" s="35">
        <f>IFERROR(VLOOKUP(B73,'SAÍDA DE VENDAS'!$B$6:$P$500,3,FALSE),"")</f>
        <v>0</v>
      </c>
      <c r="D73" s="34">
        <f>IFERROR(VLOOKUP(B73,'SAÍDA DE VENDAS'!$B$6:$P$500,4,FALSE),"")</f>
        <v>0</v>
      </c>
      <c r="E73" s="34" t="str">
        <f>IFERROR(VLOOKUP(B73,'SAÍDA DE VENDAS'!$B$6:$P$500,5,FALSE),"")</f>
        <v/>
      </c>
      <c r="F73" s="34" t="str">
        <f>IF(OR(ISBLANK(B73),B73=""), "", IFERROR(INDEX('SAÍDA DE VENDAS'!$H$6:$H$500 &amp; "x " &amp; 'SAÍDA DE VENDAS'!$G$6:$G$500, MATCH(B73, 'SAÍDA DE VENDAS'!$B$6:$B$500, 0)), "")&amp; IF(COUNTIF('SAÍDA DE VENDAS'!$B$6:$B$500, B73)&gt;1, " + " &amp; IFERROR(INDEX('SAÍDA DE VENDAS'!$H$6:$H$500 &amp; "x " &amp; 'SAÍDA DE VENDAS'!$G$6:$G$500, MATCH(B73, 'SAÍDA DE VENDAS'!$B$6:$B$500, 0)+1), ""), "")&amp; IF(COUNTIF('SAÍDA DE VENDAS'!$B$6:$B$500, B73)&gt;2, " + " &amp; IFERROR(INDEX('SAÍDA DE VENDAS'!$H$6:$H$500 &amp; "x " &amp; 'SAÍDA DE VENDAS'!$G$6:$G$500, MATCH(B73, 'SAÍDA DE VENDAS'!$B$6:$B$500, 0)+2), ""), "")&amp; IF(COUNTIF('SAÍDA DE VENDAS'!$B$6:$B$500, B73)&gt;3, " + " &amp; IFERROR(INDEX('SAÍDA DE VENDAS'!$H$6:$H$500 &amp; "x " &amp; 'SAÍDA DE VENDAS'!$G$6:$G$500, MATCH(B73, 'SAÍDA DE VENDAS'!$B$6:$B$500, 0)+3), ""), "")&amp; IF(COUNTIF('SAÍDA DE VENDAS'!$B$6:$B$500, B73)&gt;4, " + " &amp; IFERROR(INDEX('SAÍDA DE VENDAS'!$H$6:$H$500 &amp; "x " &amp; 'SAÍDA DE VENDAS'!$G$6:$G$500, MATCH(B73, 'SAÍDA DE VENDAS'!$B$6:$B$500, 0)+4), ""), "")&amp; IF(COUNTIF('SAÍDA DE VENDAS'!$B$6:$B$500, B73)&gt;5, " + " &amp; IFERROR(INDEX('SAÍDA DE VENDAS'!$H$6:$H$500 &amp; "x " &amp; 'SAÍDA DE VENDAS'!$G$6:$G$500, MATCH(B73, 'SAÍDA DE VENDAS'!$B$6:$B$500, 0)+5), ""), ""))</f>
        <v/>
      </c>
      <c r="G73" s="34">
        <f>IFERROR(VLOOKUP(B73,'SAÍDA DE VENDAS'!$B$6:$P$500,10,FALSE),"")</f>
        <v>0</v>
      </c>
      <c r="H73" s="34" t="str">
        <f>IF(OR(ISBLANK(B73),B73=""), "", IF(B73=B72, (VALUE(LEFT(H72,FIND("/",H72)-1))+1)&amp;"/"&amp;RIGHT(H72,LEN(H72)-FIND("/",H72)), "1/"&amp;IFERROR(VLOOKUP(B73,'SAÍDA DE VENDAS'!$B$6:$P$500,13,FALSE),"1")))</f>
        <v/>
      </c>
      <c r="I73" s="35" t="str">
        <f t="shared" si="2"/>
        <v/>
      </c>
      <c r="J73" s="39" t="str">
        <f>IFERROR(VLOOKUP(B73,'SAÍDA DE VENDAS'!$B$6:$P$500,15,FALSE),"")</f>
        <v/>
      </c>
      <c r="K73" s="34" t="str">
        <f t="shared" ca="1" si="3"/>
        <v/>
      </c>
      <c r="L73" s="34"/>
      <c r="M73" s="34"/>
    </row>
    <row r="74" spans="2:13" ht="15" customHeight="1" x14ac:dyDescent="0.3">
      <c r="B74" s="28" t="str">
        <f>IF(B73="","", IF(VALUE(LEFT(H73,FIND("/",H73)-1)) &lt; VALUE(RIGHT(H73,LEN(H73)-FIND("/",H73))), B73, IFERROR(INDEX('SAÍDA DE VENDAS'!$B$6:$B$500, MATCH(B73,'SAÍDA DE VENDAS'!$B$6:$B$500,0)+COUNTIF('SAÍDA DE VENDAS'!$B$6:$B$500, B73)),"")))</f>
        <v/>
      </c>
      <c r="C74" s="29">
        <f>IFERROR(VLOOKUP(B74,'SAÍDA DE VENDAS'!$B$6:$P$500,3,FALSE),"")</f>
        <v>0</v>
      </c>
      <c r="D74" s="28">
        <f>IFERROR(VLOOKUP(B74,'SAÍDA DE VENDAS'!$B$6:$P$500,4,FALSE),"")</f>
        <v>0</v>
      </c>
      <c r="E74" s="28" t="str">
        <f>IFERROR(VLOOKUP(B74,'SAÍDA DE VENDAS'!$B$6:$P$500,5,FALSE),"")</f>
        <v/>
      </c>
      <c r="F74" s="28" t="str">
        <f>IF(OR(ISBLANK(B74),B74=""), "", IFERROR(INDEX('SAÍDA DE VENDAS'!$H$6:$H$500 &amp; "x " &amp; 'SAÍDA DE VENDAS'!$G$6:$G$500, MATCH(B74, 'SAÍDA DE VENDAS'!$B$6:$B$500, 0)), "")&amp; IF(COUNTIF('SAÍDA DE VENDAS'!$B$6:$B$500, B74)&gt;1, " + " &amp; IFERROR(INDEX('SAÍDA DE VENDAS'!$H$6:$H$500 &amp; "x " &amp; 'SAÍDA DE VENDAS'!$G$6:$G$500, MATCH(B74, 'SAÍDA DE VENDAS'!$B$6:$B$500, 0)+1), ""), "")&amp; IF(COUNTIF('SAÍDA DE VENDAS'!$B$6:$B$500, B74)&gt;2, " + " &amp; IFERROR(INDEX('SAÍDA DE VENDAS'!$H$6:$H$500 &amp; "x " &amp; 'SAÍDA DE VENDAS'!$G$6:$G$500, MATCH(B74, 'SAÍDA DE VENDAS'!$B$6:$B$500, 0)+2), ""), "")&amp; IF(COUNTIF('SAÍDA DE VENDAS'!$B$6:$B$500, B74)&gt;3, " + " &amp; IFERROR(INDEX('SAÍDA DE VENDAS'!$H$6:$H$500 &amp; "x " &amp; 'SAÍDA DE VENDAS'!$G$6:$G$500, MATCH(B74, 'SAÍDA DE VENDAS'!$B$6:$B$500, 0)+3), ""), "")&amp; IF(COUNTIF('SAÍDA DE VENDAS'!$B$6:$B$500, B74)&gt;4, " + " &amp; IFERROR(INDEX('SAÍDA DE VENDAS'!$H$6:$H$500 &amp; "x " &amp; 'SAÍDA DE VENDAS'!$G$6:$G$500, MATCH(B74, 'SAÍDA DE VENDAS'!$B$6:$B$500, 0)+4), ""), "")&amp; IF(COUNTIF('SAÍDA DE VENDAS'!$B$6:$B$500, B74)&gt;5, " + " &amp; IFERROR(INDEX('SAÍDA DE VENDAS'!$H$6:$H$500 &amp; "x " &amp; 'SAÍDA DE VENDAS'!$G$6:$G$500, MATCH(B74, 'SAÍDA DE VENDAS'!$B$6:$B$500, 0)+5), ""), ""))</f>
        <v/>
      </c>
      <c r="G74" s="28">
        <f>IFERROR(VLOOKUP(B74,'SAÍDA DE VENDAS'!$B$6:$P$500,10,FALSE),"")</f>
        <v>0</v>
      </c>
      <c r="H74" s="28" t="str">
        <f>IF(OR(ISBLANK(B74),B74=""), "", IF(B74=B73, (VALUE(LEFT(H73,FIND("/",H73)-1))+1)&amp;"/"&amp;RIGHT(H73,LEN(H73)-FIND("/",H73)), "1/"&amp;IFERROR(VLOOKUP(B74,'SAÍDA DE VENDAS'!$B$6:$P$500,13,FALSE),"1")))</f>
        <v/>
      </c>
      <c r="I74" s="69" t="str">
        <f t="shared" si="2"/>
        <v/>
      </c>
      <c r="J74" s="33" t="str">
        <f>IFERROR(VLOOKUP(B74,'SAÍDA DE VENDAS'!$B$6:$P$500,15,FALSE),"")</f>
        <v/>
      </c>
      <c r="K74" s="28" t="str">
        <f t="shared" ca="1" si="3"/>
        <v/>
      </c>
      <c r="L74" s="28"/>
      <c r="M74" s="28"/>
    </row>
    <row r="75" spans="2:13" ht="15" customHeight="1" x14ac:dyDescent="0.3">
      <c r="B75" s="34" t="str">
        <f>IF(B74="","", IF(VALUE(LEFT(H74,FIND("/",H74)-1)) &lt; VALUE(RIGHT(H74,LEN(H74)-FIND("/",H74))), B74, IFERROR(INDEX('SAÍDA DE VENDAS'!$B$6:$B$500, MATCH(B74,'SAÍDA DE VENDAS'!$B$6:$B$500,0)+COUNTIF('SAÍDA DE VENDAS'!$B$6:$B$500, B74)),"")))</f>
        <v/>
      </c>
      <c r="C75" s="35">
        <f>IFERROR(VLOOKUP(B75,'SAÍDA DE VENDAS'!$B$6:$P$500,3,FALSE),"")</f>
        <v>0</v>
      </c>
      <c r="D75" s="34">
        <f>IFERROR(VLOOKUP(B75,'SAÍDA DE VENDAS'!$B$6:$P$500,4,FALSE),"")</f>
        <v>0</v>
      </c>
      <c r="E75" s="34" t="str">
        <f>IFERROR(VLOOKUP(B75,'SAÍDA DE VENDAS'!$B$6:$P$500,5,FALSE),"")</f>
        <v/>
      </c>
      <c r="F75" s="34" t="str">
        <f>IF(OR(ISBLANK(B75),B75=""), "", IFERROR(INDEX('SAÍDA DE VENDAS'!$H$6:$H$500 &amp; "x " &amp; 'SAÍDA DE VENDAS'!$G$6:$G$500, MATCH(B75, 'SAÍDA DE VENDAS'!$B$6:$B$500, 0)), "")&amp; IF(COUNTIF('SAÍDA DE VENDAS'!$B$6:$B$500, B75)&gt;1, " + " &amp; IFERROR(INDEX('SAÍDA DE VENDAS'!$H$6:$H$500 &amp; "x " &amp; 'SAÍDA DE VENDAS'!$G$6:$G$500, MATCH(B75, 'SAÍDA DE VENDAS'!$B$6:$B$500, 0)+1), ""), "")&amp; IF(COUNTIF('SAÍDA DE VENDAS'!$B$6:$B$500, B75)&gt;2, " + " &amp; IFERROR(INDEX('SAÍDA DE VENDAS'!$H$6:$H$500 &amp; "x " &amp; 'SAÍDA DE VENDAS'!$G$6:$G$500, MATCH(B75, 'SAÍDA DE VENDAS'!$B$6:$B$500, 0)+2), ""), "")&amp; IF(COUNTIF('SAÍDA DE VENDAS'!$B$6:$B$500, B75)&gt;3, " + " &amp; IFERROR(INDEX('SAÍDA DE VENDAS'!$H$6:$H$500 &amp; "x " &amp; 'SAÍDA DE VENDAS'!$G$6:$G$500, MATCH(B75, 'SAÍDA DE VENDAS'!$B$6:$B$500, 0)+3), ""), "")&amp; IF(COUNTIF('SAÍDA DE VENDAS'!$B$6:$B$500, B75)&gt;4, " + " &amp; IFERROR(INDEX('SAÍDA DE VENDAS'!$H$6:$H$500 &amp; "x " &amp; 'SAÍDA DE VENDAS'!$G$6:$G$500, MATCH(B75, 'SAÍDA DE VENDAS'!$B$6:$B$500, 0)+4), ""), "")&amp; IF(COUNTIF('SAÍDA DE VENDAS'!$B$6:$B$500, B75)&gt;5, " + " &amp; IFERROR(INDEX('SAÍDA DE VENDAS'!$H$6:$H$500 &amp; "x " &amp; 'SAÍDA DE VENDAS'!$G$6:$G$500, MATCH(B75, 'SAÍDA DE VENDAS'!$B$6:$B$500, 0)+5), ""), ""))</f>
        <v/>
      </c>
      <c r="G75" s="34">
        <f>IFERROR(VLOOKUP(B75,'SAÍDA DE VENDAS'!$B$6:$P$500,10,FALSE),"")</f>
        <v>0</v>
      </c>
      <c r="H75" s="34" t="str">
        <f>IF(OR(ISBLANK(B75),B75=""), "", IF(B75=B74, (VALUE(LEFT(H74,FIND("/",H74)-1))+1)&amp;"/"&amp;RIGHT(H74,LEN(H74)-FIND("/",H74)), "1/"&amp;IFERROR(VLOOKUP(B75,'SAÍDA DE VENDAS'!$B$6:$P$500,13,FALSE),"1")))</f>
        <v/>
      </c>
      <c r="I75" s="35" t="str">
        <f t="shared" si="2"/>
        <v/>
      </c>
      <c r="J75" s="39" t="str">
        <f>IFERROR(VLOOKUP(B75,'SAÍDA DE VENDAS'!$B$6:$P$500,15,FALSE),"")</f>
        <v/>
      </c>
      <c r="K75" s="34" t="str">
        <f t="shared" ca="1" si="3"/>
        <v/>
      </c>
      <c r="L75" s="34"/>
      <c r="M75" s="34"/>
    </row>
    <row r="76" spans="2:13" ht="15" customHeight="1" x14ac:dyDescent="0.3">
      <c r="B76" s="28" t="str">
        <f>IF(B75="","", IF(VALUE(LEFT(H75,FIND("/",H75)-1)) &lt; VALUE(RIGHT(H75,LEN(H75)-FIND("/",H75))), B75, IFERROR(INDEX('SAÍDA DE VENDAS'!$B$6:$B$500, MATCH(B75,'SAÍDA DE VENDAS'!$B$6:$B$500,0)+COUNTIF('SAÍDA DE VENDAS'!$B$6:$B$500, B75)),"")))</f>
        <v/>
      </c>
      <c r="C76" s="29">
        <f>IFERROR(VLOOKUP(B76,'SAÍDA DE VENDAS'!$B$6:$P$500,3,FALSE),"")</f>
        <v>0</v>
      </c>
      <c r="D76" s="28">
        <f>IFERROR(VLOOKUP(B76,'SAÍDA DE VENDAS'!$B$6:$P$500,4,FALSE),"")</f>
        <v>0</v>
      </c>
      <c r="E76" s="28" t="str">
        <f>IFERROR(VLOOKUP(B76,'SAÍDA DE VENDAS'!$B$6:$P$500,5,FALSE),"")</f>
        <v/>
      </c>
      <c r="F76" s="28" t="str">
        <f>IF(OR(ISBLANK(B76),B76=""), "", IFERROR(INDEX('SAÍDA DE VENDAS'!$H$6:$H$500 &amp; "x " &amp; 'SAÍDA DE VENDAS'!$G$6:$G$500, MATCH(B76, 'SAÍDA DE VENDAS'!$B$6:$B$500, 0)), "")&amp; IF(COUNTIF('SAÍDA DE VENDAS'!$B$6:$B$500, B76)&gt;1, " + " &amp; IFERROR(INDEX('SAÍDA DE VENDAS'!$H$6:$H$500 &amp; "x " &amp; 'SAÍDA DE VENDAS'!$G$6:$G$500, MATCH(B76, 'SAÍDA DE VENDAS'!$B$6:$B$500, 0)+1), ""), "")&amp; IF(COUNTIF('SAÍDA DE VENDAS'!$B$6:$B$500, B76)&gt;2, " + " &amp; IFERROR(INDEX('SAÍDA DE VENDAS'!$H$6:$H$500 &amp; "x " &amp; 'SAÍDA DE VENDAS'!$G$6:$G$500, MATCH(B76, 'SAÍDA DE VENDAS'!$B$6:$B$500, 0)+2), ""), "")&amp; IF(COUNTIF('SAÍDA DE VENDAS'!$B$6:$B$500, B76)&gt;3, " + " &amp; IFERROR(INDEX('SAÍDA DE VENDAS'!$H$6:$H$500 &amp; "x " &amp; 'SAÍDA DE VENDAS'!$G$6:$G$500, MATCH(B76, 'SAÍDA DE VENDAS'!$B$6:$B$500, 0)+3), ""), "")&amp; IF(COUNTIF('SAÍDA DE VENDAS'!$B$6:$B$500, B76)&gt;4, " + " &amp; IFERROR(INDEX('SAÍDA DE VENDAS'!$H$6:$H$500 &amp; "x " &amp; 'SAÍDA DE VENDAS'!$G$6:$G$500, MATCH(B76, 'SAÍDA DE VENDAS'!$B$6:$B$500, 0)+4), ""), "")&amp; IF(COUNTIF('SAÍDA DE VENDAS'!$B$6:$B$500, B76)&gt;5, " + " &amp; IFERROR(INDEX('SAÍDA DE VENDAS'!$H$6:$H$500 &amp; "x " &amp; 'SAÍDA DE VENDAS'!$G$6:$G$500, MATCH(B76, 'SAÍDA DE VENDAS'!$B$6:$B$500, 0)+5), ""), ""))</f>
        <v/>
      </c>
      <c r="G76" s="28">
        <f>IFERROR(VLOOKUP(B76,'SAÍDA DE VENDAS'!$B$6:$P$500,10,FALSE),"")</f>
        <v>0</v>
      </c>
      <c r="H76" s="28" t="str">
        <f>IF(OR(ISBLANK(B76),B76=""), "", IF(B76=B75, (VALUE(LEFT(H75,FIND("/",H75)-1))+1)&amp;"/"&amp;RIGHT(H75,LEN(H75)-FIND("/",H75)), "1/"&amp;IFERROR(VLOOKUP(B76,'SAÍDA DE VENDAS'!$B$6:$P$500,13,FALSE),"1")))</f>
        <v/>
      </c>
      <c r="I76" s="69" t="str">
        <f t="shared" si="2"/>
        <v/>
      </c>
      <c r="J76" s="33" t="str">
        <f>IFERROR(VLOOKUP(B76,'SAÍDA DE VENDAS'!$B$6:$P$500,15,FALSE),"")</f>
        <v/>
      </c>
      <c r="K76" s="28" t="str">
        <f t="shared" ca="1" si="3"/>
        <v/>
      </c>
      <c r="L76" s="28"/>
      <c r="M76" s="28"/>
    </row>
    <row r="77" spans="2:13" ht="15" customHeight="1" x14ac:dyDescent="0.3">
      <c r="B77" s="34" t="str">
        <f>IF(B76="","", IF(VALUE(LEFT(H76,FIND("/",H76)-1)) &lt; VALUE(RIGHT(H76,LEN(H76)-FIND("/",H76))), B76, IFERROR(INDEX('SAÍDA DE VENDAS'!$B$6:$B$500, MATCH(B76,'SAÍDA DE VENDAS'!$B$6:$B$500,0)+COUNTIF('SAÍDA DE VENDAS'!$B$6:$B$500, B76)),"")))</f>
        <v/>
      </c>
      <c r="C77" s="35">
        <f>IFERROR(VLOOKUP(B77,'SAÍDA DE VENDAS'!$B$6:$P$500,3,FALSE),"")</f>
        <v>0</v>
      </c>
      <c r="D77" s="34">
        <f>IFERROR(VLOOKUP(B77,'SAÍDA DE VENDAS'!$B$6:$P$500,4,FALSE),"")</f>
        <v>0</v>
      </c>
      <c r="E77" s="34" t="str">
        <f>IFERROR(VLOOKUP(B77,'SAÍDA DE VENDAS'!$B$6:$P$500,5,FALSE),"")</f>
        <v/>
      </c>
      <c r="F77" s="34" t="str">
        <f>IF(OR(ISBLANK(B77),B77=""), "", IFERROR(INDEX('SAÍDA DE VENDAS'!$H$6:$H$500 &amp; "x " &amp; 'SAÍDA DE VENDAS'!$G$6:$G$500, MATCH(B77, 'SAÍDA DE VENDAS'!$B$6:$B$500, 0)), "")&amp; IF(COUNTIF('SAÍDA DE VENDAS'!$B$6:$B$500, B77)&gt;1, " + " &amp; IFERROR(INDEX('SAÍDA DE VENDAS'!$H$6:$H$500 &amp; "x " &amp; 'SAÍDA DE VENDAS'!$G$6:$G$500, MATCH(B77, 'SAÍDA DE VENDAS'!$B$6:$B$500, 0)+1), ""), "")&amp; IF(COUNTIF('SAÍDA DE VENDAS'!$B$6:$B$500, B77)&gt;2, " + " &amp; IFERROR(INDEX('SAÍDA DE VENDAS'!$H$6:$H$500 &amp; "x " &amp; 'SAÍDA DE VENDAS'!$G$6:$G$500, MATCH(B77, 'SAÍDA DE VENDAS'!$B$6:$B$500, 0)+2), ""), "")&amp; IF(COUNTIF('SAÍDA DE VENDAS'!$B$6:$B$500, B77)&gt;3, " + " &amp; IFERROR(INDEX('SAÍDA DE VENDAS'!$H$6:$H$500 &amp; "x " &amp; 'SAÍDA DE VENDAS'!$G$6:$G$500, MATCH(B77, 'SAÍDA DE VENDAS'!$B$6:$B$500, 0)+3), ""), "")&amp; IF(COUNTIF('SAÍDA DE VENDAS'!$B$6:$B$500, B77)&gt;4, " + " &amp; IFERROR(INDEX('SAÍDA DE VENDAS'!$H$6:$H$500 &amp; "x " &amp; 'SAÍDA DE VENDAS'!$G$6:$G$500, MATCH(B77, 'SAÍDA DE VENDAS'!$B$6:$B$500, 0)+4), ""), "")&amp; IF(COUNTIF('SAÍDA DE VENDAS'!$B$6:$B$500, B77)&gt;5, " + " &amp; IFERROR(INDEX('SAÍDA DE VENDAS'!$H$6:$H$500 &amp; "x " &amp; 'SAÍDA DE VENDAS'!$G$6:$G$500, MATCH(B77, 'SAÍDA DE VENDAS'!$B$6:$B$500, 0)+5), ""), ""))</f>
        <v/>
      </c>
      <c r="G77" s="34">
        <f>IFERROR(VLOOKUP(B77,'SAÍDA DE VENDAS'!$B$6:$P$500,10,FALSE),"")</f>
        <v>0</v>
      </c>
      <c r="H77" s="34" t="str">
        <f>IF(OR(ISBLANK(B77),B77=""), "", IF(B77=B76, (VALUE(LEFT(H76,FIND("/",H76)-1))+1)&amp;"/"&amp;RIGHT(H76,LEN(H76)-FIND("/",H76)), "1/"&amp;IFERROR(VLOOKUP(B77,'SAÍDA DE VENDAS'!$B$6:$P$500,13,FALSE),"1")))</f>
        <v/>
      </c>
      <c r="I77" s="35" t="str">
        <f t="shared" si="2"/>
        <v/>
      </c>
      <c r="J77" s="39" t="str">
        <f>IFERROR(VLOOKUP(B77,'SAÍDA DE VENDAS'!$B$6:$P$500,15,FALSE),"")</f>
        <v/>
      </c>
      <c r="K77" s="34" t="str">
        <f t="shared" ca="1" si="3"/>
        <v/>
      </c>
      <c r="L77" s="34"/>
      <c r="M77" s="34"/>
    </row>
    <row r="78" spans="2:13" ht="15" customHeight="1" x14ac:dyDescent="0.3">
      <c r="B78" s="28" t="str">
        <f>IF(B77="","", IF(VALUE(LEFT(H77,FIND("/",H77)-1)) &lt; VALUE(RIGHT(H77,LEN(H77)-FIND("/",H77))), B77, IFERROR(INDEX('SAÍDA DE VENDAS'!$B$6:$B$500, MATCH(B77,'SAÍDA DE VENDAS'!$B$6:$B$500,0)+COUNTIF('SAÍDA DE VENDAS'!$B$6:$B$500, B77)),"")))</f>
        <v/>
      </c>
      <c r="C78" s="29">
        <f>IFERROR(VLOOKUP(B78,'SAÍDA DE VENDAS'!$B$6:$P$500,3,FALSE),"")</f>
        <v>0</v>
      </c>
      <c r="D78" s="28">
        <f>IFERROR(VLOOKUP(B78,'SAÍDA DE VENDAS'!$B$6:$P$500,4,FALSE),"")</f>
        <v>0</v>
      </c>
      <c r="E78" s="28" t="str">
        <f>IFERROR(VLOOKUP(B78,'SAÍDA DE VENDAS'!$B$6:$P$500,5,FALSE),"")</f>
        <v/>
      </c>
      <c r="F78" s="28" t="str">
        <f>IF(OR(ISBLANK(B78),B78=""), "", IFERROR(INDEX('SAÍDA DE VENDAS'!$H$6:$H$500 &amp; "x " &amp; 'SAÍDA DE VENDAS'!$G$6:$G$500, MATCH(B78, 'SAÍDA DE VENDAS'!$B$6:$B$500, 0)), "")&amp; IF(COUNTIF('SAÍDA DE VENDAS'!$B$6:$B$500, B78)&gt;1, " + " &amp; IFERROR(INDEX('SAÍDA DE VENDAS'!$H$6:$H$500 &amp; "x " &amp; 'SAÍDA DE VENDAS'!$G$6:$G$500, MATCH(B78, 'SAÍDA DE VENDAS'!$B$6:$B$500, 0)+1), ""), "")&amp; IF(COUNTIF('SAÍDA DE VENDAS'!$B$6:$B$500, B78)&gt;2, " + " &amp; IFERROR(INDEX('SAÍDA DE VENDAS'!$H$6:$H$500 &amp; "x " &amp; 'SAÍDA DE VENDAS'!$G$6:$G$500, MATCH(B78, 'SAÍDA DE VENDAS'!$B$6:$B$500, 0)+2), ""), "")&amp; IF(COUNTIF('SAÍDA DE VENDAS'!$B$6:$B$500, B78)&gt;3, " + " &amp; IFERROR(INDEX('SAÍDA DE VENDAS'!$H$6:$H$500 &amp; "x " &amp; 'SAÍDA DE VENDAS'!$G$6:$G$500, MATCH(B78, 'SAÍDA DE VENDAS'!$B$6:$B$500, 0)+3), ""), "")&amp; IF(COUNTIF('SAÍDA DE VENDAS'!$B$6:$B$500, B78)&gt;4, " + " &amp; IFERROR(INDEX('SAÍDA DE VENDAS'!$H$6:$H$500 &amp; "x " &amp; 'SAÍDA DE VENDAS'!$G$6:$G$500, MATCH(B78, 'SAÍDA DE VENDAS'!$B$6:$B$500, 0)+4), ""), "")&amp; IF(COUNTIF('SAÍDA DE VENDAS'!$B$6:$B$500, B78)&gt;5, " + " &amp; IFERROR(INDEX('SAÍDA DE VENDAS'!$H$6:$H$500 &amp; "x " &amp; 'SAÍDA DE VENDAS'!$G$6:$G$500, MATCH(B78, 'SAÍDA DE VENDAS'!$B$6:$B$500, 0)+5), ""), ""))</f>
        <v/>
      </c>
      <c r="G78" s="28">
        <f>IFERROR(VLOOKUP(B78,'SAÍDA DE VENDAS'!$B$6:$P$500,10,FALSE),"")</f>
        <v>0</v>
      </c>
      <c r="H78" s="28" t="str">
        <f>IF(OR(ISBLANK(B78),B78=""), "", IF(B78=B77, (VALUE(LEFT(H77,FIND("/",H77)-1))+1)&amp;"/"&amp;RIGHT(H77,LEN(H77)-FIND("/",H77)), "1/"&amp;IFERROR(VLOOKUP(B78,'SAÍDA DE VENDAS'!$B$6:$P$500,13,FALSE),"1")))</f>
        <v/>
      </c>
      <c r="I78" s="69" t="str">
        <f t="shared" si="2"/>
        <v/>
      </c>
      <c r="J78" s="33" t="str">
        <f>IFERROR(VLOOKUP(B78,'SAÍDA DE VENDAS'!$B$6:$P$500,15,FALSE),"")</f>
        <v/>
      </c>
      <c r="K78" s="28" t="str">
        <f t="shared" ca="1" si="3"/>
        <v/>
      </c>
      <c r="L78" s="28"/>
      <c r="M78" s="28"/>
    </row>
    <row r="79" spans="2:13" ht="15" customHeight="1" x14ac:dyDescent="0.3">
      <c r="B79" s="34" t="str">
        <f>IF(B78="","", IF(VALUE(LEFT(H78,FIND("/",H78)-1)) &lt; VALUE(RIGHT(H78,LEN(H78)-FIND("/",H78))), B78, IFERROR(INDEX('SAÍDA DE VENDAS'!$B$6:$B$500, MATCH(B78,'SAÍDA DE VENDAS'!$B$6:$B$500,0)+COUNTIF('SAÍDA DE VENDAS'!$B$6:$B$500, B78)),"")))</f>
        <v/>
      </c>
      <c r="C79" s="35">
        <f>IFERROR(VLOOKUP(B79,'SAÍDA DE VENDAS'!$B$6:$P$500,3,FALSE),"")</f>
        <v>0</v>
      </c>
      <c r="D79" s="34">
        <f>IFERROR(VLOOKUP(B79,'SAÍDA DE VENDAS'!$B$6:$P$500,4,FALSE),"")</f>
        <v>0</v>
      </c>
      <c r="E79" s="34" t="str">
        <f>IFERROR(VLOOKUP(B79,'SAÍDA DE VENDAS'!$B$6:$P$500,5,FALSE),"")</f>
        <v/>
      </c>
      <c r="F79" s="34" t="str">
        <f>IF(OR(ISBLANK(B79),B79=""), "", IFERROR(INDEX('SAÍDA DE VENDAS'!$H$6:$H$500 &amp; "x " &amp; 'SAÍDA DE VENDAS'!$G$6:$G$500, MATCH(B79, 'SAÍDA DE VENDAS'!$B$6:$B$500, 0)), "")&amp; IF(COUNTIF('SAÍDA DE VENDAS'!$B$6:$B$500, B79)&gt;1, " + " &amp; IFERROR(INDEX('SAÍDA DE VENDAS'!$H$6:$H$500 &amp; "x " &amp; 'SAÍDA DE VENDAS'!$G$6:$G$500, MATCH(B79, 'SAÍDA DE VENDAS'!$B$6:$B$500, 0)+1), ""), "")&amp; IF(COUNTIF('SAÍDA DE VENDAS'!$B$6:$B$500, B79)&gt;2, " + " &amp; IFERROR(INDEX('SAÍDA DE VENDAS'!$H$6:$H$500 &amp; "x " &amp; 'SAÍDA DE VENDAS'!$G$6:$G$500, MATCH(B79, 'SAÍDA DE VENDAS'!$B$6:$B$500, 0)+2), ""), "")&amp; IF(COUNTIF('SAÍDA DE VENDAS'!$B$6:$B$500, B79)&gt;3, " + " &amp; IFERROR(INDEX('SAÍDA DE VENDAS'!$H$6:$H$500 &amp; "x " &amp; 'SAÍDA DE VENDAS'!$G$6:$G$500, MATCH(B79, 'SAÍDA DE VENDAS'!$B$6:$B$500, 0)+3), ""), "")&amp; IF(COUNTIF('SAÍDA DE VENDAS'!$B$6:$B$500, B79)&gt;4, " + " &amp; IFERROR(INDEX('SAÍDA DE VENDAS'!$H$6:$H$500 &amp; "x " &amp; 'SAÍDA DE VENDAS'!$G$6:$G$500, MATCH(B79, 'SAÍDA DE VENDAS'!$B$6:$B$500, 0)+4), ""), "")&amp; IF(COUNTIF('SAÍDA DE VENDAS'!$B$6:$B$500, B79)&gt;5, " + " &amp; IFERROR(INDEX('SAÍDA DE VENDAS'!$H$6:$H$500 &amp; "x " &amp; 'SAÍDA DE VENDAS'!$G$6:$G$500, MATCH(B79, 'SAÍDA DE VENDAS'!$B$6:$B$500, 0)+5), ""), ""))</f>
        <v/>
      </c>
      <c r="G79" s="34">
        <f>IFERROR(VLOOKUP(B79,'SAÍDA DE VENDAS'!$B$6:$P$500,10,FALSE),"")</f>
        <v>0</v>
      </c>
      <c r="H79" s="34" t="str">
        <f>IF(OR(ISBLANK(B79),B79=""), "", IF(B79=B78, (VALUE(LEFT(H78,FIND("/",H78)-1))+1)&amp;"/"&amp;RIGHT(H78,LEN(H78)-FIND("/",H78)), "1/"&amp;IFERROR(VLOOKUP(B79,'SAÍDA DE VENDAS'!$B$6:$P$500,13,FALSE),"1")))</f>
        <v/>
      </c>
      <c r="I79" s="35" t="str">
        <f t="shared" si="2"/>
        <v/>
      </c>
      <c r="J79" s="39" t="str">
        <f>IFERROR(VLOOKUP(B79,'SAÍDA DE VENDAS'!$B$6:$P$500,15,FALSE),"")</f>
        <v/>
      </c>
      <c r="K79" s="34" t="str">
        <f t="shared" ca="1" si="3"/>
        <v/>
      </c>
      <c r="L79" s="34"/>
      <c r="M79" s="34"/>
    </row>
    <row r="80" spans="2:13" ht="15" customHeight="1" x14ac:dyDescent="0.3">
      <c r="B80" s="28" t="str">
        <f>IF(B79="","", IF(VALUE(LEFT(H79,FIND("/",H79)-1)) &lt; VALUE(RIGHT(H79,LEN(H79)-FIND("/",H79))), B79, IFERROR(INDEX('SAÍDA DE VENDAS'!$B$6:$B$500, MATCH(B79,'SAÍDA DE VENDAS'!$B$6:$B$500,0)+COUNTIF('SAÍDA DE VENDAS'!$B$6:$B$500, B79)),"")))</f>
        <v/>
      </c>
      <c r="C80" s="29">
        <f>IFERROR(VLOOKUP(B80,'SAÍDA DE VENDAS'!$B$6:$P$500,3,FALSE),"")</f>
        <v>0</v>
      </c>
      <c r="D80" s="28">
        <f>IFERROR(VLOOKUP(B80,'SAÍDA DE VENDAS'!$B$6:$P$500,4,FALSE),"")</f>
        <v>0</v>
      </c>
      <c r="E80" s="28" t="str">
        <f>IFERROR(VLOOKUP(B80,'SAÍDA DE VENDAS'!$B$6:$P$500,5,FALSE),"")</f>
        <v/>
      </c>
      <c r="F80" s="28" t="str">
        <f>IF(OR(ISBLANK(B80),B80=""), "", IFERROR(INDEX('SAÍDA DE VENDAS'!$H$6:$H$500 &amp; "x " &amp; 'SAÍDA DE VENDAS'!$G$6:$G$500, MATCH(B80, 'SAÍDA DE VENDAS'!$B$6:$B$500, 0)), "")&amp; IF(COUNTIF('SAÍDA DE VENDAS'!$B$6:$B$500, B80)&gt;1, " + " &amp; IFERROR(INDEX('SAÍDA DE VENDAS'!$H$6:$H$500 &amp; "x " &amp; 'SAÍDA DE VENDAS'!$G$6:$G$500, MATCH(B80, 'SAÍDA DE VENDAS'!$B$6:$B$500, 0)+1), ""), "")&amp; IF(COUNTIF('SAÍDA DE VENDAS'!$B$6:$B$500, B80)&gt;2, " + " &amp; IFERROR(INDEX('SAÍDA DE VENDAS'!$H$6:$H$500 &amp; "x " &amp; 'SAÍDA DE VENDAS'!$G$6:$G$500, MATCH(B80, 'SAÍDA DE VENDAS'!$B$6:$B$500, 0)+2), ""), "")&amp; IF(COUNTIF('SAÍDA DE VENDAS'!$B$6:$B$500, B80)&gt;3, " + " &amp; IFERROR(INDEX('SAÍDA DE VENDAS'!$H$6:$H$500 &amp; "x " &amp; 'SAÍDA DE VENDAS'!$G$6:$G$500, MATCH(B80, 'SAÍDA DE VENDAS'!$B$6:$B$500, 0)+3), ""), "")&amp; IF(COUNTIF('SAÍDA DE VENDAS'!$B$6:$B$500, B80)&gt;4, " + " &amp; IFERROR(INDEX('SAÍDA DE VENDAS'!$H$6:$H$500 &amp; "x " &amp; 'SAÍDA DE VENDAS'!$G$6:$G$500, MATCH(B80, 'SAÍDA DE VENDAS'!$B$6:$B$500, 0)+4), ""), "")&amp; IF(COUNTIF('SAÍDA DE VENDAS'!$B$6:$B$500, B80)&gt;5, " + " &amp; IFERROR(INDEX('SAÍDA DE VENDAS'!$H$6:$H$500 &amp; "x " &amp; 'SAÍDA DE VENDAS'!$G$6:$G$500, MATCH(B80, 'SAÍDA DE VENDAS'!$B$6:$B$500, 0)+5), ""), ""))</f>
        <v/>
      </c>
      <c r="G80" s="28">
        <f>IFERROR(VLOOKUP(B80,'SAÍDA DE VENDAS'!$B$6:$P$500,10,FALSE),"")</f>
        <v>0</v>
      </c>
      <c r="H80" s="28" t="str">
        <f>IF(OR(ISBLANK(B80),B80=""), "", IF(B80=B79, (VALUE(LEFT(H79,FIND("/",H79)-1))+1)&amp;"/"&amp;RIGHT(H79,LEN(H79)-FIND("/",H79)), "1/"&amp;IFERROR(VLOOKUP(B80,'SAÍDA DE VENDAS'!$B$6:$P$500,13,FALSE),"1")))</f>
        <v/>
      </c>
      <c r="I80" s="69" t="str">
        <f t="shared" si="2"/>
        <v/>
      </c>
      <c r="J80" s="33" t="str">
        <f>IFERROR(VLOOKUP(B80,'SAÍDA DE VENDAS'!$B$6:$P$500,15,FALSE),"")</f>
        <v/>
      </c>
      <c r="K80" s="28" t="str">
        <f t="shared" ca="1" si="3"/>
        <v/>
      </c>
      <c r="L80" s="28"/>
      <c r="M80" s="28"/>
    </row>
    <row r="81" spans="2:13" ht="15" customHeight="1" x14ac:dyDescent="0.3">
      <c r="B81" s="34" t="str">
        <f>IF(B80="","", IF(VALUE(LEFT(H80,FIND("/",H80)-1)) &lt; VALUE(RIGHT(H80,LEN(H80)-FIND("/",H80))), B80, IFERROR(INDEX('SAÍDA DE VENDAS'!$B$6:$B$500, MATCH(B80,'SAÍDA DE VENDAS'!$B$6:$B$500,0)+COUNTIF('SAÍDA DE VENDAS'!$B$6:$B$500, B80)),"")))</f>
        <v/>
      </c>
      <c r="C81" s="35">
        <f>IFERROR(VLOOKUP(B81,'SAÍDA DE VENDAS'!$B$6:$P$500,3,FALSE),"")</f>
        <v>0</v>
      </c>
      <c r="D81" s="34">
        <f>IFERROR(VLOOKUP(B81,'SAÍDA DE VENDAS'!$B$6:$P$500,4,FALSE),"")</f>
        <v>0</v>
      </c>
      <c r="E81" s="34" t="str">
        <f>IFERROR(VLOOKUP(B81,'SAÍDA DE VENDAS'!$B$6:$P$500,5,FALSE),"")</f>
        <v/>
      </c>
      <c r="F81" s="34" t="str">
        <f>IF(OR(ISBLANK(B81),B81=""), "", IFERROR(INDEX('SAÍDA DE VENDAS'!$H$6:$H$500 &amp; "x " &amp; 'SAÍDA DE VENDAS'!$G$6:$G$500, MATCH(B81, 'SAÍDA DE VENDAS'!$B$6:$B$500, 0)), "")&amp; IF(COUNTIF('SAÍDA DE VENDAS'!$B$6:$B$500, B81)&gt;1, " + " &amp; IFERROR(INDEX('SAÍDA DE VENDAS'!$H$6:$H$500 &amp; "x " &amp; 'SAÍDA DE VENDAS'!$G$6:$G$500, MATCH(B81, 'SAÍDA DE VENDAS'!$B$6:$B$500, 0)+1), ""), "")&amp; IF(COUNTIF('SAÍDA DE VENDAS'!$B$6:$B$500, B81)&gt;2, " + " &amp; IFERROR(INDEX('SAÍDA DE VENDAS'!$H$6:$H$500 &amp; "x " &amp; 'SAÍDA DE VENDAS'!$G$6:$G$500, MATCH(B81, 'SAÍDA DE VENDAS'!$B$6:$B$500, 0)+2), ""), "")&amp; IF(COUNTIF('SAÍDA DE VENDAS'!$B$6:$B$500, B81)&gt;3, " + " &amp; IFERROR(INDEX('SAÍDA DE VENDAS'!$H$6:$H$500 &amp; "x " &amp; 'SAÍDA DE VENDAS'!$G$6:$G$500, MATCH(B81, 'SAÍDA DE VENDAS'!$B$6:$B$500, 0)+3), ""), "")&amp; IF(COUNTIF('SAÍDA DE VENDAS'!$B$6:$B$500, B81)&gt;4, " + " &amp; IFERROR(INDEX('SAÍDA DE VENDAS'!$H$6:$H$500 &amp; "x " &amp; 'SAÍDA DE VENDAS'!$G$6:$G$500, MATCH(B81, 'SAÍDA DE VENDAS'!$B$6:$B$500, 0)+4), ""), "")&amp; IF(COUNTIF('SAÍDA DE VENDAS'!$B$6:$B$500, B81)&gt;5, " + " &amp; IFERROR(INDEX('SAÍDA DE VENDAS'!$H$6:$H$500 &amp; "x " &amp; 'SAÍDA DE VENDAS'!$G$6:$G$500, MATCH(B81, 'SAÍDA DE VENDAS'!$B$6:$B$500, 0)+5), ""), ""))</f>
        <v/>
      </c>
      <c r="G81" s="34">
        <f>IFERROR(VLOOKUP(B81,'SAÍDA DE VENDAS'!$B$6:$P$500,10,FALSE),"")</f>
        <v>0</v>
      </c>
      <c r="H81" s="34" t="str">
        <f>IF(OR(ISBLANK(B81),B81=""), "", IF(B81=B80, (VALUE(LEFT(H80,FIND("/",H80)-1))+1)&amp;"/"&amp;RIGHT(H80,LEN(H80)-FIND("/",H80)), "1/"&amp;IFERROR(VLOOKUP(B81,'SAÍDA DE VENDAS'!$B$6:$P$500,13,FALSE),"1")))</f>
        <v/>
      </c>
      <c r="I81" s="35" t="str">
        <f t="shared" si="2"/>
        <v/>
      </c>
      <c r="J81" s="39" t="str">
        <f>IFERROR(VLOOKUP(B81,'SAÍDA DE VENDAS'!$B$6:$P$500,15,FALSE),"")</f>
        <v/>
      </c>
      <c r="K81" s="34" t="str">
        <f t="shared" ca="1" si="3"/>
        <v/>
      </c>
      <c r="L81" s="34"/>
      <c r="M81" s="34"/>
    </row>
    <row r="82" spans="2:13" ht="15" customHeight="1" x14ac:dyDescent="0.3">
      <c r="B82" s="28" t="str">
        <f>IF(B81="","", IF(VALUE(LEFT(H81,FIND("/",H81)-1)) &lt; VALUE(RIGHT(H81,LEN(H81)-FIND("/",H81))), B81, IFERROR(INDEX('SAÍDA DE VENDAS'!$B$6:$B$500, MATCH(B81,'SAÍDA DE VENDAS'!$B$6:$B$500,0)+COUNTIF('SAÍDA DE VENDAS'!$B$6:$B$500, B81)),"")))</f>
        <v/>
      </c>
      <c r="C82" s="29">
        <f>IFERROR(VLOOKUP(B82,'SAÍDA DE VENDAS'!$B$6:$P$500,3,FALSE),"")</f>
        <v>0</v>
      </c>
      <c r="D82" s="28">
        <f>IFERROR(VLOOKUP(B82,'SAÍDA DE VENDAS'!$B$6:$P$500,4,FALSE),"")</f>
        <v>0</v>
      </c>
      <c r="E82" s="28" t="str">
        <f>IFERROR(VLOOKUP(B82,'SAÍDA DE VENDAS'!$B$6:$P$500,5,FALSE),"")</f>
        <v/>
      </c>
      <c r="F82" s="28" t="str">
        <f>IF(OR(ISBLANK(B82),B82=""), "", IFERROR(INDEX('SAÍDA DE VENDAS'!$H$6:$H$500 &amp; "x " &amp; 'SAÍDA DE VENDAS'!$G$6:$G$500, MATCH(B82, 'SAÍDA DE VENDAS'!$B$6:$B$500, 0)), "")&amp; IF(COUNTIF('SAÍDA DE VENDAS'!$B$6:$B$500, B82)&gt;1, " + " &amp; IFERROR(INDEX('SAÍDA DE VENDAS'!$H$6:$H$500 &amp; "x " &amp; 'SAÍDA DE VENDAS'!$G$6:$G$500, MATCH(B82, 'SAÍDA DE VENDAS'!$B$6:$B$500, 0)+1), ""), "")&amp; IF(COUNTIF('SAÍDA DE VENDAS'!$B$6:$B$500, B82)&gt;2, " + " &amp; IFERROR(INDEX('SAÍDA DE VENDAS'!$H$6:$H$500 &amp; "x " &amp; 'SAÍDA DE VENDAS'!$G$6:$G$500, MATCH(B82, 'SAÍDA DE VENDAS'!$B$6:$B$500, 0)+2), ""), "")&amp; IF(COUNTIF('SAÍDA DE VENDAS'!$B$6:$B$500, B82)&gt;3, " + " &amp; IFERROR(INDEX('SAÍDA DE VENDAS'!$H$6:$H$500 &amp; "x " &amp; 'SAÍDA DE VENDAS'!$G$6:$G$500, MATCH(B82, 'SAÍDA DE VENDAS'!$B$6:$B$500, 0)+3), ""), "")&amp; IF(COUNTIF('SAÍDA DE VENDAS'!$B$6:$B$500, B82)&gt;4, " + " &amp; IFERROR(INDEX('SAÍDA DE VENDAS'!$H$6:$H$500 &amp; "x " &amp; 'SAÍDA DE VENDAS'!$G$6:$G$500, MATCH(B82, 'SAÍDA DE VENDAS'!$B$6:$B$500, 0)+4), ""), "")&amp; IF(COUNTIF('SAÍDA DE VENDAS'!$B$6:$B$500, B82)&gt;5, " + " &amp; IFERROR(INDEX('SAÍDA DE VENDAS'!$H$6:$H$500 &amp; "x " &amp; 'SAÍDA DE VENDAS'!$G$6:$G$500, MATCH(B82, 'SAÍDA DE VENDAS'!$B$6:$B$500, 0)+5), ""), ""))</f>
        <v/>
      </c>
      <c r="G82" s="28">
        <f>IFERROR(VLOOKUP(B82,'SAÍDA DE VENDAS'!$B$6:$P$500,10,FALSE),"")</f>
        <v>0</v>
      </c>
      <c r="H82" s="28" t="str">
        <f>IF(OR(ISBLANK(B82),B82=""), "", IF(B82=B81, (VALUE(LEFT(H81,FIND("/",H81)-1))+1)&amp;"/"&amp;RIGHT(H81,LEN(H81)-FIND("/",H81)), "1/"&amp;IFERROR(VLOOKUP(B82,'SAÍDA DE VENDAS'!$B$6:$P$500,13,FALSE),"1")))</f>
        <v/>
      </c>
      <c r="I82" s="69" t="str">
        <f t="shared" si="2"/>
        <v/>
      </c>
      <c r="J82" s="33" t="str">
        <f>IFERROR(VLOOKUP(B82,'SAÍDA DE VENDAS'!$B$6:$P$500,15,FALSE),"")</f>
        <v/>
      </c>
      <c r="K82" s="28" t="str">
        <f t="shared" ca="1" si="3"/>
        <v/>
      </c>
      <c r="L82" s="28"/>
      <c r="M82" s="28"/>
    </row>
    <row r="83" spans="2:13" ht="15" customHeight="1" x14ac:dyDescent="0.3">
      <c r="B83" s="34" t="str">
        <f>IF(B82="","", IF(VALUE(LEFT(H82,FIND("/",H82)-1)) &lt; VALUE(RIGHT(H82,LEN(H82)-FIND("/",H82))), B82, IFERROR(INDEX('SAÍDA DE VENDAS'!$B$6:$B$500, MATCH(B82,'SAÍDA DE VENDAS'!$B$6:$B$500,0)+COUNTIF('SAÍDA DE VENDAS'!$B$6:$B$500, B82)),"")))</f>
        <v/>
      </c>
      <c r="C83" s="35">
        <f>IFERROR(VLOOKUP(B83,'SAÍDA DE VENDAS'!$B$6:$P$500,3,FALSE),"")</f>
        <v>0</v>
      </c>
      <c r="D83" s="34">
        <f>IFERROR(VLOOKUP(B83,'SAÍDA DE VENDAS'!$B$6:$P$500,4,FALSE),"")</f>
        <v>0</v>
      </c>
      <c r="E83" s="34" t="str">
        <f>IFERROR(VLOOKUP(B83,'SAÍDA DE VENDAS'!$B$6:$P$500,5,FALSE),"")</f>
        <v/>
      </c>
      <c r="F83" s="34" t="str">
        <f>IF(OR(ISBLANK(B83),B83=""), "", IFERROR(INDEX('SAÍDA DE VENDAS'!$H$6:$H$500 &amp; "x " &amp; 'SAÍDA DE VENDAS'!$G$6:$G$500, MATCH(B83, 'SAÍDA DE VENDAS'!$B$6:$B$500, 0)), "")&amp; IF(COUNTIF('SAÍDA DE VENDAS'!$B$6:$B$500, B83)&gt;1, " + " &amp; IFERROR(INDEX('SAÍDA DE VENDAS'!$H$6:$H$500 &amp; "x " &amp; 'SAÍDA DE VENDAS'!$G$6:$G$500, MATCH(B83, 'SAÍDA DE VENDAS'!$B$6:$B$500, 0)+1), ""), "")&amp; IF(COUNTIF('SAÍDA DE VENDAS'!$B$6:$B$500, B83)&gt;2, " + " &amp; IFERROR(INDEX('SAÍDA DE VENDAS'!$H$6:$H$500 &amp; "x " &amp; 'SAÍDA DE VENDAS'!$G$6:$G$500, MATCH(B83, 'SAÍDA DE VENDAS'!$B$6:$B$500, 0)+2), ""), "")&amp; IF(COUNTIF('SAÍDA DE VENDAS'!$B$6:$B$500, B83)&gt;3, " + " &amp; IFERROR(INDEX('SAÍDA DE VENDAS'!$H$6:$H$500 &amp; "x " &amp; 'SAÍDA DE VENDAS'!$G$6:$G$500, MATCH(B83, 'SAÍDA DE VENDAS'!$B$6:$B$500, 0)+3), ""), "")&amp; IF(COUNTIF('SAÍDA DE VENDAS'!$B$6:$B$500, B83)&gt;4, " + " &amp; IFERROR(INDEX('SAÍDA DE VENDAS'!$H$6:$H$500 &amp; "x " &amp; 'SAÍDA DE VENDAS'!$G$6:$G$500, MATCH(B83, 'SAÍDA DE VENDAS'!$B$6:$B$500, 0)+4), ""), "")&amp; IF(COUNTIF('SAÍDA DE VENDAS'!$B$6:$B$500, B83)&gt;5, " + " &amp; IFERROR(INDEX('SAÍDA DE VENDAS'!$H$6:$H$500 &amp; "x " &amp; 'SAÍDA DE VENDAS'!$G$6:$G$500, MATCH(B83, 'SAÍDA DE VENDAS'!$B$6:$B$500, 0)+5), ""), ""))</f>
        <v/>
      </c>
      <c r="G83" s="34">
        <f>IFERROR(VLOOKUP(B83,'SAÍDA DE VENDAS'!$B$6:$P$500,10,FALSE),"")</f>
        <v>0</v>
      </c>
      <c r="H83" s="34" t="str">
        <f>IF(OR(ISBLANK(B83),B83=""), "", IF(B83=B82, (VALUE(LEFT(H82,FIND("/",H82)-1))+1)&amp;"/"&amp;RIGHT(H82,LEN(H82)-FIND("/",H82)), "1/"&amp;IFERROR(VLOOKUP(B83,'SAÍDA DE VENDAS'!$B$6:$P$500,13,FALSE),"1")))</f>
        <v/>
      </c>
      <c r="I83" s="35" t="str">
        <f t="shared" si="2"/>
        <v/>
      </c>
      <c r="J83" s="39" t="str">
        <f>IFERROR(VLOOKUP(B83,'SAÍDA DE VENDAS'!$B$6:$P$500,15,FALSE),"")</f>
        <v/>
      </c>
      <c r="K83" s="34" t="str">
        <f t="shared" ca="1" si="3"/>
        <v/>
      </c>
      <c r="L83" s="34"/>
      <c r="M83" s="34"/>
    </row>
    <row r="84" spans="2:13" ht="15" customHeight="1" x14ac:dyDescent="0.3">
      <c r="B84" s="28" t="str">
        <f>IF(B83="","", IF(VALUE(LEFT(H83,FIND("/",H83)-1)) &lt; VALUE(RIGHT(H83,LEN(H83)-FIND("/",H83))), B83, IFERROR(INDEX('SAÍDA DE VENDAS'!$B$6:$B$500, MATCH(B83,'SAÍDA DE VENDAS'!$B$6:$B$500,0)+COUNTIF('SAÍDA DE VENDAS'!$B$6:$B$500, B83)),"")))</f>
        <v/>
      </c>
      <c r="C84" s="29">
        <f>IFERROR(VLOOKUP(B84,'SAÍDA DE VENDAS'!$B$6:$P$500,3,FALSE),"")</f>
        <v>0</v>
      </c>
      <c r="D84" s="28">
        <f>IFERROR(VLOOKUP(B84,'SAÍDA DE VENDAS'!$B$6:$P$500,4,FALSE),"")</f>
        <v>0</v>
      </c>
      <c r="E84" s="28" t="str">
        <f>IFERROR(VLOOKUP(B84,'SAÍDA DE VENDAS'!$B$6:$P$500,5,FALSE),"")</f>
        <v/>
      </c>
      <c r="F84" s="28" t="str">
        <f>IF(OR(ISBLANK(B84),B84=""), "", IFERROR(INDEX('SAÍDA DE VENDAS'!$H$6:$H$500 &amp; "x " &amp; 'SAÍDA DE VENDAS'!$G$6:$G$500, MATCH(B84, 'SAÍDA DE VENDAS'!$B$6:$B$500, 0)), "")&amp; IF(COUNTIF('SAÍDA DE VENDAS'!$B$6:$B$500, B84)&gt;1, " + " &amp; IFERROR(INDEX('SAÍDA DE VENDAS'!$H$6:$H$500 &amp; "x " &amp; 'SAÍDA DE VENDAS'!$G$6:$G$500, MATCH(B84, 'SAÍDA DE VENDAS'!$B$6:$B$500, 0)+1), ""), "")&amp; IF(COUNTIF('SAÍDA DE VENDAS'!$B$6:$B$500, B84)&gt;2, " + " &amp; IFERROR(INDEX('SAÍDA DE VENDAS'!$H$6:$H$500 &amp; "x " &amp; 'SAÍDA DE VENDAS'!$G$6:$G$500, MATCH(B84, 'SAÍDA DE VENDAS'!$B$6:$B$500, 0)+2), ""), "")&amp; IF(COUNTIF('SAÍDA DE VENDAS'!$B$6:$B$500, B84)&gt;3, " + " &amp; IFERROR(INDEX('SAÍDA DE VENDAS'!$H$6:$H$500 &amp; "x " &amp; 'SAÍDA DE VENDAS'!$G$6:$G$500, MATCH(B84, 'SAÍDA DE VENDAS'!$B$6:$B$500, 0)+3), ""), "")&amp; IF(COUNTIF('SAÍDA DE VENDAS'!$B$6:$B$500, B84)&gt;4, " + " &amp; IFERROR(INDEX('SAÍDA DE VENDAS'!$H$6:$H$500 &amp; "x " &amp; 'SAÍDA DE VENDAS'!$G$6:$G$500, MATCH(B84, 'SAÍDA DE VENDAS'!$B$6:$B$500, 0)+4), ""), "")&amp; IF(COUNTIF('SAÍDA DE VENDAS'!$B$6:$B$500, B84)&gt;5, " + " &amp; IFERROR(INDEX('SAÍDA DE VENDAS'!$H$6:$H$500 &amp; "x " &amp; 'SAÍDA DE VENDAS'!$G$6:$G$500, MATCH(B84, 'SAÍDA DE VENDAS'!$B$6:$B$500, 0)+5), ""), ""))</f>
        <v/>
      </c>
      <c r="G84" s="28">
        <f>IFERROR(VLOOKUP(B84,'SAÍDA DE VENDAS'!$B$6:$P$500,10,FALSE),"")</f>
        <v>0</v>
      </c>
      <c r="H84" s="28" t="str">
        <f>IF(OR(ISBLANK(B84),B84=""), "", IF(B84=B83, (VALUE(LEFT(H83,FIND("/",H83)-1))+1)&amp;"/"&amp;RIGHT(H83,LEN(H83)-FIND("/",H83)), "1/"&amp;IFERROR(VLOOKUP(B84,'SAÍDA DE VENDAS'!$B$6:$P$500,13,FALSE),"1")))</f>
        <v/>
      </c>
      <c r="I84" s="69" t="str">
        <f t="shared" si="2"/>
        <v/>
      </c>
      <c r="J84" s="33" t="str">
        <f>IFERROR(VLOOKUP(B84,'SAÍDA DE VENDAS'!$B$6:$P$500,15,FALSE),"")</f>
        <v/>
      </c>
      <c r="K84" s="28" t="str">
        <f t="shared" ca="1" si="3"/>
        <v/>
      </c>
      <c r="L84" s="28"/>
      <c r="M84" s="28"/>
    </row>
    <row r="85" spans="2:13" ht="15" customHeight="1" x14ac:dyDescent="0.3">
      <c r="B85" s="34" t="str">
        <f>IF(B84="","", IF(VALUE(LEFT(H84,FIND("/",H84)-1)) &lt; VALUE(RIGHT(H84,LEN(H84)-FIND("/",H84))), B84, IFERROR(INDEX('SAÍDA DE VENDAS'!$B$6:$B$500, MATCH(B84,'SAÍDA DE VENDAS'!$B$6:$B$500,0)+COUNTIF('SAÍDA DE VENDAS'!$B$6:$B$500, B84)),"")))</f>
        <v/>
      </c>
      <c r="C85" s="35">
        <f>IFERROR(VLOOKUP(B85,'SAÍDA DE VENDAS'!$B$6:$P$500,3,FALSE),"")</f>
        <v>0</v>
      </c>
      <c r="D85" s="34">
        <f>IFERROR(VLOOKUP(B85,'SAÍDA DE VENDAS'!$B$6:$P$500,4,FALSE),"")</f>
        <v>0</v>
      </c>
      <c r="E85" s="34" t="str">
        <f>IFERROR(VLOOKUP(B85,'SAÍDA DE VENDAS'!$B$6:$P$500,5,FALSE),"")</f>
        <v/>
      </c>
      <c r="F85" s="34" t="str">
        <f>IF(OR(ISBLANK(B85),B85=""), "", IFERROR(INDEX('SAÍDA DE VENDAS'!$H$6:$H$500 &amp; "x " &amp; 'SAÍDA DE VENDAS'!$G$6:$G$500, MATCH(B85, 'SAÍDA DE VENDAS'!$B$6:$B$500, 0)), "")&amp; IF(COUNTIF('SAÍDA DE VENDAS'!$B$6:$B$500, B85)&gt;1, " + " &amp; IFERROR(INDEX('SAÍDA DE VENDAS'!$H$6:$H$500 &amp; "x " &amp; 'SAÍDA DE VENDAS'!$G$6:$G$500, MATCH(B85, 'SAÍDA DE VENDAS'!$B$6:$B$500, 0)+1), ""), "")&amp; IF(COUNTIF('SAÍDA DE VENDAS'!$B$6:$B$500, B85)&gt;2, " + " &amp; IFERROR(INDEX('SAÍDA DE VENDAS'!$H$6:$H$500 &amp; "x " &amp; 'SAÍDA DE VENDAS'!$G$6:$G$500, MATCH(B85, 'SAÍDA DE VENDAS'!$B$6:$B$500, 0)+2), ""), "")&amp; IF(COUNTIF('SAÍDA DE VENDAS'!$B$6:$B$500, B85)&gt;3, " + " &amp; IFERROR(INDEX('SAÍDA DE VENDAS'!$H$6:$H$500 &amp; "x " &amp; 'SAÍDA DE VENDAS'!$G$6:$G$500, MATCH(B85, 'SAÍDA DE VENDAS'!$B$6:$B$500, 0)+3), ""), "")&amp; IF(COUNTIF('SAÍDA DE VENDAS'!$B$6:$B$500, B85)&gt;4, " + " &amp; IFERROR(INDEX('SAÍDA DE VENDAS'!$H$6:$H$500 &amp; "x " &amp; 'SAÍDA DE VENDAS'!$G$6:$G$500, MATCH(B85, 'SAÍDA DE VENDAS'!$B$6:$B$500, 0)+4), ""), "")&amp; IF(COUNTIF('SAÍDA DE VENDAS'!$B$6:$B$500, B85)&gt;5, " + " &amp; IFERROR(INDEX('SAÍDA DE VENDAS'!$H$6:$H$500 &amp; "x " &amp; 'SAÍDA DE VENDAS'!$G$6:$G$500, MATCH(B85, 'SAÍDA DE VENDAS'!$B$6:$B$500, 0)+5), ""), ""))</f>
        <v/>
      </c>
      <c r="G85" s="34">
        <f>IFERROR(VLOOKUP(B85,'SAÍDA DE VENDAS'!$B$6:$P$500,10,FALSE),"")</f>
        <v>0</v>
      </c>
      <c r="H85" s="34" t="str">
        <f>IF(OR(ISBLANK(B85),B85=""), "", IF(B85=B84, (VALUE(LEFT(H84,FIND("/",H84)-1))+1)&amp;"/"&amp;RIGHT(H84,LEN(H84)-FIND("/",H84)), "1/"&amp;IFERROR(VLOOKUP(B85,'SAÍDA DE VENDAS'!$B$6:$P$500,13,FALSE),"1")))</f>
        <v/>
      </c>
      <c r="I85" s="35" t="str">
        <f t="shared" si="2"/>
        <v/>
      </c>
      <c r="J85" s="39" t="str">
        <f>IFERROR(VLOOKUP(B85,'SAÍDA DE VENDAS'!$B$6:$P$500,15,FALSE),"")</f>
        <v/>
      </c>
      <c r="K85" s="34" t="str">
        <f t="shared" ca="1" si="3"/>
        <v/>
      </c>
      <c r="L85" s="34"/>
      <c r="M85" s="34"/>
    </row>
    <row r="86" spans="2:13" ht="15" customHeight="1" x14ac:dyDescent="0.3">
      <c r="B86" s="28" t="str">
        <f>IF(B85="","", IF(VALUE(LEFT(H85,FIND("/",H85)-1)) &lt; VALUE(RIGHT(H85,LEN(H85)-FIND("/",H85))), B85, IFERROR(INDEX('SAÍDA DE VENDAS'!$B$6:$B$500, MATCH(B85,'SAÍDA DE VENDAS'!$B$6:$B$500,0)+COUNTIF('SAÍDA DE VENDAS'!$B$6:$B$500, B85)),"")))</f>
        <v/>
      </c>
      <c r="C86" s="29">
        <f>IFERROR(VLOOKUP(B86,'SAÍDA DE VENDAS'!$B$6:$P$500,3,FALSE),"")</f>
        <v>0</v>
      </c>
      <c r="D86" s="28">
        <f>IFERROR(VLOOKUP(B86,'SAÍDA DE VENDAS'!$B$6:$P$500,4,FALSE),"")</f>
        <v>0</v>
      </c>
      <c r="E86" s="28" t="str">
        <f>IFERROR(VLOOKUP(B86,'SAÍDA DE VENDAS'!$B$6:$P$500,5,FALSE),"")</f>
        <v/>
      </c>
      <c r="F86" s="28" t="str">
        <f>IF(OR(ISBLANK(B86),B86=""), "", IFERROR(INDEX('SAÍDA DE VENDAS'!$H$6:$H$500 &amp; "x " &amp; 'SAÍDA DE VENDAS'!$G$6:$G$500, MATCH(B86, 'SAÍDA DE VENDAS'!$B$6:$B$500, 0)), "")&amp; IF(COUNTIF('SAÍDA DE VENDAS'!$B$6:$B$500, B86)&gt;1, " + " &amp; IFERROR(INDEX('SAÍDA DE VENDAS'!$H$6:$H$500 &amp; "x " &amp; 'SAÍDA DE VENDAS'!$G$6:$G$500, MATCH(B86, 'SAÍDA DE VENDAS'!$B$6:$B$500, 0)+1), ""), "")&amp; IF(COUNTIF('SAÍDA DE VENDAS'!$B$6:$B$500, B86)&gt;2, " + " &amp; IFERROR(INDEX('SAÍDA DE VENDAS'!$H$6:$H$500 &amp; "x " &amp; 'SAÍDA DE VENDAS'!$G$6:$G$500, MATCH(B86, 'SAÍDA DE VENDAS'!$B$6:$B$500, 0)+2), ""), "")&amp; IF(COUNTIF('SAÍDA DE VENDAS'!$B$6:$B$500, B86)&gt;3, " + " &amp; IFERROR(INDEX('SAÍDA DE VENDAS'!$H$6:$H$500 &amp; "x " &amp; 'SAÍDA DE VENDAS'!$G$6:$G$500, MATCH(B86, 'SAÍDA DE VENDAS'!$B$6:$B$500, 0)+3), ""), "")&amp; IF(COUNTIF('SAÍDA DE VENDAS'!$B$6:$B$500, B86)&gt;4, " + " &amp; IFERROR(INDEX('SAÍDA DE VENDAS'!$H$6:$H$500 &amp; "x " &amp; 'SAÍDA DE VENDAS'!$G$6:$G$500, MATCH(B86, 'SAÍDA DE VENDAS'!$B$6:$B$500, 0)+4), ""), "")&amp; IF(COUNTIF('SAÍDA DE VENDAS'!$B$6:$B$500, B86)&gt;5, " + " &amp; IFERROR(INDEX('SAÍDA DE VENDAS'!$H$6:$H$500 &amp; "x " &amp; 'SAÍDA DE VENDAS'!$G$6:$G$500, MATCH(B86, 'SAÍDA DE VENDAS'!$B$6:$B$500, 0)+5), ""), ""))</f>
        <v/>
      </c>
      <c r="G86" s="28">
        <f>IFERROR(VLOOKUP(B86,'SAÍDA DE VENDAS'!$B$6:$P$500,10,FALSE),"")</f>
        <v>0</v>
      </c>
      <c r="H86" s="28" t="str">
        <f>IF(OR(ISBLANK(B86),B86=""), "", IF(B86=B85, (VALUE(LEFT(H85,FIND("/",H85)-1))+1)&amp;"/"&amp;RIGHT(H85,LEN(H85)-FIND("/",H85)), "1/"&amp;IFERROR(VLOOKUP(B86,'SAÍDA DE VENDAS'!$B$6:$P$500,13,FALSE),"1")))</f>
        <v/>
      </c>
      <c r="I86" s="69" t="str">
        <f t="shared" si="2"/>
        <v/>
      </c>
      <c r="J86" s="33" t="str">
        <f>IFERROR(VLOOKUP(B86,'SAÍDA DE VENDAS'!$B$6:$P$500,15,FALSE),"")</f>
        <v/>
      </c>
      <c r="K86" s="28" t="str">
        <f t="shared" ca="1" si="3"/>
        <v/>
      </c>
      <c r="L86" s="28"/>
      <c r="M86" s="28"/>
    </row>
    <row r="87" spans="2:13" ht="15" customHeight="1" x14ac:dyDescent="0.3">
      <c r="B87" s="34" t="str">
        <f>IF(B86="","", IF(VALUE(LEFT(H86,FIND("/",H86)-1)) &lt; VALUE(RIGHT(H86,LEN(H86)-FIND("/",H86))), B86, IFERROR(INDEX('SAÍDA DE VENDAS'!$B$6:$B$500, MATCH(B86,'SAÍDA DE VENDAS'!$B$6:$B$500,0)+COUNTIF('SAÍDA DE VENDAS'!$B$6:$B$500, B86)),"")))</f>
        <v/>
      </c>
      <c r="C87" s="35">
        <f>IFERROR(VLOOKUP(B87,'SAÍDA DE VENDAS'!$B$6:$P$500,3,FALSE),"")</f>
        <v>0</v>
      </c>
      <c r="D87" s="34">
        <f>IFERROR(VLOOKUP(B87,'SAÍDA DE VENDAS'!$B$6:$P$500,4,FALSE),"")</f>
        <v>0</v>
      </c>
      <c r="E87" s="34" t="str">
        <f>IFERROR(VLOOKUP(B87,'SAÍDA DE VENDAS'!$B$6:$P$500,5,FALSE),"")</f>
        <v/>
      </c>
      <c r="F87" s="34" t="str">
        <f>IF(OR(ISBLANK(B87),B87=""), "", IFERROR(INDEX('SAÍDA DE VENDAS'!$H$6:$H$500 &amp; "x " &amp; 'SAÍDA DE VENDAS'!$G$6:$G$500, MATCH(B87, 'SAÍDA DE VENDAS'!$B$6:$B$500, 0)), "")&amp; IF(COUNTIF('SAÍDA DE VENDAS'!$B$6:$B$500, B87)&gt;1, " + " &amp; IFERROR(INDEX('SAÍDA DE VENDAS'!$H$6:$H$500 &amp; "x " &amp; 'SAÍDA DE VENDAS'!$G$6:$G$500, MATCH(B87, 'SAÍDA DE VENDAS'!$B$6:$B$500, 0)+1), ""), "")&amp; IF(COUNTIF('SAÍDA DE VENDAS'!$B$6:$B$500, B87)&gt;2, " + " &amp; IFERROR(INDEX('SAÍDA DE VENDAS'!$H$6:$H$500 &amp; "x " &amp; 'SAÍDA DE VENDAS'!$G$6:$G$500, MATCH(B87, 'SAÍDA DE VENDAS'!$B$6:$B$500, 0)+2), ""), "")&amp; IF(COUNTIF('SAÍDA DE VENDAS'!$B$6:$B$500, B87)&gt;3, " + " &amp; IFERROR(INDEX('SAÍDA DE VENDAS'!$H$6:$H$500 &amp; "x " &amp; 'SAÍDA DE VENDAS'!$G$6:$G$500, MATCH(B87, 'SAÍDA DE VENDAS'!$B$6:$B$500, 0)+3), ""), "")&amp; IF(COUNTIF('SAÍDA DE VENDAS'!$B$6:$B$500, B87)&gt;4, " + " &amp; IFERROR(INDEX('SAÍDA DE VENDAS'!$H$6:$H$500 &amp; "x " &amp; 'SAÍDA DE VENDAS'!$G$6:$G$500, MATCH(B87, 'SAÍDA DE VENDAS'!$B$6:$B$500, 0)+4), ""), "")&amp; IF(COUNTIF('SAÍDA DE VENDAS'!$B$6:$B$500, B87)&gt;5, " + " &amp; IFERROR(INDEX('SAÍDA DE VENDAS'!$H$6:$H$500 &amp; "x " &amp; 'SAÍDA DE VENDAS'!$G$6:$G$500, MATCH(B87, 'SAÍDA DE VENDAS'!$B$6:$B$500, 0)+5), ""), ""))</f>
        <v/>
      </c>
      <c r="G87" s="34">
        <f>IFERROR(VLOOKUP(B87,'SAÍDA DE VENDAS'!$B$6:$P$500,10,FALSE),"")</f>
        <v>0</v>
      </c>
      <c r="H87" s="34" t="str">
        <f>IF(OR(ISBLANK(B87),B87=""), "", IF(B87=B86, (VALUE(LEFT(H86,FIND("/",H86)-1))+1)&amp;"/"&amp;RIGHT(H86,LEN(H86)-FIND("/",H86)), "1/"&amp;IFERROR(VLOOKUP(B87,'SAÍDA DE VENDAS'!$B$6:$P$500,13,FALSE),"1")))</f>
        <v/>
      </c>
      <c r="I87" s="35" t="str">
        <f t="shared" si="2"/>
        <v/>
      </c>
      <c r="J87" s="39" t="str">
        <f>IFERROR(VLOOKUP(B87,'SAÍDA DE VENDAS'!$B$6:$P$500,15,FALSE),"")</f>
        <v/>
      </c>
      <c r="K87" s="34" t="str">
        <f t="shared" ca="1" si="3"/>
        <v/>
      </c>
      <c r="L87" s="34"/>
      <c r="M87" s="34"/>
    </row>
    <row r="88" spans="2:13" ht="15" customHeight="1" x14ac:dyDescent="0.3">
      <c r="B88" s="28" t="str">
        <f>IF(B87="","", IF(VALUE(LEFT(H87,FIND("/",H87)-1)) &lt; VALUE(RIGHT(H87,LEN(H87)-FIND("/",H87))), B87, IFERROR(INDEX('SAÍDA DE VENDAS'!$B$6:$B$500, MATCH(B87,'SAÍDA DE VENDAS'!$B$6:$B$500,0)+COUNTIF('SAÍDA DE VENDAS'!$B$6:$B$500, B87)),"")))</f>
        <v/>
      </c>
      <c r="C88" s="29">
        <f>IFERROR(VLOOKUP(B88,'SAÍDA DE VENDAS'!$B$6:$P$500,3,FALSE),"")</f>
        <v>0</v>
      </c>
      <c r="D88" s="28">
        <f>IFERROR(VLOOKUP(B88,'SAÍDA DE VENDAS'!$B$6:$P$500,4,FALSE),"")</f>
        <v>0</v>
      </c>
      <c r="E88" s="28" t="str">
        <f>IFERROR(VLOOKUP(B88,'SAÍDA DE VENDAS'!$B$6:$P$500,5,FALSE),"")</f>
        <v/>
      </c>
      <c r="F88" s="28" t="str">
        <f>IF(OR(ISBLANK(B88),B88=""), "", IFERROR(INDEX('SAÍDA DE VENDAS'!$H$6:$H$500 &amp; "x " &amp; 'SAÍDA DE VENDAS'!$G$6:$G$500, MATCH(B88, 'SAÍDA DE VENDAS'!$B$6:$B$500, 0)), "")&amp; IF(COUNTIF('SAÍDA DE VENDAS'!$B$6:$B$500, B88)&gt;1, " + " &amp; IFERROR(INDEX('SAÍDA DE VENDAS'!$H$6:$H$500 &amp; "x " &amp; 'SAÍDA DE VENDAS'!$G$6:$G$500, MATCH(B88, 'SAÍDA DE VENDAS'!$B$6:$B$500, 0)+1), ""), "")&amp; IF(COUNTIF('SAÍDA DE VENDAS'!$B$6:$B$500, B88)&gt;2, " + " &amp; IFERROR(INDEX('SAÍDA DE VENDAS'!$H$6:$H$500 &amp; "x " &amp; 'SAÍDA DE VENDAS'!$G$6:$G$500, MATCH(B88, 'SAÍDA DE VENDAS'!$B$6:$B$500, 0)+2), ""), "")&amp; IF(COUNTIF('SAÍDA DE VENDAS'!$B$6:$B$500, B88)&gt;3, " + " &amp; IFERROR(INDEX('SAÍDA DE VENDAS'!$H$6:$H$500 &amp; "x " &amp; 'SAÍDA DE VENDAS'!$G$6:$G$500, MATCH(B88, 'SAÍDA DE VENDAS'!$B$6:$B$500, 0)+3), ""), "")&amp; IF(COUNTIF('SAÍDA DE VENDAS'!$B$6:$B$500, B88)&gt;4, " + " &amp; IFERROR(INDEX('SAÍDA DE VENDAS'!$H$6:$H$500 &amp; "x " &amp; 'SAÍDA DE VENDAS'!$G$6:$G$500, MATCH(B88, 'SAÍDA DE VENDAS'!$B$6:$B$500, 0)+4), ""), "")&amp; IF(COUNTIF('SAÍDA DE VENDAS'!$B$6:$B$500, B88)&gt;5, " + " &amp; IFERROR(INDEX('SAÍDA DE VENDAS'!$H$6:$H$500 &amp; "x " &amp; 'SAÍDA DE VENDAS'!$G$6:$G$500, MATCH(B88, 'SAÍDA DE VENDAS'!$B$6:$B$500, 0)+5), ""), ""))</f>
        <v/>
      </c>
      <c r="G88" s="28">
        <f>IFERROR(VLOOKUP(B88,'SAÍDA DE VENDAS'!$B$6:$P$500,10,FALSE),"")</f>
        <v>0</v>
      </c>
      <c r="H88" s="28" t="str">
        <f>IF(OR(ISBLANK(B88),B88=""), "", IF(B88=B87, (VALUE(LEFT(H87,FIND("/",H87)-1))+1)&amp;"/"&amp;RIGHT(H87,LEN(H87)-FIND("/",H87)), "1/"&amp;IFERROR(VLOOKUP(B88,'SAÍDA DE VENDAS'!$B$6:$P$500,13,FALSE),"1")))</f>
        <v/>
      </c>
      <c r="I88" s="69" t="str">
        <f t="shared" si="2"/>
        <v/>
      </c>
      <c r="J88" s="33" t="str">
        <f>IFERROR(VLOOKUP(B88,'SAÍDA DE VENDAS'!$B$6:$P$500,15,FALSE),"")</f>
        <v/>
      </c>
      <c r="K88" s="28" t="str">
        <f t="shared" ca="1" si="3"/>
        <v/>
      </c>
      <c r="L88" s="28"/>
      <c r="M88" s="28"/>
    </row>
    <row r="89" spans="2:13" ht="15" customHeight="1" x14ac:dyDescent="0.3">
      <c r="B89" s="34" t="str">
        <f>IF(B88="","", IF(VALUE(LEFT(H88,FIND("/",H88)-1)) &lt; VALUE(RIGHT(H88,LEN(H88)-FIND("/",H88))), B88, IFERROR(INDEX('SAÍDA DE VENDAS'!$B$6:$B$500, MATCH(B88,'SAÍDA DE VENDAS'!$B$6:$B$500,0)+COUNTIF('SAÍDA DE VENDAS'!$B$6:$B$500, B88)),"")))</f>
        <v/>
      </c>
      <c r="C89" s="35">
        <f>IFERROR(VLOOKUP(B89,'SAÍDA DE VENDAS'!$B$6:$P$500,3,FALSE),"")</f>
        <v>0</v>
      </c>
      <c r="D89" s="34">
        <f>IFERROR(VLOOKUP(B89,'SAÍDA DE VENDAS'!$B$6:$P$500,4,FALSE),"")</f>
        <v>0</v>
      </c>
      <c r="E89" s="34" t="str">
        <f>IFERROR(VLOOKUP(B89,'SAÍDA DE VENDAS'!$B$6:$P$500,5,FALSE),"")</f>
        <v/>
      </c>
      <c r="F89" s="34" t="str">
        <f>IF(OR(ISBLANK(B89),B89=""), "", IFERROR(INDEX('SAÍDA DE VENDAS'!$H$6:$H$500 &amp; "x " &amp; 'SAÍDA DE VENDAS'!$G$6:$G$500, MATCH(B89, 'SAÍDA DE VENDAS'!$B$6:$B$500, 0)), "")&amp; IF(COUNTIF('SAÍDA DE VENDAS'!$B$6:$B$500, B89)&gt;1, " + " &amp; IFERROR(INDEX('SAÍDA DE VENDAS'!$H$6:$H$500 &amp; "x " &amp; 'SAÍDA DE VENDAS'!$G$6:$G$500, MATCH(B89, 'SAÍDA DE VENDAS'!$B$6:$B$500, 0)+1), ""), "")&amp; IF(COUNTIF('SAÍDA DE VENDAS'!$B$6:$B$500, B89)&gt;2, " + " &amp; IFERROR(INDEX('SAÍDA DE VENDAS'!$H$6:$H$500 &amp; "x " &amp; 'SAÍDA DE VENDAS'!$G$6:$G$500, MATCH(B89, 'SAÍDA DE VENDAS'!$B$6:$B$500, 0)+2), ""), "")&amp; IF(COUNTIF('SAÍDA DE VENDAS'!$B$6:$B$500, B89)&gt;3, " + " &amp; IFERROR(INDEX('SAÍDA DE VENDAS'!$H$6:$H$500 &amp; "x " &amp; 'SAÍDA DE VENDAS'!$G$6:$G$500, MATCH(B89, 'SAÍDA DE VENDAS'!$B$6:$B$500, 0)+3), ""), "")&amp; IF(COUNTIF('SAÍDA DE VENDAS'!$B$6:$B$500, B89)&gt;4, " + " &amp; IFERROR(INDEX('SAÍDA DE VENDAS'!$H$6:$H$500 &amp; "x " &amp; 'SAÍDA DE VENDAS'!$G$6:$G$500, MATCH(B89, 'SAÍDA DE VENDAS'!$B$6:$B$500, 0)+4), ""), "")&amp; IF(COUNTIF('SAÍDA DE VENDAS'!$B$6:$B$500, B89)&gt;5, " + " &amp; IFERROR(INDEX('SAÍDA DE VENDAS'!$H$6:$H$500 &amp; "x " &amp; 'SAÍDA DE VENDAS'!$G$6:$G$500, MATCH(B89, 'SAÍDA DE VENDAS'!$B$6:$B$500, 0)+5), ""), ""))</f>
        <v/>
      </c>
      <c r="G89" s="34">
        <f>IFERROR(VLOOKUP(B89,'SAÍDA DE VENDAS'!$B$6:$P$500,10,FALSE),"")</f>
        <v>0</v>
      </c>
      <c r="H89" s="34" t="str">
        <f>IF(OR(ISBLANK(B89),B89=""), "", IF(B89=B88, (VALUE(LEFT(H88,FIND("/",H88)-1))+1)&amp;"/"&amp;RIGHT(H88,LEN(H88)-FIND("/",H88)), "1/"&amp;IFERROR(VLOOKUP(B89,'SAÍDA DE VENDAS'!$B$6:$P$500,13,FALSE),"1")))</f>
        <v/>
      </c>
      <c r="I89" s="35" t="str">
        <f t="shared" si="2"/>
        <v/>
      </c>
      <c r="J89" s="39" t="str">
        <f>IFERROR(VLOOKUP(B89,'SAÍDA DE VENDAS'!$B$6:$P$500,15,FALSE),"")</f>
        <v/>
      </c>
      <c r="K89" s="34" t="str">
        <f t="shared" ca="1" si="3"/>
        <v/>
      </c>
      <c r="L89" s="34"/>
      <c r="M89" s="34"/>
    </row>
    <row r="90" spans="2:13" ht="15" customHeight="1" x14ac:dyDescent="0.3">
      <c r="B90" s="28" t="str">
        <f>IF(B89="","", IF(VALUE(LEFT(H89,FIND("/",H89)-1)) &lt; VALUE(RIGHT(H89,LEN(H89)-FIND("/",H89))), B89, IFERROR(INDEX('SAÍDA DE VENDAS'!$B$6:$B$500, MATCH(B89,'SAÍDA DE VENDAS'!$B$6:$B$500,0)+COUNTIF('SAÍDA DE VENDAS'!$B$6:$B$500, B89)),"")))</f>
        <v/>
      </c>
      <c r="C90" s="29">
        <f>IFERROR(VLOOKUP(B90,'SAÍDA DE VENDAS'!$B$6:$P$500,3,FALSE),"")</f>
        <v>0</v>
      </c>
      <c r="D90" s="28">
        <f>IFERROR(VLOOKUP(B90,'SAÍDA DE VENDAS'!$B$6:$P$500,4,FALSE),"")</f>
        <v>0</v>
      </c>
      <c r="E90" s="28" t="str">
        <f>IFERROR(VLOOKUP(B90,'SAÍDA DE VENDAS'!$B$6:$P$500,5,FALSE),"")</f>
        <v/>
      </c>
      <c r="F90" s="28" t="str">
        <f>IF(OR(ISBLANK(B90),B90=""), "", IFERROR(INDEX('SAÍDA DE VENDAS'!$H$6:$H$500 &amp; "x " &amp; 'SAÍDA DE VENDAS'!$G$6:$G$500, MATCH(B90, 'SAÍDA DE VENDAS'!$B$6:$B$500, 0)), "")&amp; IF(COUNTIF('SAÍDA DE VENDAS'!$B$6:$B$500, B90)&gt;1, " + " &amp; IFERROR(INDEX('SAÍDA DE VENDAS'!$H$6:$H$500 &amp; "x " &amp; 'SAÍDA DE VENDAS'!$G$6:$G$500, MATCH(B90, 'SAÍDA DE VENDAS'!$B$6:$B$500, 0)+1), ""), "")&amp; IF(COUNTIF('SAÍDA DE VENDAS'!$B$6:$B$500, B90)&gt;2, " + " &amp; IFERROR(INDEX('SAÍDA DE VENDAS'!$H$6:$H$500 &amp; "x " &amp; 'SAÍDA DE VENDAS'!$G$6:$G$500, MATCH(B90, 'SAÍDA DE VENDAS'!$B$6:$B$500, 0)+2), ""), "")&amp; IF(COUNTIF('SAÍDA DE VENDAS'!$B$6:$B$500, B90)&gt;3, " + " &amp; IFERROR(INDEX('SAÍDA DE VENDAS'!$H$6:$H$500 &amp; "x " &amp; 'SAÍDA DE VENDAS'!$G$6:$G$500, MATCH(B90, 'SAÍDA DE VENDAS'!$B$6:$B$500, 0)+3), ""), "")&amp; IF(COUNTIF('SAÍDA DE VENDAS'!$B$6:$B$500, B90)&gt;4, " + " &amp; IFERROR(INDEX('SAÍDA DE VENDAS'!$H$6:$H$500 &amp; "x " &amp; 'SAÍDA DE VENDAS'!$G$6:$G$500, MATCH(B90, 'SAÍDA DE VENDAS'!$B$6:$B$500, 0)+4), ""), "")&amp; IF(COUNTIF('SAÍDA DE VENDAS'!$B$6:$B$500, B90)&gt;5, " + " &amp; IFERROR(INDEX('SAÍDA DE VENDAS'!$H$6:$H$500 &amp; "x " &amp; 'SAÍDA DE VENDAS'!$G$6:$G$500, MATCH(B90, 'SAÍDA DE VENDAS'!$B$6:$B$500, 0)+5), ""), ""))</f>
        <v/>
      </c>
      <c r="G90" s="28">
        <f>IFERROR(VLOOKUP(B90,'SAÍDA DE VENDAS'!$B$6:$P$500,10,FALSE),"")</f>
        <v>0</v>
      </c>
      <c r="H90" s="28" t="str">
        <f>IF(OR(ISBLANK(B90),B90=""), "", IF(B90=B89, (VALUE(LEFT(H89,FIND("/",H89)-1))+1)&amp;"/"&amp;RIGHT(H89,LEN(H89)-FIND("/",H89)), "1/"&amp;IFERROR(VLOOKUP(B90,'SAÍDA DE VENDAS'!$B$6:$P$500,13,FALSE),"1")))</f>
        <v/>
      </c>
      <c r="I90" s="69" t="str">
        <f t="shared" si="2"/>
        <v/>
      </c>
      <c r="J90" s="33" t="str">
        <f>IFERROR(VLOOKUP(B90,'SAÍDA DE VENDAS'!$B$6:$P$500,15,FALSE),"")</f>
        <v/>
      </c>
      <c r="K90" s="28" t="str">
        <f t="shared" ca="1" si="3"/>
        <v/>
      </c>
      <c r="L90" s="28"/>
      <c r="M90" s="28"/>
    </row>
    <row r="91" spans="2:13" ht="15" customHeight="1" x14ac:dyDescent="0.3">
      <c r="B91" s="34" t="str">
        <f>IF(B90="","", IF(VALUE(LEFT(H90,FIND("/",H90)-1)) &lt; VALUE(RIGHT(H90,LEN(H90)-FIND("/",H90))), B90, IFERROR(INDEX('SAÍDA DE VENDAS'!$B$6:$B$500, MATCH(B90,'SAÍDA DE VENDAS'!$B$6:$B$500,0)+COUNTIF('SAÍDA DE VENDAS'!$B$6:$B$500, B90)),"")))</f>
        <v/>
      </c>
      <c r="C91" s="35">
        <f>IFERROR(VLOOKUP(B91,'SAÍDA DE VENDAS'!$B$6:$P$500,3,FALSE),"")</f>
        <v>0</v>
      </c>
      <c r="D91" s="34">
        <f>IFERROR(VLOOKUP(B91,'SAÍDA DE VENDAS'!$B$6:$P$500,4,FALSE),"")</f>
        <v>0</v>
      </c>
      <c r="E91" s="34" t="str">
        <f>IFERROR(VLOOKUP(B91,'SAÍDA DE VENDAS'!$B$6:$P$500,5,FALSE),"")</f>
        <v/>
      </c>
      <c r="F91" s="34" t="str">
        <f>IF(OR(ISBLANK(B91),B91=""), "", IFERROR(INDEX('SAÍDA DE VENDAS'!$H$6:$H$500 &amp; "x " &amp; 'SAÍDA DE VENDAS'!$G$6:$G$500, MATCH(B91, 'SAÍDA DE VENDAS'!$B$6:$B$500, 0)), "")&amp; IF(COUNTIF('SAÍDA DE VENDAS'!$B$6:$B$500, B91)&gt;1, " + " &amp; IFERROR(INDEX('SAÍDA DE VENDAS'!$H$6:$H$500 &amp; "x " &amp; 'SAÍDA DE VENDAS'!$G$6:$G$500, MATCH(B91, 'SAÍDA DE VENDAS'!$B$6:$B$500, 0)+1), ""), "")&amp; IF(COUNTIF('SAÍDA DE VENDAS'!$B$6:$B$500, B91)&gt;2, " + " &amp; IFERROR(INDEX('SAÍDA DE VENDAS'!$H$6:$H$500 &amp; "x " &amp; 'SAÍDA DE VENDAS'!$G$6:$G$500, MATCH(B91, 'SAÍDA DE VENDAS'!$B$6:$B$500, 0)+2), ""), "")&amp; IF(COUNTIF('SAÍDA DE VENDAS'!$B$6:$B$500, B91)&gt;3, " + " &amp; IFERROR(INDEX('SAÍDA DE VENDAS'!$H$6:$H$500 &amp; "x " &amp; 'SAÍDA DE VENDAS'!$G$6:$G$500, MATCH(B91, 'SAÍDA DE VENDAS'!$B$6:$B$500, 0)+3), ""), "")&amp; IF(COUNTIF('SAÍDA DE VENDAS'!$B$6:$B$500, B91)&gt;4, " + " &amp; IFERROR(INDEX('SAÍDA DE VENDAS'!$H$6:$H$500 &amp; "x " &amp; 'SAÍDA DE VENDAS'!$G$6:$G$500, MATCH(B91, 'SAÍDA DE VENDAS'!$B$6:$B$500, 0)+4), ""), "")&amp; IF(COUNTIF('SAÍDA DE VENDAS'!$B$6:$B$500, B91)&gt;5, " + " &amp; IFERROR(INDEX('SAÍDA DE VENDAS'!$H$6:$H$500 &amp; "x " &amp; 'SAÍDA DE VENDAS'!$G$6:$G$500, MATCH(B91, 'SAÍDA DE VENDAS'!$B$6:$B$500, 0)+5), ""), ""))</f>
        <v/>
      </c>
      <c r="G91" s="34">
        <f>IFERROR(VLOOKUP(B91,'SAÍDA DE VENDAS'!$B$6:$P$500,10,FALSE),"")</f>
        <v>0</v>
      </c>
      <c r="H91" s="34" t="str">
        <f>IF(OR(ISBLANK(B91),B91=""), "", IF(B91=B90, (VALUE(LEFT(H90,FIND("/",H90)-1))+1)&amp;"/"&amp;RIGHT(H90,LEN(H90)-FIND("/",H90)), "1/"&amp;IFERROR(VLOOKUP(B91,'SAÍDA DE VENDAS'!$B$6:$P$500,13,FALSE),"1")))</f>
        <v/>
      </c>
      <c r="I91" s="35" t="str">
        <f t="shared" si="2"/>
        <v/>
      </c>
      <c r="J91" s="39" t="str">
        <f>IFERROR(VLOOKUP(B91,'SAÍDA DE VENDAS'!$B$6:$P$500,15,FALSE),"")</f>
        <v/>
      </c>
      <c r="K91" s="34" t="str">
        <f t="shared" ca="1" si="3"/>
        <v/>
      </c>
      <c r="L91" s="34"/>
      <c r="M91" s="34"/>
    </row>
    <row r="92" spans="2:13" ht="15" customHeight="1" x14ac:dyDescent="0.3">
      <c r="B92" s="28" t="str">
        <f>IF(B91="","", IF(VALUE(LEFT(H91,FIND("/",H91)-1)) &lt; VALUE(RIGHT(H91,LEN(H91)-FIND("/",H91))), B91, IFERROR(INDEX('SAÍDA DE VENDAS'!$B$6:$B$500, MATCH(B91,'SAÍDA DE VENDAS'!$B$6:$B$500,0)+COUNTIF('SAÍDA DE VENDAS'!$B$6:$B$500, B91)),"")))</f>
        <v/>
      </c>
      <c r="C92" s="29">
        <f>IFERROR(VLOOKUP(B92,'SAÍDA DE VENDAS'!$B$6:$P$500,3,FALSE),"")</f>
        <v>0</v>
      </c>
      <c r="D92" s="28">
        <f>IFERROR(VLOOKUP(B92,'SAÍDA DE VENDAS'!$B$6:$P$500,4,FALSE),"")</f>
        <v>0</v>
      </c>
      <c r="E92" s="28" t="str">
        <f>IFERROR(VLOOKUP(B92,'SAÍDA DE VENDAS'!$B$6:$P$500,5,FALSE),"")</f>
        <v/>
      </c>
      <c r="F92" s="28" t="str">
        <f>IF(OR(ISBLANK(B92),B92=""), "", IFERROR(INDEX('SAÍDA DE VENDAS'!$H$6:$H$500 &amp; "x " &amp; 'SAÍDA DE VENDAS'!$G$6:$G$500, MATCH(B92, 'SAÍDA DE VENDAS'!$B$6:$B$500, 0)), "")&amp; IF(COUNTIF('SAÍDA DE VENDAS'!$B$6:$B$500, B92)&gt;1, " + " &amp; IFERROR(INDEX('SAÍDA DE VENDAS'!$H$6:$H$500 &amp; "x " &amp; 'SAÍDA DE VENDAS'!$G$6:$G$500, MATCH(B92, 'SAÍDA DE VENDAS'!$B$6:$B$500, 0)+1), ""), "")&amp; IF(COUNTIF('SAÍDA DE VENDAS'!$B$6:$B$500, B92)&gt;2, " + " &amp; IFERROR(INDEX('SAÍDA DE VENDAS'!$H$6:$H$500 &amp; "x " &amp; 'SAÍDA DE VENDAS'!$G$6:$G$500, MATCH(B92, 'SAÍDA DE VENDAS'!$B$6:$B$500, 0)+2), ""), "")&amp; IF(COUNTIF('SAÍDA DE VENDAS'!$B$6:$B$500, B92)&gt;3, " + " &amp; IFERROR(INDEX('SAÍDA DE VENDAS'!$H$6:$H$500 &amp; "x " &amp; 'SAÍDA DE VENDAS'!$G$6:$G$500, MATCH(B92, 'SAÍDA DE VENDAS'!$B$6:$B$500, 0)+3), ""), "")&amp; IF(COUNTIF('SAÍDA DE VENDAS'!$B$6:$B$500, B92)&gt;4, " + " &amp; IFERROR(INDEX('SAÍDA DE VENDAS'!$H$6:$H$500 &amp; "x " &amp; 'SAÍDA DE VENDAS'!$G$6:$G$500, MATCH(B92, 'SAÍDA DE VENDAS'!$B$6:$B$500, 0)+4), ""), "")&amp; IF(COUNTIF('SAÍDA DE VENDAS'!$B$6:$B$500, B92)&gt;5, " + " &amp; IFERROR(INDEX('SAÍDA DE VENDAS'!$H$6:$H$500 &amp; "x " &amp; 'SAÍDA DE VENDAS'!$G$6:$G$500, MATCH(B92, 'SAÍDA DE VENDAS'!$B$6:$B$500, 0)+5), ""), ""))</f>
        <v/>
      </c>
      <c r="G92" s="28">
        <f>IFERROR(VLOOKUP(B92,'SAÍDA DE VENDAS'!$B$6:$P$500,10,FALSE),"")</f>
        <v>0</v>
      </c>
      <c r="H92" s="28" t="str">
        <f>IF(OR(ISBLANK(B92),B92=""), "", IF(B92=B91, (VALUE(LEFT(H91,FIND("/",H91)-1))+1)&amp;"/"&amp;RIGHT(H91,LEN(H91)-FIND("/",H91)), "1/"&amp;IFERROR(VLOOKUP(B92,'SAÍDA DE VENDAS'!$B$6:$P$500,13,FALSE),"1")))</f>
        <v/>
      </c>
      <c r="I92" s="69" t="str">
        <f t="shared" si="2"/>
        <v/>
      </c>
      <c r="J92" s="33" t="str">
        <f>IFERROR(VLOOKUP(B92,'SAÍDA DE VENDAS'!$B$6:$P$500,15,FALSE),"")</f>
        <v/>
      </c>
      <c r="K92" s="28" t="str">
        <f t="shared" ca="1" si="3"/>
        <v/>
      </c>
      <c r="L92" s="28"/>
      <c r="M92" s="28"/>
    </row>
    <row r="93" spans="2:13" ht="15" customHeight="1" x14ac:dyDescent="0.3">
      <c r="B93" s="34" t="str">
        <f>IF(B92="","", IF(VALUE(LEFT(H92,FIND("/",H92)-1)) &lt; VALUE(RIGHT(H92,LEN(H92)-FIND("/",H92))), B92, IFERROR(INDEX('SAÍDA DE VENDAS'!$B$6:$B$500, MATCH(B92,'SAÍDA DE VENDAS'!$B$6:$B$500,0)+COUNTIF('SAÍDA DE VENDAS'!$B$6:$B$500, B92)),"")))</f>
        <v/>
      </c>
      <c r="C93" s="35">
        <f>IFERROR(VLOOKUP(B93,'SAÍDA DE VENDAS'!$B$6:$P$500,3,FALSE),"")</f>
        <v>0</v>
      </c>
      <c r="D93" s="34">
        <f>IFERROR(VLOOKUP(B93,'SAÍDA DE VENDAS'!$B$6:$P$500,4,FALSE),"")</f>
        <v>0</v>
      </c>
      <c r="E93" s="34" t="str">
        <f>IFERROR(VLOOKUP(B93,'SAÍDA DE VENDAS'!$B$6:$P$500,5,FALSE),"")</f>
        <v/>
      </c>
      <c r="F93" s="34" t="str">
        <f>IF(OR(ISBLANK(B93),B93=""), "", IFERROR(INDEX('SAÍDA DE VENDAS'!$H$6:$H$500 &amp; "x " &amp; 'SAÍDA DE VENDAS'!$G$6:$G$500, MATCH(B93, 'SAÍDA DE VENDAS'!$B$6:$B$500, 0)), "")&amp; IF(COUNTIF('SAÍDA DE VENDAS'!$B$6:$B$500, B93)&gt;1, " + " &amp; IFERROR(INDEX('SAÍDA DE VENDAS'!$H$6:$H$500 &amp; "x " &amp; 'SAÍDA DE VENDAS'!$G$6:$G$500, MATCH(B93, 'SAÍDA DE VENDAS'!$B$6:$B$500, 0)+1), ""), "")&amp; IF(COUNTIF('SAÍDA DE VENDAS'!$B$6:$B$500, B93)&gt;2, " + " &amp; IFERROR(INDEX('SAÍDA DE VENDAS'!$H$6:$H$500 &amp; "x " &amp; 'SAÍDA DE VENDAS'!$G$6:$G$500, MATCH(B93, 'SAÍDA DE VENDAS'!$B$6:$B$500, 0)+2), ""), "")&amp; IF(COUNTIF('SAÍDA DE VENDAS'!$B$6:$B$500, B93)&gt;3, " + " &amp; IFERROR(INDEX('SAÍDA DE VENDAS'!$H$6:$H$500 &amp; "x " &amp; 'SAÍDA DE VENDAS'!$G$6:$G$500, MATCH(B93, 'SAÍDA DE VENDAS'!$B$6:$B$500, 0)+3), ""), "")&amp; IF(COUNTIF('SAÍDA DE VENDAS'!$B$6:$B$500, B93)&gt;4, " + " &amp; IFERROR(INDEX('SAÍDA DE VENDAS'!$H$6:$H$500 &amp; "x " &amp; 'SAÍDA DE VENDAS'!$G$6:$G$500, MATCH(B93, 'SAÍDA DE VENDAS'!$B$6:$B$500, 0)+4), ""), "")&amp; IF(COUNTIF('SAÍDA DE VENDAS'!$B$6:$B$500, B93)&gt;5, " + " &amp; IFERROR(INDEX('SAÍDA DE VENDAS'!$H$6:$H$500 &amp; "x " &amp; 'SAÍDA DE VENDAS'!$G$6:$G$500, MATCH(B93, 'SAÍDA DE VENDAS'!$B$6:$B$500, 0)+5), ""), ""))</f>
        <v/>
      </c>
      <c r="G93" s="34">
        <f>IFERROR(VLOOKUP(B93,'SAÍDA DE VENDAS'!$B$6:$P$500,10,FALSE),"")</f>
        <v>0</v>
      </c>
      <c r="H93" s="34" t="str">
        <f>IF(OR(ISBLANK(B93),B93=""), "", IF(B93=B92, (VALUE(LEFT(H92,FIND("/",H92)-1))+1)&amp;"/"&amp;RIGHT(H92,LEN(H92)-FIND("/",H92)), "1/"&amp;IFERROR(VLOOKUP(B93,'SAÍDA DE VENDAS'!$B$6:$P$500,13,FALSE),"1")))</f>
        <v/>
      </c>
      <c r="I93" s="35" t="str">
        <f t="shared" si="2"/>
        <v/>
      </c>
      <c r="J93" s="39" t="str">
        <f>IFERROR(VLOOKUP(B93,'SAÍDA DE VENDAS'!$B$6:$P$500,15,FALSE),"")</f>
        <v/>
      </c>
      <c r="K93" s="34" t="str">
        <f t="shared" ca="1" si="3"/>
        <v/>
      </c>
      <c r="L93" s="34"/>
      <c r="M93" s="34"/>
    </row>
    <row r="94" spans="2:13" ht="15" customHeight="1" x14ac:dyDescent="0.3">
      <c r="B94" s="28" t="str">
        <f>IF(B93="","", IF(VALUE(LEFT(H93,FIND("/",H93)-1)) &lt; VALUE(RIGHT(H93,LEN(H93)-FIND("/",H93))), B93, IFERROR(INDEX('SAÍDA DE VENDAS'!$B$6:$B$500, MATCH(B93,'SAÍDA DE VENDAS'!$B$6:$B$500,0)+COUNTIF('SAÍDA DE VENDAS'!$B$6:$B$500, B93)),"")))</f>
        <v/>
      </c>
      <c r="C94" s="29">
        <f>IFERROR(VLOOKUP(B94,'SAÍDA DE VENDAS'!$B$6:$P$500,3,FALSE),"")</f>
        <v>0</v>
      </c>
      <c r="D94" s="28">
        <f>IFERROR(VLOOKUP(B94,'SAÍDA DE VENDAS'!$B$6:$P$500,4,FALSE),"")</f>
        <v>0</v>
      </c>
      <c r="E94" s="28" t="str">
        <f>IFERROR(VLOOKUP(B94,'SAÍDA DE VENDAS'!$B$6:$P$500,5,FALSE),"")</f>
        <v/>
      </c>
      <c r="F94" s="28" t="str">
        <f>IF(OR(ISBLANK(B94),B94=""), "", IFERROR(INDEX('SAÍDA DE VENDAS'!$H$6:$H$500 &amp; "x " &amp; 'SAÍDA DE VENDAS'!$G$6:$G$500, MATCH(B94, 'SAÍDA DE VENDAS'!$B$6:$B$500, 0)), "")&amp; IF(COUNTIF('SAÍDA DE VENDAS'!$B$6:$B$500, B94)&gt;1, " + " &amp; IFERROR(INDEX('SAÍDA DE VENDAS'!$H$6:$H$500 &amp; "x " &amp; 'SAÍDA DE VENDAS'!$G$6:$G$500, MATCH(B94, 'SAÍDA DE VENDAS'!$B$6:$B$500, 0)+1), ""), "")&amp; IF(COUNTIF('SAÍDA DE VENDAS'!$B$6:$B$500, B94)&gt;2, " + " &amp; IFERROR(INDEX('SAÍDA DE VENDAS'!$H$6:$H$500 &amp; "x " &amp; 'SAÍDA DE VENDAS'!$G$6:$G$500, MATCH(B94, 'SAÍDA DE VENDAS'!$B$6:$B$500, 0)+2), ""), "")&amp; IF(COUNTIF('SAÍDA DE VENDAS'!$B$6:$B$500, B94)&gt;3, " + " &amp; IFERROR(INDEX('SAÍDA DE VENDAS'!$H$6:$H$500 &amp; "x " &amp; 'SAÍDA DE VENDAS'!$G$6:$G$500, MATCH(B94, 'SAÍDA DE VENDAS'!$B$6:$B$500, 0)+3), ""), "")&amp; IF(COUNTIF('SAÍDA DE VENDAS'!$B$6:$B$500, B94)&gt;4, " + " &amp; IFERROR(INDEX('SAÍDA DE VENDAS'!$H$6:$H$500 &amp; "x " &amp; 'SAÍDA DE VENDAS'!$G$6:$G$500, MATCH(B94, 'SAÍDA DE VENDAS'!$B$6:$B$500, 0)+4), ""), "")&amp; IF(COUNTIF('SAÍDA DE VENDAS'!$B$6:$B$500, B94)&gt;5, " + " &amp; IFERROR(INDEX('SAÍDA DE VENDAS'!$H$6:$H$500 &amp; "x " &amp; 'SAÍDA DE VENDAS'!$G$6:$G$500, MATCH(B94, 'SAÍDA DE VENDAS'!$B$6:$B$500, 0)+5), ""), ""))</f>
        <v/>
      </c>
      <c r="G94" s="28">
        <f>IFERROR(VLOOKUP(B94,'SAÍDA DE VENDAS'!$B$6:$P$500,10,FALSE),"")</f>
        <v>0</v>
      </c>
      <c r="H94" s="28" t="str">
        <f>IF(OR(ISBLANK(B94),B94=""), "", IF(B94=B93, (VALUE(LEFT(H93,FIND("/",H93)-1))+1)&amp;"/"&amp;RIGHT(H93,LEN(H93)-FIND("/",H93)), "1/"&amp;IFERROR(VLOOKUP(B94,'SAÍDA DE VENDAS'!$B$6:$P$500,13,FALSE),"1")))</f>
        <v/>
      </c>
      <c r="I94" s="69" t="str">
        <f t="shared" si="2"/>
        <v/>
      </c>
      <c r="J94" s="33" t="str">
        <f>IFERROR(VLOOKUP(B94,'SAÍDA DE VENDAS'!$B$6:$P$500,15,FALSE),"")</f>
        <v/>
      </c>
      <c r="K94" s="28" t="str">
        <f t="shared" ca="1" si="3"/>
        <v/>
      </c>
      <c r="L94" s="28"/>
      <c r="M94" s="28"/>
    </row>
    <row r="95" spans="2:13" ht="15" customHeight="1" x14ac:dyDescent="0.3">
      <c r="B95" s="34" t="str">
        <f>IF(B94="","", IF(VALUE(LEFT(H94,FIND("/",H94)-1)) &lt; VALUE(RIGHT(H94,LEN(H94)-FIND("/",H94))), B94, IFERROR(INDEX('SAÍDA DE VENDAS'!$B$6:$B$500, MATCH(B94,'SAÍDA DE VENDAS'!$B$6:$B$500,0)+COUNTIF('SAÍDA DE VENDAS'!$B$6:$B$500, B94)),"")))</f>
        <v/>
      </c>
      <c r="C95" s="35">
        <f>IFERROR(VLOOKUP(B95,'SAÍDA DE VENDAS'!$B$6:$P$500,3,FALSE),"")</f>
        <v>0</v>
      </c>
      <c r="D95" s="34">
        <f>IFERROR(VLOOKUP(B95,'SAÍDA DE VENDAS'!$B$6:$P$500,4,FALSE),"")</f>
        <v>0</v>
      </c>
      <c r="E95" s="34" t="str">
        <f>IFERROR(VLOOKUP(B95,'SAÍDA DE VENDAS'!$B$6:$P$500,5,FALSE),"")</f>
        <v/>
      </c>
      <c r="F95" s="34" t="str">
        <f>IF(OR(ISBLANK(B95),B95=""), "", IFERROR(INDEX('SAÍDA DE VENDAS'!$H$6:$H$500 &amp; "x " &amp; 'SAÍDA DE VENDAS'!$G$6:$G$500, MATCH(B95, 'SAÍDA DE VENDAS'!$B$6:$B$500, 0)), "")&amp; IF(COUNTIF('SAÍDA DE VENDAS'!$B$6:$B$500, B95)&gt;1, " + " &amp; IFERROR(INDEX('SAÍDA DE VENDAS'!$H$6:$H$500 &amp; "x " &amp; 'SAÍDA DE VENDAS'!$G$6:$G$500, MATCH(B95, 'SAÍDA DE VENDAS'!$B$6:$B$500, 0)+1), ""), "")&amp; IF(COUNTIF('SAÍDA DE VENDAS'!$B$6:$B$500, B95)&gt;2, " + " &amp; IFERROR(INDEX('SAÍDA DE VENDAS'!$H$6:$H$500 &amp; "x " &amp; 'SAÍDA DE VENDAS'!$G$6:$G$500, MATCH(B95, 'SAÍDA DE VENDAS'!$B$6:$B$500, 0)+2), ""), "")&amp; IF(COUNTIF('SAÍDA DE VENDAS'!$B$6:$B$500, B95)&gt;3, " + " &amp; IFERROR(INDEX('SAÍDA DE VENDAS'!$H$6:$H$500 &amp; "x " &amp; 'SAÍDA DE VENDAS'!$G$6:$G$500, MATCH(B95, 'SAÍDA DE VENDAS'!$B$6:$B$500, 0)+3), ""), "")&amp; IF(COUNTIF('SAÍDA DE VENDAS'!$B$6:$B$500, B95)&gt;4, " + " &amp; IFERROR(INDEX('SAÍDA DE VENDAS'!$H$6:$H$500 &amp; "x " &amp; 'SAÍDA DE VENDAS'!$G$6:$G$500, MATCH(B95, 'SAÍDA DE VENDAS'!$B$6:$B$500, 0)+4), ""), "")&amp; IF(COUNTIF('SAÍDA DE VENDAS'!$B$6:$B$500, B95)&gt;5, " + " &amp; IFERROR(INDEX('SAÍDA DE VENDAS'!$H$6:$H$500 &amp; "x " &amp; 'SAÍDA DE VENDAS'!$G$6:$G$500, MATCH(B95, 'SAÍDA DE VENDAS'!$B$6:$B$500, 0)+5), ""), ""))</f>
        <v/>
      </c>
      <c r="G95" s="34">
        <f>IFERROR(VLOOKUP(B95,'SAÍDA DE VENDAS'!$B$6:$P$500,10,FALSE),"")</f>
        <v>0</v>
      </c>
      <c r="H95" s="34" t="str">
        <f>IF(OR(ISBLANK(B95),B95=""), "", IF(B95=B94, (VALUE(LEFT(H94,FIND("/",H94)-1))+1)&amp;"/"&amp;RIGHT(H94,LEN(H94)-FIND("/",H94)), "1/"&amp;IFERROR(VLOOKUP(B95,'SAÍDA DE VENDAS'!$B$6:$P$500,13,FALSE),"1")))</f>
        <v/>
      </c>
      <c r="I95" s="35" t="str">
        <f t="shared" si="2"/>
        <v/>
      </c>
      <c r="J95" s="39" t="str">
        <f>IFERROR(VLOOKUP(B95,'SAÍDA DE VENDAS'!$B$6:$P$500,15,FALSE),"")</f>
        <v/>
      </c>
      <c r="K95" s="34" t="str">
        <f t="shared" ca="1" si="3"/>
        <v/>
      </c>
      <c r="L95" s="34"/>
      <c r="M95" s="34"/>
    </row>
    <row r="96" spans="2:13" ht="15" customHeight="1" x14ac:dyDescent="0.3">
      <c r="B96" s="28" t="str">
        <f>IF(B95="","", IF(VALUE(LEFT(H95,FIND("/",H95)-1)) &lt; VALUE(RIGHT(H95,LEN(H95)-FIND("/",H95))), B95, IFERROR(INDEX('SAÍDA DE VENDAS'!$B$6:$B$500, MATCH(B95,'SAÍDA DE VENDAS'!$B$6:$B$500,0)+COUNTIF('SAÍDA DE VENDAS'!$B$6:$B$500, B95)),"")))</f>
        <v/>
      </c>
      <c r="C96" s="29">
        <f>IFERROR(VLOOKUP(B96,'SAÍDA DE VENDAS'!$B$6:$P$500,3,FALSE),"")</f>
        <v>0</v>
      </c>
      <c r="D96" s="28">
        <f>IFERROR(VLOOKUP(B96,'SAÍDA DE VENDAS'!$B$6:$P$500,4,FALSE),"")</f>
        <v>0</v>
      </c>
      <c r="E96" s="28" t="str">
        <f>IFERROR(VLOOKUP(B96,'SAÍDA DE VENDAS'!$B$6:$P$500,5,FALSE),"")</f>
        <v/>
      </c>
      <c r="F96" s="28" t="str">
        <f>IF(OR(ISBLANK(B96),B96=""), "", IFERROR(INDEX('SAÍDA DE VENDAS'!$H$6:$H$500 &amp; "x " &amp; 'SAÍDA DE VENDAS'!$G$6:$G$500, MATCH(B96, 'SAÍDA DE VENDAS'!$B$6:$B$500, 0)), "")&amp; IF(COUNTIF('SAÍDA DE VENDAS'!$B$6:$B$500, B96)&gt;1, " + " &amp; IFERROR(INDEX('SAÍDA DE VENDAS'!$H$6:$H$500 &amp; "x " &amp; 'SAÍDA DE VENDAS'!$G$6:$G$500, MATCH(B96, 'SAÍDA DE VENDAS'!$B$6:$B$500, 0)+1), ""), "")&amp; IF(COUNTIF('SAÍDA DE VENDAS'!$B$6:$B$500, B96)&gt;2, " + " &amp; IFERROR(INDEX('SAÍDA DE VENDAS'!$H$6:$H$500 &amp; "x " &amp; 'SAÍDA DE VENDAS'!$G$6:$G$500, MATCH(B96, 'SAÍDA DE VENDAS'!$B$6:$B$500, 0)+2), ""), "")&amp; IF(COUNTIF('SAÍDA DE VENDAS'!$B$6:$B$500, B96)&gt;3, " + " &amp; IFERROR(INDEX('SAÍDA DE VENDAS'!$H$6:$H$500 &amp; "x " &amp; 'SAÍDA DE VENDAS'!$G$6:$G$500, MATCH(B96, 'SAÍDA DE VENDAS'!$B$6:$B$500, 0)+3), ""), "")&amp; IF(COUNTIF('SAÍDA DE VENDAS'!$B$6:$B$500, B96)&gt;4, " + " &amp; IFERROR(INDEX('SAÍDA DE VENDAS'!$H$6:$H$500 &amp; "x " &amp; 'SAÍDA DE VENDAS'!$G$6:$G$500, MATCH(B96, 'SAÍDA DE VENDAS'!$B$6:$B$500, 0)+4), ""), "")&amp; IF(COUNTIF('SAÍDA DE VENDAS'!$B$6:$B$500, B96)&gt;5, " + " &amp; IFERROR(INDEX('SAÍDA DE VENDAS'!$H$6:$H$500 &amp; "x " &amp; 'SAÍDA DE VENDAS'!$G$6:$G$500, MATCH(B96, 'SAÍDA DE VENDAS'!$B$6:$B$500, 0)+5), ""), ""))</f>
        <v/>
      </c>
      <c r="G96" s="28">
        <f>IFERROR(VLOOKUP(B96,'SAÍDA DE VENDAS'!$B$6:$P$500,10,FALSE),"")</f>
        <v>0</v>
      </c>
      <c r="H96" s="28" t="str">
        <f>IF(OR(ISBLANK(B96),B96=""), "", IF(B96=B95, (VALUE(LEFT(H95,FIND("/",H95)-1))+1)&amp;"/"&amp;RIGHT(H95,LEN(H95)-FIND("/",H95)), "1/"&amp;IFERROR(VLOOKUP(B96,'SAÍDA DE VENDAS'!$B$6:$P$500,13,FALSE),"1")))</f>
        <v/>
      </c>
      <c r="I96" s="69" t="str">
        <f t="shared" si="2"/>
        <v/>
      </c>
      <c r="J96" s="33" t="str">
        <f>IFERROR(VLOOKUP(B96,'SAÍDA DE VENDAS'!$B$6:$P$500,15,FALSE),"")</f>
        <v/>
      </c>
      <c r="K96" s="28" t="str">
        <f t="shared" ca="1" si="3"/>
        <v/>
      </c>
      <c r="L96" s="28"/>
      <c r="M96" s="28"/>
    </row>
    <row r="97" spans="2:13" ht="15" customHeight="1" x14ac:dyDescent="0.3">
      <c r="B97" s="34" t="str">
        <f>IF(B96="","", IF(VALUE(LEFT(H96,FIND("/",H96)-1)) &lt; VALUE(RIGHT(H96,LEN(H96)-FIND("/",H96))), B96, IFERROR(INDEX('SAÍDA DE VENDAS'!$B$6:$B$500, MATCH(B96,'SAÍDA DE VENDAS'!$B$6:$B$500,0)+COUNTIF('SAÍDA DE VENDAS'!$B$6:$B$500, B96)),"")))</f>
        <v/>
      </c>
      <c r="C97" s="35">
        <f>IFERROR(VLOOKUP(B97,'SAÍDA DE VENDAS'!$B$6:$P$500,3,FALSE),"")</f>
        <v>0</v>
      </c>
      <c r="D97" s="34">
        <f>IFERROR(VLOOKUP(B97,'SAÍDA DE VENDAS'!$B$6:$P$500,4,FALSE),"")</f>
        <v>0</v>
      </c>
      <c r="E97" s="34" t="str">
        <f>IFERROR(VLOOKUP(B97,'SAÍDA DE VENDAS'!$B$6:$P$500,5,FALSE),"")</f>
        <v/>
      </c>
      <c r="F97" s="34" t="str">
        <f>IF(OR(ISBLANK(B97),B97=""), "", IFERROR(INDEX('SAÍDA DE VENDAS'!$H$6:$H$500 &amp; "x " &amp; 'SAÍDA DE VENDAS'!$G$6:$G$500, MATCH(B97, 'SAÍDA DE VENDAS'!$B$6:$B$500, 0)), "")&amp; IF(COUNTIF('SAÍDA DE VENDAS'!$B$6:$B$500, B97)&gt;1, " + " &amp; IFERROR(INDEX('SAÍDA DE VENDAS'!$H$6:$H$500 &amp; "x " &amp; 'SAÍDA DE VENDAS'!$G$6:$G$500, MATCH(B97, 'SAÍDA DE VENDAS'!$B$6:$B$500, 0)+1), ""), "")&amp; IF(COUNTIF('SAÍDA DE VENDAS'!$B$6:$B$500, B97)&gt;2, " + " &amp; IFERROR(INDEX('SAÍDA DE VENDAS'!$H$6:$H$500 &amp; "x " &amp; 'SAÍDA DE VENDAS'!$G$6:$G$500, MATCH(B97, 'SAÍDA DE VENDAS'!$B$6:$B$500, 0)+2), ""), "")&amp; IF(COUNTIF('SAÍDA DE VENDAS'!$B$6:$B$500, B97)&gt;3, " + " &amp; IFERROR(INDEX('SAÍDA DE VENDAS'!$H$6:$H$500 &amp; "x " &amp; 'SAÍDA DE VENDAS'!$G$6:$G$500, MATCH(B97, 'SAÍDA DE VENDAS'!$B$6:$B$500, 0)+3), ""), "")&amp; IF(COUNTIF('SAÍDA DE VENDAS'!$B$6:$B$500, B97)&gt;4, " + " &amp; IFERROR(INDEX('SAÍDA DE VENDAS'!$H$6:$H$500 &amp; "x " &amp; 'SAÍDA DE VENDAS'!$G$6:$G$500, MATCH(B97, 'SAÍDA DE VENDAS'!$B$6:$B$500, 0)+4), ""), "")&amp; IF(COUNTIF('SAÍDA DE VENDAS'!$B$6:$B$500, B97)&gt;5, " + " &amp; IFERROR(INDEX('SAÍDA DE VENDAS'!$H$6:$H$500 &amp; "x " &amp; 'SAÍDA DE VENDAS'!$G$6:$G$500, MATCH(B97, 'SAÍDA DE VENDAS'!$B$6:$B$500, 0)+5), ""), ""))</f>
        <v/>
      </c>
      <c r="G97" s="34">
        <f>IFERROR(VLOOKUP(B97,'SAÍDA DE VENDAS'!$B$6:$P$500,10,FALSE),"")</f>
        <v>0</v>
      </c>
      <c r="H97" s="34" t="str">
        <f>IF(OR(ISBLANK(B97),B97=""), "", IF(B97=B96, (VALUE(LEFT(H96,FIND("/",H96)-1))+1)&amp;"/"&amp;RIGHT(H96,LEN(H96)-FIND("/",H96)), "1/"&amp;IFERROR(VLOOKUP(B97,'SAÍDA DE VENDAS'!$B$6:$P$500,13,FALSE),"1")))</f>
        <v/>
      </c>
      <c r="I97" s="35" t="str">
        <f t="shared" si="2"/>
        <v/>
      </c>
      <c r="J97" s="39" t="str">
        <f>IFERROR(VLOOKUP(B97,'SAÍDA DE VENDAS'!$B$6:$P$500,15,FALSE),"")</f>
        <v/>
      </c>
      <c r="K97" s="34" t="str">
        <f t="shared" ca="1" si="3"/>
        <v/>
      </c>
      <c r="L97" s="34"/>
      <c r="M97" s="34"/>
    </row>
    <row r="98" spans="2:13" ht="15" customHeight="1" x14ac:dyDescent="0.3">
      <c r="B98" s="28" t="str">
        <f>IF(B97="","", IF(VALUE(LEFT(H97,FIND("/",H97)-1)) &lt; VALUE(RIGHT(H97,LEN(H97)-FIND("/",H97))), B97, IFERROR(INDEX('SAÍDA DE VENDAS'!$B$6:$B$500, MATCH(B97,'SAÍDA DE VENDAS'!$B$6:$B$500,0)+COUNTIF('SAÍDA DE VENDAS'!$B$6:$B$500, B97)),"")))</f>
        <v/>
      </c>
      <c r="C98" s="29">
        <f>IFERROR(VLOOKUP(B98,'SAÍDA DE VENDAS'!$B$6:$P$500,3,FALSE),"")</f>
        <v>0</v>
      </c>
      <c r="D98" s="28">
        <f>IFERROR(VLOOKUP(B98,'SAÍDA DE VENDAS'!$B$6:$P$500,4,FALSE),"")</f>
        <v>0</v>
      </c>
      <c r="E98" s="28" t="str">
        <f>IFERROR(VLOOKUP(B98,'SAÍDA DE VENDAS'!$B$6:$P$500,5,FALSE),"")</f>
        <v/>
      </c>
      <c r="F98" s="28" t="str">
        <f>IF(OR(ISBLANK(B98),B98=""), "", IFERROR(INDEX('SAÍDA DE VENDAS'!$H$6:$H$500 &amp; "x " &amp; 'SAÍDA DE VENDAS'!$G$6:$G$500, MATCH(B98, 'SAÍDA DE VENDAS'!$B$6:$B$500, 0)), "")&amp; IF(COUNTIF('SAÍDA DE VENDAS'!$B$6:$B$500, B98)&gt;1, " + " &amp; IFERROR(INDEX('SAÍDA DE VENDAS'!$H$6:$H$500 &amp; "x " &amp; 'SAÍDA DE VENDAS'!$G$6:$G$500, MATCH(B98, 'SAÍDA DE VENDAS'!$B$6:$B$500, 0)+1), ""), "")&amp; IF(COUNTIF('SAÍDA DE VENDAS'!$B$6:$B$500, B98)&gt;2, " + " &amp; IFERROR(INDEX('SAÍDA DE VENDAS'!$H$6:$H$500 &amp; "x " &amp; 'SAÍDA DE VENDAS'!$G$6:$G$500, MATCH(B98, 'SAÍDA DE VENDAS'!$B$6:$B$500, 0)+2), ""), "")&amp; IF(COUNTIF('SAÍDA DE VENDAS'!$B$6:$B$500, B98)&gt;3, " + " &amp; IFERROR(INDEX('SAÍDA DE VENDAS'!$H$6:$H$500 &amp; "x " &amp; 'SAÍDA DE VENDAS'!$G$6:$G$500, MATCH(B98, 'SAÍDA DE VENDAS'!$B$6:$B$500, 0)+3), ""), "")&amp; IF(COUNTIF('SAÍDA DE VENDAS'!$B$6:$B$500, B98)&gt;4, " + " &amp; IFERROR(INDEX('SAÍDA DE VENDAS'!$H$6:$H$500 &amp; "x " &amp; 'SAÍDA DE VENDAS'!$G$6:$G$500, MATCH(B98, 'SAÍDA DE VENDAS'!$B$6:$B$500, 0)+4), ""), "")&amp; IF(COUNTIF('SAÍDA DE VENDAS'!$B$6:$B$500, B98)&gt;5, " + " &amp; IFERROR(INDEX('SAÍDA DE VENDAS'!$H$6:$H$500 &amp; "x " &amp; 'SAÍDA DE VENDAS'!$G$6:$G$500, MATCH(B98, 'SAÍDA DE VENDAS'!$B$6:$B$500, 0)+5), ""), ""))</f>
        <v/>
      </c>
      <c r="G98" s="28">
        <f>IFERROR(VLOOKUP(B98,'SAÍDA DE VENDAS'!$B$6:$P$500,10,FALSE),"")</f>
        <v>0</v>
      </c>
      <c r="H98" s="28" t="str">
        <f>IF(OR(ISBLANK(B98),B98=""), "", IF(B98=B97, (VALUE(LEFT(H97,FIND("/",H97)-1))+1)&amp;"/"&amp;RIGHT(H97,LEN(H97)-FIND("/",H97)), "1/"&amp;IFERROR(VLOOKUP(B98,'SAÍDA DE VENDAS'!$B$6:$P$500,13,FALSE),"1")))</f>
        <v/>
      </c>
      <c r="I98" s="69" t="str">
        <f t="shared" si="2"/>
        <v/>
      </c>
      <c r="J98" s="33" t="str">
        <f>IFERROR(VLOOKUP(B98,'SAÍDA DE VENDAS'!$B$6:$P$500,15,FALSE),"")</f>
        <v/>
      </c>
      <c r="K98" s="28" t="str">
        <f t="shared" ca="1" si="3"/>
        <v/>
      </c>
      <c r="L98" s="28"/>
      <c r="M98" s="28"/>
    </row>
    <row r="99" spans="2:13" ht="15" customHeight="1" x14ac:dyDescent="0.3">
      <c r="B99" s="34" t="str">
        <f>IF(B98="","", IF(VALUE(LEFT(H98,FIND("/",H98)-1)) &lt; VALUE(RIGHT(H98,LEN(H98)-FIND("/",H98))), B98, IFERROR(INDEX('SAÍDA DE VENDAS'!$B$6:$B$500, MATCH(B98,'SAÍDA DE VENDAS'!$B$6:$B$500,0)+COUNTIF('SAÍDA DE VENDAS'!$B$6:$B$500, B98)),"")))</f>
        <v/>
      </c>
      <c r="C99" s="35">
        <f>IFERROR(VLOOKUP(B99,'SAÍDA DE VENDAS'!$B$6:$P$500,3,FALSE),"")</f>
        <v>0</v>
      </c>
      <c r="D99" s="34">
        <f>IFERROR(VLOOKUP(B99,'SAÍDA DE VENDAS'!$B$6:$P$500,4,FALSE),"")</f>
        <v>0</v>
      </c>
      <c r="E99" s="34" t="str">
        <f>IFERROR(VLOOKUP(B99,'SAÍDA DE VENDAS'!$B$6:$P$500,5,FALSE),"")</f>
        <v/>
      </c>
      <c r="F99" s="34" t="str">
        <f>IF(OR(ISBLANK(B99),B99=""), "", IFERROR(INDEX('SAÍDA DE VENDAS'!$H$6:$H$500 &amp; "x " &amp; 'SAÍDA DE VENDAS'!$G$6:$G$500, MATCH(B99, 'SAÍDA DE VENDAS'!$B$6:$B$500, 0)), "")&amp; IF(COUNTIF('SAÍDA DE VENDAS'!$B$6:$B$500, B99)&gt;1, " + " &amp; IFERROR(INDEX('SAÍDA DE VENDAS'!$H$6:$H$500 &amp; "x " &amp; 'SAÍDA DE VENDAS'!$G$6:$G$500, MATCH(B99, 'SAÍDA DE VENDAS'!$B$6:$B$500, 0)+1), ""), "")&amp; IF(COUNTIF('SAÍDA DE VENDAS'!$B$6:$B$500, B99)&gt;2, " + " &amp; IFERROR(INDEX('SAÍDA DE VENDAS'!$H$6:$H$500 &amp; "x " &amp; 'SAÍDA DE VENDAS'!$G$6:$G$500, MATCH(B99, 'SAÍDA DE VENDAS'!$B$6:$B$500, 0)+2), ""), "")&amp; IF(COUNTIF('SAÍDA DE VENDAS'!$B$6:$B$500, B99)&gt;3, " + " &amp; IFERROR(INDEX('SAÍDA DE VENDAS'!$H$6:$H$500 &amp; "x " &amp; 'SAÍDA DE VENDAS'!$G$6:$G$500, MATCH(B99, 'SAÍDA DE VENDAS'!$B$6:$B$500, 0)+3), ""), "")&amp; IF(COUNTIF('SAÍDA DE VENDAS'!$B$6:$B$500, B99)&gt;4, " + " &amp; IFERROR(INDEX('SAÍDA DE VENDAS'!$H$6:$H$500 &amp; "x " &amp; 'SAÍDA DE VENDAS'!$G$6:$G$500, MATCH(B99, 'SAÍDA DE VENDAS'!$B$6:$B$500, 0)+4), ""), "")&amp; IF(COUNTIF('SAÍDA DE VENDAS'!$B$6:$B$500, B99)&gt;5, " + " &amp; IFERROR(INDEX('SAÍDA DE VENDAS'!$H$6:$H$500 &amp; "x " &amp; 'SAÍDA DE VENDAS'!$G$6:$G$500, MATCH(B99, 'SAÍDA DE VENDAS'!$B$6:$B$500, 0)+5), ""), ""))</f>
        <v/>
      </c>
      <c r="G99" s="34">
        <f>IFERROR(VLOOKUP(B99,'SAÍDA DE VENDAS'!$B$6:$P$500,10,FALSE),"")</f>
        <v>0</v>
      </c>
      <c r="H99" s="34" t="str">
        <f>IF(OR(ISBLANK(B99),B99=""), "", IF(B99=B98, (VALUE(LEFT(H98,FIND("/",H98)-1))+1)&amp;"/"&amp;RIGHT(H98,LEN(H98)-FIND("/",H98)), "1/"&amp;IFERROR(VLOOKUP(B99,'SAÍDA DE VENDAS'!$B$6:$P$500,13,FALSE),"1")))</f>
        <v/>
      </c>
      <c r="I99" s="35" t="str">
        <f t="shared" si="2"/>
        <v/>
      </c>
      <c r="J99" s="39" t="str">
        <f>IFERROR(VLOOKUP(B99,'SAÍDA DE VENDAS'!$B$6:$P$500,15,FALSE),"")</f>
        <v/>
      </c>
      <c r="K99" s="34" t="str">
        <f t="shared" ca="1" si="3"/>
        <v/>
      </c>
      <c r="L99" s="34"/>
      <c r="M99" s="34"/>
    </row>
    <row r="100" spans="2:13" ht="15" customHeight="1" x14ac:dyDescent="0.3">
      <c r="B100" s="28" t="str">
        <f>IF(B99="","", IF(VALUE(LEFT(H99,FIND("/",H99)-1)) &lt; VALUE(RIGHT(H99,LEN(H99)-FIND("/",H99))), B99, IFERROR(INDEX('SAÍDA DE VENDAS'!$B$6:$B$500, MATCH(B99,'SAÍDA DE VENDAS'!$B$6:$B$500,0)+COUNTIF('SAÍDA DE VENDAS'!$B$6:$B$500, B99)),"")))</f>
        <v/>
      </c>
      <c r="C100" s="29">
        <f>IFERROR(VLOOKUP(B100,'SAÍDA DE VENDAS'!$B$6:$P$500,3,FALSE),"")</f>
        <v>0</v>
      </c>
      <c r="D100" s="28">
        <f>IFERROR(VLOOKUP(B100,'SAÍDA DE VENDAS'!$B$6:$P$500,4,FALSE),"")</f>
        <v>0</v>
      </c>
      <c r="E100" s="28" t="str">
        <f>IFERROR(VLOOKUP(B100,'SAÍDA DE VENDAS'!$B$6:$P$500,5,FALSE),"")</f>
        <v/>
      </c>
      <c r="F100" s="28" t="str">
        <f>IF(OR(ISBLANK(B100),B100=""), "", IFERROR(INDEX('SAÍDA DE VENDAS'!$H$6:$H$500 &amp; "x " &amp; 'SAÍDA DE VENDAS'!$G$6:$G$500, MATCH(B100, 'SAÍDA DE VENDAS'!$B$6:$B$500, 0)), "")&amp; IF(COUNTIF('SAÍDA DE VENDAS'!$B$6:$B$500, B100)&gt;1, " + " &amp; IFERROR(INDEX('SAÍDA DE VENDAS'!$H$6:$H$500 &amp; "x " &amp; 'SAÍDA DE VENDAS'!$G$6:$G$500, MATCH(B100, 'SAÍDA DE VENDAS'!$B$6:$B$500, 0)+1), ""), "")&amp; IF(COUNTIF('SAÍDA DE VENDAS'!$B$6:$B$500, B100)&gt;2, " + " &amp; IFERROR(INDEX('SAÍDA DE VENDAS'!$H$6:$H$500 &amp; "x " &amp; 'SAÍDA DE VENDAS'!$G$6:$G$500, MATCH(B100, 'SAÍDA DE VENDAS'!$B$6:$B$500, 0)+2), ""), "")&amp; IF(COUNTIF('SAÍDA DE VENDAS'!$B$6:$B$500, B100)&gt;3, " + " &amp; IFERROR(INDEX('SAÍDA DE VENDAS'!$H$6:$H$500 &amp; "x " &amp; 'SAÍDA DE VENDAS'!$G$6:$G$500, MATCH(B100, 'SAÍDA DE VENDAS'!$B$6:$B$500, 0)+3), ""), "")&amp; IF(COUNTIF('SAÍDA DE VENDAS'!$B$6:$B$500, B100)&gt;4, " + " &amp; IFERROR(INDEX('SAÍDA DE VENDAS'!$H$6:$H$500 &amp; "x " &amp; 'SAÍDA DE VENDAS'!$G$6:$G$500, MATCH(B100, 'SAÍDA DE VENDAS'!$B$6:$B$500, 0)+4), ""), "")&amp; IF(COUNTIF('SAÍDA DE VENDAS'!$B$6:$B$500, B100)&gt;5, " + " &amp; IFERROR(INDEX('SAÍDA DE VENDAS'!$H$6:$H$500 &amp; "x " &amp; 'SAÍDA DE VENDAS'!$G$6:$G$500, MATCH(B100, 'SAÍDA DE VENDAS'!$B$6:$B$500, 0)+5), ""), ""))</f>
        <v/>
      </c>
      <c r="G100" s="28">
        <f>IFERROR(VLOOKUP(B100,'SAÍDA DE VENDAS'!$B$6:$P$500,10,FALSE),"")</f>
        <v>0</v>
      </c>
      <c r="H100" s="28" t="str">
        <f>IF(OR(ISBLANK(B100),B100=""), "", IF(B100=B99, (VALUE(LEFT(H99,FIND("/",H99)-1))+1)&amp;"/"&amp;RIGHT(H99,LEN(H99)-FIND("/",H99)), "1/"&amp;IFERROR(VLOOKUP(B100,'SAÍDA DE VENDAS'!$B$6:$P$500,13,FALSE),"1")))</f>
        <v/>
      </c>
      <c r="I100" s="69" t="str">
        <f t="shared" si="2"/>
        <v/>
      </c>
      <c r="J100" s="33" t="str">
        <f>IFERROR(VLOOKUP(B100,'SAÍDA DE VENDAS'!$B$6:$P$500,15,FALSE),"")</f>
        <v/>
      </c>
      <c r="K100" s="28" t="str">
        <f t="shared" ca="1" si="3"/>
        <v/>
      </c>
      <c r="L100" s="28"/>
      <c r="M100" s="28"/>
    </row>
    <row r="101" spans="2:13" ht="15" customHeight="1" x14ac:dyDescent="0.3">
      <c r="B101" s="34" t="str">
        <f>IF(B100="","", IF(VALUE(LEFT(H100,FIND("/",H100)-1)) &lt; VALUE(RIGHT(H100,LEN(H100)-FIND("/",H100))), B100, IFERROR(INDEX('SAÍDA DE VENDAS'!$B$6:$B$500, MATCH(B100,'SAÍDA DE VENDAS'!$B$6:$B$500,0)+COUNTIF('SAÍDA DE VENDAS'!$B$6:$B$500, B100)),"")))</f>
        <v/>
      </c>
      <c r="C101" s="35">
        <f>IFERROR(VLOOKUP(B101,'SAÍDA DE VENDAS'!$B$6:$P$500,3,FALSE),"")</f>
        <v>0</v>
      </c>
      <c r="D101" s="34">
        <f>IFERROR(VLOOKUP(B101,'SAÍDA DE VENDAS'!$B$6:$P$500,4,FALSE),"")</f>
        <v>0</v>
      </c>
      <c r="E101" s="34" t="str">
        <f>IFERROR(VLOOKUP(B101,'SAÍDA DE VENDAS'!$B$6:$P$500,5,FALSE),"")</f>
        <v/>
      </c>
      <c r="F101" s="34" t="str">
        <f>IF(OR(ISBLANK(B101),B101=""), "", IFERROR(INDEX('SAÍDA DE VENDAS'!$H$6:$H$500 &amp; "x " &amp; 'SAÍDA DE VENDAS'!$G$6:$G$500, MATCH(B101, 'SAÍDA DE VENDAS'!$B$6:$B$500, 0)), "")&amp; IF(COUNTIF('SAÍDA DE VENDAS'!$B$6:$B$500, B101)&gt;1, " + " &amp; IFERROR(INDEX('SAÍDA DE VENDAS'!$H$6:$H$500 &amp; "x " &amp; 'SAÍDA DE VENDAS'!$G$6:$G$500, MATCH(B101, 'SAÍDA DE VENDAS'!$B$6:$B$500, 0)+1), ""), "")&amp; IF(COUNTIF('SAÍDA DE VENDAS'!$B$6:$B$500, B101)&gt;2, " + " &amp; IFERROR(INDEX('SAÍDA DE VENDAS'!$H$6:$H$500 &amp; "x " &amp; 'SAÍDA DE VENDAS'!$G$6:$G$500, MATCH(B101, 'SAÍDA DE VENDAS'!$B$6:$B$500, 0)+2), ""), "")&amp; IF(COUNTIF('SAÍDA DE VENDAS'!$B$6:$B$500, B101)&gt;3, " + " &amp; IFERROR(INDEX('SAÍDA DE VENDAS'!$H$6:$H$500 &amp; "x " &amp; 'SAÍDA DE VENDAS'!$G$6:$G$500, MATCH(B101, 'SAÍDA DE VENDAS'!$B$6:$B$500, 0)+3), ""), "")&amp; IF(COUNTIF('SAÍDA DE VENDAS'!$B$6:$B$500, B101)&gt;4, " + " &amp; IFERROR(INDEX('SAÍDA DE VENDAS'!$H$6:$H$500 &amp; "x " &amp; 'SAÍDA DE VENDAS'!$G$6:$G$500, MATCH(B101, 'SAÍDA DE VENDAS'!$B$6:$B$500, 0)+4), ""), "")&amp; IF(COUNTIF('SAÍDA DE VENDAS'!$B$6:$B$500, B101)&gt;5, " + " &amp; IFERROR(INDEX('SAÍDA DE VENDAS'!$H$6:$H$500 &amp; "x " &amp; 'SAÍDA DE VENDAS'!$G$6:$G$500, MATCH(B101, 'SAÍDA DE VENDAS'!$B$6:$B$500, 0)+5), ""), ""))</f>
        <v/>
      </c>
      <c r="G101" s="34">
        <f>IFERROR(VLOOKUP(B101,'SAÍDA DE VENDAS'!$B$6:$P$500,10,FALSE),"")</f>
        <v>0</v>
      </c>
      <c r="H101" s="34" t="str">
        <f>IF(OR(ISBLANK(B101),B101=""), "", IF(B101=B100, (VALUE(LEFT(H100,FIND("/",H100)-1))+1)&amp;"/"&amp;RIGHT(H100,LEN(H100)-FIND("/",H100)), "1/"&amp;IFERROR(VLOOKUP(B101,'SAÍDA DE VENDAS'!$B$6:$P$500,13,FALSE),"1")))</f>
        <v/>
      </c>
      <c r="I101" s="35" t="str">
        <f t="shared" si="2"/>
        <v/>
      </c>
      <c r="J101" s="39" t="str">
        <f>IFERROR(VLOOKUP(B101,'SAÍDA DE VENDAS'!$B$6:$P$500,15,FALSE),"")</f>
        <v/>
      </c>
      <c r="K101" s="34" t="str">
        <f t="shared" ca="1" si="3"/>
        <v/>
      </c>
      <c r="L101" s="34"/>
      <c r="M101" s="34"/>
    </row>
    <row r="102" spans="2:13" ht="15" customHeight="1" x14ac:dyDescent="0.3">
      <c r="B102" s="28" t="str">
        <f>IF(B101="","", IF(VALUE(LEFT(H101,FIND("/",H101)-1)) &lt; VALUE(RIGHT(H101,LEN(H101)-FIND("/",H101))), B101, IFERROR(INDEX('SAÍDA DE VENDAS'!$B$6:$B$500, MATCH(B101,'SAÍDA DE VENDAS'!$B$6:$B$500,0)+COUNTIF('SAÍDA DE VENDAS'!$B$6:$B$500, B101)),"")))</f>
        <v/>
      </c>
      <c r="C102" s="29">
        <f>IFERROR(VLOOKUP(B102,'SAÍDA DE VENDAS'!$B$6:$P$500,3,FALSE),"")</f>
        <v>0</v>
      </c>
      <c r="D102" s="28">
        <f>IFERROR(VLOOKUP(B102,'SAÍDA DE VENDAS'!$B$6:$P$500,4,FALSE),"")</f>
        <v>0</v>
      </c>
      <c r="E102" s="28" t="str">
        <f>IFERROR(VLOOKUP(B102,'SAÍDA DE VENDAS'!$B$6:$P$500,5,FALSE),"")</f>
        <v/>
      </c>
      <c r="F102" s="28" t="str">
        <f>IF(OR(ISBLANK(B102),B102=""), "", IFERROR(INDEX('SAÍDA DE VENDAS'!$H$6:$H$500 &amp; "x " &amp; 'SAÍDA DE VENDAS'!$G$6:$G$500, MATCH(B102, 'SAÍDA DE VENDAS'!$B$6:$B$500, 0)), "")&amp; IF(COUNTIF('SAÍDA DE VENDAS'!$B$6:$B$500, B102)&gt;1, " + " &amp; IFERROR(INDEX('SAÍDA DE VENDAS'!$H$6:$H$500 &amp; "x " &amp; 'SAÍDA DE VENDAS'!$G$6:$G$500, MATCH(B102, 'SAÍDA DE VENDAS'!$B$6:$B$500, 0)+1), ""), "")&amp; IF(COUNTIF('SAÍDA DE VENDAS'!$B$6:$B$500, B102)&gt;2, " + " &amp; IFERROR(INDEX('SAÍDA DE VENDAS'!$H$6:$H$500 &amp; "x " &amp; 'SAÍDA DE VENDAS'!$G$6:$G$500, MATCH(B102, 'SAÍDA DE VENDAS'!$B$6:$B$500, 0)+2), ""), "")&amp; IF(COUNTIF('SAÍDA DE VENDAS'!$B$6:$B$500, B102)&gt;3, " + " &amp; IFERROR(INDEX('SAÍDA DE VENDAS'!$H$6:$H$500 &amp; "x " &amp; 'SAÍDA DE VENDAS'!$G$6:$G$500, MATCH(B102, 'SAÍDA DE VENDAS'!$B$6:$B$500, 0)+3), ""), "")&amp; IF(COUNTIF('SAÍDA DE VENDAS'!$B$6:$B$500, B102)&gt;4, " + " &amp; IFERROR(INDEX('SAÍDA DE VENDAS'!$H$6:$H$500 &amp; "x " &amp; 'SAÍDA DE VENDAS'!$G$6:$G$500, MATCH(B102, 'SAÍDA DE VENDAS'!$B$6:$B$500, 0)+4), ""), "")&amp; IF(COUNTIF('SAÍDA DE VENDAS'!$B$6:$B$500, B102)&gt;5, " + " &amp; IFERROR(INDEX('SAÍDA DE VENDAS'!$H$6:$H$500 &amp; "x " &amp; 'SAÍDA DE VENDAS'!$G$6:$G$500, MATCH(B102, 'SAÍDA DE VENDAS'!$B$6:$B$500, 0)+5), ""), ""))</f>
        <v/>
      </c>
      <c r="G102" s="28">
        <f>IFERROR(VLOOKUP(B102,'SAÍDA DE VENDAS'!$B$6:$P$500,10,FALSE),"")</f>
        <v>0</v>
      </c>
      <c r="H102" s="28" t="str">
        <f>IF(OR(ISBLANK(B102),B102=""), "", IF(B102=B101, (VALUE(LEFT(H101,FIND("/",H101)-1))+1)&amp;"/"&amp;RIGHT(H101,LEN(H101)-FIND("/",H101)), "1/"&amp;IFERROR(VLOOKUP(B102,'SAÍDA DE VENDAS'!$B$6:$P$500,13,FALSE),"1")))</f>
        <v/>
      </c>
      <c r="I102" s="69" t="str">
        <f t="shared" si="2"/>
        <v/>
      </c>
      <c r="J102" s="33" t="str">
        <f>IFERROR(VLOOKUP(B102,'SAÍDA DE VENDAS'!$B$6:$P$500,15,FALSE),"")</f>
        <v/>
      </c>
      <c r="K102" s="28" t="str">
        <f t="shared" ca="1" si="3"/>
        <v/>
      </c>
      <c r="L102" s="28"/>
      <c r="M102" s="28"/>
    </row>
    <row r="103" spans="2:13" ht="15" customHeight="1" x14ac:dyDescent="0.3">
      <c r="B103" s="34" t="str">
        <f>IF(B102="","", IF(VALUE(LEFT(H102,FIND("/",H102)-1)) &lt; VALUE(RIGHT(H102,LEN(H102)-FIND("/",H102))), B102, IFERROR(INDEX('SAÍDA DE VENDAS'!$B$6:$B$500, MATCH(B102,'SAÍDA DE VENDAS'!$B$6:$B$500,0)+COUNTIF('SAÍDA DE VENDAS'!$B$6:$B$500, B102)),"")))</f>
        <v/>
      </c>
      <c r="C103" s="35">
        <f>IFERROR(VLOOKUP(B103,'SAÍDA DE VENDAS'!$B$6:$P$500,3,FALSE),"")</f>
        <v>0</v>
      </c>
      <c r="D103" s="34">
        <f>IFERROR(VLOOKUP(B103,'SAÍDA DE VENDAS'!$B$6:$P$500,4,FALSE),"")</f>
        <v>0</v>
      </c>
      <c r="E103" s="34" t="str">
        <f>IFERROR(VLOOKUP(B103,'SAÍDA DE VENDAS'!$B$6:$P$500,5,FALSE),"")</f>
        <v/>
      </c>
      <c r="F103" s="34" t="str">
        <f>IF(OR(ISBLANK(B103),B103=""), "", IFERROR(INDEX('SAÍDA DE VENDAS'!$H$6:$H$500 &amp; "x " &amp; 'SAÍDA DE VENDAS'!$G$6:$G$500, MATCH(B103, 'SAÍDA DE VENDAS'!$B$6:$B$500, 0)), "")&amp; IF(COUNTIF('SAÍDA DE VENDAS'!$B$6:$B$500, B103)&gt;1, " + " &amp; IFERROR(INDEX('SAÍDA DE VENDAS'!$H$6:$H$500 &amp; "x " &amp; 'SAÍDA DE VENDAS'!$G$6:$G$500, MATCH(B103, 'SAÍDA DE VENDAS'!$B$6:$B$500, 0)+1), ""), "")&amp; IF(COUNTIF('SAÍDA DE VENDAS'!$B$6:$B$500, B103)&gt;2, " + " &amp; IFERROR(INDEX('SAÍDA DE VENDAS'!$H$6:$H$500 &amp; "x " &amp; 'SAÍDA DE VENDAS'!$G$6:$G$500, MATCH(B103, 'SAÍDA DE VENDAS'!$B$6:$B$500, 0)+2), ""), "")&amp; IF(COUNTIF('SAÍDA DE VENDAS'!$B$6:$B$500, B103)&gt;3, " + " &amp; IFERROR(INDEX('SAÍDA DE VENDAS'!$H$6:$H$500 &amp; "x " &amp; 'SAÍDA DE VENDAS'!$G$6:$G$500, MATCH(B103, 'SAÍDA DE VENDAS'!$B$6:$B$500, 0)+3), ""), "")&amp; IF(COUNTIF('SAÍDA DE VENDAS'!$B$6:$B$500, B103)&gt;4, " + " &amp; IFERROR(INDEX('SAÍDA DE VENDAS'!$H$6:$H$500 &amp; "x " &amp; 'SAÍDA DE VENDAS'!$G$6:$G$500, MATCH(B103, 'SAÍDA DE VENDAS'!$B$6:$B$500, 0)+4), ""), "")&amp; IF(COUNTIF('SAÍDA DE VENDAS'!$B$6:$B$500, B103)&gt;5, " + " &amp; IFERROR(INDEX('SAÍDA DE VENDAS'!$H$6:$H$500 &amp; "x " &amp; 'SAÍDA DE VENDAS'!$G$6:$G$500, MATCH(B103, 'SAÍDA DE VENDAS'!$B$6:$B$500, 0)+5), ""), ""))</f>
        <v/>
      </c>
      <c r="G103" s="34">
        <f>IFERROR(VLOOKUP(B103,'SAÍDA DE VENDAS'!$B$6:$P$500,10,FALSE),"")</f>
        <v>0</v>
      </c>
      <c r="H103" s="34" t="str">
        <f>IF(OR(ISBLANK(B103),B103=""), "", IF(B103=B102, (VALUE(LEFT(H102,FIND("/",H102)-1))+1)&amp;"/"&amp;RIGHT(H102,LEN(H102)-FIND("/",H102)), "1/"&amp;IFERROR(VLOOKUP(B103,'SAÍDA DE VENDAS'!$B$6:$P$500,13,FALSE),"1")))</f>
        <v/>
      </c>
      <c r="I103" s="35" t="str">
        <f t="shared" si="2"/>
        <v/>
      </c>
      <c r="J103" s="39" t="str">
        <f>IFERROR(VLOOKUP(B103,'SAÍDA DE VENDAS'!$B$6:$P$500,15,FALSE),"")</f>
        <v/>
      </c>
      <c r="K103" s="34" t="str">
        <f t="shared" ca="1" si="3"/>
        <v/>
      </c>
      <c r="L103" s="34"/>
      <c r="M103" s="34"/>
    </row>
    <row r="104" spans="2:13" ht="15" customHeight="1" x14ac:dyDescent="0.3">
      <c r="B104" s="28" t="str">
        <f>IF(B103="","", IF(VALUE(LEFT(H103,FIND("/",H103)-1)) &lt; VALUE(RIGHT(H103,LEN(H103)-FIND("/",H103))), B103, IFERROR(INDEX('SAÍDA DE VENDAS'!$B$6:$B$500, MATCH(B103,'SAÍDA DE VENDAS'!$B$6:$B$500,0)+COUNTIF('SAÍDA DE VENDAS'!$B$6:$B$500, B103)),"")))</f>
        <v/>
      </c>
      <c r="C104" s="29">
        <f>IFERROR(VLOOKUP(B104,'SAÍDA DE VENDAS'!$B$6:$P$500,3,FALSE),"")</f>
        <v>0</v>
      </c>
      <c r="D104" s="28">
        <f>IFERROR(VLOOKUP(B104,'SAÍDA DE VENDAS'!$B$6:$P$500,4,FALSE),"")</f>
        <v>0</v>
      </c>
      <c r="E104" s="28" t="str">
        <f>IFERROR(VLOOKUP(B104,'SAÍDA DE VENDAS'!$B$6:$P$500,5,FALSE),"")</f>
        <v/>
      </c>
      <c r="F104" s="28" t="str">
        <f>IF(OR(ISBLANK(B104),B104=""), "", IFERROR(INDEX('SAÍDA DE VENDAS'!$H$6:$H$500 &amp; "x " &amp; 'SAÍDA DE VENDAS'!$G$6:$G$500, MATCH(B104, 'SAÍDA DE VENDAS'!$B$6:$B$500, 0)), "")&amp; IF(COUNTIF('SAÍDA DE VENDAS'!$B$6:$B$500, B104)&gt;1, " + " &amp; IFERROR(INDEX('SAÍDA DE VENDAS'!$H$6:$H$500 &amp; "x " &amp; 'SAÍDA DE VENDAS'!$G$6:$G$500, MATCH(B104, 'SAÍDA DE VENDAS'!$B$6:$B$500, 0)+1), ""), "")&amp; IF(COUNTIF('SAÍDA DE VENDAS'!$B$6:$B$500, B104)&gt;2, " + " &amp; IFERROR(INDEX('SAÍDA DE VENDAS'!$H$6:$H$500 &amp; "x " &amp; 'SAÍDA DE VENDAS'!$G$6:$G$500, MATCH(B104, 'SAÍDA DE VENDAS'!$B$6:$B$500, 0)+2), ""), "")&amp; IF(COUNTIF('SAÍDA DE VENDAS'!$B$6:$B$500, B104)&gt;3, " + " &amp; IFERROR(INDEX('SAÍDA DE VENDAS'!$H$6:$H$500 &amp; "x " &amp; 'SAÍDA DE VENDAS'!$G$6:$G$500, MATCH(B104, 'SAÍDA DE VENDAS'!$B$6:$B$500, 0)+3), ""), "")&amp; IF(COUNTIF('SAÍDA DE VENDAS'!$B$6:$B$500, B104)&gt;4, " + " &amp; IFERROR(INDEX('SAÍDA DE VENDAS'!$H$6:$H$500 &amp; "x " &amp; 'SAÍDA DE VENDAS'!$G$6:$G$500, MATCH(B104, 'SAÍDA DE VENDAS'!$B$6:$B$500, 0)+4), ""), "")&amp; IF(COUNTIF('SAÍDA DE VENDAS'!$B$6:$B$500, B104)&gt;5, " + " &amp; IFERROR(INDEX('SAÍDA DE VENDAS'!$H$6:$H$500 &amp; "x " &amp; 'SAÍDA DE VENDAS'!$G$6:$G$500, MATCH(B104, 'SAÍDA DE VENDAS'!$B$6:$B$500, 0)+5), ""), ""))</f>
        <v/>
      </c>
      <c r="G104" s="28">
        <f>IFERROR(VLOOKUP(B104,'SAÍDA DE VENDAS'!$B$6:$P$500,10,FALSE),"")</f>
        <v>0</v>
      </c>
      <c r="H104" s="28" t="str">
        <f>IF(OR(ISBLANK(B104),B104=""), "", IF(B104=B103, (VALUE(LEFT(H103,FIND("/",H103)-1))+1)&amp;"/"&amp;RIGHT(H103,LEN(H103)-FIND("/",H103)), "1/"&amp;IFERROR(VLOOKUP(B104,'SAÍDA DE VENDAS'!$B$6:$P$500,13,FALSE),"1")))</f>
        <v/>
      </c>
      <c r="I104" s="69" t="str">
        <f t="shared" si="2"/>
        <v/>
      </c>
      <c r="J104" s="33" t="str">
        <f>IFERROR(VLOOKUP(B104,'SAÍDA DE VENDAS'!$B$6:$P$500,15,FALSE),"")</f>
        <v/>
      </c>
      <c r="K104" s="28" t="str">
        <f t="shared" ca="1" si="3"/>
        <v/>
      </c>
      <c r="L104" s="28"/>
      <c r="M104" s="28"/>
    </row>
    <row r="105" spans="2:13" ht="15" customHeight="1" x14ac:dyDescent="0.3">
      <c r="B105" s="34" t="str">
        <f>IF(B104="","", IF(VALUE(LEFT(H104,FIND("/",H104)-1)) &lt; VALUE(RIGHT(H104,LEN(H104)-FIND("/",H104))), B104, IFERROR(INDEX('SAÍDA DE VENDAS'!$B$6:$B$500, MATCH(B104,'SAÍDA DE VENDAS'!$B$6:$B$500,0)+COUNTIF('SAÍDA DE VENDAS'!$B$6:$B$500, B104)),"")))</f>
        <v/>
      </c>
      <c r="C105" s="35">
        <f>IFERROR(VLOOKUP(B105,'SAÍDA DE VENDAS'!$B$6:$P$500,3,FALSE),"")</f>
        <v>0</v>
      </c>
      <c r="D105" s="34">
        <f>IFERROR(VLOOKUP(B105,'SAÍDA DE VENDAS'!$B$6:$P$500,4,FALSE),"")</f>
        <v>0</v>
      </c>
      <c r="E105" s="34" t="str">
        <f>IFERROR(VLOOKUP(B105,'SAÍDA DE VENDAS'!$B$6:$P$500,5,FALSE),"")</f>
        <v/>
      </c>
      <c r="F105" s="34" t="str">
        <f>IF(OR(ISBLANK(B105),B105=""), "", IFERROR(INDEX('SAÍDA DE VENDAS'!$H$6:$H$500 &amp; "x " &amp; 'SAÍDA DE VENDAS'!$G$6:$G$500, MATCH(B105, 'SAÍDA DE VENDAS'!$B$6:$B$500, 0)), "")&amp; IF(COUNTIF('SAÍDA DE VENDAS'!$B$6:$B$500, B105)&gt;1, " + " &amp; IFERROR(INDEX('SAÍDA DE VENDAS'!$H$6:$H$500 &amp; "x " &amp; 'SAÍDA DE VENDAS'!$G$6:$G$500, MATCH(B105, 'SAÍDA DE VENDAS'!$B$6:$B$500, 0)+1), ""), "")&amp; IF(COUNTIF('SAÍDA DE VENDAS'!$B$6:$B$500, B105)&gt;2, " + " &amp; IFERROR(INDEX('SAÍDA DE VENDAS'!$H$6:$H$500 &amp; "x " &amp; 'SAÍDA DE VENDAS'!$G$6:$G$500, MATCH(B105, 'SAÍDA DE VENDAS'!$B$6:$B$500, 0)+2), ""), "")&amp; IF(COUNTIF('SAÍDA DE VENDAS'!$B$6:$B$500, B105)&gt;3, " + " &amp; IFERROR(INDEX('SAÍDA DE VENDAS'!$H$6:$H$500 &amp; "x " &amp; 'SAÍDA DE VENDAS'!$G$6:$G$500, MATCH(B105, 'SAÍDA DE VENDAS'!$B$6:$B$500, 0)+3), ""), "")&amp; IF(COUNTIF('SAÍDA DE VENDAS'!$B$6:$B$500, B105)&gt;4, " + " &amp; IFERROR(INDEX('SAÍDA DE VENDAS'!$H$6:$H$500 &amp; "x " &amp; 'SAÍDA DE VENDAS'!$G$6:$G$500, MATCH(B105, 'SAÍDA DE VENDAS'!$B$6:$B$500, 0)+4), ""), "")&amp; IF(COUNTIF('SAÍDA DE VENDAS'!$B$6:$B$500, B105)&gt;5, " + " &amp; IFERROR(INDEX('SAÍDA DE VENDAS'!$H$6:$H$500 &amp; "x " &amp; 'SAÍDA DE VENDAS'!$G$6:$G$500, MATCH(B105, 'SAÍDA DE VENDAS'!$B$6:$B$500, 0)+5), ""), ""))</f>
        <v/>
      </c>
      <c r="G105" s="34">
        <f>IFERROR(VLOOKUP(B105,'SAÍDA DE VENDAS'!$B$6:$P$500,10,FALSE),"")</f>
        <v>0</v>
      </c>
      <c r="H105" s="34" t="str">
        <f>IF(OR(ISBLANK(B105),B105=""), "", IF(B105=B104, (VALUE(LEFT(H104,FIND("/",H104)-1))+1)&amp;"/"&amp;RIGHT(H104,LEN(H104)-FIND("/",H104)), "1/"&amp;IFERROR(VLOOKUP(B105,'SAÍDA DE VENDAS'!$B$6:$P$500,13,FALSE),"1")))</f>
        <v/>
      </c>
      <c r="I105" s="35" t="str">
        <f t="shared" si="2"/>
        <v/>
      </c>
      <c r="J105" s="39" t="str">
        <f>IFERROR(VLOOKUP(B105,'SAÍDA DE VENDAS'!$B$6:$P$500,15,FALSE),"")</f>
        <v/>
      </c>
      <c r="K105" s="34" t="str">
        <f t="shared" ca="1" si="3"/>
        <v/>
      </c>
      <c r="L105" s="34"/>
      <c r="M105" s="34"/>
    </row>
    <row r="106" spans="2:13" ht="15" customHeight="1" x14ac:dyDescent="0.3">
      <c r="B106" s="28" t="str">
        <f>IF(B105="","", IF(VALUE(LEFT(H105,FIND("/",H105)-1)) &lt; VALUE(RIGHT(H105,LEN(H105)-FIND("/",H105))), B105, IFERROR(INDEX('SAÍDA DE VENDAS'!$B$6:$B$500, MATCH(B105,'SAÍDA DE VENDAS'!$B$6:$B$500,0)+COUNTIF('SAÍDA DE VENDAS'!$B$6:$B$500, B105)),"")))</f>
        <v/>
      </c>
      <c r="C106" s="29">
        <f>IFERROR(VLOOKUP(B106,'SAÍDA DE VENDAS'!$B$6:$P$500,3,FALSE),"")</f>
        <v>0</v>
      </c>
      <c r="D106" s="28">
        <f>IFERROR(VLOOKUP(B106,'SAÍDA DE VENDAS'!$B$6:$P$500,4,FALSE),"")</f>
        <v>0</v>
      </c>
      <c r="E106" s="28" t="str">
        <f>IFERROR(VLOOKUP(B106,'SAÍDA DE VENDAS'!$B$6:$P$500,5,FALSE),"")</f>
        <v/>
      </c>
      <c r="F106" s="28" t="str">
        <f>IF(OR(ISBLANK(B106),B106=""), "", IFERROR(INDEX('SAÍDA DE VENDAS'!$H$6:$H$500 &amp; "x " &amp; 'SAÍDA DE VENDAS'!$G$6:$G$500, MATCH(B106, 'SAÍDA DE VENDAS'!$B$6:$B$500, 0)), "")&amp; IF(COUNTIF('SAÍDA DE VENDAS'!$B$6:$B$500, B106)&gt;1, " + " &amp; IFERROR(INDEX('SAÍDA DE VENDAS'!$H$6:$H$500 &amp; "x " &amp; 'SAÍDA DE VENDAS'!$G$6:$G$500, MATCH(B106, 'SAÍDA DE VENDAS'!$B$6:$B$500, 0)+1), ""), "")&amp; IF(COUNTIF('SAÍDA DE VENDAS'!$B$6:$B$500, B106)&gt;2, " + " &amp; IFERROR(INDEX('SAÍDA DE VENDAS'!$H$6:$H$500 &amp; "x " &amp; 'SAÍDA DE VENDAS'!$G$6:$G$500, MATCH(B106, 'SAÍDA DE VENDAS'!$B$6:$B$500, 0)+2), ""), "")&amp; IF(COUNTIF('SAÍDA DE VENDAS'!$B$6:$B$500, B106)&gt;3, " + " &amp; IFERROR(INDEX('SAÍDA DE VENDAS'!$H$6:$H$500 &amp; "x " &amp; 'SAÍDA DE VENDAS'!$G$6:$G$500, MATCH(B106, 'SAÍDA DE VENDAS'!$B$6:$B$500, 0)+3), ""), "")&amp; IF(COUNTIF('SAÍDA DE VENDAS'!$B$6:$B$500, B106)&gt;4, " + " &amp; IFERROR(INDEX('SAÍDA DE VENDAS'!$H$6:$H$500 &amp; "x " &amp; 'SAÍDA DE VENDAS'!$G$6:$G$500, MATCH(B106, 'SAÍDA DE VENDAS'!$B$6:$B$500, 0)+4), ""), "")&amp; IF(COUNTIF('SAÍDA DE VENDAS'!$B$6:$B$500, B106)&gt;5, " + " &amp; IFERROR(INDEX('SAÍDA DE VENDAS'!$H$6:$H$500 &amp; "x " &amp; 'SAÍDA DE VENDAS'!$G$6:$G$500, MATCH(B106, 'SAÍDA DE VENDAS'!$B$6:$B$500, 0)+5), ""), ""))</f>
        <v/>
      </c>
      <c r="G106" s="28">
        <f>IFERROR(VLOOKUP(B106,'SAÍDA DE VENDAS'!$B$6:$P$500,10,FALSE),"")</f>
        <v>0</v>
      </c>
      <c r="H106" s="28" t="str">
        <f>IF(OR(ISBLANK(B106),B106=""), "", IF(B106=B105, (VALUE(LEFT(H105,FIND("/",H105)-1))+1)&amp;"/"&amp;RIGHT(H105,LEN(H105)-FIND("/",H105)), "1/"&amp;IFERROR(VLOOKUP(B106,'SAÍDA DE VENDAS'!$B$6:$P$500,13,FALSE),"1")))</f>
        <v/>
      </c>
      <c r="I106" s="69" t="str">
        <f t="shared" si="2"/>
        <v/>
      </c>
      <c r="J106" s="33" t="str">
        <f>IFERROR(VLOOKUP(B106,'SAÍDA DE VENDAS'!$B$6:$P$500,15,FALSE),"")</f>
        <v/>
      </c>
      <c r="K106" s="28" t="str">
        <f t="shared" ca="1" si="3"/>
        <v/>
      </c>
      <c r="L106" s="28"/>
      <c r="M106" s="28"/>
    </row>
    <row r="107" spans="2:13" ht="15" customHeight="1" x14ac:dyDescent="0.3">
      <c r="B107" s="34" t="str">
        <f>IF(B106="","", IF(VALUE(LEFT(H106,FIND("/",H106)-1)) &lt; VALUE(RIGHT(H106,LEN(H106)-FIND("/",H106))), B106, IFERROR(INDEX('SAÍDA DE VENDAS'!$B$6:$B$500, MATCH(B106,'SAÍDA DE VENDAS'!$B$6:$B$500,0)+COUNTIF('SAÍDA DE VENDAS'!$B$6:$B$500, B106)),"")))</f>
        <v/>
      </c>
      <c r="C107" s="35">
        <f>IFERROR(VLOOKUP(B107,'SAÍDA DE VENDAS'!$B$6:$P$500,3,FALSE),"")</f>
        <v>0</v>
      </c>
      <c r="D107" s="34">
        <f>IFERROR(VLOOKUP(B107,'SAÍDA DE VENDAS'!$B$6:$P$500,4,FALSE),"")</f>
        <v>0</v>
      </c>
      <c r="E107" s="34" t="str">
        <f>IFERROR(VLOOKUP(B107,'SAÍDA DE VENDAS'!$B$6:$P$500,5,FALSE),"")</f>
        <v/>
      </c>
      <c r="F107" s="34" t="str">
        <f>IF(OR(ISBLANK(B107),B107=""), "", IFERROR(INDEX('SAÍDA DE VENDAS'!$H$6:$H$500 &amp; "x " &amp; 'SAÍDA DE VENDAS'!$G$6:$G$500, MATCH(B107, 'SAÍDA DE VENDAS'!$B$6:$B$500, 0)), "")&amp; IF(COUNTIF('SAÍDA DE VENDAS'!$B$6:$B$500, B107)&gt;1, " + " &amp; IFERROR(INDEX('SAÍDA DE VENDAS'!$H$6:$H$500 &amp; "x " &amp; 'SAÍDA DE VENDAS'!$G$6:$G$500, MATCH(B107, 'SAÍDA DE VENDAS'!$B$6:$B$500, 0)+1), ""), "")&amp; IF(COUNTIF('SAÍDA DE VENDAS'!$B$6:$B$500, B107)&gt;2, " + " &amp; IFERROR(INDEX('SAÍDA DE VENDAS'!$H$6:$H$500 &amp; "x " &amp; 'SAÍDA DE VENDAS'!$G$6:$G$500, MATCH(B107, 'SAÍDA DE VENDAS'!$B$6:$B$500, 0)+2), ""), "")&amp; IF(COUNTIF('SAÍDA DE VENDAS'!$B$6:$B$500, B107)&gt;3, " + " &amp; IFERROR(INDEX('SAÍDA DE VENDAS'!$H$6:$H$500 &amp; "x " &amp; 'SAÍDA DE VENDAS'!$G$6:$G$500, MATCH(B107, 'SAÍDA DE VENDAS'!$B$6:$B$500, 0)+3), ""), "")&amp; IF(COUNTIF('SAÍDA DE VENDAS'!$B$6:$B$500, B107)&gt;4, " + " &amp; IFERROR(INDEX('SAÍDA DE VENDAS'!$H$6:$H$500 &amp; "x " &amp; 'SAÍDA DE VENDAS'!$G$6:$G$500, MATCH(B107, 'SAÍDA DE VENDAS'!$B$6:$B$500, 0)+4), ""), "")&amp; IF(COUNTIF('SAÍDA DE VENDAS'!$B$6:$B$500, B107)&gt;5, " + " &amp; IFERROR(INDEX('SAÍDA DE VENDAS'!$H$6:$H$500 &amp; "x " &amp; 'SAÍDA DE VENDAS'!$G$6:$G$500, MATCH(B107, 'SAÍDA DE VENDAS'!$B$6:$B$500, 0)+5), ""), ""))</f>
        <v/>
      </c>
      <c r="G107" s="34">
        <f>IFERROR(VLOOKUP(B107,'SAÍDA DE VENDAS'!$B$6:$P$500,10,FALSE),"")</f>
        <v>0</v>
      </c>
      <c r="H107" s="34" t="str">
        <f>IF(OR(ISBLANK(B107),B107=""), "", IF(B107=B106, (VALUE(LEFT(H106,FIND("/",H106)-1))+1)&amp;"/"&amp;RIGHT(H106,LEN(H106)-FIND("/",H106)), "1/"&amp;IFERROR(VLOOKUP(B107,'SAÍDA DE VENDAS'!$B$6:$P$500,13,FALSE),"1")))</f>
        <v/>
      </c>
      <c r="I107" s="35" t="str">
        <f t="shared" si="2"/>
        <v/>
      </c>
      <c r="J107" s="39" t="str">
        <f>IFERROR(VLOOKUP(B107,'SAÍDA DE VENDAS'!$B$6:$P$500,15,FALSE),"")</f>
        <v/>
      </c>
      <c r="K107" s="34" t="str">
        <f t="shared" ca="1" si="3"/>
        <v/>
      </c>
      <c r="L107" s="34"/>
      <c r="M107" s="34"/>
    </row>
    <row r="108" spans="2:13" ht="15" customHeight="1" x14ac:dyDescent="0.3">
      <c r="B108" s="28" t="str">
        <f>IF(B107="","", IF(VALUE(LEFT(H107,FIND("/",H107)-1)) &lt; VALUE(RIGHT(H107,LEN(H107)-FIND("/",H107))), B107, IFERROR(INDEX('SAÍDA DE VENDAS'!$B$6:$B$500, MATCH(B107,'SAÍDA DE VENDAS'!$B$6:$B$500,0)+COUNTIF('SAÍDA DE VENDAS'!$B$6:$B$500, B107)),"")))</f>
        <v/>
      </c>
      <c r="C108" s="29">
        <f>IFERROR(VLOOKUP(B108,'SAÍDA DE VENDAS'!$B$6:$P$500,3,FALSE),"")</f>
        <v>0</v>
      </c>
      <c r="D108" s="28">
        <f>IFERROR(VLOOKUP(B108,'SAÍDA DE VENDAS'!$B$6:$P$500,4,FALSE),"")</f>
        <v>0</v>
      </c>
      <c r="E108" s="28" t="str">
        <f>IFERROR(VLOOKUP(B108,'SAÍDA DE VENDAS'!$B$6:$P$500,5,FALSE),"")</f>
        <v/>
      </c>
      <c r="F108" s="28" t="str">
        <f>IF(OR(ISBLANK(B108),B108=""), "", IFERROR(INDEX('SAÍDA DE VENDAS'!$H$6:$H$500 &amp; "x " &amp; 'SAÍDA DE VENDAS'!$G$6:$G$500, MATCH(B108, 'SAÍDA DE VENDAS'!$B$6:$B$500, 0)), "")&amp; IF(COUNTIF('SAÍDA DE VENDAS'!$B$6:$B$500, B108)&gt;1, " + " &amp; IFERROR(INDEX('SAÍDA DE VENDAS'!$H$6:$H$500 &amp; "x " &amp; 'SAÍDA DE VENDAS'!$G$6:$G$500, MATCH(B108, 'SAÍDA DE VENDAS'!$B$6:$B$500, 0)+1), ""), "")&amp; IF(COUNTIF('SAÍDA DE VENDAS'!$B$6:$B$500, B108)&gt;2, " + " &amp; IFERROR(INDEX('SAÍDA DE VENDAS'!$H$6:$H$500 &amp; "x " &amp; 'SAÍDA DE VENDAS'!$G$6:$G$500, MATCH(B108, 'SAÍDA DE VENDAS'!$B$6:$B$500, 0)+2), ""), "")&amp; IF(COUNTIF('SAÍDA DE VENDAS'!$B$6:$B$500, B108)&gt;3, " + " &amp; IFERROR(INDEX('SAÍDA DE VENDAS'!$H$6:$H$500 &amp; "x " &amp; 'SAÍDA DE VENDAS'!$G$6:$G$500, MATCH(B108, 'SAÍDA DE VENDAS'!$B$6:$B$500, 0)+3), ""), "")&amp; IF(COUNTIF('SAÍDA DE VENDAS'!$B$6:$B$500, B108)&gt;4, " + " &amp; IFERROR(INDEX('SAÍDA DE VENDAS'!$H$6:$H$500 &amp; "x " &amp; 'SAÍDA DE VENDAS'!$G$6:$G$500, MATCH(B108, 'SAÍDA DE VENDAS'!$B$6:$B$500, 0)+4), ""), "")&amp; IF(COUNTIF('SAÍDA DE VENDAS'!$B$6:$B$500, B108)&gt;5, " + " &amp; IFERROR(INDEX('SAÍDA DE VENDAS'!$H$6:$H$500 &amp; "x " &amp; 'SAÍDA DE VENDAS'!$G$6:$G$500, MATCH(B108, 'SAÍDA DE VENDAS'!$B$6:$B$500, 0)+5), ""), ""))</f>
        <v/>
      </c>
      <c r="G108" s="28">
        <f>IFERROR(VLOOKUP(B108,'SAÍDA DE VENDAS'!$B$6:$P$500,10,FALSE),"")</f>
        <v>0</v>
      </c>
      <c r="H108" s="28" t="str">
        <f>IF(OR(ISBLANK(B108),B108=""), "", IF(B108=B107, (VALUE(LEFT(H107,FIND("/",H107)-1))+1)&amp;"/"&amp;RIGHT(H107,LEN(H107)-FIND("/",H107)), "1/"&amp;IFERROR(VLOOKUP(B108,'SAÍDA DE VENDAS'!$B$6:$P$500,13,FALSE),"1")))</f>
        <v/>
      </c>
      <c r="I108" s="69" t="str">
        <f t="shared" si="2"/>
        <v/>
      </c>
      <c r="J108" s="33" t="str">
        <f>IFERROR(VLOOKUP(B108,'SAÍDA DE VENDAS'!$B$6:$P$500,15,FALSE),"")</f>
        <v/>
      </c>
      <c r="K108" s="28" t="str">
        <f t="shared" ca="1" si="3"/>
        <v/>
      </c>
      <c r="L108" s="28"/>
      <c r="M108" s="28"/>
    </row>
    <row r="109" spans="2:13" ht="15" customHeight="1" x14ac:dyDescent="0.3">
      <c r="B109" s="34" t="str">
        <f>IF(B108="","", IF(VALUE(LEFT(H108,FIND("/",H108)-1)) &lt; VALUE(RIGHT(H108,LEN(H108)-FIND("/",H108))), B108, IFERROR(INDEX('SAÍDA DE VENDAS'!$B$6:$B$500, MATCH(B108,'SAÍDA DE VENDAS'!$B$6:$B$500,0)+COUNTIF('SAÍDA DE VENDAS'!$B$6:$B$500, B108)),"")))</f>
        <v/>
      </c>
      <c r="C109" s="35">
        <f>IFERROR(VLOOKUP(B109,'SAÍDA DE VENDAS'!$B$6:$P$500,3,FALSE),"")</f>
        <v>0</v>
      </c>
      <c r="D109" s="34">
        <f>IFERROR(VLOOKUP(B109,'SAÍDA DE VENDAS'!$B$6:$P$500,4,FALSE),"")</f>
        <v>0</v>
      </c>
      <c r="E109" s="34" t="str">
        <f>IFERROR(VLOOKUP(B109,'SAÍDA DE VENDAS'!$B$6:$P$500,5,FALSE),"")</f>
        <v/>
      </c>
      <c r="F109" s="34" t="str">
        <f>IF(OR(ISBLANK(B109),B109=""), "", IFERROR(INDEX('SAÍDA DE VENDAS'!$H$6:$H$500 &amp; "x " &amp; 'SAÍDA DE VENDAS'!$G$6:$G$500, MATCH(B109, 'SAÍDA DE VENDAS'!$B$6:$B$500, 0)), "")&amp; IF(COUNTIF('SAÍDA DE VENDAS'!$B$6:$B$500, B109)&gt;1, " + " &amp; IFERROR(INDEX('SAÍDA DE VENDAS'!$H$6:$H$500 &amp; "x " &amp; 'SAÍDA DE VENDAS'!$G$6:$G$500, MATCH(B109, 'SAÍDA DE VENDAS'!$B$6:$B$500, 0)+1), ""), "")&amp; IF(COUNTIF('SAÍDA DE VENDAS'!$B$6:$B$500, B109)&gt;2, " + " &amp; IFERROR(INDEX('SAÍDA DE VENDAS'!$H$6:$H$500 &amp; "x " &amp; 'SAÍDA DE VENDAS'!$G$6:$G$500, MATCH(B109, 'SAÍDA DE VENDAS'!$B$6:$B$500, 0)+2), ""), "")&amp; IF(COUNTIF('SAÍDA DE VENDAS'!$B$6:$B$500, B109)&gt;3, " + " &amp; IFERROR(INDEX('SAÍDA DE VENDAS'!$H$6:$H$500 &amp; "x " &amp; 'SAÍDA DE VENDAS'!$G$6:$G$500, MATCH(B109, 'SAÍDA DE VENDAS'!$B$6:$B$500, 0)+3), ""), "")&amp; IF(COUNTIF('SAÍDA DE VENDAS'!$B$6:$B$500, B109)&gt;4, " + " &amp; IFERROR(INDEX('SAÍDA DE VENDAS'!$H$6:$H$500 &amp; "x " &amp; 'SAÍDA DE VENDAS'!$G$6:$G$500, MATCH(B109, 'SAÍDA DE VENDAS'!$B$6:$B$500, 0)+4), ""), "")&amp; IF(COUNTIF('SAÍDA DE VENDAS'!$B$6:$B$500, B109)&gt;5, " + " &amp; IFERROR(INDEX('SAÍDA DE VENDAS'!$H$6:$H$500 &amp; "x " &amp; 'SAÍDA DE VENDAS'!$G$6:$G$500, MATCH(B109, 'SAÍDA DE VENDAS'!$B$6:$B$500, 0)+5), ""), ""))</f>
        <v/>
      </c>
      <c r="G109" s="34">
        <f>IFERROR(VLOOKUP(B109,'SAÍDA DE VENDAS'!$B$6:$P$500,10,FALSE),"")</f>
        <v>0</v>
      </c>
      <c r="H109" s="34" t="str">
        <f>IF(OR(ISBLANK(B109),B109=""), "", IF(B109=B108, (VALUE(LEFT(H108,FIND("/",H108)-1))+1)&amp;"/"&amp;RIGHT(H108,LEN(H108)-FIND("/",H108)), "1/"&amp;IFERROR(VLOOKUP(B109,'SAÍDA DE VENDAS'!$B$6:$P$500,13,FALSE),"1")))</f>
        <v/>
      </c>
      <c r="I109" s="35" t="str">
        <f t="shared" si="2"/>
        <v/>
      </c>
      <c r="J109" s="39" t="str">
        <f>IFERROR(VLOOKUP(B109,'SAÍDA DE VENDAS'!$B$6:$P$500,15,FALSE),"")</f>
        <v/>
      </c>
      <c r="K109" s="34" t="str">
        <f t="shared" ca="1" si="3"/>
        <v/>
      </c>
      <c r="L109" s="34"/>
      <c r="M109" s="34"/>
    </row>
    <row r="110" spans="2:13" ht="15" customHeight="1" x14ac:dyDescent="0.3">
      <c r="B110" s="28" t="str">
        <f>IF(B109="","", IF(VALUE(LEFT(H109,FIND("/",H109)-1)) &lt; VALUE(RIGHT(H109,LEN(H109)-FIND("/",H109))), B109, IFERROR(INDEX('SAÍDA DE VENDAS'!$B$6:$B$500, MATCH(B109,'SAÍDA DE VENDAS'!$B$6:$B$500,0)+COUNTIF('SAÍDA DE VENDAS'!$B$6:$B$500, B109)),"")))</f>
        <v/>
      </c>
      <c r="C110" s="29">
        <f>IFERROR(VLOOKUP(B110,'SAÍDA DE VENDAS'!$B$6:$P$500,3,FALSE),"")</f>
        <v>0</v>
      </c>
      <c r="D110" s="28">
        <f>IFERROR(VLOOKUP(B110,'SAÍDA DE VENDAS'!$B$6:$P$500,4,FALSE),"")</f>
        <v>0</v>
      </c>
      <c r="E110" s="28" t="str">
        <f>IFERROR(VLOOKUP(B110,'SAÍDA DE VENDAS'!$B$6:$P$500,5,FALSE),"")</f>
        <v/>
      </c>
      <c r="F110" s="28" t="str">
        <f>IF(OR(ISBLANK(B110),B110=""), "", IFERROR(INDEX('SAÍDA DE VENDAS'!$H$6:$H$500 &amp; "x " &amp; 'SAÍDA DE VENDAS'!$G$6:$G$500, MATCH(B110, 'SAÍDA DE VENDAS'!$B$6:$B$500, 0)), "")&amp; IF(COUNTIF('SAÍDA DE VENDAS'!$B$6:$B$500, B110)&gt;1, " + " &amp; IFERROR(INDEX('SAÍDA DE VENDAS'!$H$6:$H$500 &amp; "x " &amp; 'SAÍDA DE VENDAS'!$G$6:$G$500, MATCH(B110, 'SAÍDA DE VENDAS'!$B$6:$B$500, 0)+1), ""), "")&amp; IF(COUNTIF('SAÍDA DE VENDAS'!$B$6:$B$500, B110)&gt;2, " + " &amp; IFERROR(INDEX('SAÍDA DE VENDAS'!$H$6:$H$500 &amp; "x " &amp; 'SAÍDA DE VENDAS'!$G$6:$G$500, MATCH(B110, 'SAÍDA DE VENDAS'!$B$6:$B$500, 0)+2), ""), "")&amp; IF(COUNTIF('SAÍDA DE VENDAS'!$B$6:$B$500, B110)&gt;3, " + " &amp; IFERROR(INDEX('SAÍDA DE VENDAS'!$H$6:$H$500 &amp; "x " &amp; 'SAÍDA DE VENDAS'!$G$6:$G$500, MATCH(B110, 'SAÍDA DE VENDAS'!$B$6:$B$500, 0)+3), ""), "")&amp; IF(COUNTIF('SAÍDA DE VENDAS'!$B$6:$B$500, B110)&gt;4, " + " &amp; IFERROR(INDEX('SAÍDA DE VENDAS'!$H$6:$H$500 &amp; "x " &amp; 'SAÍDA DE VENDAS'!$G$6:$G$500, MATCH(B110, 'SAÍDA DE VENDAS'!$B$6:$B$500, 0)+4), ""), "")&amp; IF(COUNTIF('SAÍDA DE VENDAS'!$B$6:$B$500, B110)&gt;5, " + " &amp; IFERROR(INDEX('SAÍDA DE VENDAS'!$H$6:$H$500 &amp; "x " &amp; 'SAÍDA DE VENDAS'!$G$6:$G$500, MATCH(B110, 'SAÍDA DE VENDAS'!$B$6:$B$500, 0)+5), ""), ""))</f>
        <v/>
      </c>
      <c r="G110" s="28">
        <f>IFERROR(VLOOKUP(B110,'SAÍDA DE VENDAS'!$B$6:$P$500,10,FALSE),"")</f>
        <v>0</v>
      </c>
      <c r="H110" s="28" t="str">
        <f>IF(OR(ISBLANK(B110),B110=""), "", IF(B110=B109, (VALUE(LEFT(H109,FIND("/",H109)-1))+1)&amp;"/"&amp;RIGHT(H109,LEN(H109)-FIND("/",H109)), "1/"&amp;IFERROR(VLOOKUP(B110,'SAÍDA DE VENDAS'!$B$6:$P$500,13,FALSE),"1")))</f>
        <v/>
      </c>
      <c r="I110" s="69" t="str">
        <f t="shared" si="2"/>
        <v/>
      </c>
      <c r="J110" s="33" t="str">
        <f>IFERROR(VLOOKUP(B110,'SAÍDA DE VENDAS'!$B$6:$P$500,15,FALSE),"")</f>
        <v/>
      </c>
      <c r="K110" s="28" t="str">
        <f t="shared" ca="1" si="3"/>
        <v/>
      </c>
      <c r="L110" s="28"/>
      <c r="M110" s="28"/>
    </row>
    <row r="111" spans="2:13" ht="15" customHeight="1" x14ac:dyDescent="0.3">
      <c r="B111" s="34" t="str">
        <f>IF(B110="","", IF(VALUE(LEFT(H110,FIND("/",H110)-1)) &lt; VALUE(RIGHT(H110,LEN(H110)-FIND("/",H110))), B110, IFERROR(INDEX('SAÍDA DE VENDAS'!$B$6:$B$500, MATCH(B110,'SAÍDA DE VENDAS'!$B$6:$B$500,0)+COUNTIF('SAÍDA DE VENDAS'!$B$6:$B$500, B110)),"")))</f>
        <v/>
      </c>
      <c r="C111" s="35">
        <f>IFERROR(VLOOKUP(B111,'SAÍDA DE VENDAS'!$B$6:$P$500,3,FALSE),"")</f>
        <v>0</v>
      </c>
      <c r="D111" s="34">
        <f>IFERROR(VLOOKUP(B111,'SAÍDA DE VENDAS'!$B$6:$P$500,4,FALSE),"")</f>
        <v>0</v>
      </c>
      <c r="E111" s="34" t="str">
        <f>IFERROR(VLOOKUP(B111,'SAÍDA DE VENDAS'!$B$6:$P$500,5,FALSE),"")</f>
        <v/>
      </c>
      <c r="F111" s="34" t="str">
        <f>IF(OR(ISBLANK(B111),B111=""), "", IFERROR(INDEX('SAÍDA DE VENDAS'!$H$6:$H$500 &amp; "x " &amp; 'SAÍDA DE VENDAS'!$G$6:$G$500, MATCH(B111, 'SAÍDA DE VENDAS'!$B$6:$B$500, 0)), "")&amp; IF(COUNTIF('SAÍDA DE VENDAS'!$B$6:$B$500, B111)&gt;1, " + " &amp; IFERROR(INDEX('SAÍDA DE VENDAS'!$H$6:$H$500 &amp; "x " &amp; 'SAÍDA DE VENDAS'!$G$6:$G$500, MATCH(B111, 'SAÍDA DE VENDAS'!$B$6:$B$500, 0)+1), ""), "")&amp; IF(COUNTIF('SAÍDA DE VENDAS'!$B$6:$B$500, B111)&gt;2, " + " &amp; IFERROR(INDEX('SAÍDA DE VENDAS'!$H$6:$H$500 &amp; "x " &amp; 'SAÍDA DE VENDAS'!$G$6:$G$500, MATCH(B111, 'SAÍDA DE VENDAS'!$B$6:$B$500, 0)+2), ""), "")&amp; IF(COUNTIF('SAÍDA DE VENDAS'!$B$6:$B$500, B111)&gt;3, " + " &amp; IFERROR(INDEX('SAÍDA DE VENDAS'!$H$6:$H$500 &amp; "x " &amp; 'SAÍDA DE VENDAS'!$G$6:$G$500, MATCH(B111, 'SAÍDA DE VENDAS'!$B$6:$B$500, 0)+3), ""), "")&amp; IF(COUNTIF('SAÍDA DE VENDAS'!$B$6:$B$500, B111)&gt;4, " + " &amp; IFERROR(INDEX('SAÍDA DE VENDAS'!$H$6:$H$500 &amp; "x " &amp; 'SAÍDA DE VENDAS'!$G$6:$G$500, MATCH(B111, 'SAÍDA DE VENDAS'!$B$6:$B$500, 0)+4), ""), "")&amp; IF(COUNTIF('SAÍDA DE VENDAS'!$B$6:$B$500, B111)&gt;5, " + " &amp; IFERROR(INDEX('SAÍDA DE VENDAS'!$H$6:$H$500 &amp; "x " &amp; 'SAÍDA DE VENDAS'!$G$6:$G$500, MATCH(B111, 'SAÍDA DE VENDAS'!$B$6:$B$500, 0)+5), ""), ""))</f>
        <v/>
      </c>
      <c r="G111" s="34">
        <f>IFERROR(VLOOKUP(B111,'SAÍDA DE VENDAS'!$B$6:$P$500,10,FALSE),"")</f>
        <v>0</v>
      </c>
      <c r="H111" s="34" t="str">
        <f>IF(OR(ISBLANK(B111),B111=""), "", IF(B111=B110, (VALUE(LEFT(H110,FIND("/",H110)-1))+1)&amp;"/"&amp;RIGHT(H110,LEN(H110)-FIND("/",H110)), "1/"&amp;IFERROR(VLOOKUP(B111,'SAÍDA DE VENDAS'!$B$6:$P$500,13,FALSE),"1")))</f>
        <v/>
      </c>
      <c r="I111" s="35" t="str">
        <f t="shared" si="2"/>
        <v/>
      </c>
      <c r="J111" s="39" t="str">
        <f>IFERROR(VLOOKUP(B111,'SAÍDA DE VENDAS'!$B$6:$P$500,15,FALSE),"")</f>
        <v/>
      </c>
      <c r="K111" s="34" t="str">
        <f t="shared" ca="1" si="3"/>
        <v/>
      </c>
      <c r="L111" s="34"/>
      <c r="M111" s="34"/>
    </row>
    <row r="112" spans="2:13" ht="15" customHeight="1" x14ac:dyDescent="0.3">
      <c r="B112" s="28" t="str">
        <f>IF(B111="","", IF(VALUE(LEFT(H111,FIND("/",H111)-1)) &lt; VALUE(RIGHT(H111,LEN(H111)-FIND("/",H111))), B111, IFERROR(INDEX('SAÍDA DE VENDAS'!$B$6:$B$500, MATCH(B111,'SAÍDA DE VENDAS'!$B$6:$B$500,0)+COUNTIF('SAÍDA DE VENDAS'!$B$6:$B$500, B111)),"")))</f>
        <v/>
      </c>
      <c r="C112" s="29">
        <f>IFERROR(VLOOKUP(B112,'SAÍDA DE VENDAS'!$B$6:$P$500,3,FALSE),"")</f>
        <v>0</v>
      </c>
      <c r="D112" s="28">
        <f>IFERROR(VLOOKUP(B112,'SAÍDA DE VENDAS'!$B$6:$P$500,4,FALSE),"")</f>
        <v>0</v>
      </c>
      <c r="E112" s="28" t="str">
        <f>IFERROR(VLOOKUP(B112,'SAÍDA DE VENDAS'!$B$6:$P$500,5,FALSE),"")</f>
        <v/>
      </c>
      <c r="F112" s="28" t="str">
        <f>IF(OR(ISBLANK(B112),B112=""), "", IFERROR(INDEX('SAÍDA DE VENDAS'!$H$6:$H$500 &amp; "x " &amp; 'SAÍDA DE VENDAS'!$G$6:$G$500, MATCH(B112, 'SAÍDA DE VENDAS'!$B$6:$B$500, 0)), "")&amp; IF(COUNTIF('SAÍDA DE VENDAS'!$B$6:$B$500, B112)&gt;1, " + " &amp; IFERROR(INDEX('SAÍDA DE VENDAS'!$H$6:$H$500 &amp; "x " &amp; 'SAÍDA DE VENDAS'!$G$6:$G$500, MATCH(B112, 'SAÍDA DE VENDAS'!$B$6:$B$500, 0)+1), ""), "")&amp; IF(COUNTIF('SAÍDA DE VENDAS'!$B$6:$B$500, B112)&gt;2, " + " &amp; IFERROR(INDEX('SAÍDA DE VENDAS'!$H$6:$H$500 &amp; "x " &amp; 'SAÍDA DE VENDAS'!$G$6:$G$500, MATCH(B112, 'SAÍDA DE VENDAS'!$B$6:$B$500, 0)+2), ""), "")&amp; IF(COUNTIF('SAÍDA DE VENDAS'!$B$6:$B$500, B112)&gt;3, " + " &amp; IFERROR(INDEX('SAÍDA DE VENDAS'!$H$6:$H$500 &amp; "x " &amp; 'SAÍDA DE VENDAS'!$G$6:$G$500, MATCH(B112, 'SAÍDA DE VENDAS'!$B$6:$B$500, 0)+3), ""), "")&amp; IF(COUNTIF('SAÍDA DE VENDAS'!$B$6:$B$500, B112)&gt;4, " + " &amp; IFERROR(INDEX('SAÍDA DE VENDAS'!$H$6:$H$500 &amp; "x " &amp; 'SAÍDA DE VENDAS'!$G$6:$G$500, MATCH(B112, 'SAÍDA DE VENDAS'!$B$6:$B$500, 0)+4), ""), "")&amp; IF(COUNTIF('SAÍDA DE VENDAS'!$B$6:$B$500, B112)&gt;5, " + " &amp; IFERROR(INDEX('SAÍDA DE VENDAS'!$H$6:$H$500 &amp; "x " &amp; 'SAÍDA DE VENDAS'!$G$6:$G$500, MATCH(B112, 'SAÍDA DE VENDAS'!$B$6:$B$500, 0)+5), ""), ""))</f>
        <v/>
      </c>
      <c r="G112" s="28">
        <f>IFERROR(VLOOKUP(B112,'SAÍDA DE VENDAS'!$B$6:$P$500,10,FALSE),"")</f>
        <v>0</v>
      </c>
      <c r="H112" s="28" t="str">
        <f>IF(OR(ISBLANK(B112),B112=""), "", IF(B112=B111, (VALUE(LEFT(H111,FIND("/",H111)-1))+1)&amp;"/"&amp;RIGHT(H111,LEN(H111)-FIND("/",H111)), "1/"&amp;IFERROR(VLOOKUP(B112,'SAÍDA DE VENDAS'!$B$6:$P$500,13,FALSE),"1")))</f>
        <v/>
      </c>
      <c r="I112" s="69" t="str">
        <f t="shared" si="2"/>
        <v/>
      </c>
      <c r="J112" s="33" t="str">
        <f>IFERROR(VLOOKUP(B112,'SAÍDA DE VENDAS'!$B$6:$P$500,15,FALSE),"")</f>
        <v/>
      </c>
      <c r="K112" s="28" t="str">
        <f t="shared" ca="1" si="3"/>
        <v/>
      </c>
      <c r="L112" s="28"/>
      <c r="M112" s="28"/>
    </row>
    <row r="113" spans="2:13" ht="15" customHeight="1" x14ac:dyDescent="0.3">
      <c r="B113" s="34" t="str">
        <f>IF(B112="","", IF(VALUE(LEFT(H112,FIND("/",H112)-1)) &lt; VALUE(RIGHT(H112,LEN(H112)-FIND("/",H112))), B112, IFERROR(INDEX('SAÍDA DE VENDAS'!$B$6:$B$500, MATCH(B112,'SAÍDA DE VENDAS'!$B$6:$B$500,0)+COUNTIF('SAÍDA DE VENDAS'!$B$6:$B$500, B112)),"")))</f>
        <v/>
      </c>
      <c r="C113" s="35">
        <f>IFERROR(VLOOKUP(B113,'SAÍDA DE VENDAS'!$B$6:$P$500,3,FALSE),"")</f>
        <v>0</v>
      </c>
      <c r="D113" s="34">
        <f>IFERROR(VLOOKUP(B113,'SAÍDA DE VENDAS'!$B$6:$P$500,4,FALSE),"")</f>
        <v>0</v>
      </c>
      <c r="E113" s="34" t="str">
        <f>IFERROR(VLOOKUP(B113,'SAÍDA DE VENDAS'!$B$6:$P$500,5,FALSE),"")</f>
        <v/>
      </c>
      <c r="F113" s="34" t="str">
        <f>IF(OR(ISBLANK(B113),B113=""), "", IFERROR(INDEX('SAÍDA DE VENDAS'!$H$6:$H$500 &amp; "x " &amp; 'SAÍDA DE VENDAS'!$G$6:$G$500, MATCH(B113, 'SAÍDA DE VENDAS'!$B$6:$B$500, 0)), "")&amp; IF(COUNTIF('SAÍDA DE VENDAS'!$B$6:$B$500, B113)&gt;1, " + " &amp; IFERROR(INDEX('SAÍDA DE VENDAS'!$H$6:$H$500 &amp; "x " &amp; 'SAÍDA DE VENDAS'!$G$6:$G$500, MATCH(B113, 'SAÍDA DE VENDAS'!$B$6:$B$500, 0)+1), ""), "")&amp; IF(COUNTIF('SAÍDA DE VENDAS'!$B$6:$B$500, B113)&gt;2, " + " &amp; IFERROR(INDEX('SAÍDA DE VENDAS'!$H$6:$H$500 &amp; "x " &amp; 'SAÍDA DE VENDAS'!$G$6:$G$500, MATCH(B113, 'SAÍDA DE VENDAS'!$B$6:$B$500, 0)+2), ""), "")&amp; IF(COUNTIF('SAÍDA DE VENDAS'!$B$6:$B$500, B113)&gt;3, " + " &amp; IFERROR(INDEX('SAÍDA DE VENDAS'!$H$6:$H$500 &amp; "x " &amp; 'SAÍDA DE VENDAS'!$G$6:$G$500, MATCH(B113, 'SAÍDA DE VENDAS'!$B$6:$B$500, 0)+3), ""), "")&amp; IF(COUNTIF('SAÍDA DE VENDAS'!$B$6:$B$500, B113)&gt;4, " + " &amp; IFERROR(INDEX('SAÍDA DE VENDAS'!$H$6:$H$500 &amp; "x " &amp; 'SAÍDA DE VENDAS'!$G$6:$G$500, MATCH(B113, 'SAÍDA DE VENDAS'!$B$6:$B$500, 0)+4), ""), "")&amp; IF(COUNTIF('SAÍDA DE VENDAS'!$B$6:$B$500, B113)&gt;5, " + " &amp; IFERROR(INDEX('SAÍDA DE VENDAS'!$H$6:$H$500 &amp; "x " &amp; 'SAÍDA DE VENDAS'!$G$6:$G$500, MATCH(B113, 'SAÍDA DE VENDAS'!$B$6:$B$500, 0)+5), ""), ""))</f>
        <v/>
      </c>
      <c r="G113" s="34">
        <f>IFERROR(VLOOKUP(B113,'SAÍDA DE VENDAS'!$B$6:$P$500,10,FALSE),"")</f>
        <v>0</v>
      </c>
      <c r="H113" s="34" t="str">
        <f>IF(OR(ISBLANK(B113),B113=""), "", IF(B113=B112, (VALUE(LEFT(H112,FIND("/",H112)-1))+1)&amp;"/"&amp;RIGHT(H112,LEN(H112)-FIND("/",H112)), "1/"&amp;IFERROR(VLOOKUP(B113,'SAÍDA DE VENDAS'!$B$6:$P$500,13,FALSE),"1")))</f>
        <v/>
      </c>
      <c r="I113" s="35" t="str">
        <f t="shared" si="2"/>
        <v/>
      </c>
      <c r="J113" s="39" t="str">
        <f>IFERROR(VLOOKUP(B113,'SAÍDA DE VENDAS'!$B$6:$P$500,15,FALSE),"")</f>
        <v/>
      </c>
      <c r="K113" s="34" t="str">
        <f t="shared" ca="1" si="3"/>
        <v/>
      </c>
      <c r="L113" s="34"/>
      <c r="M113" s="34"/>
    </row>
    <row r="114" spans="2:13" ht="15" customHeight="1" x14ac:dyDescent="0.3">
      <c r="B114" s="28" t="str">
        <f>IF(B113="","", IF(VALUE(LEFT(H113,FIND("/",H113)-1)) &lt; VALUE(RIGHT(H113,LEN(H113)-FIND("/",H113))), B113, IFERROR(INDEX('SAÍDA DE VENDAS'!$B$6:$B$500, MATCH(B113,'SAÍDA DE VENDAS'!$B$6:$B$500,0)+COUNTIF('SAÍDA DE VENDAS'!$B$6:$B$500, B113)),"")))</f>
        <v/>
      </c>
      <c r="C114" s="29">
        <f>IFERROR(VLOOKUP(B114,'SAÍDA DE VENDAS'!$B$6:$P$500,3,FALSE),"")</f>
        <v>0</v>
      </c>
      <c r="D114" s="28">
        <f>IFERROR(VLOOKUP(B114,'SAÍDA DE VENDAS'!$B$6:$P$500,4,FALSE),"")</f>
        <v>0</v>
      </c>
      <c r="E114" s="28" t="str">
        <f>IFERROR(VLOOKUP(B114,'SAÍDA DE VENDAS'!$B$6:$P$500,5,FALSE),"")</f>
        <v/>
      </c>
      <c r="F114" s="28" t="str">
        <f>IF(OR(ISBLANK(B114),B114=""), "", IFERROR(INDEX('SAÍDA DE VENDAS'!$H$6:$H$500 &amp; "x " &amp; 'SAÍDA DE VENDAS'!$G$6:$G$500, MATCH(B114, 'SAÍDA DE VENDAS'!$B$6:$B$500, 0)), "")&amp; IF(COUNTIF('SAÍDA DE VENDAS'!$B$6:$B$500, B114)&gt;1, " + " &amp; IFERROR(INDEX('SAÍDA DE VENDAS'!$H$6:$H$500 &amp; "x " &amp; 'SAÍDA DE VENDAS'!$G$6:$G$500, MATCH(B114, 'SAÍDA DE VENDAS'!$B$6:$B$500, 0)+1), ""), "")&amp; IF(COUNTIF('SAÍDA DE VENDAS'!$B$6:$B$500, B114)&gt;2, " + " &amp; IFERROR(INDEX('SAÍDA DE VENDAS'!$H$6:$H$500 &amp; "x " &amp; 'SAÍDA DE VENDAS'!$G$6:$G$500, MATCH(B114, 'SAÍDA DE VENDAS'!$B$6:$B$500, 0)+2), ""), "")&amp; IF(COUNTIF('SAÍDA DE VENDAS'!$B$6:$B$500, B114)&gt;3, " + " &amp; IFERROR(INDEX('SAÍDA DE VENDAS'!$H$6:$H$500 &amp; "x " &amp; 'SAÍDA DE VENDAS'!$G$6:$G$500, MATCH(B114, 'SAÍDA DE VENDAS'!$B$6:$B$500, 0)+3), ""), "")&amp; IF(COUNTIF('SAÍDA DE VENDAS'!$B$6:$B$500, B114)&gt;4, " + " &amp; IFERROR(INDEX('SAÍDA DE VENDAS'!$H$6:$H$500 &amp; "x " &amp; 'SAÍDA DE VENDAS'!$G$6:$G$500, MATCH(B114, 'SAÍDA DE VENDAS'!$B$6:$B$500, 0)+4), ""), "")&amp; IF(COUNTIF('SAÍDA DE VENDAS'!$B$6:$B$500, B114)&gt;5, " + " &amp; IFERROR(INDEX('SAÍDA DE VENDAS'!$H$6:$H$500 &amp; "x " &amp; 'SAÍDA DE VENDAS'!$G$6:$G$500, MATCH(B114, 'SAÍDA DE VENDAS'!$B$6:$B$500, 0)+5), ""), ""))</f>
        <v/>
      </c>
      <c r="G114" s="28">
        <f>IFERROR(VLOOKUP(B114,'SAÍDA DE VENDAS'!$B$6:$P$500,10,FALSE),"")</f>
        <v>0</v>
      </c>
      <c r="H114" s="28" t="str">
        <f>IF(OR(ISBLANK(B114),B114=""), "", IF(B114=B113, (VALUE(LEFT(H113,FIND("/",H113)-1))+1)&amp;"/"&amp;RIGHT(H113,LEN(H113)-FIND("/",H113)), "1/"&amp;IFERROR(VLOOKUP(B114,'SAÍDA DE VENDAS'!$B$6:$P$500,13,FALSE),"1")))</f>
        <v/>
      </c>
      <c r="I114" s="69" t="str">
        <f t="shared" si="2"/>
        <v/>
      </c>
      <c r="J114" s="33" t="str">
        <f>IFERROR(VLOOKUP(B114,'SAÍDA DE VENDAS'!$B$6:$P$500,15,FALSE),"")</f>
        <v/>
      </c>
      <c r="K114" s="28" t="str">
        <f t="shared" ca="1" si="3"/>
        <v/>
      </c>
      <c r="L114" s="28"/>
      <c r="M114" s="28"/>
    </row>
    <row r="115" spans="2:13" ht="15" customHeight="1" x14ac:dyDescent="0.3">
      <c r="B115" s="34" t="str">
        <f>IF(B114="","", IF(VALUE(LEFT(H114,FIND("/",H114)-1)) &lt; VALUE(RIGHT(H114,LEN(H114)-FIND("/",H114))), B114, IFERROR(INDEX('SAÍDA DE VENDAS'!$B$6:$B$500, MATCH(B114,'SAÍDA DE VENDAS'!$B$6:$B$500,0)+COUNTIF('SAÍDA DE VENDAS'!$B$6:$B$500, B114)),"")))</f>
        <v/>
      </c>
      <c r="C115" s="35">
        <f>IFERROR(VLOOKUP(B115,'SAÍDA DE VENDAS'!$B$6:$P$500,3,FALSE),"")</f>
        <v>0</v>
      </c>
      <c r="D115" s="34">
        <f>IFERROR(VLOOKUP(B115,'SAÍDA DE VENDAS'!$B$6:$P$500,4,FALSE),"")</f>
        <v>0</v>
      </c>
      <c r="E115" s="34" t="str">
        <f>IFERROR(VLOOKUP(B115,'SAÍDA DE VENDAS'!$B$6:$P$500,5,FALSE),"")</f>
        <v/>
      </c>
      <c r="F115" s="34" t="str">
        <f>IF(OR(ISBLANK(B115),B115=""), "", IFERROR(INDEX('SAÍDA DE VENDAS'!$H$6:$H$500 &amp; "x " &amp; 'SAÍDA DE VENDAS'!$G$6:$G$500, MATCH(B115, 'SAÍDA DE VENDAS'!$B$6:$B$500, 0)), "")&amp; IF(COUNTIF('SAÍDA DE VENDAS'!$B$6:$B$500, B115)&gt;1, " + " &amp; IFERROR(INDEX('SAÍDA DE VENDAS'!$H$6:$H$500 &amp; "x " &amp; 'SAÍDA DE VENDAS'!$G$6:$G$500, MATCH(B115, 'SAÍDA DE VENDAS'!$B$6:$B$500, 0)+1), ""), "")&amp; IF(COUNTIF('SAÍDA DE VENDAS'!$B$6:$B$500, B115)&gt;2, " + " &amp; IFERROR(INDEX('SAÍDA DE VENDAS'!$H$6:$H$500 &amp; "x " &amp; 'SAÍDA DE VENDAS'!$G$6:$G$500, MATCH(B115, 'SAÍDA DE VENDAS'!$B$6:$B$500, 0)+2), ""), "")&amp; IF(COUNTIF('SAÍDA DE VENDAS'!$B$6:$B$500, B115)&gt;3, " + " &amp; IFERROR(INDEX('SAÍDA DE VENDAS'!$H$6:$H$500 &amp; "x " &amp; 'SAÍDA DE VENDAS'!$G$6:$G$500, MATCH(B115, 'SAÍDA DE VENDAS'!$B$6:$B$500, 0)+3), ""), "")&amp; IF(COUNTIF('SAÍDA DE VENDAS'!$B$6:$B$500, B115)&gt;4, " + " &amp; IFERROR(INDEX('SAÍDA DE VENDAS'!$H$6:$H$500 &amp; "x " &amp; 'SAÍDA DE VENDAS'!$G$6:$G$500, MATCH(B115, 'SAÍDA DE VENDAS'!$B$6:$B$500, 0)+4), ""), "")&amp; IF(COUNTIF('SAÍDA DE VENDAS'!$B$6:$B$500, B115)&gt;5, " + " &amp; IFERROR(INDEX('SAÍDA DE VENDAS'!$H$6:$H$500 &amp; "x " &amp; 'SAÍDA DE VENDAS'!$G$6:$G$500, MATCH(B115, 'SAÍDA DE VENDAS'!$B$6:$B$500, 0)+5), ""), ""))</f>
        <v/>
      </c>
      <c r="G115" s="34">
        <f>IFERROR(VLOOKUP(B115,'SAÍDA DE VENDAS'!$B$6:$P$500,10,FALSE),"")</f>
        <v>0</v>
      </c>
      <c r="H115" s="34" t="str">
        <f>IF(OR(ISBLANK(B115),B115=""), "", IF(B115=B114, (VALUE(LEFT(H114,FIND("/",H114)-1))+1)&amp;"/"&amp;RIGHT(H114,LEN(H114)-FIND("/",H114)), "1/"&amp;IFERROR(VLOOKUP(B115,'SAÍDA DE VENDAS'!$B$6:$P$500,13,FALSE),"1")))</f>
        <v/>
      </c>
      <c r="I115" s="35" t="str">
        <f t="shared" si="2"/>
        <v/>
      </c>
      <c r="J115" s="39" t="str">
        <f>IFERROR(VLOOKUP(B115,'SAÍDA DE VENDAS'!$B$6:$P$500,15,FALSE),"")</f>
        <v/>
      </c>
      <c r="K115" s="34" t="str">
        <f t="shared" ca="1" si="3"/>
        <v/>
      </c>
      <c r="L115" s="34"/>
      <c r="M115" s="34"/>
    </row>
    <row r="116" spans="2:13" ht="15" customHeight="1" x14ac:dyDescent="0.3">
      <c r="B116" s="28" t="str">
        <f>IF(B115="","", IF(VALUE(LEFT(H115,FIND("/",H115)-1)) &lt; VALUE(RIGHT(H115,LEN(H115)-FIND("/",H115))), B115, IFERROR(INDEX('SAÍDA DE VENDAS'!$B$6:$B$500, MATCH(B115,'SAÍDA DE VENDAS'!$B$6:$B$500,0)+COUNTIF('SAÍDA DE VENDAS'!$B$6:$B$500, B115)),"")))</f>
        <v/>
      </c>
      <c r="C116" s="29">
        <f>IFERROR(VLOOKUP(B116,'SAÍDA DE VENDAS'!$B$6:$P$500,3,FALSE),"")</f>
        <v>0</v>
      </c>
      <c r="D116" s="28">
        <f>IFERROR(VLOOKUP(B116,'SAÍDA DE VENDAS'!$B$6:$P$500,4,FALSE),"")</f>
        <v>0</v>
      </c>
      <c r="E116" s="28" t="str">
        <f>IFERROR(VLOOKUP(B116,'SAÍDA DE VENDAS'!$B$6:$P$500,5,FALSE),"")</f>
        <v/>
      </c>
      <c r="F116" s="28" t="str">
        <f>IF(OR(ISBLANK(B116),B116=""), "", IFERROR(INDEX('SAÍDA DE VENDAS'!$H$6:$H$500 &amp; "x " &amp; 'SAÍDA DE VENDAS'!$G$6:$G$500, MATCH(B116, 'SAÍDA DE VENDAS'!$B$6:$B$500, 0)), "")&amp; IF(COUNTIF('SAÍDA DE VENDAS'!$B$6:$B$500, B116)&gt;1, " + " &amp; IFERROR(INDEX('SAÍDA DE VENDAS'!$H$6:$H$500 &amp; "x " &amp; 'SAÍDA DE VENDAS'!$G$6:$G$500, MATCH(B116, 'SAÍDA DE VENDAS'!$B$6:$B$500, 0)+1), ""), "")&amp; IF(COUNTIF('SAÍDA DE VENDAS'!$B$6:$B$500, B116)&gt;2, " + " &amp; IFERROR(INDEX('SAÍDA DE VENDAS'!$H$6:$H$500 &amp; "x " &amp; 'SAÍDA DE VENDAS'!$G$6:$G$500, MATCH(B116, 'SAÍDA DE VENDAS'!$B$6:$B$500, 0)+2), ""), "")&amp; IF(COUNTIF('SAÍDA DE VENDAS'!$B$6:$B$500, B116)&gt;3, " + " &amp; IFERROR(INDEX('SAÍDA DE VENDAS'!$H$6:$H$500 &amp; "x " &amp; 'SAÍDA DE VENDAS'!$G$6:$G$500, MATCH(B116, 'SAÍDA DE VENDAS'!$B$6:$B$500, 0)+3), ""), "")&amp; IF(COUNTIF('SAÍDA DE VENDAS'!$B$6:$B$500, B116)&gt;4, " + " &amp; IFERROR(INDEX('SAÍDA DE VENDAS'!$H$6:$H$500 &amp; "x " &amp; 'SAÍDA DE VENDAS'!$G$6:$G$500, MATCH(B116, 'SAÍDA DE VENDAS'!$B$6:$B$500, 0)+4), ""), "")&amp; IF(COUNTIF('SAÍDA DE VENDAS'!$B$6:$B$500, B116)&gt;5, " + " &amp; IFERROR(INDEX('SAÍDA DE VENDAS'!$H$6:$H$500 &amp; "x " &amp; 'SAÍDA DE VENDAS'!$G$6:$G$500, MATCH(B116, 'SAÍDA DE VENDAS'!$B$6:$B$500, 0)+5), ""), ""))</f>
        <v/>
      </c>
      <c r="G116" s="28">
        <f>IFERROR(VLOOKUP(B116,'SAÍDA DE VENDAS'!$B$6:$P$500,10,FALSE),"")</f>
        <v>0</v>
      </c>
      <c r="H116" s="28" t="str">
        <f>IF(OR(ISBLANK(B116),B116=""), "", IF(B116=B115, (VALUE(LEFT(H115,FIND("/",H115)-1))+1)&amp;"/"&amp;RIGHT(H115,LEN(H115)-FIND("/",H115)), "1/"&amp;IFERROR(VLOOKUP(B116,'SAÍDA DE VENDAS'!$B$6:$P$500,13,FALSE),"1")))</f>
        <v/>
      </c>
      <c r="I116" s="69" t="str">
        <f t="shared" si="2"/>
        <v/>
      </c>
      <c r="J116" s="33" t="str">
        <f>IFERROR(VLOOKUP(B116,'SAÍDA DE VENDAS'!$B$6:$P$500,15,FALSE),"")</f>
        <v/>
      </c>
      <c r="K116" s="28" t="str">
        <f t="shared" ca="1" si="3"/>
        <v/>
      </c>
      <c r="L116" s="28"/>
      <c r="M116" s="28"/>
    </row>
    <row r="117" spans="2:13" ht="15" customHeight="1" x14ac:dyDescent="0.3">
      <c r="B117" s="34" t="str">
        <f>IF(B116="","", IF(VALUE(LEFT(H116,FIND("/",H116)-1)) &lt; VALUE(RIGHT(H116,LEN(H116)-FIND("/",H116))), B116, IFERROR(INDEX('SAÍDA DE VENDAS'!$B$6:$B$500, MATCH(B116,'SAÍDA DE VENDAS'!$B$6:$B$500,0)+COUNTIF('SAÍDA DE VENDAS'!$B$6:$B$500, B116)),"")))</f>
        <v/>
      </c>
      <c r="C117" s="35">
        <f>IFERROR(VLOOKUP(B117,'SAÍDA DE VENDAS'!$B$6:$P$500,3,FALSE),"")</f>
        <v>0</v>
      </c>
      <c r="D117" s="34">
        <f>IFERROR(VLOOKUP(B117,'SAÍDA DE VENDAS'!$B$6:$P$500,4,FALSE),"")</f>
        <v>0</v>
      </c>
      <c r="E117" s="34" t="str">
        <f>IFERROR(VLOOKUP(B117,'SAÍDA DE VENDAS'!$B$6:$P$500,5,FALSE),"")</f>
        <v/>
      </c>
      <c r="F117" s="34" t="str">
        <f>IF(OR(ISBLANK(B117),B117=""), "", IFERROR(INDEX('SAÍDA DE VENDAS'!$H$6:$H$500 &amp; "x " &amp; 'SAÍDA DE VENDAS'!$G$6:$G$500, MATCH(B117, 'SAÍDA DE VENDAS'!$B$6:$B$500, 0)), "")&amp; IF(COUNTIF('SAÍDA DE VENDAS'!$B$6:$B$500, B117)&gt;1, " + " &amp; IFERROR(INDEX('SAÍDA DE VENDAS'!$H$6:$H$500 &amp; "x " &amp; 'SAÍDA DE VENDAS'!$G$6:$G$500, MATCH(B117, 'SAÍDA DE VENDAS'!$B$6:$B$500, 0)+1), ""), "")&amp; IF(COUNTIF('SAÍDA DE VENDAS'!$B$6:$B$500, B117)&gt;2, " + " &amp; IFERROR(INDEX('SAÍDA DE VENDAS'!$H$6:$H$500 &amp; "x " &amp; 'SAÍDA DE VENDAS'!$G$6:$G$500, MATCH(B117, 'SAÍDA DE VENDAS'!$B$6:$B$500, 0)+2), ""), "")&amp; IF(COUNTIF('SAÍDA DE VENDAS'!$B$6:$B$500, B117)&gt;3, " + " &amp; IFERROR(INDEX('SAÍDA DE VENDAS'!$H$6:$H$500 &amp; "x " &amp; 'SAÍDA DE VENDAS'!$G$6:$G$500, MATCH(B117, 'SAÍDA DE VENDAS'!$B$6:$B$500, 0)+3), ""), "")&amp; IF(COUNTIF('SAÍDA DE VENDAS'!$B$6:$B$500, B117)&gt;4, " + " &amp; IFERROR(INDEX('SAÍDA DE VENDAS'!$H$6:$H$500 &amp; "x " &amp; 'SAÍDA DE VENDAS'!$G$6:$G$500, MATCH(B117, 'SAÍDA DE VENDAS'!$B$6:$B$500, 0)+4), ""), "")&amp; IF(COUNTIF('SAÍDA DE VENDAS'!$B$6:$B$500, B117)&gt;5, " + " &amp; IFERROR(INDEX('SAÍDA DE VENDAS'!$H$6:$H$500 &amp; "x " &amp; 'SAÍDA DE VENDAS'!$G$6:$G$500, MATCH(B117, 'SAÍDA DE VENDAS'!$B$6:$B$500, 0)+5), ""), ""))</f>
        <v/>
      </c>
      <c r="G117" s="34">
        <f>IFERROR(VLOOKUP(B117,'SAÍDA DE VENDAS'!$B$6:$P$500,10,FALSE),"")</f>
        <v>0</v>
      </c>
      <c r="H117" s="34" t="str">
        <f>IF(OR(ISBLANK(B117),B117=""), "", IF(B117=B116, (VALUE(LEFT(H116,FIND("/",H116)-1))+1)&amp;"/"&amp;RIGHT(H116,LEN(H116)-FIND("/",H116)), "1/"&amp;IFERROR(VLOOKUP(B117,'SAÍDA DE VENDAS'!$B$6:$P$500,13,FALSE),"1")))</f>
        <v/>
      </c>
      <c r="I117" s="35" t="str">
        <f t="shared" si="2"/>
        <v/>
      </c>
      <c r="J117" s="39" t="str">
        <f>IFERROR(VLOOKUP(B117,'SAÍDA DE VENDAS'!$B$6:$P$500,15,FALSE),"")</f>
        <v/>
      </c>
      <c r="K117" s="34" t="str">
        <f t="shared" ca="1" si="3"/>
        <v/>
      </c>
      <c r="L117" s="34"/>
      <c r="M117" s="34"/>
    </row>
    <row r="118" spans="2:13" ht="15" customHeight="1" x14ac:dyDescent="0.3">
      <c r="B118" s="28" t="str">
        <f>IF(B117="","", IF(VALUE(LEFT(H117,FIND("/",H117)-1)) &lt; VALUE(RIGHT(H117,LEN(H117)-FIND("/",H117))), B117, IFERROR(INDEX('SAÍDA DE VENDAS'!$B$6:$B$500, MATCH(B117,'SAÍDA DE VENDAS'!$B$6:$B$500,0)+COUNTIF('SAÍDA DE VENDAS'!$B$6:$B$500, B117)),"")))</f>
        <v/>
      </c>
      <c r="C118" s="29">
        <f>IFERROR(VLOOKUP(B118,'SAÍDA DE VENDAS'!$B$6:$P$500,3,FALSE),"")</f>
        <v>0</v>
      </c>
      <c r="D118" s="28">
        <f>IFERROR(VLOOKUP(B118,'SAÍDA DE VENDAS'!$B$6:$P$500,4,FALSE),"")</f>
        <v>0</v>
      </c>
      <c r="E118" s="28" t="str">
        <f>IFERROR(VLOOKUP(B118,'SAÍDA DE VENDAS'!$B$6:$P$500,5,FALSE),"")</f>
        <v/>
      </c>
      <c r="F118" s="28" t="str">
        <f>IF(OR(ISBLANK(B118),B118=""), "", IFERROR(INDEX('SAÍDA DE VENDAS'!$H$6:$H$500 &amp; "x " &amp; 'SAÍDA DE VENDAS'!$G$6:$G$500, MATCH(B118, 'SAÍDA DE VENDAS'!$B$6:$B$500, 0)), "")&amp; IF(COUNTIF('SAÍDA DE VENDAS'!$B$6:$B$500, B118)&gt;1, " + " &amp; IFERROR(INDEX('SAÍDA DE VENDAS'!$H$6:$H$500 &amp; "x " &amp; 'SAÍDA DE VENDAS'!$G$6:$G$500, MATCH(B118, 'SAÍDA DE VENDAS'!$B$6:$B$500, 0)+1), ""), "")&amp; IF(COUNTIF('SAÍDA DE VENDAS'!$B$6:$B$500, B118)&gt;2, " + " &amp; IFERROR(INDEX('SAÍDA DE VENDAS'!$H$6:$H$500 &amp; "x " &amp; 'SAÍDA DE VENDAS'!$G$6:$G$500, MATCH(B118, 'SAÍDA DE VENDAS'!$B$6:$B$500, 0)+2), ""), "")&amp; IF(COUNTIF('SAÍDA DE VENDAS'!$B$6:$B$500, B118)&gt;3, " + " &amp; IFERROR(INDEX('SAÍDA DE VENDAS'!$H$6:$H$500 &amp; "x " &amp; 'SAÍDA DE VENDAS'!$G$6:$G$500, MATCH(B118, 'SAÍDA DE VENDAS'!$B$6:$B$500, 0)+3), ""), "")&amp; IF(COUNTIF('SAÍDA DE VENDAS'!$B$6:$B$500, B118)&gt;4, " + " &amp; IFERROR(INDEX('SAÍDA DE VENDAS'!$H$6:$H$500 &amp; "x " &amp; 'SAÍDA DE VENDAS'!$G$6:$G$500, MATCH(B118, 'SAÍDA DE VENDAS'!$B$6:$B$500, 0)+4), ""), "")&amp; IF(COUNTIF('SAÍDA DE VENDAS'!$B$6:$B$500, B118)&gt;5, " + " &amp; IFERROR(INDEX('SAÍDA DE VENDAS'!$H$6:$H$500 &amp; "x " &amp; 'SAÍDA DE VENDAS'!$G$6:$G$500, MATCH(B118, 'SAÍDA DE VENDAS'!$B$6:$B$500, 0)+5), ""), ""))</f>
        <v/>
      </c>
      <c r="G118" s="28">
        <f>IFERROR(VLOOKUP(B118,'SAÍDA DE VENDAS'!$B$6:$P$500,10,FALSE),"")</f>
        <v>0</v>
      </c>
      <c r="H118" s="28" t="str">
        <f>IF(OR(ISBLANK(B118),B118=""), "", IF(B118=B117, (VALUE(LEFT(H117,FIND("/",H117)-1))+1)&amp;"/"&amp;RIGHT(H117,LEN(H117)-FIND("/",H117)), "1/"&amp;IFERROR(VLOOKUP(B118,'SAÍDA DE VENDAS'!$B$6:$P$500,13,FALSE),"1")))</f>
        <v/>
      </c>
      <c r="I118" s="69" t="str">
        <f t="shared" si="2"/>
        <v/>
      </c>
      <c r="J118" s="33" t="str">
        <f>IFERROR(VLOOKUP(B118,'SAÍDA DE VENDAS'!$B$6:$P$500,15,FALSE),"")</f>
        <v/>
      </c>
      <c r="K118" s="28" t="str">
        <f t="shared" ca="1" si="3"/>
        <v/>
      </c>
      <c r="L118" s="28"/>
      <c r="M118" s="28"/>
    </row>
    <row r="119" spans="2:13" ht="15" customHeight="1" x14ac:dyDescent="0.3">
      <c r="B119" s="34" t="str">
        <f>IF(B118="","", IF(VALUE(LEFT(H118,FIND("/",H118)-1)) &lt; VALUE(RIGHT(H118,LEN(H118)-FIND("/",H118))), B118, IFERROR(INDEX('SAÍDA DE VENDAS'!$B$6:$B$500, MATCH(B118,'SAÍDA DE VENDAS'!$B$6:$B$500,0)+COUNTIF('SAÍDA DE VENDAS'!$B$6:$B$500, B118)),"")))</f>
        <v/>
      </c>
      <c r="C119" s="35">
        <f>IFERROR(VLOOKUP(B119,'SAÍDA DE VENDAS'!$B$6:$P$500,3,FALSE),"")</f>
        <v>0</v>
      </c>
      <c r="D119" s="34">
        <f>IFERROR(VLOOKUP(B119,'SAÍDA DE VENDAS'!$B$6:$P$500,4,FALSE),"")</f>
        <v>0</v>
      </c>
      <c r="E119" s="34" t="str">
        <f>IFERROR(VLOOKUP(B119,'SAÍDA DE VENDAS'!$B$6:$P$500,5,FALSE),"")</f>
        <v/>
      </c>
      <c r="F119" s="34" t="str">
        <f>IF(OR(ISBLANK(B119),B119=""), "", IFERROR(INDEX('SAÍDA DE VENDAS'!$H$6:$H$500 &amp; "x " &amp; 'SAÍDA DE VENDAS'!$G$6:$G$500, MATCH(B119, 'SAÍDA DE VENDAS'!$B$6:$B$500, 0)), "")&amp; IF(COUNTIF('SAÍDA DE VENDAS'!$B$6:$B$500, B119)&gt;1, " + " &amp; IFERROR(INDEX('SAÍDA DE VENDAS'!$H$6:$H$500 &amp; "x " &amp; 'SAÍDA DE VENDAS'!$G$6:$G$500, MATCH(B119, 'SAÍDA DE VENDAS'!$B$6:$B$500, 0)+1), ""), "")&amp; IF(COUNTIF('SAÍDA DE VENDAS'!$B$6:$B$500, B119)&gt;2, " + " &amp; IFERROR(INDEX('SAÍDA DE VENDAS'!$H$6:$H$500 &amp; "x " &amp; 'SAÍDA DE VENDAS'!$G$6:$G$500, MATCH(B119, 'SAÍDA DE VENDAS'!$B$6:$B$500, 0)+2), ""), "")&amp; IF(COUNTIF('SAÍDA DE VENDAS'!$B$6:$B$500, B119)&gt;3, " + " &amp; IFERROR(INDEX('SAÍDA DE VENDAS'!$H$6:$H$500 &amp; "x " &amp; 'SAÍDA DE VENDAS'!$G$6:$G$500, MATCH(B119, 'SAÍDA DE VENDAS'!$B$6:$B$500, 0)+3), ""), "")&amp; IF(COUNTIF('SAÍDA DE VENDAS'!$B$6:$B$500, B119)&gt;4, " + " &amp; IFERROR(INDEX('SAÍDA DE VENDAS'!$H$6:$H$500 &amp; "x " &amp; 'SAÍDA DE VENDAS'!$G$6:$G$500, MATCH(B119, 'SAÍDA DE VENDAS'!$B$6:$B$500, 0)+4), ""), "")&amp; IF(COUNTIF('SAÍDA DE VENDAS'!$B$6:$B$500, B119)&gt;5, " + " &amp; IFERROR(INDEX('SAÍDA DE VENDAS'!$H$6:$H$500 &amp; "x " &amp; 'SAÍDA DE VENDAS'!$G$6:$G$500, MATCH(B119, 'SAÍDA DE VENDAS'!$B$6:$B$500, 0)+5), ""), ""))</f>
        <v/>
      </c>
      <c r="G119" s="34">
        <f>IFERROR(VLOOKUP(B119,'SAÍDA DE VENDAS'!$B$6:$P$500,10,FALSE),"")</f>
        <v>0</v>
      </c>
      <c r="H119" s="34" t="str">
        <f>IF(OR(ISBLANK(B119),B119=""), "", IF(B119=B118, (VALUE(LEFT(H118,FIND("/",H118)-1))+1)&amp;"/"&amp;RIGHT(H118,LEN(H118)-FIND("/",H118)), "1/"&amp;IFERROR(VLOOKUP(B119,'SAÍDA DE VENDAS'!$B$6:$P$500,13,FALSE),"1")))</f>
        <v/>
      </c>
      <c r="I119" s="35" t="str">
        <f t="shared" si="2"/>
        <v/>
      </c>
      <c r="J119" s="39" t="str">
        <f>IFERROR(VLOOKUP(B119,'SAÍDA DE VENDAS'!$B$6:$P$500,15,FALSE),"")</f>
        <v/>
      </c>
      <c r="K119" s="34" t="str">
        <f t="shared" ca="1" si="3"/>
        <v/>
      </c>
      <c r="L119" s="34"/>
      <c r="M119" s="34"/>
    </row>
    <row r="120" spans="2:13" ht="15" customHeight="1" x14ac:dyDescent="0.3">
      <c r="B120" s="28" t="str">
        <f>IF(B119="","", IF(VALUE(LEFT(H119,FIND("/",H119)-1)) &lt; VALUE(RIGHT(H119,LEN(H119)-FIND("/",H119))), B119, IFERROR(INDEX('SAÍDA DE VENDAS'!$B$6:$B$500, MATCH(B119,'SAÍDA DE VENDAS'!$B$6:$B$500,0)+COUNTIF('SAÍDA DE VENDAS'!$B$6:$B$500, B119)),"")))</f>
        <v/>
      </c>
      <c r="C120" s="29">
        <f>IFERROR(VLOOKUP(B120,'SAÍDA DE VENDAS'!$B$6:$P$500,3,FALSE),"")</f>
        <v>0</v>
      </c>
      <c r="D120" s="28">
        <f>IFERROR(VLOOKUP(B120,'SAÍDA DE VENDAS'!$B$6:$P$500,4,FALSE),"")</f>
        <v>0</v>
      </c>
      <c r="E120" s="28" t="str">
        <f>IFERROR(VLOOKUP(B120,'SAÍDA DE VENDAS'!$B$6:$P$500,5,FALSE),"")</f>
        <v/>
      </c>
      <c r="F120" s="28" t="str">
        <f>IF(OR(ISBLANK(B120),B120=""), "", IFERROR(INDEX('SAÍDA DE VENDAS'!$H$6:$H$500 &amp; "x " &amp; 'SAÍDA DE VENDAS'!$G$6:$G$500, MATCH(B120, 'SAÍDA DE VENDAS'!$B$6:$B$500, 0)), "")&amp; IF(COUNTIF('SAÍDA DE VENDAS'!$B$6:$B$500, B120)&gt;1, " + " &amp; IFERROR(INDEX('SAÍDA DE VENDAS'!$H$6:$H$500 &amp; "x " &amp; 'SAÍDA DE VENDAS'!$G$6:$G$500, MATCH(B120, 'SAÍDA DE VENDAS'!$B$6:$B$500, 0)+1), ""), "")&amp; IF(COUNTIF('SAÍDA DE VENDAS'!$B$6:$B$500, B120)&gt;2, " + " &amp; IFERROR(INDEX('SAÍDA DE VENDAS'!$H$6:$H$500 &amp; "x " &amp; 'SAÍDA DE VENDAS'!$G$6:$G$500, MATCH(B120, 'SAÍDA DE VENDAS'!$B$6:$B$500, 0)+2), ""), "")&amp; IF(COUNTIF('SAÍDA DE VENDAS'!$B$6:$B$500, B120)&gt;3, " + " &amp; IFERROR(INDEX('SAÍDA DE VENDAS'!$H$6:$H$500 &amp; "x " &amp; 'SAÍDA DE VENDAS'!$G$6:$G$500, MATCH(B120, 'SAÍDA DE VENDAS'!$B$6:$B$500, 0)+3), ""), "")&amp; IF(COUNTIF('SAÍDA DE VENDAS'!$B$6:$B$500, B120)&gt;4, " + " &amp; IFERROR(INDEX('SAÍDA DE VENDAS'!$H$6:$H$500 &amp; "x " &amp; 'SAÍDA DE VENDAS'!$G$6:$G$500, MATCH(B120, 'SAÍDA DE VENDAS'!$B$6:$B$500, 0)+4), ""), "")&amp; IF(COUNTIF('SAÍDA DE VENDAS'!$B$6:$B$500, B120)&gt;5, " + " &amp; IFERROR(INDEX('SAÍDA DE VENDAS'!$H$6:$H$500 &amp; "x " &amp; 'SAÍDA DE VENDAS'!$G$6:$G$500, MATCH(B120, 'SAÍDA DE VENDAS'!$B$6:$B$500, 0)+5), ""), ""))</f>
        <v/>
      </c>
      <c r="G120" s="28">
        <f>IFERROR(VLOOKUP(B120,'SAÍDA DE VENDAS'!$B$6:$P$500,10,FALSE),"")</f>
        <v>0</v>
      </c>
      <c r="H120" s="28" t="str">
        <f>IF(OR(ISBLANK(B120),B120=""), "", IF(B120=B119, (VALUE(LEFT(H119,FIND("/",H119)-1))+1)&amp;"/"&amp;RIGHT(H119,LEN(H119)-FIND("/",H119)), "1/"&amp;IFERROR(VLOOKUP(B120,'SAÍDA DE VENDAS'!$B$6:$P$500,13,FALSE),"1")))</f>
        <v/>
      </c>
      <c r="I120" s="69" t="str">
        <f t="shared" si="2"/>
        <v/>
      </c>
      <c r="J120" s="33" t="str">
        <f>IFERROR(VLOOKUP(B120,'SAÍDA DE VENDAS'!$B$6:$P$500,15,FALSE),"")</f>
        <v/>
      </c>
      <c r="K120" s="28" t="str">
        <f t="shared" ca="1" si="3"/>
        <v/>
      </c>
      <c r="L120" s="28"/>
      <c r="M120" s="28"/>
    </row>
    <row r="121" spans="2:13" ht="15" customHeight="1" x14ac:dyDescent="0.3">
      <c r="B121" s="34" t="str">
        <f>IF(B120="","", IF(VALUE(LEFT(H120,FIND("/",H120)-1)) &lt; VALUE(RIGHT(H120,LEN(H120)-FIND("/",H120))), B120, IFERROR(INDEX('SAÍDA DE VENDAS'!$B$6:$B$500, MATCH(B120,'SAÍDA DE VENDAS'!$B$6:$B$500,0)+COUNTIF('SAÍDA DE VENDAS'!$B$6:$B$500, B120)),"")))</f>
        <v/>
      </c>
      <c r="C121" s="35">
        <f>IFERROR(VLOOKUP(B121,'SAÍDA DE VENDAS'!$B$6:$P$500,3,FALSE),"")</f>
        <v>0</v>
      </c>
      <c r="D121" s="34">
        <f>IFERROR(VLOOKUP(B121,'SAÍDA DE VENDAS'!$B$6:$P$500,4,FALSE),"")</f>
        <v>0</v>
      </c>
      <c r="E121" s="34" t="str">
        <f>IFERROR(VLOOKUP(B121,'SAÍDA DE VENDAS'!$B$6:$P$500,5,FALSE),"")</f>
        <v/>
      </c>
      <c r="F121" s="34" t="str">
        <f>IF(OR(ISBLANK(B121),B121=""), "", IFERROR(INDEX('SAÍDA DE VENDAS'!$H$6:$H$500 &amp; "x " &amp; 'SAÍDA DE VENDAS'!$G$6:$G$500, MATCH(B121, 'SAÍDA DE VENDAS'!$B$6:$B$500, 0)), "")&amp; IF(COUNTIF('SAÍDA DE VENDAS'!$B$6:$B$500, B121)&gt;1, " + " &amp; IFERROR(INDEX('SAÍDA DE VENDAS'!$H$6:$H$500 &amp; "x " &amp; 'SAÍDA DE VENDAS'!$G$6:$G$500, MATCH(B121, 'SAÍDA DE VENDAS'!$B$6:$B$500, 0)+1), ""), "")&amp; IF(COUNTIF('SAÍDA DE VENDAS'!$B$6:$B$500, B121)&gt;2, " + " &amp; IFERROR(INDEX('SAÍDA DE VENDAS'!$H$6:$H$500 &amp; "x " &amp; 'SAÍDA DE VENDAS'!$G$6:$G$500, MATCH(B121, 'SAÍDA DE VENDAS'!$B$6:$B$500, 0)+2), ""), "")&amp; IF(COUNTIF('SAÍDA DE VENDAS'!$B$6:$B$500, B121)&gt;3, " + " &amp; IFERROR(INDEX('SAÍDA DE VENDAS'!$H$6:$H$500 &amp; "x " &amp; 'SAÍDA DE VENDAS'!$G$6:$G$500, MATCH(B121, 'SAÍDA DE VENDAS'!$B$6:$B$500, 0)+3), ""), "")&amp; IF(COUNTIF('SAÍDA DE VENDAS'!$B$6:$B$500, B121)&gt;4, " + " &amp; IFERROR(INDEX('SAÍDA DE VENDAS'!$H$6:$H$500 &amp; "x " &amp; 'SAÍDA DE VENDAS'!$G$6:$G$500, MATCH(B121, 'SAÍDA DE VENDAS'!$B$6:$B$500, 0)+4), ""), "")&amp; IF(COUNTIF('SAÍDA DE VENDAS'!$B$6:$B$500, B121)&gt;5, " + " &amp; IFERROR(INDEX('SAÍDA DE VENDAS'!$H$6:$H$500 &amp; "x " &amp; 'SAÍDA DE VENDAS'!$G$6:$G$500, MATCH(B121, 'SAÍDA DE VENDAS'!$B$6:$B$500, 0)+5), ""), ""))</f>
        <v/>
      </c>
      <c r="G121" s="34">
        <f>IFERROR(VLOOKUP(B121,'SAÍDA DE VENDAS'!$B$6:$P$500,10,FALSE),"")</f>
        <v>0</v>
      </c>
      <c r="H121" s="34" t="str">
        <f>IF(OR(ISBLANK(B121),B121=""), "", IF(B121=B120, (VALUE(LEFT(H120,FIND("/",H120)-1))+1)&amp;"/"&amp;RIGHT(H120,LEN(H120)-FIND("/",H120)), "1/"&amp;IFERROR(VLOOKUP(B121,'SAÍDA DE VENDAS'!$B$6:$P$500,13,FALSE),"1")))</f>
        <v/>
      </c>
      <c r="I121" s="35" t="str">
        <f t="shared" si="2"/>
        <v/>
      </c>
      <c r="J121" s="39" t="str">
        <f>IFERROR(VLOOKUP(B121,'SAÍDA DE VENDAS'!$B$6:$P$500,15,FALSE),"")</f>
        <v/>
      </c>
      <c r="K121" s="34" t="str">
        <f t="shared" ca="1" si="3"/>
        <v/>
      </c>
      <c r="L121" s="34"/>
      <c r="M121" s="34"/>
    </row>
    <row r="122" spans="2:13" ht="15" customHeight="1" x14ac:dyDescent="0.3">
      <c r="B122" s="28" t="str">
        <f>IF(B121="","", IF(VALUE(LEFT(H121,FIND("/",H121)-1)) &lt; VALUE(RIGHT(H121,LEN(H121)-FIND("/",H121))), B121, IFERROR(INDEX('SAÍDA DE VENDAS'!$B$6:$B$500, MATCH(B121,'SAÍDA DE VENDAS'!$B$6:$B$500,0)+COUNTIF('SAÍDA DE VENDAS'!$B$6:$B$500, B121)),"")))</f>
        <v/>
      </c>
      <c r="C122" s="29">
        <f>IFERROR(VLOOKUP(B122,'SAÍDA DE VENDAS'!$B$6:$P$500,3,FALSE),"")</f>
        <v>0</v>
      </c>
      <c r="D122" s="28">
        <f>IFERROR(VLOOKUP(B122,'SAÍDA DE VENDAS'!$B$6:$P$500,4,FALSE),"")</f>
        <v>0</v>
      </c>
      <c r="E122" s="28" t="str">
        <f>IFERROR(VLOOKUP(B122,'SAÍDA DE VENDAS'!$B$6:$P$500,5,FALSE),"")</f>
        <v/>
      </c>
      <c r="F122" s="28" t="str">
        <f>IF(OR(ISBLANK(B122),B122=""), "", IFERROR(INDEX('SAÍDA DE VENDAS'!$H$6:$H$500 &amp; "x " &amp; 'SAÍDA DE VENDAS'!$G$6:$G$500, MATCH(B122, 'SAÍDA DE VENDAS'!$B$6:$B$500, 0)), "")&amp; IF(COUNTIF('SAÍDA DE VENDAS'!$B$6:$B$500, B122)&gt;1, " + " &amp; IFERROR(INDEX('SAÍDA DE VENDAS'!$H$6:$H$500 &amp; "x " &amp; 'SAÍDA DE VENDAS'!$G$6:$G$500, MATCH(B122, 'SAÍDA DE VENDAS'!$B$6:$B$500, 0)+1), ""), "")&amp; IF(COUNTIF('SAÍDA DE VENDAS'!$B$6:$B$500, B122)&gt;2, " + " &amp; IFERROR(INDEX('SAÍDA DE VENDAS'!$H$6:$H$500 &amp; "x " &amp; 'SAÍDA DE VENDAS'!$G$6:$G$500, MATCH(B122, 'SAÍDA DE VENDAS'!$B$6:$B$500, 0)+2), ""), "")&amp; IF(COUNTIF('SAÍDA DE VENDAS'!$B$6:$B$500, B122)&gt;3, " + " &amp; IFERROR(INDEX('SAÍDA DE VENDAS'!$H$6:$H$500 &amp; "x " &amp; 'SAÍDA DE VENDAS'!$G$6:$G$500, MATCH(B122, 'SAÍDA DE VENDAS'!$B$6:$B$500, 0)+3), ""), "")&amp; IF(COUNTIF('SAÍDA DE VENDAS'!$B$6:$B$500, B122)&gt;4, " + " &amp; IFERROR(INDEX('SAÍDA DE VENDAS'!$H$6:$H$500 &amp; "x " &amp; 'SAÍDA DE VENDAS'!$G$6:$G$500, MATCH(B122, 'SAÍDA DE VENDAS'!$B$6:$B$500, 0)+4), ""), "")&amp; IF(COUNTIF('SAÍDA DE VENDAS'!$B$6:$B$500, B122)&gt;5, " + " &amp; IFERROR(INDEX('SAÍDA DE VENDAS'!$H$6:$H$500 &amp; "x " &amp; 'SAÍDA DE VENDAS'!$G$6:$G$500, MATCH(B122, 'SAÍDA DE VENDAS'!$B$6:$B$500, 0)+5), ""), ""))</f>
        <v/>
      </c>
      <c r="G122" s="28">
        <f>IFERROR(VLOOKUP(B122,'SAÍDA DE VENDAS'!$B$6:$P$500,10,FALSE),"")</f>
        <v>0</v>
      </c>
      <c r="H122" s="28" t="str">
        <f>IF(OR(ISBLANK(B122),B122=""), "", IF(B122=B121, (VALUE(LEFT(H121,FIND("/",H121)-1))+1)&amp;"/"&amp;RIGHT(H121,LEN(H121)-FIND("/",H121)), "1/"&amp;IFERROR(VLOOKUP(B122,'SAÍDA DE VENDAS'!$B$6:$P$500,13,FALSE),"1")))</f>
        <v/>
      </c>
      <c r="I122" s="69" t="str">
        <f t="shared" si="2"/>
        <v/>
      </c>
      <c r="J122" s="33" t="str">
        <f>IFERROR(VLOOKUP(B122,'SAÍDA DE VENDAS'!$B$6:$P$500,15,FALSE),"")</f>
        <v/>
      </c>
      <c r="K122" s="28" t="str">
        <f t="shared" ca="1" si="3"/>
        <v/>
      </c>
      <c r="L122" s="28"/>
      <c r="M122" s="28"/>
    </row>
    <row r="123" spans="2:13" ht="15" customHeight="1" x14ac:dyDescent="0.3">
      <c r="B123" s="34" t="str">
        <f>IF(B122="","", IF(VALUE(LEFT(H122,FIND("/",H122)-1)) &lt; VALUE(RIGHT(H122,LEN(H122)-FIND("/",H122))), B122, IFERROR(INDEX('SAÍDA DE VENDAS'!$B$6:$B$500, MATCH(B122,'SAÍDA DE VENDAS'!$B$6:$B$500,0)+COUNTIF('SAÍDA DE VENDAS'!$B$6:$B$500, B122)),"")))</f>
        <v/>
      </c>
      <c r="C123" s="35">
        <f>IFERROR(VLOOKUP(B123,'SAÍDA DE VENDAS'!$B$6:$P$500,3,FALSE),"")</f>
        <v>0</v>
      </c>
      <c r="D123" s="34">
        <f>IFERROR(VLOOKUP(B123,'SAÍDA DE VENDAS'!$B$6:$P$500,4,FALSE),"")</f>
        <v>0</v>
      </c>
      <c r="E123" s="34" t="str">
        <f>IFERROR(VLOOKUP(B123,'SAÍDA DE VENDAS'!$B$6:$P$500,5,FALSE),"")</f>
        <v/>
      </c>
      <c r="F123" s="34" t="str">
        <f>IF(OR(ISBLANK(B123),B123=""), "", IFERROR(INDEX('SAÍDA DE VENDAS'!$H$6:$H$500 &amp; "x " &amp; 'SAÍDA DE VENDAS'!$G$6:$G$500, MATCH(B123, 'SAÍDA DE VENDAS'!$B$6:$B$500, 0)), "")&amp; IF(COUNTIF('SAÍDA DE VENDAS'!$B$6:$B$500, B123)&gt;1, " + " &amp; IFERROR(INDEX('SAÍDA DE VENDAS'!$H$6:$H$500 &amp; "x " &amp; 'SAÍDA DE VENDAS'!$G$6:$G$500, MATCH(B123, 'SAÍDA DE VENDAS'!$B$6:$B$500, 0)+1), ""), "")&amp; IF(COUNTIF('SAÍDA DE VENDAS'!$B$6:$B$500, B123)&gt;2, " + " &amp; IFERROR(INDEX('SAÍDA DE VENDAS'!$H$6:$H$500 &amp; "x " &amp; 'SAÍDA DE VENDAS'!$G$6:$G$500, MATCH(B123, 'SAÍDA DE VENDAS'!$B$6:$B$500, 0)+2), ""), "")&amp; IF(COUNTIF('SAÍDA DE VENDAS'!$B$6:$B$500, B123)&gt;3, " + " &amp; IFERROR(INDEX('SAÍDA DE VENDAS'!$H$6:$H$500 &amp; "x " &amp; 'SAÍDA DE VENDAS'!$G$6:$G$500, MATCH(B123, 'SAÍDA DE VENDAS'!$B$6:$B$500, 0)+3), ""), "")&amp; IF(COUNTIF('SAÍDA DE VENDAS'!$B$6:$B$500, B123)&gt;4, " + " &amp; IFERROR(INDEX('SAÍDA DE VENDAS'!$H$6:$H$500 &amp; "x " &amp; 'SAÍDA DE VENDAS'!$G$6:$G$500, MATCH(B123, 'SAÍDA DE VENDAS'!$B$6:$B$500, 0)+4), ""), "")&amp; IF(COUNTIF('SAÍDA DE VENDAS'!$B$6:$B$500, B123)&gt;5, " + " &amp; IFERROR(INDEX('SAÍDA DE VENDAS'!$H$6:$H$500 &amp; "x " &amp; 'SAÍDA DE VENDAS'!$G$6:$G$500, MATCH(B123, 'SAÍDA DE VENDAS'!$B$6:$B$500, 0)+5), ""), ""))</f>
        <v/>
      </c>
      <c r="G123" s="34">
        <f>IFERROR(VLOOKUP(B123,'SAÍDA DE VENDAS'!$B$6:$P$500,10,FALSE),"")</f>
        <v>0</v>
      </c>
      <c r="H123" s="34" t="str">
        <f>IF(OR(ISBLANK(B123),B123=""), "", IF(B123=B122, (VALUE(LEFT(H122,FIND("/",H122)-1))+1)&amp;"/"&amp;RIGHT(H122,LEN(H122)-FIND("/",H122)), "1/"&amp;IFERROR(VLOOKUP(B123,'SAÍDA DE VENDAS'!$B$6:$P$500,13,FALSE),"1")))</f>
        <v/>
      </c>
      <c r="I123" s="35" t="str">
        <f t="shared" si="2"/>
        <v/>
      </c>
      <c r="J123" s="39" t="str">
        <f>IFERROR(VLOOKUP(B123,'SAÍDA DE VENDAS'!$B$6:$P$500,15,FALSE),"")</f>
        <v/>
      </c>
      <c r="K123" s="34" t="str">
        <f t="shared" ca="1" si="3"/>
        <v/>
      </c>
      <c r="L123" s="34"/>
      <c r="M123" s="34"/>
    </row>
    <row r="124" spans="2:13" ht="15" customHeight="1" x14ac:dyDescent="0.3">
      <c r="B124" s="28" t="str">
        <f>IF(B123="","", IF(VALUE(LEFT(H123,FIND("/",H123)-1)) &lt; VALUE(RIGHT(H123,LEN(H123)-FIND("/",H123))), B123, IFERROR(INDEX('SAÍDA DE VENDAS'!$B$6:$B$500, MATCH(B123,'SAÍDA DE VENDAS'!$B$6:$B$500,0)+COUNTIF('SAÍDA DE VENDAS'!$B$6:$B$500, B123)),"")))</f>
        <v/>
      </c>
      <c r="C124" s="29">
        <f>IFERROR(VLOOKUP(B124,'SAÍDA DE VENDAS'!$B$6:$P$500,3,FALSE),"")</f>
        <v>0</v>
      </c>
      <c r="D124" s="28">
        <f>IFERROR(VLOOKUP(B124,'SAÍDA DE VENDAS'!$B$6:$P$500,4,FALSE),"")</f>
        <v>0</v>
      </c>
      <c r="E124" s="28" t="str">
        <f>IFERROR(VLOOKUP(B124,'SAÍDA DE VENDAS'!$B$6:$P$500,5,FALSE),"")</f>
        <v/>
      </c>
      <c r="F124" s="28" t="str">
        <f>IF(OR(ISBLANK(B124),B124=""), "", IFERROR(INDEX('SAÍDA DE VENDAS'!$H$6:$H$500 &amp; "x " &amp; 'SAÍDA DE VENDAS'!$G$6:$G$500, MATCH(B124, 'SAÍDA DE VENDAS'!$B$6:$B$500, 0)), "")&amp; IF(COUNTIF('SAÍDA DE VENDAS'!$B$6:$B$500, B124)&gt;1, " + " &amp; IFERROR(INDEX('SAÍDA DE VENDAS'!$H$6:$H$500 &amp; "x " &amp; 'SAÍDA DE VENDAS'!$G$6:$G$500, MATCH(B124, 'SAÍDA DE VENDAS'!$B$6:$B$500, 0)+1), ""), "")&amp; IF(COUNTIF('SAÍDA DE VENDAS'!$B$6:$B$500, B124)&gt;2, " + " &amp; IFERROR(INDEX('SAÍDA DE VENDAS'!$H$6:$H$500 &amp; "x " &amp; 'SAÍDA DE VENDAS'!$G$6:$G$500, MATCH(B124, 'SAÍDA DE VENDAS'!$B$6:$B$500, 0)+2), ""), "")&amp; IF(COUNTIF('SAÍDA DE VENDAS'!$B$6:$B$500, B124)&gt;3, " + " &amp; IFERROR(INDEX('SAÍDA DE VENDAS'!$H$6:$H$500 &amp; "x " &amp; 'SAÍDA DE VENDAS'!$G$6:$G$500, MATCH(B124, 'SAÍDA DE VENDAS'!$B$6:$B$500, 0)+3), ""), "")&amp; IF(COUNTIF('SAÍDA DE VENDAS'!$B$6:$B$500, B124)&gt;4, " + " &amp; IFERROR(INDEX('SAÍDA DE VENDAS'!$H$6:$H$500 &amp; "x " &amp; 'SAÍDA DE VENDAS'!$G$6:$G$500, MATCH(B124, 'SAÍDA DE VENDAS'!$B$6:$B$500, 0)+4), ""), "")&amp; IF(COUNTIF('SAÍDA DE VENDAS'!$B$6:$B$500, B124)&gt;5, " + " &amp; IFERROR(INDEX('SAÍDA DE VENDAS'!$H$6:$H$500 &amp; "x " &amp; 'SAÍDA DE VENDAS'!$G$6:$G$500, MATCH(B124, 'SAÍDA DE VENDAS'!$B$6:$B$500, 0)+5), ""), ""))</f>
        <v/>
      </c>
      <c r="G124" s="28">
        <f>IFERROR(VLOOKUP(B124,'SAÍDA DE VENDAS'!$B$6:$P$500,10,FALSE),"")</f>
        <v>0</v>
      </c>
      <c r="H124" s="28" t="str">
        <f>IF(OR(ISBLANK(B124),B124=""), "", IF(B124=B123, (VALUE(LEFT(H123,FIND("/",H123)-1))+1)&amp;"/"&amp;RIGHT(H123,LEN(H123)-FIND("/",H123)), "1/"&amp;IFERROR(VLOOKUP(B124,'SAÍDA DE VENDAS'!$B$6:$P$500,13,FALSE),"1")))</f>
        <v/>
      </c>
      <c r="I124" s="69" t="str">
        <f t="shared" si="2"/>
        <v/>
      </c>
      <c r="J124" s="33" t="str">
        <f>IFERROR(VLOOKUP(B124,'SAÍDA DE VENDAS'!$B$6:$P$500,15,FALSE),"")</f>
        <v/>
      </c>
      <c r="K124" s="28" t="str">
        <f t="shared" ca="1" si="3"/>
        <v/>
      </c>
      <c r="L124" s="28"/>
      <c r="M124" s="28"/>
    </row>
    <row r="125" spans="2:13" ht="15" customHeight="1" x14ac:dyDescent="0.3">
      <c r="B125" s="34" t="str">
        <f>IF(B124="","", IF(VALUE(LEFT(H124,FIND("/",H124)-1)) &lt; VALUE(RIGHT(H124,LEN(H124)-FIND("/",H124))), B124, IFERROR(INDEX('SAÍDA DE VENDAS'!$B$6:$B$500, MATCH(B124,'SAÍDA DE VENDAS'!$B$6:$B$500,0)+COUNTIF('SAÍDA DE VENDAS'!$B$6:$B$500, B124)),"")))</f>
        <v/>
      </c>
      <c r="C125" s="35">
        <f>IFERROR(VLOOKUP(B125,'SAÍDA DE VENDAS'!$B$6:$P$500,3,FALSE),"")</f>
        <v>0</v>
      </c>
      <c r="D125" s="34">
        <f>IFERROR(VLOOKUP(B125,'SAÍDA DE VENDAS'!$B$6:$P$500,4,FALSE),"")</f>
        <v>0</v>
      </c>
      <c r="E125" s="34" t="str">
        <f>IFERROR(VLOOKUP(B125,'SAÍDA DE VENDAS'!$B$6:$P$500,5,FALSE),"")</f>
        <v/>
      </c>
      <c r="F125" s="34" t="str">
        <f>IF(OR(ISBLANK(B125),B125=""), "", IFERROR(INDEX('SAÍDA DE VENDAS'!$H$6:$H$500 &amp; "x " &amp; 'SAÍDA DE VENDAS'!$G$6:$G$500, MATCH(B125, 'SAÍDA DE VENDAS'!$B$6:$B$500, 0)), "")&amp; IF(COUNTIF('SAÍDA DE VENDAS'!$B$6:$B$500, B125)&gt;1, " + " &amp; IFERROR(INDEX('SAÍDA DE VENDAS'!$H$6:$H$500 &amp; "x " &amp; 'SAÍDA DE VENDAS'!$G$6:$G$500, MATCH(B125, 'SAÍDA DE VENDAS'!$B$6:$B$500, 0)+1), ""), "")&amp; IF(COUNTIF('SAÍDA DE VENDAS'!$B$6:$B$500, B125)&gt;2, " + " &amp; IFERROR(INDEX('SAÍDA DE VENDAS'!$H$6:$H$500 &amp; "x " &amp; 'SAÍDA DE VENDAS'!$G$6:$G$500, MATCH(B125, 'SAÍDA DE VENDAS'!$B$6:$B$500, 0)+2), ""), "")&amp; IF(COUNTIF('SAÍDA DE VENDAS'!$B$6:$B$500, B125)&gt;3, " + " &amp; IFERROR(INDEX('SAÍDA DE VENDAS'!$H$6:$H$500 &amp; "x " &amp; 'SAÍDA DE VENDAS'!$G$6:$G$500, MATCH(B125, 'SAÍDA DE VENDAS'!$B$6:$B$500, 0)+3), ""), "")&amp; IF(COUNTIF('SAÍDA DE VENDAS'!$B$6:$B$500, B125)&gt;4, " + " &amp; IFERROR(INDEX('SAÍDA DE VENDAS'!$H$6:$H$500 &amp; "x " &amp; 'SAÍDA DE VENDAS'!$G$6:$G$500, MATCH(B125, 'SAÍDA DE VENDAS'!$B$6:$B$500, 0)+4), ""), "")&amp; IF(COUNTIF('SAÍDA DE VENDAS'!$B$6:$B$500, B125)&gt;5, " + " &amp; IFERROR(INDEX('SAÍDA DE VENDAS'!$H$6:$H$500 &amp; "x " &amp; 'SAÍDA DE VENDAS'!$G$6:$G$500, MATCH(B125, 'SAÍDA DE VENDAS'!$B$6:$B$500, 0)+5), ""), ""))</f>
        <v/>
      </c>
      <c r="G125" s="34">
        <f>IFERROR(VLOOKUP(B125,'SAÍDA DE VENDAS'!$B$6:$P$500,10,FALSE),"")</f>
        <v>0</v>
      </c>
      <c r="H125" s="34" t="str">
        <f>IF(OR(ISBLANK(B125),B125=""), "", IF(B125=B124, (VALUE(LEFT(H124,FIND("/",H124)-1))+1)&amp;"/"&amp;RIGHT(H124,LEN(H124)-FIND("/",H124)), "1/"&amp;IFERROR(VLOOKUP(B125,'SAÍDA DE VENDAS'!$B$6:$P$500,13,FALSE),"1")))</f>
        <v/>
      </c>
      <c r="I125" s="35" t="str">
        <f t="shared" si="2"/>
        <v/>
      </c>
      <c r="J125" s="39" t="str">
        <f>IFERROR(VLOOKUP(B125,'SAÍDA DE VENDAS'!$B$6:$P$500,15,FALSE),"")</f>
        <v/>
      </c>
      <c r="K125" s="34" t="str">
        <f t="shared" ca="1" si="3"/>
        <v/>
      </c>
      <c r="L125" s="34"/>
      <c r="M125" s="34"/>
    </row>
    <row r="126" spans="2:13" ht="15" customHeight="1" x14ac:dyDescent="0.3">
      <c r="B126" s="28" t="str">
        <f>IF(B125="","", IF(VALUE(LEFT(H125,FIND("/",H125)-1)) &lt; VALUE(RIGHT(H125,LEN(H125)-FIND("/",H125))), B125, IFERROR(INDEX('SAÍDA DE VENDAS'!$B$6:$B$500, MATCH(B125,'SAÍDA DE VENDAS'!$B$6:$B$500,0)+COUNTIF('SAÍDA DE VENDAS'!$B$6:$B$500, B125)),"")))</f>
        <v/>
      </c>
      <c r="C126" s="29">
        <f>IFERROR(VLOOKUP(B126,'SAÍDA DE VENDAS'!$B$6:$P$500,3,FALSE),"")</f>
        <v>0</v>
      </c>
      <c r="D126" s="28">
        <f>IFERROR(VLOOKUP(B126,'SAÍDA DE VENDAS'!$B$6:$P$500,4,FALSE),"")</f>
        <v>0</v>
      </c>
      <c r="E126" s="28" t="str">
        <f>IFERROR(VLOOKUP(B126,'SAÍDA DE VENDAS'!$B$6:$P$500,5,FALSE),"")</f>
        <v/>
      </c>
      <c r="F126" s="28" t="str">
        <f>IF(OR(ISBLANK(B126),B126=""), "", IFERROR(INDEX('SAÍDA DE VENDAS'!$H$6:$H$500 &amp; "x " &amp; 'SAÍDA DE VENDAS'!$G$6:$G$500, MATCH(B126, 'SAÍDA DE VENDAS'!$B$6:$B$500, 0)), "")&amp; IF(COUNTIF('SAÍDA DE VENDAS'!$B$6:$B$500, B126)&gt;1, " + " &amp; IFERROR(INDEX('SAÍDA DE VENDAS'!$H$6:$H$500 &amp; "x " &amp; 'SAÍDA DE VENDAS'!$G$6:$G$500, MATCH(B126, 'SAÍDA DE VENDAS'!$B$6:$B$500, 0)+1), ""), "")&amp; IF(COUNTIF('SAÍDA DE VENDAS'!$B$6:$B$500, B126)&gt;2, " + " &amp; IFERROR(INDEX('SAÍDA DE VENDAS'!$H$6:$H$500 &amp; "x " &amp; 'SAÍDA DE VENDAS'!$G$6:$G$500, MATCH(B126, 'SAÍDA DE VENDAS'!$B$6:$B$500, 0)+2), ""), "")&amp; IF(COUNTIF('SAÍDA DE VENDAS'!$B$6:$B$500, B126)&gt;3, " + " &amp; IFERROR(INDEX('SAÍDA DE VENDAS'!$H$6:$H$500 &amp; "x " &amp; 'SAÍDA DE VENDAS'!$G$6:$G$500, MATCH(B126, 'SAÍDA DE VENDAS'!$B$6:$B$500, 0)+3), ""), "")&amp; IF(COUNTIF('SAÍDA DE VENDAS'!$B$6:$B$500, B126)&gt;4, " + " &amp; IFERROR(INDEX('SAÍDA DE VENDAS'!$H$6:$H$500 &amp; "x " &amp; 'SAÍDA DE VENDAS'!$G$6:$G$500, MATCH(B126, 'SAÍDA DE VENDAS'!$B$6:$B$500, 0)+4), ""), "")&amp; IF(COUNTIF('SAÍDA DE VENDAS'!$B$6:$B$500, B126)&gt;5, " + " &amp; IFERROR(INDEX('SAÍDA DE VENDAS'!$H$6:$H$500 &amp; "x " &amp; 'SAÍDA DE VENDAS'!$G$6:$G$500, MATCH(B126, 'SAÍDA DE VENDAS'!$B$6:$B$500, 0)+5), ""), ""))</f>
        <v/>
      </c>
      <c r="G126" s="28">
        <f>IFERROR(VLOOKUP(B126,'SAÍDA DE VENDAS'!$B$6:$P$500,10,FALSE),"")</f>
        <v>0</v>
      </c>
      <c r="H126" s="28" t="str">
        <f>IF(OR(ISBLANK(B126),B126=""), "", IF(B126=B125, (VALUE(LEFT(H125,FIND("/",H125)-1))+1)&amp;"/"&amp;RIGHT(H125,LEN(H125)-FIND("/",H125)), "1/"&amp;IFERROR(VLOOKUP(B126,'SAÍDA DE VENDAS'!$B$6:$P$500,13,FALSE),"1")))</f>
        <v/>
      </c>
      <c r="I126" s="69" t="str">
        <f t="shared" si="2"/>
        <v/>
      </c>
      <c r="J126" s="33" t="str">
        <f>IFERROR(VLOOKUP(B126,'SAÍDA DE VENDAS'!$B$6:$P$500,15,FALSE),"")</f>
        <v/>
      </c>
      <c r="K126" s="28" t="str">
        <f t="shared" ca="1" si="3"/>
        <v/>
      </c>
      <c r="L126" s="28"/>
      <c r="M126" s="28"/>
    </row>
    <row r="127" spans="2:13" ht="15" customHeight="1" x14ac:dyDescent="0.3">
      <c r="B127" s="34" t="str">
        <f>IF(B126="","", IF(VALUE(LEFT(H126,FIND("/",H126)-1)) &lt; VALUE(RIGHT(H126,LEN(H126)-FIND("/",H126))), B126, IFERROR(INDEX('SAÍDA DE VENDAS'!$B$6:$B$500, MATCH(B126,'SAÍDA DE VENDAS'!$B$6:$B$500,0)+COUNTIF('SAÍDA DE VENDAS'!$B$6:$B$500, B126)),"")))</f>
        <v/>
      </c>
      <c r="C127" s="35">
        <f>IFERROR(VLOOKUP(B127,'SAÍDA DE VENDAS'!$B$6:$P$500,3,FALSE),"")</f>
        <v>0</v>
      </c>
      <c r="D127" s="34">
        <f>IFERROR(VLOOKUP(B127,'SAÍDA DE VENDAS'!$B$6:$P$500,4,FALSE),"")</f>
        <v>0</v>
      </c>
      <c r="E127" s="34" t="str">
        <f>IFERROR(VLOOKUP(B127,'SAÍDA DE VENDAS'!$B$6:$P$500,5,FALSE),"")</f>
        <v/>
      </c>
      <c r="F127" s="34" t="str">
        <f>IF(OR(ISBLANK(B127),B127=""), "", IFERROR(INDEX('SAÍDA DE VENDAS'!$H$6:$H$500 &amp; "x " &amp; 'SAÍDA DE VENDAS'!$G$6:$G$500, MATCH(B127, 'SAÍDA DE VENDAS'!$B$6:$B$500, 0)), "")&amp; IF(COUNTIF('SAÍDA DE VENDAS'!$B$6:$B$500, B127)&gt;1, " + " &amp; IFERROR(INDEX('SAÍDA DE VENDAS'!$H$6:$H$500 &amp; "x " &amp; 'SAÍDA DE VENDAS'!$G$6:$G$500, MATCH(B127, 'SAÍDA DE VENDAS'!$B$6:$B$500, 0)+1), ""), "")&amp; IF(COUNTIF('SAÍDA DE VENDAS'!$B$6:$B$500, B127)&gt;2, " + " &amp; IFERROR(INDEX('SAÍDA DE VENDAS'!$H$6:$H$500 &amp; "x " &amp; 'SAÍDA DE VENDAS'!$G$6:$G$500, MATCH(B127, 'SAÍDA DE VENDAS'!$B$6:$B$500, 0)+2), ""), "")&amp; IF(COUNTIF('SAÍDA DE VENDAS'!$B$6:$B$500, B127)&gt;3, " + " &amp; IFERROR(INDEX('SAÍDA DE VENDAS'!$H$6:$H$500 &amp; "x " &amp; 'SAÍDA DE VENDAS'!$G$6:$G$500, MATCH(B127, 'SAÍDA DE VENDAS'!$B$6:$B$500, 0)+3), ""), "")&amp; IF(COUNTIF('SAÍDA DE VENDAS'!$B$6:$B$500, B127)&gt;4, " + " &amp; IFERROR(INDEX('SAÍDA DE VENDAS'!$H$6:$H$500 &amp; "x " &amp; 'SAÍDA DE VENDAS'!$G$6:$G$500, MATCH(B127, 'SAÍDA DE VENDAS'!$B$6:$B$500, 0)+4), ""), "")&amp; IF(COUNTIF('SAÍDA DE VENDAS'!$B$6:$B$500, B127)&gt;5, " + " &amp; IFERROR(INDEX('SAÍDA DE VENDAS'!$H$6:$H$500 &amp; "x " &amp; 'SAÍDA DE VENDAS'!$G$6:$G$500, MATCH(B127, 'SAÍDA DE VENDAS'!$B$6:$B$500, 0)+5), ""), ""))</f>
        <v/>
      </c>
      <c r="G127" s="34">
        <f>IFERROR(VLOOKUP(B127,'SAÍDA DE VENDAS'!$B$6:$P$500,10,FALSE),"")</f>
        <v>0</v>
      </c>
      <c r="H127" s="34" t="str">
        <f>IF(OR(ISBLANK(B127),B127=""), "", IF(B127=B126, (VALUE(LEFT(H126,FIND("/",H126)-1))+1)&amp;"/"&amp;RIGHT(H126,LEN(H126)-FIND("/",H126)), "1/"&amp;IFERROR(VLOOKUP(B127,'SAÍDA DE VENDAS'!$B$6:$P$500,13,FALSE),"1")))</f>
        <v/>
      </c>
      <c r="I127" s="35" t="str">
        <f t="shared" si="2"/>
        <v/>
      </c>
      <c r="J127" s="39" t="str">
        <f>IFERROR(VLOOKUP(B127,'SAÍDA DE VENDAS'!$B$6:$P$500,15,FALSE),"")</f>
        <v/>
      </c>
      <c r="K127" s="34" t="str">
        <f t="shared" ca="1" si="3"/>
        <v/>
      </c>
      <c r="L127" s="34"/>
      <c r="M127" s="34"/>
    </row>
    <row r="128" spans="2:13" ht="15" customHeight="1" x14ac:dyDescent="0.3">
      <c r="B128" s="28" t="str">
        <f>IF(B127="","", IF(VALUE(LEFT(H127,FIND("/",H127)-1)) &lt; VALUE(RIGHT(H127,LEN(H127)-FIND("/",H127))), B127, IFERROR(INDEX('SAÍDA DE VENDAS'!$B$6:$B$500, MATCH(B127,'SAÍDA DE VENDAS'!$B$6:$B$500,0)+COUNTIF('SAÍDA DE VENDAS'!$B$6:$B$500, B127)),"")))</f>
        <v/>
      </c>
      <c r="C128" s="29">
        <f>IFERROR(VLOOKUP(B128,'SAÍDA DE VENDAS'!$B$6:$P$500,3,FALSE),"")</f>
        <v>0</v>
      </c>
      <c r="D128" s="28">
        <f>IFERROR(VLOOKUP(B128,'SAÍDA DE VENDAS'!$B$6:$P$500,4,FALSE),"")</f>
        <v>0</v>
      </c>
      <c r="E128" s="28" t="str">
        <f>IFERROR(VLOOKUP(B128,'SAÍDA DE VENDAS'!$B$6:$P$500,5,FALSE),"")</f>
        <v/>
      </c>
      <c r="F128" s="28" t="str">
        <f>IF(OR(ISBLANK(B128),B128=""), "", IFERROR(INDEX('SAÍDA DE VENDAS'!$H$6:$H$500 &amp; "x " &amp; 'SAÍDA DE VENDAS'!$G$6:$G$500, MATCH(B128, 'SAÍDA DE VENDAS'!$B$6:$B$500, 0)), "")&amp; IF(COUNTIF('SAÍDA DE VENDAS'!$B$6:$B$500, B128)&gt;1, " + " &amp; IFERROR(INDEX('SAÍDA DE VENDAS'!$H$6:$H$500 &amp; "x " &amp; 'SAÍDA DE VENDAS'!$G$6:$G$500, MATCH(B128, 'SAÍDA DE VENDAS'!$B$6:$B$500, 0)+1), ""), "")&amp; IF(COUNTIF('SAÍDA DE VENDAS'!$B$6:$B$500, B128)&gt;2, " + " &amp; IFERROR(INDEX('SAÍDA DE VENDAS'!$H$6:$H$500 &amp; "x " &amp; 'SAÍDA DE VENDAS'!$G$6:$G$500, MATCH(B128, 'SAÍDA DE VENDAS'!$B$6:$B$500, 0)+2), ""), "")&amp; IF(COUNTIF('SAÍDA DE VENDAS'!$B$6:$B$500, B128)&gt;3, " + " &amp; IFERROR(INDEX('SAÍDA DE VENDAS'!$H$6:$H$500 &amp; "x " &amp; 'SAÍDA DE VENDAS'!$G$6:$G$500, MATCH(B128, 'SAÍDA DE VENDAS'!$B$6:$B$500, 0)+3), ""), "")&amp; IF(COUNTIF('SAÍDA DE VENDAS'!$B$6:$B$500, B128)&gt;4, " + " &amp; IFERROR(INDEX('SAÍDA DE VENDAS'!$H$6:$H$500 &amp; "x " &amp; 'SAÍDA DE VENDAS'!$G$6:$G$500, MATCH(B128, 'SAÍDA DE VENDAS'!$B$6:$B$500, 0)+4), ""), "")&amp; IF(COUNTIF('SAÍDA DE VENDAS'!$B$6:$B$500, B128)&gt;5, " + " &amp; IFERROR(INDEX('SAÍDA DE VENDAS'!$H$6:$H$500 &amp; "x " &amp; 'SAÍDA DE VENDAS'!$G$6:$G$500, MATCH(B128, 'SAÍDA DE VENDAS'!$B$6:$B$500, 0)+5), ""), ""))</f>
        <v/>
      </c>
      <c r="G128" s="28">
        <f>IFERROR(VLOOKUP(B128,'SAÍDA DE VENDAS'!$B$6:$P$500,10,FALSE),"")</f>
        <v>0</v>
      </c>
      <c r="H128" s="28" t="str">
        <f>IF(OR(ISBLANK(B128),B128=""), "", IF(B128=B127, (VALUE(LEFT(H127,FIND("/",H127)-1))+1)&amp;"/"&amp;RIGHT(H127,LEN(H127)-FIND("/",H127)), "1/"&amp;IFERROR(VLOOKUP(B128,'SAÍDA DE VENDAS'!$B$6:$P$500,13,FALSE),"1")))</f>
        <v/>
      </c>
      <c r="I128" s="69" t="str">
        <f t="shared" si="2"/>
        <v/>
      </c>
      <c r="J128" s="33" t="str">
        <f>IFERROR(VLOOKUP(B128,'SAÍDA DE VENDAS'!$B$6:$P$500,15,FALSE),"")</f>
        <v/>
      </c>
      <c r="K128" s="28" t="str">
        <f t="shared" ca="1" si="3"/>
        <v/>
      </c>
      <c r="L128" s="28"/>
      <c r="M128" s="28"/>
    </row>
    <row r="129" spans="2:13" ht="15" customHeight="1" x14ac:dyDescent="0.3">
      <c r="B129" s="34" t="str">
        <f>IF(B128="","", IF(VALUE(LEFT(H128,FIND("/",H128)-1)) &lt; VALUE(RIGHT(H128,LEN(H128)-FIND("/",H128))), B128, IFERROR(INDEX('SAÍDA DE VENDAS'!$B$6:$B$500, MATCH(B128,'SAÍDA DE VENDAS'!$B$6:$B$500,0)+COUNTIF('SAÍDA DE VENDAS'!$B$6:$B$500, B128)),"")))</f>
        <v/>
      </c>
      <c r="C129" s="35">
        <f>IFERROR(VLOOKUP(B129,'SAÍDA DE VENDAS'!$B$6:$P$500,3,FALSE),"")</f>
        <v>0</v>
      </c>
      <c r="D129" s="34">
        <f>IFERROR(VLOOKUP(B129,'SAÍDA DE VENDAS'!$B$6:$P$500,4,FALSE),"")</f>
        <v>0</v>
      </c>
      <c r="E129" s="34" t="str">
        <f>IFERROR(VLOOKUP(B129,'SAÍDA DE VENDAS'!$B$6:$P$500,5,FALSE),"")</f>
        <v/>
      </c>
      <c r="F129" s="34" t="str">
        <f>IF(OR(ISBLANK(B129),B129=""), "", IFERROR(INDEX('SAÍDA DE VENDAS'!$H$6:$H$500 &amp; "x " &amp; 'SAÍDA DE VENDAS'!$G$6:$G$500, MATCH(B129, 'SAÍDA DE VENDAS'!$B$6:$B$500, 0)), "")&amp; IF(COUNTIF('SAÍDA DE VENDAS'!$B$6:$B$500, B129)&gt;1, " + " &amp; IFERROR(INDEX('SAÍDA DE VENDAS'!$H$6:$H$500 &amp; "x " &amp; 'SAÍDA DE VENDAS'!$G$6:$G$500, MATCH(B129, 'SAÍDA DE VENDAS'!$B$6:$B$500, 0)+1), ""), "")&amp; IF(COUNTIF('SAÍDA DE VENDAS'!$B$6:$B$500, B129)&gt;2, " + " &amp; IFERROR(INDEX('SAÍDA DE VENDAS'!$H$6:$H$500 &amp; "x " &amp; 'SAÍDA DE VENDAS'!$G$6:$G$500, MATCH(B129, 'SAÍDA DE VENDAS'!$B$6:$B$500, 0)+2), ""), "")&amp; IF(COUNTIF('SAÍDA DE VENDAS'!$B$6:$B$500, B129)&gt;3, " + " &amp; IFERROR(INDEX('SAÍDA DE VENDAS'!$H$6:$H$500 &amp; "x " &amp; 'SAÍDA DE VENDAS'!$G$6:$G$500, MATCH(B129, 'SAÍDA DE VENDAS'!$B$6:$B$500, 0)+3), ""), "")&amp; IF(COUNTIF('SAÍDA DE VENDAS'!$B$6:$B$500, B129)&gt;4, " + " &amp; IFERROR(INDEX('SAÍDA DE VENDAS'!$H$6:$H$500 &amp; "x " &amp; 'SAÍDA DE VENDAS'!$G$6:$G$500, MATCH(B129, 'SAÍDA DE VENDAS'!$B$6:$B$500, 0)+4), ""), "")&amp; IF(COUNTIF('SAÍDA DE VENDAS'!$B$6:$B$500, B129)&gt;5, " + " &amp; IFERROR(INDEX('SAÍDA DE VENDAS'!$H$6:$H$500 &amp; "x " &amp; 'SAÍDA DE VENDAS'!$G$6:$G$500, MATCH(B129, 'SAÍDA DE VENDAS'!$B$6:$B$500, 0)+5), ""), ""))</f>
        <v/>
      </c>
      <c r="G129" s="34">
        <f>IFERROR(VLOOKUP(B129,'SAÍDA DE VENDAS'!$B$6:$P$500,10,FALSE),"")</f>
        <v>0</v>
      </c>
      <c r="H129" s="34" t="str">
        <f>IF(OR(ISBLANK(B129),B129=""), "", IF(B129=B128, (VALUE(LEFT(H128,FIND("/",H128)-1))+1)&amp;"/"&amp;RIGHT(H128,LEN(H128)-FIND("/",H128)), "1/"&amp;IFERROR(VLOOKUP(B129,'SAÍDA DE VENDAS'!$B$6:$P$500,13,FALSE),"1")))</f>
        <v/>
      </c>
      <c r="I129" s="35" t="str">
        <f t="shared" si="2"/>
        <v/>
      </c>
      <c r="J129" s="39" t="str">
        <f>IFERROR(VLOOKUP(B129,'SAÍDA DE VENDAS'!$B$6:$P$500,15,FALSE),"")</f>
        <v/>
      </c>
      <c r="K129" s="34" t="str">
        <f t="shared" ca="1" si="3"/>
        <v/>
      </c>
      <c r="L129" s="34"/>
      <c r="M129" s="34"/>
    </row>
    <row r="130" spans="2:13" ht="15" customHeight="1" x14ac:dyDescent="0.3">
      <c r="B130" s="28" t="str">
        <f>IF(B129="","", IF(VALUE(LEFT(H129,FIND("/",H129)-1)) &lt; VALUE(RIGHT(H129,LEN(H129)-FIND("/",H129))), B129, IFERROR(INDEX('SAÍDA DE VENDAS'!$B$6:$B$500, MATCH(B129,'SAÍDA DE VENDAS'!$B$6:$B$500,0)+COUNTIF('SAÍDA DE VENDAS'!$B$6:$B$500, B129)),"")))</f>
        <v/>
      </c>
      <c r="C130" s="29">
        <f>IFERROR(VLOOKUP(B130,'SAÍDA DE VENDAS'!$B$6:$P$500,3,FALSE),"")</f>
        <v>0</v>
      </c>
      <c r="D130" s="28">
        <f>IFERROR(VLOOKUP(B130,'SAÍDA DE VENDAS'!$B$6:$P$500,4,FALSE),"")</f>
        <v>0</v>
      </c>
      <c r="E130" s="28" t="str">
        <f>IFERROR(VLOOKUP(B130,'SAÍDA DE VENDAS'!$B$6:$P$500,5,FALSE),"")</f>
        <v/>
      </c>
      <c r="F130" s="28" t="str">
        <f>IF(OR(ISBLANK(B130),B130=""), "", IFERROR(INDEX('SAÍDA DE VENDAS'!$H$6:$H$500 &amp; "x " &amp; 'SAÍDA DE VENDAS'!$G$6:$G$500, MATCH(B130, 'SAÍDA DE VENDAS'!$B$6:$B$500, 0)), "")&amp; IF(COUNTIF('SAÍDA DE VENDAS'!$B$6:$B$500, B130)&gt;1, " + " &amp; IFERROR(INDEX('SAÍDA DE VENDAS'!$H$6:$H$500 &amp; "x " &amp; 'SAÍDA DE VENDAS'!$G$6:$G$500, MATCH(B130, 'SAÍDA DE VENDAS'!$B$6:$B$500, 0)+1), ""), "")&amp; IF(COUNTIF('SAÍDA DE VENDAS'!$B$6:$B$500, B130)&gt;2, " + " &amp; IFERROR(INDEX('SAÍDA DE VENDAS'!$H$6:$H$500 &amp; "x " &amp; 'SAÍDA DE VENDAS'!$G$6:$G$500, MATCH(B130, 'SAÍDA DE VENDAS'!$B$6:$B$500, 0)+2), ""), "")&amp; IF(COUNTIF('SAÍDA DE VENDAS'!$B$6:$B$500, B130)&gt;3, " + " &amp; IFERROR(INDEX('SAÍDA DE VENDAS'!$H$6:$H$500 &amp; "x " &amp; 'SAÍDA DE VENDAS'!$G$6:$G$500, MATCH(B130, 'SAÍDA DE VENDAS'!$B$6:$B$500, 0)+3), ""), "")&amp; IF(COUNTIF('SAÍDA DE VENDAS'!$B$6:$B$500, B130)&gt;4, " + " &amp; IFERROR(INDEX('SAÍDA DE VENDAS'!$H$6:$H$500 &amp; "x " &amp; 'SAÍDA DE VENDAS'!$G$6:$G$500, MATCH(B130, 'SAÍDA DE VENDAS'!$B$6:$B$500, 0)+4), ""), "")&amp; IF(COUNTIF('SAÍDA DE VENDAS'!$B$6:$B$500, B130)&gt;5, " + " &amp; IFERROR(INDEX('SAÍDA DE VENDAS'!$H$6:$H$500 &amp; "x " &amp; 'SAÍDA DE VENDAS'!$G$6:$G$500, MATCH(B130, 'SAÍDA DE VENDAS'!$B$6:$B$500, 0)+5), ""), ""))</f>
        <v/>
      </c>
      <c r="G130" s="28">
        <f>IFERROR(VLOOKUP(B130,'SAÍDA DE VENDAS'!$B$6:$P$500,10,FALSE),"")</f>
        <v>0</v>
      </c>
      <c r="H130" s="28" t="str">
        <f>IF(OR(ISBLANK(B130),B130=""), "", IF(B130=B129, (VALUE(LEFT(H129,FIND("/",H129)-1))+1)&amp;"/"&amp;RIGHT(H129,LEN(H129)-FIND("/",H129)), "1/"&amp;IFERROR(VLOOKUP(B130,'SAÍDA DE VENDAS'!$B$6:$P$500,13,FALSE),"1")))</f>
        <v/>
      </c>
      <c r="I130" s="69" t="str">
        <f t="shared" si="2"/>
        <v/>
      </c>
      <c r="J130" s="33" t="str">
        <f>IFERROR(VLOOKUP(B130,'SAÍDA DE VENDAS'!$B$6:$P$500,15,FALSE),"")</f>
        <v/>
      </c>
      <c r="K130" s="28" t="str">
        <f t="shared" ca="1" si="3"/>
        <v/>
      </c>
      <c r="L130" s="28"/>
      <c r="M130" s="28"/>
    </row>
    <row r="131" spans="2:13" ht="15" customHeight="1" x14ac:dyDescent="0.3">
      <c r="B131" s="34" t="str">
        <f>IF(B130="","", IF(VALUE(LEFT(H130,FIND("/",H130)-1)) &lt; VALUE(RIGHT(H130,LEN(H130)-FIND("/",H130))), B130, IFERROR(INDEX('SAÍDA DE VENDAS'!$B$6:$B$500, MATCH(B130,'SAÍDA DE VENDAS'!$B$6:$B$500,0)+COUNTIF('SAÍDA DE VENDAS'!$B$6:$B$500, B130)),"")))</f>
        <v/>
      </c>
      <c r="C131" s="35">
        <f>IFERROR(VLOOKUP(B131,'SAÍDA DE VENDAS'!$B$6:$P$500,3,FALSE),"")</f>
        <v>0</v>
      </c>
      <c r="D131" s="34">
        <f>IFERROR(VLOOKUP(B131,'SAÍDA DE VENDAS'!$B$6:$P$500,4,FALSE),"")</f>
        <v>0</v>
      </c>
      <c r="E131" s="34" t="str">
        <f>IFERROR(VLOOKUP(B131,'SAÍDA DE VENDAS'!$B$6:$P$500,5,FALSE),"")</f>
        <v/>
      </c>
      <c r="F131" s="34" t="str">
        <f>IF(OR(ISBLANK(B131),B131=""), "", IFERROR(INDEX('SAÍDA DE VENDAS'!$H$6:$H$500 &amp; "x " &amp; 'SAÍDA DE VENDAS'!$G$6:$G$500, MATCH(B131, 'SAÍDA DE VENDAS'!$B$6:$B$500, 0)), "")&amp; IF(COUNTIF('SAÍDA DE VENDAS'!$B$6:$B$500, B131)&gt;1, " + " &amp; IFERROR(INDEX('SAÍDA DE VENDAS'!$H$6:$H$500 &amp; "x " &amp; 'SAÍDA DE VENDAS'!$G$6:$G$500, MATCH(B131, 'SAÍDA DE VENDAS'!$B$6:$B$500, 0)+1), ""), "")&amp; IF(COUNTIF('SAÍDA DE VENDAS'!$B$6:$B$500, B131)&gt;2, " + " &amp; IFERROR(INDEX('SAÍDA DE VENDAS'!$H$6:$H$500 &amp; "x " &amp; 'SAÍDA DE VENDAS'!$G$6:$G$500, MATCH(B131, 'SAÍDA DE VENDAS'!$B$6:$B$500, 0)+2), ""), "")&amp; IF(COUNTIF('SAÍDA DE VENDAS'!$B$6:$B$500, B131)&gt;3, " + " &amp; IFERROR(INDEX('SAÍDA DE VENDAS'!$H$6:$H$500 &amp; "x " &amp; 'SAÍDA DE VENDAS'!$G$6:$G$500, MATCH(B131, 'SAÍDA DE VENDAS'!$B$6:$B$500, 0)+3), ""), "")&amp; IF(COUNTIF('SAÍDA DE VENDAS'!$B$6:$B$500, B131)&gt;4, " + " &amp; IFERROR(INDEX('SAÍDA DE VENDAS'!$H$6:$H$500 &amp; "x " &amp; 'SAÍDA DE VENDAS'!$G$6:$G$500, MATCH(B131, 'SAÍDA DE VENDAS'!$B$6:$B$500, 0)+4), ""), "")&amp; IF(COUNTIF('SAÍDA DE VENDAS'!$B$6:$B$500, B131)&gt;5, " + " &amp; IFERROR(INDEX('SAÍDA DE VENDAS'!$H$6:$H$500 &amp; "x " &amp; 'SAÍDA DE VENDAS'!$G$6:$G$500, MATCH(B131, 'SAÍDA DE VENDAS'!$B$6:$B$500, 0)+5), ""), ""))</f>
        <v/>
      </c>
      <c r="G131" s="34">
        <f>IFERROR(VLOOKUP(B131,'SAÍDA DE VENDAS'!$B$6:$P$500,10,FALSE),"")</f>
        <v>0</v>
      </c>
      <c r="H131" s="34" t="str">
        <f>IF(OR(ISBLANK(B131),B131=""), "", IF(B131=B130, (VALUE(LEFT(H130,FIND("/",H130)-1))+1)&amp;"/"&amp;RIGHT(H130,LEN(H130)-FIND("/",H130)), "1/"&amp;IFERROR(VLOOKUP(B131,'SAÍDA DE VENDAS'!$B$6:$P$500,13,FALSE),"1")))</f>
        <v/>
      </c>
      <c r="I131" s="35" t="str">
        <f t="shared" si="2"/>
        <v/>
      </c>
      <c r="J131" s="39" t="str">
        <f>IFERROR(VLOOKUP(B131,'SAÍDA DE VENDAS'!$B$6:$P$500,15,FALSE),"")</f>
        <v/>
      </c>
      <c r="K131" s="34" t="str">
        <f t="shared" ca="1" si="3"/>
        <v/>
      </c>
      <c r="L131" s="34"/>
      <c r="M131" s="34"/>
    </row>
    <row r="132" spans="2:13" ht="15" customHeight="1" x14ac:dyDescent="0.3">
      <c r="B132" s="28" t="str">
        <f>IF(B131="","", IF(VALUE(LEFT(H131,FIND("/",H131)-1)) &lt; VALUE(RIGHT(H131,LEN(H131)-FIND("/",H131))), B131, IFERROR(INDEX('SAÍDA DE VENDAS'!$B$6:$B$500, MATCH(B131,'SAÍDA DE VENDAS'!$B$6:$B$500,0)+COUNTIF('SAÍDA DE VENDAS'!$B$6:$B$500, B131)),"")))</f>
        <v/>
      </c>
      <c r="C132" s="29">
        <f>IFERROR(VLOOKUP(B132,'SAÍDA DE VENDAS'!$B$6:$P$500,3,FALSE),"")</f>
        <v>0</v>
      </c>
      <c r="D132" s="28">
        <f>IFERROR(VLOOKUP(B132,'SAÍDA DE VENDAS'!$B$6:$P$500,4,FALSE),"")</f>
        <v>0</v>
      </c>
      <c r="E132" s="28" t="str">
        <f>IFERROR(VLOOKUP(B132,'SAÍDA DE VENDAS'!$B$6:$P$500,5,FALSE),"")</f>
        <v/>
      </c>
      <c r="F132" s="28" t="str">
        <f>IF(OR(ISBLANK(B132),B132=""), "", IFERROR(INDEX('SAÍDA DE VENDAS'!$H$6:$H$500 &amp; "x " &amp; 'SAÍDA DE VENDAS'!$G$6:$G$500, MATCH(B132, 'SAÍDA DE VENDAS'!$B$6:$B$500, 0)), "")&amp; IF(COUNTIF('SAÍDA DE VENDAS'!$B$6:$B$500, B132)&gt;1, " + " &amp; IFERROR(INDEX('SAÍDA DE VENDAS'!$H$6:$H$500 &amp; "x " &amp; 'SAÍDA DE VENDAS'!$G$6:$G$500, MATCH(B132, 'SAÍDA DE VENDAS'!$B$6:$B$500, 0)+1), ""), "")&amp; IF(COUNTIF('SAÍDA DE VENDAS'!$B$6:$B$500, B132)&gt;2, " + " &amp; IFERROR(INDEX('SAÍDA DE VENDAS'!$H$6:$H$500 &amp; "x " &amp; 'SAÍDA DE VENDAS'!$G$6:$G$500, MATCH(B132, 'SAÍDA DE VENDAS'!$B$6:$B$500, 0)+2), ""), "")&amp; IF(COUNTIF('SAÍDA DE VENDAS'!$B$6:$B$500, B132)&gt;3, " + " &amp; IFERROR(INDEX('SAÍDA DE VENDAS'!$H$6:$H$500 &amp; "x " &amp; 'SAÍDA DE VENDAS'!$G$6:$G$500, MATCH(B132, 'SAÍDA DE VENDAS'!$B$6:$B$500, 0)+3), ""), "")&amp; IF(COUNTIF('SAÍDA DE VENDAS'!$B$6:$B$500, B132)&gt;4, " + " &amp; IFERROR(INDEX('SAÍDA DE VENDAS'!$H$6:$H$500 &amp; "x " &amp; 'SAÍDA DE VENDAS'!$G$6:$G$500, MATCH(B132, 'SAÍDA DE VENDAS'!$B$6:$B$500, 0)+4), ""), "")&amp; IF(COUNTIF('SAÍDA DE VENDAS'!$B$6:$B$500, B132)&gt;5, " + " &amp; IFERROR(INDEX('SAÍDA DE VENDAS'!$H$6:$H$500 &amp; "x " &amp; 'SAÍDA DE VENDAS'!$G$6:$G$500, MATCH(B132, 'SAÍDA DE VENDAS'!$B$6:$B$500, 0)+5), ""), ""))</f>
        <v/>
      </c>
      <c r="G132" s="28">
        <f>IFERROR(VLOOKUP(B132,'SAÍDA DE VENDAS'!$B$6:$P$500,10,FALSE),"")</f>
        <v>0</v>
      </c>
      <c r="H132" s="28" t="str">
        <f>IF(OR(ISBLANK(B132),B132=""), "", IF(B132=B131, (VALUE(LEFT(H131,FIND("/",H131)-1))+1)&amp;"/"&amp;RIGHT(H131,LEN(H131)-FIND("/",H131)), "1/"&amp;IFERROR(VLOOKUP(B132,'SAÍDA DE VENDAS'!$B$6:$P$500,13,FALSE),"1")))</f>
        <v/>
      </c>
      <c r="I132" s="69" t="str">
        <f t="shared" si="2"/>
        <v/>
      </c>
      <c r="J132" s="33" t="str">
        <f>IFERROR(VLOOKUP(B132,'SAÍDA DE VENDAS'!$B$6:$P$500,15,FALSE),"")</f>
        <v/>
      </c>
      <c r="K132" s="28" t="str">
        <f t="shared" ca="1" si="3"/>
        <v/>
      </c>
      <c r="L132" s="28"/>
      <c r="M132" s="28"/>
    </row>
    <row r="133" spans="2:13" ht="15" customHeight="1" x14ac:dyDescent="0.3">
      <c r="B133" s="34" t="str">
        <f>IF(B132="","", IF(VALUE(LEFT(H132,FIND("/",H132)-1)) &lt; VALUE(RIGHT(H132,LEN(H132)-FIND("/",H132))), B132, IFERROR(INDEX('SAÍDA DE VENDAS'!$B$6:$B$500, MATCH(B132,'SAÍDA DE VENDAS'!$B$6:$B$500,0)+COUNTIF('SAÍDA DE VENDAS'!$B$6:$B$500, B132)),"")))</f>
        <v/>
      </c>
      <c r="C133" s="35">
        <f>IFERROR(VLOOKUP(B133,'SAÍDA DE VENDAS'!$B$6:$P$500,3,FALSE),"")</f>
        <v>0</v>
      </c>
      <c r="D133" s="34">
        <f>IFERROR(VLOOKUP(B133,'SAÍDA DE VENDAS'!$B$6:$P$500,4,FALSE),"")</f>
        <v>0</v>
      </c>
      <c r="E133" s="34" t="str">
        <f>IFERROR(VLOOKUP(B133,'SAÍDA DE VENDAS'!$B$6:$P$500,5,FALSE),"")</f>
        <v/>
      </c>
      <c r="F133" s="34" t="str">
        <f>IF(OR(ISBLANK(B133),B133=""), "", IFERROR(INDEX('SAÍDA DE VENDAS'!$H$6:$H$500 &amp; "x " &amp; 'SAÍDA DE VENDAS'!$G$6:$G$500, MATCH(B133, 'SAÍDA DE VENDAS'!$B$6:$B$500, 0)), "")&amp; IF(COUNTIF('SAÍDA DE VENDAS'!$B$6:$B$500, B133)&gt;1, " + " &amp; IFERROR(INDEX('SAÍDA DE VENDAS'!$H$6:$H$500 &amp; "x " &amp; 'SAÍDA DE VENDAS'!$G$6:$G$500, MATCH(B133, 'SAÍDA DE VENDAS'!$B$6:$B$500, 0)+1), ""), "")&amp; IF(COUNTIF('SAÍDA DE VENDAS'!$B$6:$B$500, B133)&gt;2, " + " &amp; IFERROR(INDEX('SAÍDA DE VENDAS'!$H$6:$H$500 &amp; "x " &amp; 'SAÍDA DE VENDAS'!$G$6:$G$500, MATCH(B133, 'SAÍDA DE VENDAS'!$B$6:$B$500, 0)+2), ""), "")&amp; IF(COUNTIF('SAÍDA DE VENDAS'!$B$6:$B$500, B133)&gt;3, " + " &amp; IFERROR(INDEX('SAÍDA DE VENDAS'!$H$6:$H$500 &amp; "x " &amp; 'SAÍDA DE VENDAS'!$G$6:$G$500, MATCH(B133, 'SAÍDA DE VENDAS'!$B$6:$B$500, 0)+3), ""), "")&amp; IF(COUNTIF('SAÍDA DE VENDAS'!$B$6:$B$500, B133)&gt;4, " + " &amp; IFERROR(INDEX('SAÍDA DE VENDAS'!$H$6:$H$500 &amp; "x " &amp; 'SAÍDA DE VENDAS'!$G$6:$G$500, MATCH(B133, 'SAÍDA DE VENDAS'!$B$6:$B$500, 0)+4), ""), "")&amp; IF(COUNTIF('SAÍDA DE VENDAS'!$B$6:$B$500, B133)&gt;5, " + " &amp; IFERROR(INDEX('SAÍDA DE VENDAS'!$H$6:$H$500 &amp; "x " &amp; 'SAÍDA DE VENDAS'!$G$6:$G$500, MATCH(B133, 'SAÍDA DE VENDAS'!$B$6:$B$500, 0)+5), ""), ""))</f>
        <v/>
      </c>
      <c r="G133" s="34">
        <f>IFERROR(VLOOKUP(B133,'SAÍDA DE VENDAS'!$B$6:$P$500,10,FALSE),"")</f>
        <v>0</v>
      </c>
      <c r="H133" s="34" t="str">
        <f>IF(OR(ISBLANK(B133),B133=""), "", IF(B133=B132, (VALUE(LEFT(H132,FIND("/",H132)-1))+1)&amp;"/"&amp;RIGHT(H132,LEN(H132)-FIND("/",H132)), "1/"&amp;IFERROR(VLOOKUP(B133,'SAÍDA DE VENDAS'!$B$6:$P$500,13,FALSE),"1")))</f>
        <v/>
      </c>
      <c r="I133" s="35" t="str">
        <f t="shared" si="2"/>
        <v/>
      </c>
      <c r="J133" s="39" t="str">
        <f>IFERROR(VLOOKUP(B133,'SAÍDA DE VENDAS'!$B$6:$P$500,15,FALSE),"")</f>
        <v/>
      </c>
      <c r="K133" s="34" t="str">
        <f t="shared" ca="1" si="3"/>
        <v/>
      </c>
      <c r="L133" s="34"/>
      <c r="M133" s="34"/>
    </row>
    <row r="134" spans="2:13" ht="15" customHeight="1" x14ac:dyDescent="0.3">
      <c r="B134" s="28" t="str">
        <f>IF(B133="","", IF(VALUE(LEFT(H133,FIND("/",H133)-1)) &lt; VALUE(RIGHT(H133,LEN(H133)-FIND("/",H133))), B133, IFERROR(INDEX('SAÍDA DE VENDAS'!$B$6:$B$500, MATCH(B133,'SAÍDA DE VENDAS'!$B$6:$B$500,0)+COUNTIF('SAÍDA DE VENDAS'!$B$6:$B$500, B133)),"")))</f>
        <v/>
      </c>
      <c r="C134" s="29">
        <f>IFERROR(VLOOKUP(B134,'SAÍDA DE VENDAS'!$B$6:$P$500,3,FALSE),"")</f>
        <v>0</v>
      </c>
      <c r="D134" s="28">
        <f>IFERROR(VLOOKUP(B134,'SAÍDA DE VENDAS'!$B$6:$P$500,4,FALSE),"")</f>
        <v>0</v>
      </c>
      <c r="E134" s="28" t="str">
        <f>IFERROR(VLOOKUP(B134,'SAÍDA DE VENDAS'!$B$6:$P$500,5,FALSE),"")</f>
        <v/>
      </c>
      <c r="F134" s="28" t="str">
        <f>IF(OR(ISBLANK(B134),B134=""), "", IFERROR(INDEX('SAÍDA DE VENDAS'!$H$6:$H$500 &amp; "x " &amp; 'SAÍDA DE VENDAS'!$G$6:$G$500, MATCH(B134, 'SAÍDA DE VENDAS'!$B$6:$B$500, 0)), "")&amp; IF(COUNTIF('SAÍDA DE VENDAS'!$B$6:$B$500, B134)&gt;1, " + " &amp; IFERROR(INDEX('SAÍDA DE VENDAS'!$H$6:$H$500 &amp; "x " &amp; 'SAÍDA DE VENDAS'!$G$6:$G$500, MATCH(B134, 'SAÍDA DE VENDAS'!$B$6:$B$500, 0)+1), ""), "")&amp; IF(COUNTIF('SAÍDA DE VENDAS'!$B$6:$B$500, B134)&gt;2, " + " &amp; IFERROR(INDEX('SAÍDA DE VENDAS'!$H$6:$H$500 &amp; "x " &amp; 'SAÍDA DE VENDAS'!$G$6:$G$500, MATCH(B134, 'SAÍDA DE VENDAS'!$B$6:$B$500, 0)+2), ""), "")&amp; IF(COUNTIF('SAÍDA DE VENDAS'!$B$6:$B$500, B134)&gt;3, " + " &amp; IFERROR(INDEX('SAÍDA DE VENDAS'!$H$6:$H$500 &amp; "x " &amp; 'SAÍDA DE VENDAS'!$G$6:$G$500, MATCH(B134, 'SAÍDA DE VENDAS'!$B$6:$B$500, 0)+3), ""), "")&amp; IF(COUNTIF('SAÍDA DE VENDAS'!$B$6:$B$500, B134)&gt;4, " + " &amp; IFERROR(INDEX('SAÍDA DE VENDAS'!$H$6:$H$500 &amp; "x " &amp; 'SAÍDA DE VENDAS'!$G$6:$G$500, MATCH(B134, 'SAÍDA DE VENDAS'!$B$6:$B$500, 0)+4), ""), "")&amp; IF(COUNTIF('SAÍDA DE VENDAS'!$B$6:$B$500, B134)&gt;5, " + " &amp; IFERROR(INDEX('SAÍDA DE VENDAS'!$H$6:$H$500 &amp; "x " &amp; 'SAÍDA DE VENDAS'!$G$6:$G$500, MATCH(B134, 'SAÍDA DE VENDAS'!$B$6:$B$500, 0)+5), ""), ""))</f>
        <v/>
      </c>
      <c r="G134" s="28">
        <f>IFERROR(VLOOKUP(B134,'SAÍDA DE VENDAS'!$B$6:$P$500,10,FALSE),"")</f>
        <v>0</v>
      </c>
      <c r="H134" s="28" t="str">
        <f>IF(OR(ISBLANK(B134),B134=""), "", IF(B134=B133, (VALUE(LEFT(H133,FIND("/",H133)-1))+1)&amp;"/"&amp;RIGHT(H133,LEN(H133)-FIND("/",H133)), "1/"&amp;IFERROR(VLOOKUP(B134,'SAÍDA DE VENDAS'!$B$6:$P$500,13,FALSE),"1")))</f>
        <v/>
      </c>
      <c r="I134" s="69" t="str">
        <f t="shared" ref="I134:I197" si="4">IF(OR(ISBLANK(B134), B134="", C134=""), "", C134 + (IFERROR(VALUE(LEFT(H134, FIND("/", H134)-1)), 1) * 30))</f>
        <v/>
      </c>
      <c r="J134" s="33" t="str">
        <f>IFERROR(VLOOKUP(B134,'SAÍDA DE VENDAS'!$B$6:$P$500,15,FALSE),"")</f>
        <v/>
      </c>
      <c r="K134" s="28" t="str">
        <f t="shared" ref="K134:K197" ca="1" si="5">IF(B134="","", IF(OR(G134="À Vista", L134&lt;&gt;""), "Pago", IF(AND(I134&lt;&gt;"", I134&lt;TODAY()), "Atrasado", "Pendente")))</f>
        <v/>
      </c>
      <c r="L134" s="28"/>
      <c r="M134" s="28"/>
    </row>
    <row r="135" spans="2:13" ht="15" customHeight="1" x14ac:dyDescent="0.3">
      <c r="B135" s="34" t="str">
        <f>IF(B134="","", IF(VALUE(LEFT(H134,FIND("/",H134)-1)) &lt; VALUE(RIGHT(H134,LEN(H134)-FIND("/",H134))), B134, IFERROR(INDEX('SAÍDA DE VENDAS'!$B$6:$B$500, MATCH(B134,'SAÍDA DE VENDAS'!$B$6:$B$500,0)+COUNTIF('SAÍDA DE VENDAS'!$B$6:$B$500, B134)),"")))</f>
        <v/>
      </c>
      <c r="C135" s="35">
        <f>IFERROR(VLOOKUP(B135,'SAÍDA DE VENDAS'!$B$6:$P$500,3,FALSE),"")</f>
        <v>0</v>
      </c>
      <c r="D135" s="34">
        <f>IFERROR(VLOOKUP(B135,'SAÍDA DE VENDAS'!$B$6:$P$500,4,FALSE),"")</f>
        <v>0</v>
      </c>
      <c r="E135" s="34" t="str">
        <f>IFERROR(VLOOKUP(B135,'SAÍDA DE VENDAS'!$B$6:$P$500,5,FALSE),"")</f>
        <v/>
      </c>
      <c r="F135" s="34" t="str">
        <f>IF(OR(ISBLANK(B135),B135=""), "", IFERROR(INDEX('SAÍDA DE VENDAS'!$H$6:$H$500 &amp; "x " &amp; 'SAÍDA DE VENDAS'!$G$6:$G$500, MATCH(B135, 'SAÍDA DE VENDAS'!$B$6:$B$500, 0)), "")&amp; IF(COUNTIF('SAÍDA DE VENDAS'!$B$6:$B$500, B135)&gt;1, " + " &amp; IFERROR(INDEX('SAÍDA DE VENDAS'!$H$6:$H$500 &amp; "x " &amp; 'SAÍDA DE VENDAS'!$G$6:$G$500, MATCH(B135, 'SAÍDA DE VENDAS'!$B$6:$B$500, 0)+1), ""), "")&amp; IF(COUNTIF('SAÍDA DE VENDAS'!$B$6:$B$500, B135)&gt;2, " + " &amp; IFERROR(INDEX('SAÍDA DE VENDAS'!$H$6:$H$500 &amp; "x " &amp; 'SAÍDA DE VENDAS'!$G$6:$G$500, MATCH(B135, 'SAÍDA DE VENDAS'!$B$6:$B$500, 0)+2), ""), "")&amp; IF(COUNTIF('SAÍDA DE VENDAS'!$B$6:$B$500, B135)&gt;3, " + " &amp; IFERROR(INDEX('SAÍDA DE VENDAS'!$H$6:$H$500 &amp; "x " &amp; 'SAÍDA DE VENDAS'!$G$6:$G$500, MATCH(B135, 'SAÍDA DE VENDAS'!$B$6:$B$500, 0)+3), ""), "")&amp; IF(COUNTIF('SAÍDA DE VENDAS'!$B$6:$B$500, B135)&gt;4, " + " &amp; IFERROR(INDEX('SAÍDA DE VENDAS'!$H$6:$H$500 &amp; "x " &amp; 'SAÍDA DE VENDAS'!$G$6:$G$500, MATCH(B135, 'SAÍDA DE VENDAS'!$B$6:$B$500, 0)+4), ""), "")&amp; IF(COUNTIF('SAÍDA DE VENDAS'!$B$6:$B$500, B135)&gt;5, " + " &amp; IFERROR(INDEX('SAÍDA DE VENDAS'!$H$6:$H$500 &amp; "x " &amp; 'SAÍDA DE VENDAS'!$G$6:$G$500, MATCH(B135, 'SAÍDA DE VENDAS'!$B$6:$B$500, 0)+5), ""), ""))</f>
        <v/>
      </c>
      <c r="G135" s="34">
        <f>IFERROR(VLOOKUP(B135,'SAÍDA DE VENDAS'!$B$6:$P$500,10,FALSE),"")</f>
        <v>0</v>
      </c>
      <c r="H135" s="34" t="str">
        <f>IF(OR(ISBLANK(B135),B135=""), "", IF(B135=B134, (VALUE(LEFT(H134,FIND("/",H134)-1))+1)&amp;"/"&amp;RIGHT(H134,LEN(H134)-FIND("/",H134)), "1/"&amp;IFERROR(VLOOKUP(B135,'SAÍDA DE VENDAS'!$B$6:$P$500,13,FALSE),"1")))</f>
        <v/>
      </c>
      <c r="I135" s="35" t="str">
        <f t="shared" si="4"/>
        <v/>
      </c>
      <c r="J135" s="39" t="str">
        <f>IFERROR(VLOOKUP(B135,'SAÍDA DE VENDAS'!$B$6:$P$500,15,FALSE),"")</f>
        <v/>
      </c>
      <c r="K135" s="34" t="str">
        <f t="shared" ca="1" si="5"/>
        <v/>
      </c>
      <c r="L135" s="34"/>
      <c r="M135" s="34"/>
    </row>
    <row r="136" spans="2:13" ht="15" customHeight="1" x14ac:dyDescent="0.3">
      <c r="B136" s="28" t="str">
        <f>IF(B135="","", IF(VALUE(LEFT(H135,FIND("/",H135)-1)) &lt; VALUE(RIGHT(H135,LEN(H135)-FIND("/",H135))), B135, IFERROR(INDEX('SAÍDA DE VENDAS'!$B$6:$B$500, MATCH(B135,'SAÍDA DE VENDAS'!$B$6:$B$500,0)+COUNTIF('SAÍDA DE VENDAS'!$B$6:$B$500, B135)),"")))</f>
        <v/>
      </c>
      <c r="C136" s="29">
        <f>IFERROR(VLOOKUP(B136,'SAÍDA DE VENDAS'!$B$6:$P$500,3,FALSE),"")</f>
        <v>0</v>
      </c>
      <c r="D136" s="28">
        <f>IFERROR(VLOOKUP(B136,'SAÍDA DE VENDAS'!$B$6:$P$500,4,FALSE),"")</f>
        <v>0</v>
      </c>
      <c r="E136" s="28" t="str">
        <f>IFERROR(VLOOKUP(B136,'SAÍDA DE VENDAS'!$B$6:$P$500,5,FALSE),"")</f>
        <v/>
      </c>
      <c r="F136" s="28" t="str">
        <f>IF(OR(ISBLANK(B136),B136=""), "", IFERROR(INDEX('SAÍDA DE VENDAS'!$H$6:$H$500 &amp; "x " &amp; 'SAÍDA DE VENDAS'!$G$6:$G$500, MATCH(B136, 'SAÍDA DE VENDAS'!$B$6:$B$500, 0)), "")&amp; IF(COUNTIF('SAÍDA DE VENDAS'!$B$6:$B$500, B136)&gt;1, " + " &amp; IFERROR(INDEX('SAÍDA DE VENDAS'!$H$6:$H$500 &amp; "x " &amp; 'SAÍDA DE VENDAS'!$G$6:$G$500, MATCH(B136, 'SAÍDA DE VENDAS'!$B$6:$B$500, 0)+1), ""), "")&amp; IF(COUNTIF('SAÍDA DE VENDAS'!$B$6:$B$500, B136)&gt;2, " + " &amp; IFERROR(INDEX('SAÍDA DE VENDAS'!$H$6:$H$500 &amp; "x " &amp; 'SAÍDA DE VENDAS'!$G$6:$G$500, MATCH(B136, 'SAÍDA DE VENDAS'!$B$6:$B$500, 0)+2), ""), "")&amp; IF(COUNTIF('SAÍDA DE VENDAS'!$B$6:$B$500, B136)&gt;3, " + " &amp; IFERROR(INDEX('SAÍDA DE VENDAS'!$H$6:$H$500 &amp; "x " &amp; 'SAÍDA DE VENDAS'!$G$6:$G$500, MATCH(B136, 'SAÍDA DE VENDAS'!$B$6:$B$500, 0)+3), ""), "")&amp; IF(COUNTIF('SAÍDA DE VENDAS'!$B$6:$B$500, B136)&gt;4, " + " &amp; IFERROR(INDEX('SAÍDA DE VENDAS'!$H$6:$H$500 &amp; "x " &amp; 'SAÍDA DE VENDAS'!$G$6:$G$500, MATCH(B136, 'SAÍDA DE VENDAS'!$B$6:$B$500, 0)+4), ""), "")&amp; IF(COUNTIF('SAÍDA DE VENDAS'!$B$6:$B$500, B136)&gt;5, " + " &amp; IFERROR(INDEX('SAÍDA DE VENDAS'!$H$6:$H$500 &amp; "x " &amp; 'SAÍDA DE VENDAS'!$G$6:$G$500, MATCH(B136, 'SAÍDA DE VENDAS'!$B$6:$B$500, 0)+5), ""), ""))</f>
        <v/>
      </c>
      <c r="G136" s="28">
        <f>IFERROR(VLOOKUP(B136,'SAÍDA DE VENDAS'!$B$6:$P$500,10,FALSE),"")</f>
        <v>0</v>
      </c>
      <c r="H136" s="28" t="str">
        <f>IF(OR(ISBLANK(B136),B136=""), "", IF(B136=B135, (VALUE(LEFT(H135,FIND("/",H135)-1))+1)&amp;"/"&amp;RIGHT(H135,LEN(H135)-FIND("/",H135)), "1/"&amp;IFERROR(VLOOKUP(B136,'SAÍDA DE VENDAS'!$B$6:$P$500,13,FALSE),"1")))</f>
        <v/>
      </c>
      <c r="I136" s="69" t="str">
        <f t="shared" si="4"/>
        <v/>
      </c>
      <c r="J136" s="33" t="str">
        <f>IFERROR(VLOOKUP(B136,'SAÍDA DE VENDAS'!$B$6:$P$500,15,FALSE),"")</f>
        <v/>
      </c>
      <c r="K136" s="28" t="str">
        <f t="shared" ca="1" si="5"/>
        <v/>
      </c>
      <c r="L136" s="28"/>
      <c r="M136" s="28"/>
    </row>
    <row r="137" spans="2:13" ht="15" customHeight="1" x14ac:dyDescent="0.3">
      <c r="B137" s="34" t="str">
        <f>IF(B136="","", IF(VALUE(LEFT(H136,FIND("/",H136)-1)) &lt; VALUE(RIGHT(H136,LEN(H136)-FIND("/",H136))), B136, IFERROR(INDEX('SAÍDA DE VENDAS'!$B$6:$B$500, MATCH(B136,'SAÍDA DE VENDAS'!$B$6:$B$500,0)+COUNTIF('SAÍDA DE VENDAS'!$B$6:$B$500, B136)),"")))</f>
        <v/>
      </c>
      <c r="C137" s="35">
        <f>IFERROR(VLOOKUP(B137,'SAÍDA DE VENDAS'!$B$6:$P$500,3,FALSE),"")</f>
        <v>0</v>
      </c>
      <c r="D137" s="34">
        <f>IFERROR(VLOOKUP(B137,'SAÍDA DE VENDAS'!$B$6:$P$500,4,FALSE),"")</f>
        <v>0</v>
      </c>
      <c r="E137" s="34" t="str">
        <f>IFERROR(VLOOKUP(B137,'SAÍDA DE VENDAS'!$B$6:$P$500,5,FALSE),"")</f>
        <v/>
      </c>
      <c r="F137" s="34" t="str">
        <f>IF(OR(ISBLANK(B137),B137=""), "", IFERROR(INDEX('SAÍDA DE VENDAS'!$H$6:$H$500 &amp; "x " &amp; 'SAÍDA DE VENDAS'!$G$6:$G$500, MATCH(B137, 'SAÍDA DE VENDAS'!$B$6:$B$500, 0)), "")&amp; IF(COUNTIF('SAÍDA DE VENDAS'!$B$6:$B$500, B137)&gt;1, " + " &amp; IFERROR(INDEX('SAÍDA DE VENDAS'!$H$6:$H$500 &amp; "x " &amp; 'SAÍDA DE VENDAS'!$G$6:$G$500, MATCH(B137, 'SAÍDA DE VENDAS'!$B$6:$B$500, 0)+1), ""), "")&amp; IF(COUNTIF('SAÍDA DE VENDAS'!$B$6:$B$500, B137)&gt;2, " + " &amp; IFERROR(INDEX('SAÍDA DE VENDAS'!$H$6:$H$500 &amp; "x " &amp; 'SAÍDA DE VENDAS'!$G$6:$G$500, MATCH(B137, 'SAÍDA DE VENDAS'!$B$6:$B$500, 0)+2), ""), "")&amp; IF(COUNTIF('SAÍDA DE VENDAS'!$B$6:$B$500, B137)&gt;3, " + " &amp; IFERROR(INDEX('SAÍDA DE VENDAS'!$H$6:$H$500 &amp; "x " &amp; 'SAÍDA DE VENDAS'!$G$6:$G$500, MATCH(B137, 'SAÍDA DE VENDAS'!$B$6:$B$500, 0)+3), ""), "")&amp; IF(COUNTIF('SAÍDA DE VENDAS'!$B$6:$B$500, B137)&gt;4, " + " &amp; IFERROR(INDEX('SAÍDA DE VENDAS'!$H$6:$H$500 &amp; "x " &amp; 'SAÍDA DE VENDAS'!$G$6:$G$500, MATCH(B137, 'SAÍDA DE VENDAS'!$B$6:$B$500, 0)+4), ""), "")&amp; IF(COUNTIF('SAÍDA DE VENDAS'!$B$6:$B$500, B137)&gt;5, " + " &amp; IFERROR(INDEX('SAÍDA DE VENDAS'!$H$6:$H$500 &amp; "x " &amp; 'SAÍDA DE VENDAS'!$G$6:$G$500, MATCH(B137, 'SAÍDA DE VENDAS'!$B$6:$B$500, 0)+5), ""), ""))</f>
        <v/>
      </c>
      <c r="G137" s="34">
        <f>IFERROR(VLOOKUP(B137,'SAÍDA DE VENDAS'!$B$6:$P$500,10,FALSE),"")</f>
        <v>0</v>
      </c>
      <c r="H137" s="34" t="str">
        <f>IF(OR(ISBLANK(B137),B137=""), "", IF(B137=B136, (VALUE(LEFT(H136,FIND("/",H136)-1))+1)&amp;"/"&amp;RIGHT(H136,LEN(H136)-FIND("/",H136)), "1/"&amp;IFERROR(VLOOKUP(B137,'SAÍDA DE VENDAS'!$B$6:$P$500,13,FALSE),"1")))</f>
        <v/>
      </c>
      <c r="I137" s="35" t="str">
        <f t="shared" si="4"/>
        <v/>
      </c>
      <c r="J137" s="39" t="str">
        <f>IFERROR(VLOOKUP(B137,'SAÍDA DE VENDAS'!$B$6:$P$500,15,FALSE),"")</f>
        <v/>
      </c>
      <c r="K137" s="34" t="str">
        <f t="shared" ca="1" si="5"/>
        <v/>
      </c>
      <c r="L137" s="34"/>
      <c r="M137" s="34"/>
    </row>
    <row r="138" spans="2:13" ht="15" customHeight="1" x14ac:dyDescent="0.3">
      <c r="B138" s="28" t="str">
        <f>IF(B137="","", IF(VALUE(LEFT(H137,FIND("/",H137)-1)) &lt; VALUE(RIGHT(H137,LEN(H137)-FIND("/",H137))), B137, IFERROR(INDEX('SAÍDA DE VENDAS'!$B$6:$B$500, MATCH(B137,'SAÍDA DE VENDAS'!$B$6:$B$500,0)+COUNTIF('SAÍDA DE VENDAS'!$B$6:$B$500, B137)),"")))</f>
        <v/>
      </c>
      <c r="C138" s="29">
        <f>IFERROR(VLOOKUP(B138,'SAÍDA DE VENDAS'!$B$6:$P$500,3,FALSE),"")</f>
        <v>0</v>
      </c>
      <c r="D138" s="28">
        <f>IFERROR(VLOOKUP(B138,'SAÍDA DE VENDAS'!$B$6:$P$500,4,FALSE),"")</f>
        <v>0</v>
      </c>
      <c r="E138" s="28" t="str">
        <f>IFERROR(VLOOKUP(B138,'SAÍDA DE VENDAS'!$B$6:$P$500,5,FALSE),"")</f>
        <v/>
      </c>
      <c r="F138" s="28" t="str">
        <f>IF(OR(ISBLANK(B138),B138=""), "", IFERROR(INDEX('SAÍDA DE VENDAS'!$H$6:$H$500 &amp; "x " &amp; 'SAÍDA DE VENDAS'!$G$6:$G$500, MATCH(B138, 'SAÍDA DE VENDAS'!$B$6:$B$500, 0)), "")&amp; IF(COUNTIF('SAÍDA DE VENDAS'!$B$6:$B$500, B138)&gt;1, " + " &amp; IFERROR(INDEX('SAÍDA DE VENDAS'!$H$6:$H$500 &amp; "x " &amp; 'SAÍDA DE VENDAS'!$G$6:$G$500, MATCH(B138, 'SAÍDA DE VENDAS'!$B$6:$B$500, 0)+1), ""), "")&amp; IF(COUNTIF('SAÍDA DE VENDAS'!$B$6:$B$500, B138)&gt;2, " + " &amp; IFERROR(INDEX('SAÍDA DE VENDAS'!$H$6:$H$500 &amp; "x " &amp; 'SAÍDA DE VENDAS'!$G$6:$G$500, MATCH(B138, 'SAÍDA DE VENDAS'!$B$6:$B$500, 0)+2), ""), "")&amp; IF(COUNTIF('SAÍDA DE VENDAS'!$B$6:$B$500, B138)&gt;3, " + " &amp; IFERROR(INDEX('SAÍDA DE VENDAS'!$H$6:$H$500 &amp; "x " &amp; 'SAÍDA DE VENDAS'!$G$6:$G$500, MATCH(B138, 'SAÍDA DE VENDAS'!$B$6:$B$500, 0)+3), ""), "")&amp; IF(COUNTIF('SAÍDA DE VENDAS'!$B$6:$B$500, B138)&gt;4, " + " &amp; IFERROR(INDEX('SAÍDA DE VENDAS'!$H$6:$H$500 &amp; "x " &amp; 'SAÍDA DE VENDAS'!$G$6:$G$500, MATCH(B138, 'SAÍDA DE VENDAS'!$B$6:$B$500, 0)+4), ""), "")&amp; IF(COUNTIF('SAÍDA DE VENDAS'!$B$6:$B$500, B138)&gt;5, " + " &amp; IFERROR(INDEX('SAÍDA DE VENDAS'!$H$6:$H$500 &amp; "x " &amp; 'SAÍDA DE VENDAS'!$G$6:$G$500, MATCH(B138, 'SAÍDA DE VENDAS'!$B$6:$B$500, 0)+5), ""), ""))</f>
        <v/>
      </c>
      <c r="G138" s="28">
        <f>IFERROR(VLOOKUP(B138,'SAÍDA DE VENDAS'!$B$6:$P$500,10,FALSE),"")</f>
        <v>0</v>
      </c>
      <c r="H138" s="28" t="str">
        <f>IF(OR(ISBLANK(B138),B138=""), "", IF(B138=B137, (VALUE(LEFT(H137,FIND("/",H137)-1))+1)&amp;"/"&amp;RIGHT(H137,LEN(H137)-FIND("/",H137)), "1/"&amp;IFERROR(VLOOKUP(B138,'SAÍDA DE VENDAS'!$B$6:$P$500,13,FALSE),"1")))</f>
        <v/>
      </c>
      <c r="I138" s="69" t="str">
        <f t="shared" si="4"/>
        <v/>
      </c>
      <c r="J138" s="33" t="str">
        <f>IFERROR(VLOOKUP(B138,'SAÍDA DE VENDAS'!$B$6:$P$500,15,FALSE),"")</f>
        <v/>
      </c>
      <c r="K138" s="28" t="str">
        <f t="shared" ca="1" si="5"/>
        <v/>
      </c>
      <c r="L138" s="28"/>
      <c r="M138" s="28"/>
    </row>
    <row r="139" spans="2:13" ht="15" customHeight="1" x14ac:dyDescent="0.3">
      <c r="B139" s="34" t="str">
        <f>IF(B138="","", IF(VALUE(LEFT(H138,FIND("/",H138)-1)) &lt; VALUE(RIGHT(H138,LEN(H138)-FIND("/",H138))), B138, IFERROR(INDEX('SAÍDA DE VENDAS'!$B$6:$B$500, MATCH(B138,'SAÍDA DE VENDAS'!$B$6:$B$500,0)+COUNTIF('SAÍDA DE VENDAS'!$B$6:$B$500, B138)),"")))</f>
        <v/>
      </c>
      <c r="C139" s="35">
        <f>IFERROR(VLOOKUP(B139,'SAÍDA DE VENDAS'!$B$6:$P$500,3,FALSE),"")</f>
        <v>0</v>
      </c>
      <c r="D139" s="34">
        <f>IFERROR(VLOOKUP(B139,'SAÍDA DE VENDAS'!$B$6:$P$500,4,FALSE),"")</f>
        <v>0</v>
      </c>
      <c r="E139" s="34" t="str">
        <f>IFERROR(VLOOKUP(B139,'SAÍDA DE VENDAS'!$B$6:$P$500,5,FALSE),"")</f>
        <v/>
      </c>
      <c r="F139" s="34" t="str">
        <f>IF(OR(ISBLANK(B139),B139=""), "", IFERROR(INDEX('SAÍDA DE VENDAS'!$H$6:$H$500 &amp; "x " &amp; 'SAÍDA DE VENDAS'!$G$6:$G$500, MATCH(B139, 'SAÍDA DE VENDAS'!$B$6:$B$500, 0)), "")&amp; IF(COUNTIF('SAÍDA DE VENDAS'!$B$6:$B$500, B139)&gt;1, " + " &amp; IFERROR(INDEX('SAÍDA DE VENDAS'!$H$6:$H$500 &amp; "x " &amp; 'SAÍDA DE VENDAS'!$G$6:$G$500, MATCH(B139, 'SAÍDA DE VENDAS'!$B$6:$B$500, 0)+1), ""), "")&amp; IF(COUNTIF('SAÍDA DE VENDAS'!$B$6:$B$500, B139)&gt;2, " + " &amp; IFERROR(INDEX('SAÍDA DE VENDAS'!$H$6:$H$500 &amp; "x " &amp; 'SAÍDA DE VENDAS'!$G$6:$G$500, MATCH(B139, 'SAÍDA DE VENDAS'!$B$6:$B$500, 0)+2), ""), "")&amp; IF(COUNTIF('SAÍDA DE VENDAS'!$B$6:$B$500, B139)&gt;3, " + " &amp; IFERROR(INDEX('SAÍDA DE VENDAS'!$H$6:$H$500 &amp; "x " &amp; 'SAÍDA DE VENDAS'!$G$6:$G$500, MATCH(B139, 'SAÍDA DE VENDAS'!$B$6:$B$500, 0)+3), ""), "")&amp; IF(COUNTIF('SAÍDA DE VENDAS'!$B$6:$B$500, B139)&gt;4, " + " &amp; IFERROR(INDEX('SAÍDA DE VENDAS'!$H$6:$H$500 &amp; "x " &amp; 'SAÍDA DE VENDAS'!$G$6:$G$500, MATCH(B139, 'SAÍDA DE VENDAS'!$B$6:$B$500, 0)+4), ""), "")&amp; IF(COUNTIF('SAÍDA DE VENDAS'!$B$6:$B$500, B139)&gt;5, " + " &amp; IFERROR(INDEX('SAÍDA DE VENDAS'!$H$6:$H$500 &amp; "x " &amp; 'SAÍDA DE VENDAS'!$G$6:$G$500, MATCH(B139, 'SAÍDA DE VENDAS'!$B$6:$B$500, 0)+5), ""), ""))</f>
        <v/>
      </c>
      <c r="G139" s="34">
        <f>IFERROR(VLOOKUP(B139,'SAÍDA DE VENDAS'!$B$6:$P$500,10,FALSE),"")</f>
        <v>0</v>
      </c>
      <c r="H139" s="34" t="str">
        <f>IF(OR(ISBLANK(B139),B139=""), "", IF(B139=B138, (VALUE(LEFT(H138,FIND("/",H138)-1))+1)&amp;"/"&amp;RIGHT(H138,LEN(H138)-FIND("/",H138)), "1/"&amp;IFERROR(VLOOKUP(B139,'SAÍDA DE VENDAS'!$B$6:$P$500,13,FALSE),"1")))</f>
        <v/>
      </c>
      <c r="I139" s="35" t="str">
        <f t="shared" si="4"/>
        <v/>
      </c>
      <c r="J139" s="39" t="str">
        <f>IFERROR(VLOOKUP(B139,'SAÍDA DE VENDAS'!$B$6:$P$500,15,FALSE),"")</f>
        <v/>
      </c>
      <c r="K139" s="34" t="str">
        <f t="shared" ca="1" si="5"/>
        <v/>
      </c>
      <c r="L139" s="34"/>
      <c r="M139" s="34"/>
    </row>
    <row r="140" spans="2:13" ht="15" customHeight="1" x14ac:dyDescent="0.3">
      <c r="B140" s="28" t="str">
        <f>IF(B139="","", IF(VALUE(LEFT(H139,FIND("/",H139)-1)) &lt; VALUE(RIGHT(H139,LEN(H139)-FIND("/",H139))), B139, IFERROR(INDEX('SAÍDA DE VENDAS'!$B$6:$B$500, MATCH(B139,'SAÍDA DE VENDAS'!$B$6:$B$500,0)+COUNTIF('SAÍDA DE VENDAS'!$B$6:$B$500, B139)),"")))</f>
        <v/>
      </c>
      <c r="C140" s="29">
        <f>IFERROR(VLOOKUP(B140,'SAÍDA DE VENDAS'!$B$6:$P$500,3,FALSE),"")</f>
        <v>0</v>
      </c>
      <c r="D140" s="28">
        <f>IFERROR(VLOOKUP(B140,'SAÍDA DE VENDAS'!$B$6:$P$500,4,FALSE),"")</f>
        <v>0</v>
      </c>
      <c r="E140" s="28" t="str">
        <f>IFERROR(VLOOKUP(B140,'SAÍDA DE VENDAS'!$B$6:$P$500,5,FALSE),"")</f>
        <v/>
      </c>
      <c r="F140" s="28" t="str">
        <f>IF(OR(ISBLANK(B140),B140=""), "", IFERROR(INDEX('SAÍDA DE VENDAS'!$H$6:$H$500 &amp; "x " &amp; 'SAÍDA DE VENDAS'!$G$6:$G$500, MATCH(B140, 'SAÍDA DE VENDAS'!$B$6:$B$500, 0)), "")&amp; IF(COUNTIF('SAÍDA DE VENDAS'!$B$6:$B$500, B140)&gt;1, " + " &amp; IFERROR(INDEX('SAÍDA DE VENDAS'!$H$6:$H$500 &amp; "x " &amp; 'SAÍDA DE VENDAS'!$G$6:$G$500, MATCH(B140, 'SAÍDA DE VENDAS'!$B$6:$B$500, 0)+1), ""), "")&amp; IF(COUNTIF('SAÍDA DE VENDAS'!$B$6:$B$500, B140)&gt;2, " + " &amp; IFERROR(INDEX('SAÍDA DE VENDAS'!$H$6:$H$500 &amp; "x " &amp; 'SAÍDA DE VENDAS'!$G$6:$G$500, MATCH(B140, 'SAÍDA DE VENDAS'!$B$6:$B$500, 0)+2), ""), "")&amp; IF(COUNTIF('SAÍDA DE VENDAS'!$B$6:$B$500, B140)&gt;3, " + " &amp; IFERROR(INDEX('SAÍDA DE VENDAS'!$H$6:$H$500 &amp; "x " &amp; 'SAÍDA DE VENDAS'!$G$6:$G$500, MATCH(B140, 'SAÍDA DE VENDAS'!$B$6:$B$500, 0)+3), ""), "")&amp; IF(COUNTIF('SAÍDA DE VENDAS'!$B$6:$B$500, B140)&gt;4, " + " &amp; IFERROR(INDEX('SAÍDA DE VENDAS'!$H$6:$H$500 &amp; "x " &amp; 'SAÍDA DE VENDAS'!$G$6:$G$500, MATCH(B140, 'SAÍDA DE VENDAS'!$B$6:$B$500, 0)+4), ""), "")&amp; IF(COUNTIF('SAÍDA DE VENDAS'!$B$6:$B$500, B140)&gt;5, " + " &amp; IFERROR(INDEX('SAÍDA DE VENDAS'!$H$6:$H$500 &amp; "x " &amp; 'SAÍDA DE VENDAS'!$G$6:$G$500, MATCH(B140, 'SAÍDA DE VENDAS'!$B$6:$B$500, 0)+5), ""), ""))</f>
        <v/>
      </c>
      <c r="G140" s="28">
        <f>IFERROR(VLOOKUP(B140,'SAÍDA DE VENDAS'!$B$6:$P$500,10,FALSE),"")</f>
        <v>0</v>
      </c>
      <c r="H140" s="28" t="str">
        <f>IF(OR(ISBLANK(B140),B140=""), "", IF(B140=B139, (VALUE(LEFT(H139,FIND("/",H139)-1))+1)&amp;"/"&amp;RIGHT(H139,LEN(H139)-FIND("/",H139)), "1/"&amp;IFERROR(VLOOKUP(B140,'SAÍDA DE VENDAS'!$B$6:$P$500,13,FALSE),"1")))</f>
        <v/>
      </c>
      <c r="I140" s="69" t="str">
        <f t="shared" si="4"/>
        <v/>
      </c>
      <c r="J140" s="33" t="str">
        <f>IFERROR(VLOOKUP(B140,'SAÍDA DE VENDAS'!$B$6:$P$500,15,FALSE),"")</f>
        <v/>
      </c>
      <c r="K140" s="28" t="str">
        <f t="shared" ca="1" si="5"/>
        <v/>
      </c>
      <c r="L140" s="28"/>
      <c r="M140" s="28"/>
    </row>
    <row r="141" spans="2:13" ht="15" customHeight="1" x14ac:dyDescent="0.3">
      <c r="B141" s="34" t="str">
        <f>IF(B140="","", IF(VALUE(LEFT(H140,FIND("/",H140)-1)) &lt; VALUE(RIGHT(H140,LEN(H140)-FIND("/",H140))), B140, IFERROR(INDEX('SAÍDA DE VENDAS'!$B$6:$B$500, MATCH(B140,'SAÍDA DE VENDAS'!$B$6:$B$500,0)+COUNTIF('SAÍDA DE VENDAS'!$B$6:$B$500, B140)),"")))</f>
        <v/>
      </c>
      <c r="C141" s="35">
        <f>IFERROR(VLOOKUP(B141,'SAÍDA DE VENDAS'!$B$6:$P$500,3,FALSE),"")</f>
        <v>0</v>
      </c>
      <c r="D141" s="34">
        <f>IFERROR(VLOOKUP(B141,'SAÍDA DE VENDAS'!$B$6:$P$500,4,FALSE),"")</f>
        <v>0</v>
      </c>
      <c r="E141" s="34" t="str">
        <f>IFERROR(VLOOKUP(B141,'SAÍDA DE VENDAS'!$B$6:$P$500,5,FALSE),"")</f>
        <v/>
      </c>
      <c r="F141" s="34" t="str">
        <f>IF(OR(ISBLANK(B141),B141=""), "", IFERROR(INDEX('SAÍDA DE VENDAS'!$H$6:$H$500 &amp; "x " &amp; 'SAÍDA DE VENDAS'!$G$6:$G$500, MATCH(B141, 'SAÍDA DE VENDAS'!$B$6:$B$500, 0)), "")&amp; IF(COUNTIF('SAÍDA DE VENDAS'!$B$6:$B$500, B141)&gt;1, " + " &amp; IFERROR(INDEX('SAÍDA DE VENDAS'!$H$6:$H$500 &amp; "x " &amp; 'SAÍDA DE VENDAS'!$G$6:$G$500, MATCH(B141, 'SAÍDA DE VENDAS'!$B$6:$B$500, 0)+1), ""), "")&amp; IF(COUNTIF('SAÍDA DE VENDAS'!$B$6:$B$500, B141)&gt;2, " + " &amp; IFERROR(INDEX('SAÍDA DE VENDAS'!$H$6:$H$500 &amp; "x " &amp; 'SAÍDA DE VENDAS'!$G$6:$G$500, MATCH(B141, 'SAÍDA DE VENDAS'!$B$6:$B$500, 0)+2), ""), "")&amp; IF(COUNTIF('SAÍDA DE VENDAS'!$B$6:$B$500, B141)&gt;3, " + " &amp; IFERROR(INDEX('SAÍDA DE VENDAS'!$H$6:$H$500 &amp; "x " &amp; 'SAÍDA DE VENDAS'!$G$6:$G$500, MATCH(B141, 'SAÍDA DE VENDAS'!$B$6:$B$500, 0)+3), ""), "")&amp; IF(COUNTIF('SAÍDA DE VENDAS'!$B$6:$B$500, B141)&gt;4, " + " &amp; IFERROR(INDEX('SAÍDA DE VENDAS'!$H$6:$H$500 &amp; "x " &amp; 'SAÍDA DE VENDAS'!$G$6:$G$500, MATCH(B141, 'SAÍDA DE VENDAS'!$B$6:$B$500, 0)+4), ""), "")&amp; IF(COUNTIF('SAÍDA DE VENDAS'!$B$6:$B$500, B141)&gt;5, " + " &amp; IFERROR(INDEX('SAÍDA DE VENDAS'!$H$6:$H$500 &amp; "x " &amp; 'SAÍDA DE VENDAS'!$G$6:$G$500, MATCH(B141, 'SAÍDA DE VENDAS'!$B$6:$B$500, 0)+5), ""), ""))</f>
        <v/>
      </c>
      <c r="G141" s="34">
        <f>IFERROR(VLOOKUP(B141,'SAÍDA DE VENDAS'!$B$6:$P$500,10,FALSE),"")</f>
        <v>0</v>
      </c>
      <c r="H141" s="34" t="str">
        <f>IF(OR(ISBLANK(B141),B141=""), "", IF(B141=B140, (VALUE(LEFT(H140,FIND("/",H140)-1))+1)&amp;"/"&amp;RIGHT(H140,LEN(H140)-FIND("/",H140)), "1/"&amp;IFERROR(VLOOKUP(B141,'SAÍDA DE VENDAS'!$B$6:$P$500,13,FALSE),"1")))</f>
        <v/>
      </c>
      <c r="I141" s="35" t="str">
        <f t="shared" si="4"/>
        <v/>
      </c>
      <c r="J141" s="39" t="str">
        <f>IFERROR(VLOOKUP(B141,'SAÍDA DE VENDAS'!$B$6:$P$500,15,FALSE),"")</f>
        <v/>
      </c>
      <c r="K141" s="34" t="str">
        <f t="shared" ca="1" si="5"/>
        <v/>
      </c>
      <c r="L141" s="34"/>
      <c r="M141" s="34"/>
    </row>
    <row r="142" spans="2:13" ht="15" customHeight="1" x14ac:dyDescent="0.3">
      <c r="B142" s="28" t="str">
        <f>IF(B141="","", IF(VALUE(LEFT(H141,FIND("/",H141)-1)) &lt; VALUE(RIGHT(H141,LEN(H141)-FIND("/",H141))), B141, IFERROR(INDEX('SAÍDA DE VENDAS'!$B$6:$B$500, MATCH(B141,'SAÍDA DE VENDAS'!$B$6:$B$500,0)+COUNTIF('SAÍDA DE VENDAS'!$B$6:$B$500, B141)),"")))</f>
        <v/>
      </c>
      <c r="C142" s="29">
        <f>IFERROR(VLOOKUP(B142,'SAÍDA DE VENDAS'!$B$6:$P$500,3,FALSE),"")</f>
        <v>0</v>
      </c>
      <c r="D142" s="28">
        <f>IFERROR(VLOOKUP(B142,'SAÍDA DE VENDAS'!$B$6:$P$500,4,FALSE),"")</f>
        <v>0</v>
      </c>
      <c r="E142" s="28" t="str">
        <f>IFERROR(VLOOKUP(B142,'SAÍDA DE VENDAS'!$B$6:$P$500,5,FALSE),"")</f>
        <v/>
      </c>
      <c r="F142" s="28" t="str">
        <f>IF(OR(ISBLANK(B142),B142=""), "", IFERROR(INDEX('SAÍDA DE VENDAS'!$H$6:$H$500 &amp; "x " &amp; 'SAÍDA DE VENDAS'!$G$6:$G$500, MATCH(B142, 'SAÍDA DE VENDAS'!$B$6:$B$500, 0)), "")&amp; IF(COUNTIF('SAÍDA DE VENDAS'!$B$6:$B$500, B142)&gt;1, " + " &amp; IFERROR(INDEX('SAÍDA DE VENDAS'!$H$6:$H$500 &amp; "x " &amp; 'SAÍDA DE VENDAS'!$G$6:$G$500, MATCH(B142, 'SAÍDA DE VENDAS'!$B$6:$B$500, 0)+1), ""), "")&amp; IF(COUNTIF('SAÍDA DE VENDAS'!$B$6:$B$500, B142)&gt;2, " + " &amp; IFERROR(INDEX('SAÍDA DE VENDAS'!$H$6:$H$500 &amp; "x " &amp; 'SAÍDA DE VENDAS'!$G$6:$G$500, MATCH(B142, 'SAÍDA DE VENDAS'!$B$6:$B$500, 0)+2), ""), "")&amp; IF(COUNTIF('SAÍDA DE VENDAS'!$B$6:$B$500, B142)&gt;3, " + " &amp; IFERROR(INDEX('SAÍDA DE VENDAS'!$H$6:$H$500 &amp; "x " &amp; 'SAÍDA DE VENDAS'!$G$6:$G$500, MATCH(B142, 'SAÍDA DE VENDAS'!$B$6:$B$500, 0)+3), ""), "")&amp; IF(COUNTIF('SAÍDA DE VENDAS'!$B$6:$B$500, B142)&gt;4, " + " &amp; IFERROR(INDEX('SAÍDA DE VENDAS'!$H$6:$H$500 &amp; "x " &amp; 'SAÍDA DE VENDAS'!$G$6:$G$500, MATCH(B142, 'SAÍDA DE VENDAS'!$B$6:$B$500, 0)+4), ""), "")&amp; IF(COUNTIF('SAÍDA DE VENDAS'!$B$6:$B$500, B142)&gt;5, " + " &amp; IFERROR(INDEX('SAÍDA DE VENDAS'!$H$6:$H$500 &amp; "x " &amp; 'SAÍDA DE VENDAS'!$G$6:$G$500, MATCH(B142, 'SAÍDA DE VENDAS'!$B$6:$B$500, 0)+5), ""), ""))</f>
        <v/>
      </c>
      <c r="G142" s="28">
        <f>IFERROR(VLOOKUP(B142,'SAÍDA DE VENDAS'!$B$6:$P$500,10,FALSE),"")</f>
        <v>0</v>
      </c>
      <c r="H142" s="28" t="str">
        <f>IF(OR(ISBLANK(B142),B142=""), "", IF(B142=B141, (VALUE(LEFT(H141,FIND("/",H141)-1))+1)&amp;"/"&amp;RIGHT(H141,LEN(H141)-FIND("/",H141)), "1/"&amp;IFERROR(VLOOKUP(B142,'SAÍDA DE VENDAS'!$B$6:$P$500,13,FALSE),"1")))</f>
        <v/>
      </c>
      <c r="I142" s="69" t="str">
        <f t="shared" si="4"/>
        <v/>
      </c>
      <c r="J142" s="33" t="str">
        <f>IFERROR(VLOOKUP(B142,'SAÍDA DE VENDAS'!$B$6:$P$500,15,FALSE),"")</f>
        <v/>
      </c>
      <c r="K142" s="28" t="str">
        <f t="shared" ca="1" si="5"/>
        <v/>
      </c>
      <c r="L142" s="28"/>
      <c r="M142" s="28"/>
    </row>
    <row r="143" spans="2:13" ht="15" customHeight="1" x14ac:dyDescent="0.3">
      <c r="B143" s="34" t="str">
        <f>IF(B142="","", IF(VALUE(LEFT(H142,FIND("/",H142)-1)) &lt; VALUE(RIGHT(H142,LEN(H142)-FIND("/",H142))), B142, IFERROR(INDEX('SAÍDA DE VENDAS'!$B$6:$B$500, MATCH(B142,'SAÍDA DE VENDAS'!$B$6:$B$500,0)+COUNTIF('SAÍDA DE VENDAS'!$B$6:$B$500, B142)),"")))</f>
        <v/>
      </c>
      <c r="C143" s="35">
        <f>IFERROR(VLOOKUP(B143,'SAÍDA DE VENDAS'!$B$6:$P$500,3,FALSE),"")</f>
        <v>0</v>
      </c>
      <c r="D143" s="34">
        <f>IFERROR(VLOOKUP(B143,'SAÍDA DE VENDAS'!$B$6:$P$500,4,FALSE),"")</f>
        <v>0</v>
      </c>
      <c r="E143" s="34" t="str">
        <f>IFERROR(VLOOKUP(B143,'SAÍDA DE VENDAS'!$B$6:$P$500,5,FALSE),"")</f>
        <v/>
      </c>
      <c r="F143" s="34" t="str">
        <f>IF(OR(ISBLANK(B143),B143=""), "", IFERROR(INDEX('SAÍDA DE VENDAS'!$H$6:$H$500 &amp; "x " &amp; 'SAÍDA DE VENDAS'!$G$6:$G$500, MATCH(B143, 'SAÍDA DE VENDAS'!$B$6:$B$500, 0)), "")&amp; IF(COUNTIF('SAÍDA DE VENDAS'!$B$6:$B$500, B143)&gt;1, " + " &amp; IFERROR(INDEX('SAÍDA DE VENDAS'!$H$6:$H$500 &amp; "x " &amp; 'SAÍDA DE VENDAS'!$G$6:$G$500, MATCH(B143, 'SAÍDA DE VENDAS'!$B$6:$B$500, 0)+1), ""), "")&amp; IF(COUNTIF('SAÍDA DE VENDAS'!$B$6:$B$500, B143)&gt;2, " + " &amp; IFERROR(INDEX('SAÍDA DE VENDAS'!$H$6:$H$500 &amp; "x " &amp; 'SAÍDA DE VENDAS'!$G$6:$G$500, MATCH(B143, 'SAÍDA DE VENDAS'!$B$6:$B$500, 0)+2), ""), "")&amp; IF(COUNTIF('SAÍDA DE VENDAS'!$B$6:$B$500, B143)&gt;3, " + " &amp; IFERROR(INDEX('SAÍDA DE VENDAS'!$H$6:$H$500 &amp; "x " &amp; 'SAÍDA DE VENDAS'!$G$6:$G$500, MATCH(B143, 'SAÍDA DE VENDAS'!$B$6:$B$500, 0)+3), ""), "")&amp; IF(COUNTIF('SAÍDA DE VENDAS'!$B$6:$B$500, B143)&gt;4, " + " &amp; IFERROR(INDEX('SAÍDA DE VENDAS'!$H$6:$H$500 &amp; "x " &amp; 'SAÍDA DE VENDAS'!$G$6:$G$500, MATCH(B143, 'SAÍDA DE VENDAS'!$B$6:$B$500, 0)+4), ""), "")&amp; IF(COUNTIF('SAÍDA DE VENDAS'!$B$6:$B$500, B143)&gt;5, " + " &amp; IFERROR(INDEX('SAÍDA DE VENDAS'!$H$6:$H$500 &amp; "x " &amp; 'SAÍDA DE VENDAS'!$G$6:$G$500, MATCH(B143, 'SAÍDA DE VENDAS'!$B$6:$B$500, 0)+5), ""), ""))</f>
        <v/>
      </c>
      <c r="G143" s="34">
        <f>IFERROR(VLOOKUP(B143,'SAÍDA DE VENDAS'!$B$6:$P$500,10,FALSE),"")</f>
        <v>0</v>
      </c>
      <c r="H143" s="34" t="str">
        <f>IF(OR(ISBLANK(B143),B143=""), "", IF(B143=B142, (VALUE(LEFT(H142,FIND("/",H142)-1))+1)&amp;"/"&amp;RIGHT(H142,LEN(H142)-FIND("/",H142)), "1/"&amp;IFERROR(VLOOKUP(B143,'SAÍDA DE VENDAS'!$B$6:$P$500,13,FALSE),"1")))</f>
        <v/>
      </c>
      <c r="I143" s="35" t="str">
        <f t="shared" si="4"/>
        <v/>
      </c>
      <c r="J143" s="39" t="str">
        <f>IFERROR(VLOOKUP(B143,'SAÍDA DE VENDAS'!$B$6:$P$500,15,FALSE),"")</f>
        <v/>
      </c>
      <c r="K143" s="34" t="str">
        <f t="shared" ca="1" si="5"/>
        <v/>
      </c>
      <c r="L143" s="34"/>
      <c r="M143" s="34"/>
    </row>
    <row r="144" spans="2:13" ht="15" customHeight="1" x14ac:dyDescent="0.3">
      <c r="B144" s="28" t="str">
        <f>IF(B143="","", IF(VALUE(LEFT(H143,FIND("/",H143)-1)) &lt; VALUE(RIGHT(H143,LEN(H143)-FIND("/",H143))), B143, IFERROR(INDEX('SAÍDA DE VENDAS'!$B$6:$B$500, MATCH(B143,'SAÍDA DE VENDAS'!$B$6:$B$500,0)+COUNTIF('SAÍDA DE VENDAS'!$B$6:$B$500, B143)),"")))</f>
        <v/>
      </c>
      <c r="C144" s="29">
        <f>IFERROR(VLOOKUP(B144,'SAÍDA DE VENDAS'!$B$6:$P$500,3,FALSE),"")</f>
        <v>0</v>
      </c>
      <c r="D144" s="28">
        <f>IFERROR(VLOOKUP(B144,'SAÍDA DE VENDAS'!$B$6:$P$500,4,FALSE),"")</f>
        <v>0</v>
      </c>
      <c r="E144" s="28" t="str">
        <f>IFERROR(VLOOKUP(B144,'SAÍDA DE VENDAS'!$B$6:$P$500,5,FALSE),"")</f>
        <v/>
      </c>
      <c r="F144" s="28" t="str">
        <f>IF(OR(ISBLANK(B144),B144=""), "", IFERROR(INDEX('SAÍDA DE VENDAS'!$H$6:$H$500 &amp; "x " &amp; 'SAÍDA DE VENDAS'!$G$6:$G$500, MATCH(B144, 'SAÍDA DE VENDAS'!$B$6:$B$500, 0)), "")&amp; IF(COUNTIF('SAÍDA DE VENDAS'!$B$6:$B$500, B144)&gt;1, " + " &amp; IFERROR(INDEX('SAÍDA DE VENDAS'!$H$6:$H$500 &amp; "x " &amp; 'SAÍDA DE VENDAS'!$G$6:$G$500, MATCH(B144, 'SAÍDA DE VENDAS'!$B$6:$B$500, 0)+1), ""), "")&amp; IF(COUNTIF('SAÍDA DE VENDAS'!$B$6:$B$500, B144)&gt;2, " + " &amp; IFERROR(INDEX('SAÍDA DE VENDAS'!$H$6:$H$500 &amp; "x " &amp; 'SAÍDA DE VENDAS'!$G$6:$G$500, MATCH(B144, 'SAÍDA DE VENDAS'!$B$6:$B$500, 0)+2), ""), "")&amp; IF(COUNTIF('SAÍDA DE VENDAS'!$B$6:$B$500, B144)&gt;3, " + " &amp; IFERROR(INDEX('SAÍDA DE VENDAS'!$H$6:$H$500 &amp; "x " &amp; 'SAÍDA DE VENDAS'!$G$6:$G$500, MATCH(B144, 'SAÍDA DE VENDAS'!$B$6:$B$500, 0)+3), ""), "")&amp; IF(COUNTIF('SAÍDA DE VENDAS'!$B$6:$B$500, B144)&gt;4, " + " &amp; IFERROR(INDEX('SAÍDA DE VENDAS'!$H$6:$H$500 &amp; "x " &amp; 'SAÍDA DE VENDAS'!$G$6:$G$500, MATCH(B144, 'SAÍDA DE VENDAS'!$B$6:$B$500, 0)+4), ""), "")&amp; IF(COUNTIF('SAÍDA DE VENDAS'!$B$6:$B$500, B144)&gt;5, " + " &amp; IFERROR(INDEX('SAÍDA DE VENDAS'!$H$6:$H$500 &amp; "x " &amp; 'SAÍDA DE VENDAS'!$G$6:$G$500, MATCH(B144, 'SAÍDA DE VENDAS'!$B$6:$B$500, 0)+5), ""), ""))</f>
        <v/>
      </c>
      <c r="G144" s="28">
        <f>IFERROR(VLOOKUP(B144,'SAÍDA DE VENDAS'!$B$6:$P$500,10,FALSE),"")</f>
        <v>0</v>
      </c>
      <c r="H144" s="28" t="str">
        <f>IF(OR(ISBLANK(B144),B144=""), "", IF(B144=B143, (VALUE(LEFT(H143,FIND("/",H143)-1))+1)&amp;"/"&amp;RIGHT(H143,LEN(H143)-FIND("/",H143)), "1/"&amp;IFERROR(VLOOKUP(B144,'SAÍDA DE VENDAS'!$B$6:$P$500,13,FALSE),"1")))</f>
        <v/>
      </c>
      <c r="I144" s="69" t="str">
        <f t="shared" si="4"/>
        <v/>
      </c>
      <c r="J144" s="33" t="str">
        <f>IFERROR(VLOOKUP(B144,'SAÍDA DE VENDAS'!$B$6:$P$500,15,FALSE),"")</f>
        <v/>
      </c>
      <c r="K144" s="28" t="str">
        <f t="shared" ca="1" si="5"/>
        <v/>
      </c>
      <c r="L144" s="28"/>
      <c r="M144" s="28"/>
    </row>
    <row r="145" spans="2:13" ht="15" customHeight="1" x14ac:dyDescent="0.3">
      <c r="B145" s="34" t="str">
        <f>IF(B144="","", IF(VALUE(LEFT(H144,FIND("/",H144)-1)) &lt; VALUE(RIGHT(H144,LEN(H144)-FIND("/",H144))), B144, IFERROR(INDEX('SAÍDA DE VENDAS'!$B$6:$B$500, MATCH(B144,'SAÍDA DE VENDAS'!$B$6:$B$500,0)+COUNTIF('SAÍDA DE VENDAS'!$B$6:$B$500, B144)),"")))</f>
        <v/>
      </c>
      <c r="C145" s="35">
        <f>IFERROR(VLOOKUP(B145,'SAÍDA DE VENDAS'!$B$6:$P$500,3,FALSE),"")</f>
        <v>0</v>
      </c>
      <c r="D145" s="34">
        <f>IFERROR(VLOOKUP(B145,'SAÍDA DE VENDAS'!$B$6:$P$500,4,FALSE),"")</f>
        <v>0</v>
      </c>
      <c r="E145" s="34" t="str">
        <f>IFERROR(VLOOKUP(B145,'SAÍDA DE VENDAS'!$B$6:$P$500,5,FALSE),"")</f>
        <v/>
      </c>
      <c r="F145" s="34" t="str">
        <f>IF(OR(ISBLANK(B145),B145=""), "", IFERROR(INDEX('SAÍDA DE VENDAS'!$H$6:$H$500 &amp; "x " &amp; 'SAÍDA DE VENDAS'!$G$6:$G$500, MATCH(B145, 'SAÍDA DE VENDAS'!$B$6:$B$500, 0)), "")&amp; IF(COUNTIF('SAÍDA DE VENDAS'!$B$6:$B$500, B145)&gt;1, " + " &amp; IFERROR(INDEX('SAÍDA DE VENDAS'!$H$6:$H$500 &amp; "x " &amp; 'SAÍDA DE VENDAS'!$G$6:$G$500, MATCH(B145, 'SAÍDA DE VENDAS'!$B$6:$B$500, 0)+1), ""), "")&amp; IF(COUNTIF('SAÍDA DE VENDAS'!$B$6:$B$500, B145)&gt;2, " + " &amp; IFERROR(INDEX('SAÍDA DE VENDAS'!$H$6:$H$500 &amp; "x " &amp; 'SAÍDA DE VENDAS'!$G$6:$G$500, MATCH(B145, 'SAÍDA DE VENDAS'!$B$6:$B$500, 0)+2), ""), "")&amp; IF(COUNTIF('SAÍDA DE VENDAS'!$B$6:$B$500, B145)&gt;3, " + " &amp; IFERROR(INDEX('SAÍDA DE VENDAS'!$H$6:$H$500 &amp; "x " &amp; 'SAÍDA DE VENDAS'!$G$6:$G$500, MATCH(B145, 'SAÍDA DE VENDAS'!$B$6:$B$500, 0)+3), ""), "")&amp; IF(COUNTIF('SAÍDA DE VENDAS'!$B$6:$B$500, B145)&gt;4, " + " &amp; IFERROR(INDEX('SAÍDA DE VENDAS'!$H$6:$H$500 &amp; "x " &amp; 'SAÍDA DE VENDAS'!$G$6:$G$500, MATCH(B145, 'SAÍDA DE VENDAS'!$B$6:$B$500, 0)+4), ""), "")&amp; IF(COUNTIF('SAÍDA DE VENDAS'!$B$6:$B$500, B145)&gt;5, " + " &amp; IFERROR(INDEX('SAÍDA DE VENDAS'!$H$6:$H$500 &amp; "x " &amp; 'SAÍDA DE VENDAS'!$G$6:$G$500, MATCH(B145, 'SAÍDA DE VENDAS'!$B$6:$B$500, 0)+5), ""), ""))</f>
        <v/>
      </c>
      <c r="G145" s="34">
        <f>IFERROR(VLOOKUP(B145,'SAÍDA DE VENDAS'!$B$6:$P$500,10,FALSE),"")</f>
        <v>0</v>
      </c>
      <c r="H145" s="34" t="str">
        <f>IF(OR(ISBLANK(B145),B145=""), "", IF(B145=B144, (VALUE(LEFT(H144,FIND("/",H144)-1))+1)&amp;"/"&amp;RIGHT(H144,LEN(H144)-FIND("/",H144)), "1/"&amp;IFERROR(VLOOKUP(B145,'SAÍDA DE VENDAS'!$B$6:$P$500,13,FALSE),"1")))</f>
        <v/>
      </c>
      <c r="I145" s="35" t="str">
        <f t="shared" si="4"/>
        <v/>
      </c>
      <c r="J145" s="39" t="str">
        <f>IFERROR(VLOOKUP(B145,'SAÍDA DE VENDAS'!$B$6:$P$500,15,FALSE),"")</f>
        <v/>
      </c>
      <c r="K145" s="34" t="str">
        <f t="shared" ca="1" si="5"/>
        <v/>
      </c>
      <c r="L145" s="34"/>
      <c r="M145" s="34"/>
    </row>
    <row r="146" spans="2:13" ht="15" customHeight="1" x14ac:dyDescent="0.3">
      <c r="B146" s="28" t="str">
        <f>IF(B145="","", IF(VALUE(LEFT(H145,FIND("/",H145)-1)) &lt; VALUE(RIGHT(H145,LEN(H145)-FIND("/",H145))), B145, IFERROR(INDEX('SAÍDA DE VENDAS'!$B$6:$B$500, MATCH(B145,'SAÍDA DE VENDAS'!$B$6:$B$500,0)+COUNTIF('SAÍDA DE VENDAS'!$B$6:$B$500, B145)),"")))</f>
        <v/>
      </c>
      <c r="C146" s="29">
        <f>IFERROR(VLOOKUP(B146,'SAÍDA DE VENDAS'!$B$6:$P$500,3,FALSE),"")</f>
        <v>0</v>
      </c>
      <c r="D146" s="28">
        <f>IFERROR(VLOOKUP(B146,'SAÍDA DE VENDAS'!$B$6:$P$500,4,FALSE),"")</f>
        <v>0</v>
      </c>
      <c r="E146" s="28" t="str">
        <f>IFERROR(VLOOKUP(B146,'SAÍDA DE VENDAS'!$B$6:$P$500,5,FALSE),"")</f>
        <v/>
      </c>
      <c r="F146" s="28" t="str">
        <f>IF(OR(ISBLANK(B146),B146=""), "", IFERROR(INDEX('SAÍDA DE VENDAS'!$H$6:$H$500 &amp; "x " &amp; 'SAÍDA DE VENDAS'!$G$6:$G$500, MATCH(B146, 'SAÍDA DE VENDAS'!$B$6:$B$500, 0)), "")&amp; IF(COUNTIF('SAÍDA DE VENDAS'!$B$6:$B$500, B146)&gt;1, " + " &amp; IFERROR(INDEX('SAÍDA DE VENDAS'!$H$6:$H$500 &amp; "x " &amp; 'SAÍDA DE VENDAS'!$G$6:$G$500, MATCH(B146, 'SAÍDA DE VENDAS'!$B$6:$B$500, 0)+1), ""), "")&amp; IF(COUNTIF('SAÍDA DE VENDAS'!$B$6:$B$500, B146)&gt;2, " + " &amp; IFERROR(INDEX('SAÍDA DE VENDAS'!$H$6:$H$500 &amp; "x " &amp; 'SAÍDA DE VENDAS'!$G$6:$G$500, MATCH(B146, 'SAÍDA DE VENDAS'!$B$6:$B$500, 0)+2), ""), "")&amp; IF(COUNTIF('SAÍDA DE VENDAS'!$B$6:$B$500, B146)&gt;3, " + " &amp; IFERROR(INDEX('SAÍDA DE VENDAS'!$H$6:$H$500 &amp; "x " &amp; 'SAÍDA DE VENDAS'!$G$6:$G$500, MATCH(B146, 'SAÍDA DE VENDAS'!$B$6:$B$500, 0)+3), ""), "")&amp; IF(COUNTIF('SAÍDA DE VENDAS'!$B$6:$B$500, B146)&gt;4, " + " &amp; IFERROR(INDEX('SAÍDA DE VENDAS'!$H$6:$H$500 &amp; "x " &amp; 'SAÍDA DE VENDAS'!$G$6:$G$500, MATCH(B146, 'SAÍDA DE VENDAS'!$B$6:$B$500, 0)+4), ""), "")&amp; IF(COUNTIF('SAÍDA DE VENDAS'!$B$6:$B$500, B146)&gt;5, " + " &amp; IFERROR(INDEX('SAÍDA DE VENDAS'!$H$6:$H$500 &amp; "x " &amp; 'SAÍDA DE VENDAS'!$G$6:$G$500, MATCH(B146, 'SAÍDA DE VENDAS'!$B$6:$B$500, 0)+5), ""), ""))</f>
        <v/>
      </c>
      <c r="G146" s="28">
        <f>IFERROR(VLOOKUP(B146,'SAÍDA DE VENDAS'!$B$6:$P$500,10,FALSE),"")</f>
        <v>0</v>
      </c>
      <c r="H146" s="28" t="str">
        <f>IF(OR(ISBLANK(B146),B146=""), "", IF(B146=B145, (VALUE(LEFT(H145,FIND("/",H145)-1))+1)&amp;"/"&amp;RIGHT(H145,LEN(H145)-FIND("/",H145)), "1/"&amp;IFERROR(VLOOKUP(B146,'SAÍDA DE VENDAS'!$B$6:$P$500,13,FALSE),"1")))</f>
        <v/>
      </c>
      <c r="I146" s="69" t="str">
        <f t="shared" si="4"/>
        <v/>
      </c>
      <c r="J146" s="33" t="str">
        <f>IFERROR(VLOOKUP(B146,'SAÍDA DE VENDAS'!$B$6:$P$500,15,FALSE),"")</f>
        <v/>
      </c>
      <c r="K146" s="28" t="str">
        <f t="shared" ca="1" si="5"/>
        <v/>
      </c>
      <c r="L146" s="28"/>
      <c r="M146" s="28"/>
    </row>
    <row r="147" spans="2:13" ht="15" customHeight="1" x14ac:dyDescent="0.3">
      <c r="B147" s="34" t="str">
        <f>IF(B146="","", IF(VALUE(LEFT(H146,FIND("/",H146)-1)) &lt; VALUE(RIGHT(H146,LEN(H146)-FIND("/",H146))), B146, IFERROR(INDEX('SAÍDA DE VENDAS'!$B$6:$B$500, MATCH(B146,'SAÍDA DE VENDAS'!$B$6:$B$500,0)+COUNTIF('SAÍDA DE VENDAS'!$B$6:$B$500, B146)),"")))</f>
        <v/>
      </c>
      <c r="C147" s="35">
        <f>IFERROR(VLOOKUP(B147,'SAÍDA DE VENDAS'!$B$6:$P$500,3,FALSE),"")</f>
        <v>0</v>
      </c>
      <c r="D147" s="34">
        <f>IFERROR(VLOOKUP(B147,'SAÍDA DE VENDAS'!$B$6:$P$500,4,FALSE),"")</f>
        <v>0</v>
      </c>
      <c r="E147" s="34" t="str">
        <f>IFERROR(VLOOKUP(B147,'SAÍDA DE VENDAS'!$B$6:$P$500,5,FALSE),"")</f>
        <v/>
      </c>
      <c r="F147" s="34" t="str">
        <f>IF(OR(ISBLANK(B147),B147=""), "", IFERROR(INDEX('SAÍDA DE VENDAS'!$H$6:$H$500 &amp; "x " &amp; 'SAÍDA DE VENDAS'!$G$6:$G$500, MATCH(B147, 'SAÍDA DE VENDAS'!$B$6:$B$500, 0)), "")&amp; IF(COUNTIF('SAÍDA DE VENDAS'!$B$6:$B$500, B147)&gt;1, " + " &amp; IFERROR(INDEX('SAÍDA DE VENDAS'!$H$6:$H$500 &amp; "x " &amp; 'SAÍDA DE VENDAS'!$G$6:$G$500, MATCH(B147, 'SAÍDA DE VENDAS'!$B$6:$B$500, 0)+1), ""), "")&amp; IF(COUNTIF('SAÍDA DE VENDAS'!$B$6:$B$500, B147)&gt;2, " + " &amp; IFERROR(INDEX('SAÍDA DE VENDAS'!$H$6:$H$500 &amp; "x " &amp; 'SAÍDA DE VENDAS'!$G$6:$G$500, MATCH(B147, 'SAÍDA DE VENDAS'!$B$6:$B$500, 0)+2), ""), "")&amp; IF(COUNTIF('SAÍDA DE VENDAS'!$B$6:$B$500, B147)&gt;3, " + " &amp; IFERROR(INDEX('SAÍDA DE VENDAS'!$H$6:$H$500 &amp; "x " &amp; 'SAÍDA DE VENDAS'!$G$6:$G$500, MATCH(B147, 'SAÍDA DE VENDAS'!$B$6:$B$500, 0)+3), ""), "")&amp; IF(COUNTIF('SAÍDA DE VENDAS'!$B$6:$B$500, B147)&gt;4, " + " &amp; IFERROR(INDEX('SAÍDA DE VENDAS'!$H$6:$H$500 &amp; "x " &amp; 'SAÍDA DE VENDAS'!$G$6:$G$500, MATCH(B147, 'SAÍDA DE VENDAS'!$B$6:$B$500, 0)+4), ""), "")&amp; IF(COUNTIF('SAÍDA DE VENDAS'!$B$6:$B$500, B147)&gt;5, " + " &amp; IFERROR(INDEX('SAÍDA DE VENDAS'!$H$6:$H$500 &amp; "x " &amp; 'SAÍDA DE VENDAS'!$G$6:$G$500, MATCH(B147, 'SAÍDA DE VENDAS'!$B$6:$B$500, 0)+5), ""), ""))</f>
        <v/>
      </c>
      <c r="G147" s="34">
        <f>IFERROR(VLOOKUP(B147,'SAÍDA DE VENDAS'!$B$6:$P$500,10,FALSE),"")</f>
        <v>0</v>
      </c>
      <c r="H147" s="34" t="str">
        <f>IF(OR(ISBLANK(B147),B147=""), "", IF(B147=B146, (VALUE(LEFT(H146,FIND("/",H146)-1))+1)&amp;"/"&amp;RIGHT(H146,LEN(H146)-FIND("/",H146)), "1/"&amp;IFERROR(VLOOKUP(B147,'SAÍDA DE VENDAS'!$B$6:$P$500,13,FALSE),"1")))</f>
        <v/>
      </c>
      <c r="I147" s="35" t="str">
        <f t="shared" si="4"/>
        <v/>
      </c>
      <c r="J147" s="39" t="str">
        <f>IFERROR(VLOOKUP(B147,'SAÍDA DE VENDAS'!$B$6:$P$500,15,FALSE),"")</f>
        <v/>
      </c>
      <c r="K147" s="34" t="str">
        <f t="shared" ca="1" si="5"/>
        <v/>
      </c>
      <c r="L147" s="34"/>
      <c r="M147" s="34"/>
    </row>
    <row r="148" spans="2:13" ht="15" customHeight="1" x14ac:dyDescent="0.3">
      <c r="B148" s="28" t="str">
        <f>IF(B147="","", IF(VALUE(LEFT(H147,FIND("/",H147)-1)) &lt; VALUE(RIGHT(H147,LEN(H147)-FIND("/",H147))), B147, IFERROR(INDEX('SAÍDA DE VENDAS'!$B$6:$B$500, MATCH(B147,'SAÍDA DE VENDAS'!$B$6:$B$500,0)+COUNTIF('SAÍDA DE VENDAS'!$B$6:$B$500, B147)),"")))</f>
        <v/>
      </c>
      <c r="C148" s="29">
        <f>IFERROR(VLOOKUP(B148,'SAÍDA DE VENDAS'!$B$6:$P$500,3,FALSE),"")</f>
        <v>0</v>
      </c>
      <c r="D148" s="28">
        <f>IFERROR(VLOOKUP(B148,'SAÍDA DE VENDAS'!$B$6:$P$500,4,FALSE),"")</f>
        <v>0</v>
      </c>
      <c r="E148" s="28" t="str">
        <f>IFERROR(VLOOKUP(B148,'SAÍDA DE VENDAS'!$B$6:$P$500,5,FALSE),"")</f>
        <v/>
      </c>
      <c r="F148" s="28" t="str">
        <f>IF(OR(ISBLANK(B148),B148=""), "", IFERROR(INDEX('SAÍDA DE VENDAS'!$H$6:$H$500 &amp; "x " &amp; 'SAÍDA DE VENDAS'!$G$6:$G$500, MATCH(B148, 'SAÍDA DE VENDAS'!$B$6:$B$500, 0)), "")&amp; IF(COUNTIF('SAÍDA DE VENDAS'!$B$6:$B$500, B148)&gt;1, " + " &amp; IFERROR(INDEX('SAÍDA DE VENDAS'!$H$6:$H$500 &amp; "x " &amp; 'SAÍDA DE VENDAS'!$G$6:$G$500, MATCH(B148, 'SAÍDA DE VENDAS'!$B$6:$B$500, 0)+1), ""), "")&amp; IF(COUNTIF('SAÍDA DE VENDAS'!$B$6:$B$500, B148)&gt;2, " + " &amp; IFERROR(INDEX('SAÍDA DE VENDAS'!$H$6:$H$500 &amp; "x " &amp; 'SAÍDA DE VENDAS'!$G$6:$G$500, MATCH(B148, 'SAÍDA DE VENDAS'!$B$6:$B$500, 0)+2), ""), "")&amp; IF(COUNTIF('SAÍDA DE VENDAS'!$B$6:$B$500, B148)&gt;3, " + " &amp; IFERROR(INDEX('SAÍDA DE VENDAS'!$H$6:$H$500 &amp; "x " &amp; 'SAÍDA DE VENDAS'!$G$6:$G$500, MATCH(B148, 'SAÍDA DE VENDAS'!$B$6:$B$500, 0)+3), ""), "")&amp; IF(COUNTIF('SAÍDA DE VENDAS'!$B$6:$B$500, B148)&gt;4, " + " &amp; IFERROR(INDEX('SAÍDA DE VENDAS'!$H$6:$H$500 &amp; "x " &amp; 'SAÍDA DE VENDAS'!$G$6:$G$500, MATCH(B148, 'SAÍDA DE VENDAS'!$B$6:$B$500, 0)+4), ""), "")&amp; IF(COUNTIF('SAÍDA DE VENDAS'!$B$6:$B$500, B148)&gt;5, " + " &amp; IFERROR(INDEX('SAÍDA DE VENDAS'!$H$6:$H$500 &amp; "x " &amp; 'SAÍDA DE VENDAS'!$G$6:$G$500, MATCH(B148, 'SAÍDA DE VENDAS'!$B$6:$B$500, 0)+5), ""), ""))</f>
        <v/>
      </c>
      <c r="G148" s="28">
        <f>IFERROR(VLOOKUP(B148,'SAÍDA DE VENDAS'!$B$6:$P$500,10,FALSE),"")</f>
        <v>0</v>
      </c>
      <c r="H148" s="28" t="str">
        <f>IF(OR(ISBLANK(B148),B148=""), "", IF(B148=B147, (VALUE(LEFT(H147,FIND("/",H147)-1))+1)&amp;"/"&amp;RIGHT(H147,LEN(H147)-FIND("/",H147)), "1/"&amp;IFERROR(VLOOKUP(B148,'SAÍDA DE VENDAS'!$B$6:$P$500,13,FALSE),"1")))</f>
        <v/>
      </c>
      <c r="I148" s="69" t="str">
        <f t="shared" si="4"/>
        <v/>
      </c>
      <c r="J148" s="33" t="str">
        <f>IFERROR(VLOOKUP(B148,'SAÍDA DE VENDAS'!$B$6:$P$500,15,FALSE),"")</f>
        <v/>
      </c>
      <c r="K148" s="28" t="str">
        <f t="shared" ca="1" si="5"/>
        <v/>
      </c>
      <c r="L148" s="28"/>
      <c r="M148" s="28"/>
    </row>
    <row r="149" spans="2:13" ht="15" customHeight="1" x14ac:dyDescent="0.3">
      <c r="B149" s="34" t="str">
        <f>IF(B148="","", IF(VALUE(LEFT(H148,FIND("/",H148)-1)) &lt; VALUE(RIGHT(H148,LEN(H148)-FIND("/",H148))), B148, IFERROR(INDEX('SAÍDA DE VENDAS'!$B$6:$B$500, MATCH(B148,'SAÍDA DE VENDAS'!$B$6:$B$500,0)+COUNTIF('SAÍDA DE VENDAS'!$B$6:$B$500, B148)),"")))</f>
        <v/>
      </c>
      <c r="C149" s="35">
        <f>IFERROR(VLOOKUP(B149,'SAÍDA DE VENDAS'!$B$6:$P$500,3,FALSE),"")</f>
        <v>0</v>
      </c>
      <c r="D149" s="34">
        <f>IFERROR(VLOOKUP(B149,'SAÍDA DE VENDAS'!$B$6:$P$500,4,FALSE),"")</f>
        <v>0</v>
      </c>
      <c r="E149" s="34" t="str">
        <f>IFERROR(VLOOKUP(B149,'SAÍDA DE VENDAS'!$B$6:$P$500,5,FALSE),"")</f>
        <v/>
      </c>
      <c r="F149" s="34" t="str">
        <f>IF(OR(ISBLANK(B149),B149=""), "", IFERROR(INDEX('SAÍDA DE VENDAS'!$H$6:$H$500 &amp; "x " &amp; 'SAÍDA DE VENDAS'!$G$6:$G$500, MATCH(B149, 'SAÍDA DE VENDAS'!$B$6:$B$500, 0)), "")&amp; IF(COUNTIF('SAÍDA DE VENDAS'!$B$6:$B$500, B149)&gt;1, " + " &amp; IFERROR(INDEX('SAÍDA DE VENDAS'!$H$6:$H$500 &amp; "x " &amp; 'SAÍDA DE VENDAS'!$G$6:$G$500, MATCH(B149, 'SAÍDA DE VENDAS'!$B$6:$B$500, 0)+1), ""), "")&amp; IF(COUNTIF('SAÍDA DE VENDAS'!$B$6:$B$500, B149)&gt;2, " + " &amp; IFERROR(INDEX('SAÍDA DE VENDAS'!$H$6:$H$500 &amp; "x " &amp; 'SAÍDA DE VENDAS'!$G$6:$G$500, MATCH(B149, 'SAÍDA DE VENDAS'!$B$6:$B$500, 0)+2), ""), "")&amp; IF(COUNTIF('SAÍDA DE VENDAS'!$B$6:$B$500, B149)&gt;3, " + " &amp; IFERROR(INDEX('SAÍDA DE VENDAS'!$H$6:$H$500 &amp; "x " &amp; 'SAÍDA DE VENDAS'!$G$6:$G$500, MATCH(B149, 'SAÍDA DE VENDAS'!$B$6:$B$500, 0)+3), ""), "")&amp; IF(COUNTIF('SAÍDA DE VENDAS'!$B$6:$B$500, B149)&gt;4, " + " &amp; IFERROR(INDEX('SAÍDA DE VENDAS'!$H$6:$H$500 &amp; "x " &amp; 'SAÍDA DE VENDAS'!$G$6:$G$500, MATCH(B149, 'SAÍDA DE VENDAS'!$B$6:$B$500, 0)+4), ""), "")&amp; IF(COUNTIF('SAÍDA DE VENDAS'!$B$6:$B$500, B149)&gt;5, " + " &amp; IFERROR(INDEX('SAÍDA DE VENDAS'!$H$6:$H$500 &amp; "x " &amp; 'SAÍDA DE VENDAS'!$G$6:$G$500, MATCH(B149, 'SAÍDA DE VENDAS'!$B$6:$B$500, 0)+5), ""), ""))</f>
        <v/>
      </c>
      <c r="G149" s="34">
        <f>IFERROR(VLOOKUP(B149,'SAÍDA DE VENDAS'!$B$6:$P$500,10,FALSE),"")</f>
        <v>0</v>
      </c>
      <c r="H149" s="34" t="str">
        <f>IF(OR(ISBLANK(B149),B149=""), "", IF(B149=B148, (VALUE(LEFT(H148,FIND("/",H148)-1))+1)&amp;"/"&amp;RIGHT(H148,LEN(H148)-FIND("/",H148)), "1/"&amp;IFERROR(VLOOKUP(B149,'SAÍDA DE VENDAS'!$B$6:$P$500,13,FALSE),"1")))</f>
        <v/>
      </c>
      <c r="I149" s="35" t="str">
        <f t="shared" si="4"/>
        <v/>
      </c>
      <c r="J149" s="39" t="str">
        <f>IFERROR(VLOOKUP(B149,'SAÍDA DE VENDAS'!$B$6:$P$500,15,FALSE),"")</f>
        <v/>
      </c>
      <c r="K149" s="34" t="str">
        <f t="shared" ca="1" si="5"/>
        <v/>
      </c>
      <c r="L149" s="34"/>
      <c r="M149" s="34"/>
    </row>
    <row r="150" spans="2:13" ht="15" customHeight="1" x14ac:dyDescent="0.3">
      <c r="B150" s="28" t="str">
        <f>IF(B149="","", IF(VALUE(LEFT(H149,FIND("/",H149)-1)) &lt; VALUE(RIGHT(H149,LEN(H149)-FIND("/",H149))), B149, IFERROR(INDEX('SAÍDA DE VENDAS'!$B$6:$B$500, MATCH(B149,'SAÍDA DE VENDAS'!$B$6:$B$500,0)+COUNTIF('SAÍDA DE VENDAS'!$B$6:$B$500, B149)),"")))</f>
        <v/>
      </c>
      <c r="C150" s="29">
        <f>IFERROR(VLOOKUP(B150,'SAÍDA DE VENDAS'!$B$6:$P$500,3,FALSE),"")</f>
        <v>0</v>
      </c>
      <c r="D150" s="28">
        <f>IFERROR(VLOOKUP(B150,'SAÍDA DE VENDAS'!$B$6:$P$500,4,FALSE),"")</f>
        <v>0</v>
      </c>
      <c r="E150" s="28" t="str">
        <f>IFERROR(VLOOKUP(B150,'SAÍDA DE VENDAS'!$B$6:$P$500,5,FALSE),"")</f>
        <v/>
      </c>
      <c r="F150" s="28" t="str">
        <f>IF(OR(ISBLANK(B150),B150=""), "", IFERROR(INDEX('SAÍDA DE VENDAS'!$H$6:$H$500 &amp; "x " &amp; 'SAÍDA DE VENDAS'!$G$6:$G$500, MATCH(B150, 'SAÍDA DE VENDAS'!$B$6:$B$500, 0)), "")&amp; IF(COUNTIF('SAÍDA DE VENDAS'!$B$6:$B$500, B150)&gt;1, " + " &amp; IFERROR(INDEX('SAÍDA DE VENDAS'!$H$6:$H$500 &amp; "x " &amp; 'SAÍDA DE VENDAS'!$G$6:$G$500, MATCH(B150, 'SAÍDA DE VENDAS'!$B$6:$B$500, 0)+1), ""), "")&amp; IF(COUNTIF('SAÍDA DE VENDAS'!$B$6:$B$500, B150)&gt;2, " + " &amp; IFERROR(INDEX('SAÍDA DE VENDAS'!$H$6:$H$500 &amp; "x " &amp; 'SAÍDA DE VENDAS'!$G$6:$G$500, MATCH(B150, 'SAÍDA DE VENDAS'!$B$6:$B$500, 0)+2), ""), "")&amp; IF(COUNTIF('SAÍDA DE VENDAS'!$B$6:$B$500, B150)&gt;3, " + " &amp; IFERROR(INDEX('SAÍDA DE VENDAS'!$H$6:$H$500 &amp; "x " &amp; 'SAÍDA DE VENDAS'!$G$6:$G$500, MATCH(B150, 'SAÍDA DE VENDAS'!$B$6:$B$500, 0)+3), ""), "")&amp; IF(COUNTIF('SAÍDA DE VENDAS'!$B$6:$B$500, B150)&gt;4, " + " &amp; IFERROR(INDEX('SAÍDA DE VENDAS'!$H$6:$H$500 &amp; "x " &amp; 'SAÍDA DE VENDAS'!$G$6:$G$500, MATCH(B150, 'SAÍDA DE VENDAS'!$B$6:$B$500, 0)+4), ""), "")&amp; IF(COUNTIF('SAÍDA DE VENDAS'!$B$6:$B$500, B150)&gt;5, " + " &amp; IFERROR(INDEX('SAÍDA DE VENDAS'!$H$6:$H$500 &amp; "x " &amp; 'SAÍDA DE VENDAS'!$G$6:$G$500, MATCH(B150, 'SAÍDA DE VENDAS'!$B$6:$B$500, 0)+5), ""), ""))</f>
        <v/>
      </c>
      <c r="G150" s="28">
        <f>IFERROR(VLOOKUP(B150,'SAÍDA DE VENDAS'!$B$6:$P$500,10,FALSE),"")</f>
        <v>0</v>
      </c>
      <c r="H150" s="28" t="str">
        <f>IF(OR(ISBLANK(B150),B150=""), "", IF(B150=B149, (VALUE(LEFT(H149,FIND("/",H149)-1))+1)&amp;"/"&amp;RIGHT(H149,LEN(H149)-FIND("/",H149)), "1/"&amp;IFERROR(VLOOKUP(B150,'SAÍDA DE VENDAS'!$B$6:$P$500,13,FALSE),"1")))</f>
        <v/>
      </c>
      <c r="I150" s="69" t="str">
        <f t="shared" si="4"/>
        <v/>
      </c>
      <c r="J150" s="33" t="str">
        <f>IFERROR(VLOOKUP(B150,'SAÍDA DE VENDAS'!$B$6:$P$500,15,FALSE),"")</f>
        <v/>
      </c>
      <c r="K150" s="28" t="str">
        <f t="shared" ca="1" si="5"/>
        <v/>
      </c>
      <c r="L150" s="28"/>
      <c r="M150" s="28"/>
    </row>
    <row r="151" spans="2:13" ht="15" customHeight="1" x14ac:dyDescent="0.3">
      <c r="B151" s="34" t="str">
        <f>IF(B150="","", IF(VALUE(LEFT(H150,FIND("/",H150)-1)) &lt; VALUE(RIGHT(H150,LEN(H150)-FIND("/",H150))), B150, IFERROR(INDEX('SAÍDA DE VENDAS'!$B$6:$B$500, MATCH(B150,'SAÍDA DE VENDAS'!$B$6:$B$500,0)+COUNTIF('SAÍDA DE VENDAS'!$B$6:$B$500, B150)),"")))</f>
        <v/>
      </c>
      <c r="C151" s="35">
        <f>IFERROR(VLOOKUP(B151,'SAÍDA DE VENDAS'!$B$6:$P$500,3,FALSE),"")</f>
        <v>0</v>
      </c>
      <c r="D151" s="34">
        <f>IFERROR(VLOOKUP(B151,'SAÍDA DE VENDAS'!$B$6:$P$500,4,FALSE),"")</f>
        <v>0</v>
      </c>
      <c r="E151" s="34" t="str">
        <f>IFERROR(VLOOKUP(B151,'SAÍDA DE VENDAS'!$B$6:$P$500,5,FALSE),"")</f>
        <v/>
      </c>
      <c r="F151" s="34" t="str">
        <f>IF(OR(ISBLANK(B151),B151=""), "", IFERROR(INDEX('SAÍDA DE VENDAS'!$H$6:$H$500 &amp; "x " &amp; 'SAÍDA DE VENDAS'!$G$6:$G$500, MATCH(B151, 'SAÍDA DE VENDAS'!$B$6:$B$500, 0)), "")&amp; IF(COUNTIF('SAÍDA DE VENDAS'!$B$6:$B$500, B151)&gt;1, " + " &amp; IFERROR(INDEX('SAÍDA DE VENDAS'!$H$6:$H$500 &amp; "x " &amp; 'SAÍDA DE VENDAS'!$G$6:$G$500, MATCH(B151, 'SAÍDA DE VENDAS'!$B$6:$B$500, 0)+1), ""), "")&amp; IF(COUNTIF('SAÍDA DE VENDAS'!$B$6:$B$500, B151)&gt;2, " + " &amp; IFERROR(INDEX('SAÍDA DE VENDAS'!$H$6:$H$500 &amp; "x " &amp; 'SAÍDA DE VENDAS'!$G$6:$G$500, MATCH(B151, 'SAÍDA DE VENDAS'!$B$6:$B$500, 0)+2), ""), "")&amp; IF(COUNTIF('SAÍDA DE VENDAS'!$B$6:$B$500, B151)&gt;3, " + " &amp; IFERROR(INDEX('SAÍDA DE VENDAS'!$H$6:$H$500 &amp; "x " &amp; 'SAÍDA DE VENDAS'!$G$6:$G$500, MATCH(B151, 'SAÍDA DE VENDAS'!$B$6:$B$500, 0)+3), ""), "")&amp; IF(COUNTIF('SAÍDA DE VENDAS'!$B$6:$B$500, B151)&gt;4, " + " &amp; IFERROR(INDEX('SAÍDA DE VENDAS'!$H$6:$H$500 &amp; "x " &amp; 'SAÍDA DE VENDAS'!$G$6:$G$500, MATCH(B151, 'SAÍDA DE VENDAS'!$B$6:$B$500, 0)+4), ""), "")&amp; IF(COUNTIF('SAÍDA DE VENDAS'!$B$6:$B$500, B151)&gt;5, " + " &amp; IFERROR(INDEX('SAÍDA DE VENDAS'!$H$6:$H$500 &amp; "x " &amp; 'SAÍDA DE VENDAS'!$G$6:$G$500, MATCH(B151, 'SAÍDA DE VENDAS'!$B$6:$B$500, 0)+5), ""), ""))</f>
        <v/>
      </c>
      <c r="G151" s="34">
        <f>IFERROR(VLOOKUP(B151,'SAÍDA DE VENDAS'!$B$6:$P$500,10,FALSE),"")</f>
        <v>0</v>
      </c>
      <c r="H151" s="34" t="str">
        <f>IF(OR(ISBLANK(B151),B151=""), "", IF(B151=B150, (VALUE(LEFT(H150,FIND("/",H150)-1))+1)&amp;"/"&amp;RIGHT(H150,LEN(H150)-FIND("/",H150)), "1/"&amp;IFERROR(VLOOKUP(B151,'SAÍDA DE VENDAS'!$B$6:$P$500,13,FALSE),"1")))</f>
        <v/>
      </c>
      <c r="I151" s="35" t="str">
        <f t="shared" si="4"/>
        <v/>
      </c>
      <c r="J151" s="39" t="str">
        <f>IFERROR(VLOOKUP(B151,'SAÍDA DE VENDAS'!$B$6:$P$500,15,FALSE),"")</f>
        <v/>
      </c>
      <c r="K151" s="34" t="str">
        <f t="shared" ca="1" si="5"/>
        <v/>
      </c>
      <c r="L151" s="34"/>
      <c r="M151" s="34"/>
    </row>
    <row r="152" spans="2:13" ht="15" customHeight="1" x14ac:dyDescent="0.3">
      <c r="B152" s="28" t="str">
        <f>IF(B151="","", IF(VALUE(LEFT(H151,FIND("/",H151)-1)) &lt; VALUE(RIGHT(H151,LEN(H151)-FIND("/",H151))), B151, IFERROR(INDEX('SAÍDA DE VENDAS'!$B$6:$B$500, MATCH(B151,'SAÍDA DE VENDAS'!$B$6:$B$500,0)+COUNTIF('SAÍDA DE VENDAS'!$B$6:$B$500, B151)),"")))</f>
        <v/>
      </c>
      <c r="C152" s="29">
        <f>IFERROR(VLOOKUP(B152,'SAÍDA DE VENDAS'!$B$6:$P$500,3,FALSE),"")</f>
        <v>0</v>
      </c>
      <c r="D152" s="28">
        <f>IFERROR(VLOOKUP(B152,'SAÍDA DE VENDAS'!$B$6:$P$500,4,FALSE),"")</f>
        <v>0</v>
      </c>
      <c r="E152" s="28" t="str">
        <f>IFERROR(VLOOKUP(B152,'SAÍDA DE VENDAS'!$B$6:$P$500,5,FALSE),"")</f>
        <v/>
      </c>
      <c r="F152" s="28" t="str">
        <f>IF(OR(ISBLANK(B152),B152=""), "", IFERROR(INDEX('SAÍDA DE VENDAS'!$H$6:$H$500 &amp; "x " &amp; 'SAÍDA DE VENDAS'!$G$6:$G$500, MATCH(B152, 'SAÍDA DE VENDAS'!$B$6:$B$500, 0)), "")&amp; IF(COUNTIF('SAÍDA DE VENDAS'!$B$6:$B$500, B152)&gt;1, " + " &amp; IFERROR(INDEX('SAÍDA DE VENDAS'!$H$6:$H$500 &amp; "x " &amp; 'SAÍDA DE VENDAS'!$G$6:$G$500, MATCH(B152, 'SAÍDA DE VENDAS'!$B$6:$B$500, 0)+1), ""), "")&amp; IF(COUNTIF('SAÍDA DE VENDAS'!$B$6:$B$500, B152)&gt;2, " + " &amp; IFERROR(INDEX('SAÍDA DE VENDAS'!$H$6:$H$500 &amp; "x " &amp; 'SAÍDA DE VENDAS'!$G$6:$G$500, MATCH(B152, 'SAÍDA DE VENDAS'!$B$6:$B$500, 0)+2), ""), "")&amp; IF(COUNTIF('SAÍDA DE VENDAS'!$B$6:$B$500, B152)&gt;3, " + " &amp; IFERROR(INDEX('SAÍDA DE VENDAS'!$H$6:$H$500 &amp; "x " &amp; 'SAÍDA DE VENDAS'!$G$6:$G$500, MATCH(B152, 'SAÍDA DE VENDAS'!$B$6:$B$500, 0)+3), ""), "")&amp; IF(COUNTIF('SAÍDA DE VENDAS'!$B$6:$B$500, B152)&gt;4, " + " &amp; IFERROR(INDEX('SAÍDA DE VENDAS'!$H$6:$H$500 &amp; "x " &amp; 'SAÍDA DE VENDAS'!$G$6:$G$500, MATCH(B152, 'SAÍDA DE VENDAS'!$B$6:$B$500, 0)+4), ""), "")&amp; IF(COUNTIF('SAÍDA DE VENDAS'!$B$6:$B$500, B152)&gt;5, " + " &amp; IFERROR(INDEX('SAÍDA DE VENDAS'!$H$6:$H$500 &amp; "x " &amp; 'SAÍDA DE VENDAS'!$G$6:$G$500, MATCH(B152, 'SAÍDA DE VENDAS'!$B$6:$B$500, 0)+5), ""), ""))</f>
        <v/>
      </c>
      <c r="G152" s="28">
        <f>IFERROR(VLOOKUP(B152,'SAÍDA DE VENDAS'!$B$6:$P$500,10,FALSE),"")</f>
        <v>0</v>
      </c>
      <c r="H152" s="28" t="str">
        <f>IF(OR(ISBLANK(B152),B152=""), "", IF(B152=B151, (VALUE(LEFT(H151,FIND("/",H151)-1))+1)&amp;"/"&amp;RIGHT(H151,LEN(H151)-FIND("/",H151)), "1/"&amp;IFERROR(VLOOKUP(B152,'SAÍDA DE VENDAS'!$B$6:$P$500,13,FALSE),"1")))</f>
        <v/>
      </c>
      <c r="I152" s="69" t="str">
        <f t="shared" si="4"/>
        <v/>
      </c>
      <c r="J152" s="33" t="str">
        <f>IFERROR(VLOOKUP(B152,'SAÍDA DE VENDAS'!$B$6:$P$500,15,FALSE),"")</f>
        <v/>
      </c>
      <c r="K152" s="28" t="str">
        <f t="shared" ca="1" si="5"/>
        <v/>
      </c>
      <c r="L152" s="28"/>
      <c r="M152" s="28"/>
    </row>
    <row r="153" spans="2:13" ht="15" customHeight="1" x14ac:dyDescent="0.3">
      <c r="B153" s="34" t="str">
        <f>IF(B152="","", IF(VALUE(LEFT(H152,FIND("/",H152)-1)) &lt; VALUE(RIGHT(H152,LEN(H152)-FIND("/",H152))), B152, IFERROR(INDEX('SAÍDA DE VENDAS'!$B$6:$B$500, MATCH(B152,'SAÍDA DE VENDAS'!$B$6:$B$500,0)+COUNTIF('SAÍDA DE VENDAS'!$B$6:$B$500, B152)),"")))</f>
        <v/>
      </c>
      <c r="C153" s="35">
        <f>IFERROR(VLOOKUP(B153,'SAÍDA DE VENDAS'!$B$6:$P$500,3,FALSE),"")</f>
        <v>0</v>
      </c>
      <c r="D153" s="34">
        <f>IFERROR(VLOOKUP(B153,'SAÍDA DE VENDAS'!$B$6:$P$500,4,FALSE),"")</f>
        <v>0</v>
      </c>
      <c r="E153" s="34" t="str">
        <f>IFERROR(VLOOKUP(B153,'SAÍDA DE VENDAS'!$B$6:$P$500,5,FALSE),"")</f>
        <v/>
      </c>
      <c r="F153" s="34" t="str">
        <f>IF(OR(ISBLANK(B153),B153=""), "", IFERROR(INDEX('SAÍDA DE VENDAS'!$H$6:$H$500 &amp; "x " &amp; 'SAÍDA DE VENDAS'!$G$6:$G$500, MATCH(B153, 'SAÍDA DE VENDAS'!$B$6:$B$500, 0)), "")&amp; IF(COUNTIF('SAÍDA DE VENDAS'!$B$6:$B$500, B153)&gt;1, " + " &amp; IFERROR(INDEX('SAÍDA DE VENDAS'!$H$6:$H$500 &amp; "x " &amp; 'SAÍDA DE VENDAS'!$G$6:$G$500, MATCH(B153, 'SAÍDA DE VENDAS'!$B$6:$B$500, 0)+1), ""), "")&amp; IF(COUNTIF('SAÍDA DE VENDAS'!$B$6:$B$500, B153)&gt;2, " + " &amp; IFERROR(INDEX('SAÍDA DE VENDAS'!$H$6:$H$500 &amp; "x " &amp; 'SAÍDA DE VENDAS'!$G$6:$G$500, MATCH(B153, 'SAÍDA DE VENDAS'!$B$6:$B$500, 0)+2), ""), "")&amp; IF(COUNTIF('SAÍDA DE VENDAS'!$B$6:$B$500, B153)&gt;3, " + " &amp; IFERROR(INDEX('SAÍDA DE VENDAS'!$H$6:$H$500 &amp; "x " &amp; 'SAÍDA DE VENDAS'!$G$6:$G$500, MATCH(B153, 'SAÍDA DE VENDAS'!$B$6:$B$500, 0)+3), ""), "")&amp; IF(COUNTIF('SAÍDA DE VENDAS'!$B$6:$B$500, B153)&gt;4, " + " &amp; IFERROR(INDEX('SAÍDA DE VENDAS'!$H$6:$H$500 &amp; "x " &amp; 'SAÍDA DE VENDAS'!$G$6:$G$500, MATCH(B153, 'SAÍDA DE VENDAS'!$B$6:$B$500, 0)+4), ""), "")&amp; IF(COUNTIF('SAÍDA DE VENDAS'!$B$6:$B$500, B153)&gt;5, " + " &amp; IFERROR(INDEX('SAÍDA DE VENDAS'!$H$6:$H$500 &amp; "x " &amp; 'SAÍDA DE VENDAS'!$G$6:$G$500, MATCH(B153, 'SAÍDA DE VENDAS'!$B$6:$B$500, 0)+5), ""), ""))</f>
        <v/>
      </c>
      <c r="G153" s="34">
        <f>IFERROR(VLOOKUP(B153,'SAÍDA DE VENDAS'!$B$6:$P$500,10,FALSE),"")</f>
        <v>0</v>
      </c>
      <c r="H153" s="34" t="str">
        <f>IF(OR(ISBLANK(B153),B153=""), "", IF(B153=B152, (VALUE(LEFT(H152,FIND("/",H152)-1))+1)&amp;"/"&amp;RIGHT(H152,LEN(H152)-FIND("/",H152)), "1/"&amp;IFERROR(VLOOKUP(B153,'SAÍDA DE VENDAS'!$B$6:$P$500,13,FALSE),"1")))</f>
        <v/>
      </c>
      <c r="I153" s="35" t="str">
        <f t="shared" si="4"/>
        <v/>
      </c>
      <c r="J153" s="39" t="str">
        <f>IFERROR(VLOOKUP(B153,'SAÍDA DE VENDAS'!$B$6:$P$500,15,FALSE),"")</f>
        <v/>
      </c>
      <c r="K153" s="34" t="str">
        <f t="shared" ca="1" si="5"/>
        <v/>
      </c>
      <c r="L153" s="34"/>
      <c r="M153" s="34"/>
    </row>
    <row r="154" spans="2:13" ht="15" customHeight="1" x14ac:dyDescent="0.3">
      <c r="B154" s="28" t="str">
        <f>IF(B153="","", IF(VALUE(LEFT(H153,FIND("/",H153)-1)) &lt; VALUE(RIGHT(H153,LEN(H153)-FIND("/",H153))), B153, IFERROR(INDEX('SAÍDA DE VENDAS'!$B$6:$B$500, MATCH(B153,'SAÍDA DE VENDAS'!$B$6:$B$500,0)+COUNTIF('SAÍDA DE VENDAS'!$B$6:$B$500, B153)),"")))</f>
        <v/>
      </c>
      <c r="C154" s="29">
        <f>IFERROR(VLOOKUP(B154,'SAÍDA DE VENDAS'!$B$6:$P$500,3,FALSE),"")</f>
        <v>0</v>
      </c>
      <c r="D154" s="28">
        <f>IFERROR(VLOOKUP(B154,'SAÍDA DE VENDAS'!$B$6:$P$500,4,FALSE),"")</f>
        <v>0</v>
      </c>
      <c r="E154" s="28" t="str">
        <f>IFERROR(VLOOKUP(B154,'SAÍDA DE VENDAS'!$B$6:$P$500,5,FALSE),"")</f>
        <v/>
      </c>
      <c r="F154" s="28" t="str">
        <f>IF(OR(ISBLANK(B154),B154=""), "", IFERROR(INDEX('SAÍDA DE VENDAS'!$H$6:$H$500 &amp; "x " &amp; 'SAÍDA DE VENDAS'!$G$6:$G$500, MATCH(B154, 'SAÍDA DE VENDAS'!$B$6:$B$500, 0)), "")&amp; IF(COUNTIF('SAÍDA DE VENDAS'!$B$6:$B$500, B154)&gt;1, " + " &amp; IFERROR(INDEX('SAÍDA DE VENDAS'!$H$6:$H$500 &amp; "x " &amp; 'SAÍDA DE VENDAS'!$G$6:$G$500, MATCH(B154, 'SAÍDA DE VENDAS'!$B$6:$B$500, 0)+1), ""), "")&amp; IF(COUNTIF('SAÍDA DE VENDAS'!$B$6:$B$500, B154)&gt;2, " + " &amp; IFERROR(INDEX('SAÍDA DE VENDAS'!$H$6:$H$500 &amp; "x " &amp; 'SAÍDA DE VENDAS'!$G$6:$G$500, MATCH(B154, 'SAÍDA DE VENDAS'!$B$6:$B$500, 0)+2), ""), "")&amp; IF(COUNTIF('SAÍDA DE VENDAS'!$B$6:$B$500, B154)&gt;3, " + " &amp; IFERROR(INDEX('SAÍDA DE VENDAS'!$H$6:$H$500 &amp; "x " &amp; 'SAÍDA DE VENDAS'!$G$6:$G$500, MATCH(B154, 'SAÍDA DE VENDAS'!$B$6:$B$500, 0)+3), ""), "")&amp; IF(COUNTIF('SAÍDA DE VENDAS'!$B$6:$B$500, B154)&gt;4, " + " &amp; IFERROR(INDEX('SAÍDA DE VENDAS'!$H$6:$H$500 &amp; "x " &amp; 'SAÍDA DE VENDAS'!$G$6:$G$500, MATCH(B154, 'SAÍDA DE VENDAS'!$B$6:$B$500, 0)+4), ""), "")&amp; IF(COUNTIF('SAÍDA DE VENDAS'!$B$6:$B$500, B154)&gt;5, " + " &amp; IFERROR(INDEX('SAÍDA DE VENDAS'!$H$6:$H$500 &amp; "x " &amp; 'SAÍDA DE VENDAS'!$G$6:$G$500, MATCH(B154, 'SAÍDA DE VENDAS'!$B$6:$B$500, 0)+5), ""), ""))</f>
        <v/>
      </c>
      <c r="G154" s="28">
        <f>IFERROR(VLOOKUP(B154,'SAÍDA DE VENDAS'!$B$6:$P$500,10,FALSE),"")</f>
        <v>0</v>
      </c>
      <c r="H154" s="28" t="str">
        <f>IF(OR(ISBLANK(B154),B154=""), "", IF(B154=B153, (VALUE(LEFT(H153,FIND("/",H153)-1))+1)&amp;"/"&amp;RIGHT(H153,LEN(H153)-FIND("/",H153)), "1/"&amp;IFERROR(VLOOKUP(B154,'SAÍDA DE VENDAS'!$B$6:$P$500,13,FALSE),"1")))</f>
        <v/>
      </c>
      <c r="I154" s="69" t="str">
        <f t="shared" si="4"/>
        <v/>
      </c>
      <c r="J154" s="33" t="str">
        <f>IFERROR(VLOOKUP(B154,'SAÍDA DE VENDAS'!$B$6:$P$500,15,FALSE),"")</f>
        <v/>
      </c>
      <c r="K154" s="28" t="str">
        <f t="shared" ca="1" si="5"/>
        <v/>
      </c>
      <c r="L154" s="28"/>
      <c r="M154" s="28"/>
    </row>
    <row r="155" spans="2:13" ht="15" customHeight="1" x14ac:dyDescent="0.3">
      <c r="B155" s="34" t="str">
        <f>IF(B154="","", IF(VALUE(LEFT(H154,FIND("/",H154)-1)) &lt; VALUE(RIGHT(H154,LEN(H154)-FIND("/",H154))), B154, IFERROR(INDEX('SAÍDA DE VENDAS'!$B$6:$B$500, MATCH(B154,'SAÍDA DE VENDAS'!$B$6:$B$500,0)+COUNTIF('SAÍDA DE VENDAS'!$B$6:$B$500, B154)),"")))</f>
        <v/>
      </c>
      <c r="C155" s="35">
        <f>IFERROR(VLOOKUP(B155,'SAÍDA DE VENDAS'!$B$6:$P$500,3,FALSE),"")</f>
        <v>0</v>
      </c>
      <c r="D155" s="34">
        <f>IFERROR(VLOOKUP(B155,'SAÍDA DE VENDAS'!$B$6:$P$500,4,FALSE),"")</f>
        <v>0</v>
      </c>
      <c r="E155" s="34" t="str">
        <f>IFERROR(VLOOKUP(B155,'SAÍDA DE VENDAS'!$B$6:$P$500,5,FALSE),"")</f>
        <v/>
      </c>
      <c r="F155" s="34" t="str">
        <f>IF(OR(ISBLANK(B155),B155=""), "", IFERROR(INDEX('SAÍDA DE VENDAS'!$H$6:$H$500 &amp; "x " &amp; 'SAÍDA DE VENDAS'!$G$6:$G$500, MATCH(B155, 'SAÍDA DE VENDAS'!$B$6:$B$500, 0)), "")&amp; IF(COUNTIF('SAÍDA DE VENDAS'!$B$6:$B$500, B155)&gt;1, " + " &amp; IFERROR(INDEX('SAÍDA DE VENDAS'!$H$6:$H$500 &amp; "x " &amp; 'SAÍDA DE VENDAS'!$G$6:$G$500, MATCH(B155, 'SAÍDA DE VENDAS'!$B$6:$B$500, 0)+1), ""), "")&amp; IF(COUNTIF('SAÍDA DE VENDAS'!$B$6:$B$500, B155)&gt;2, " + " &amp; IFERROR(INDEX('SAÍDA DE VENDAS'!$H$6:$H$500 &amp; "x " &amp; 'SAÍDA DE VENDAS'!$G$6:$G$500, MATCH(B155, 'SAÍDA DE VENDAS'!$B$6:$B$500, 0)+2), ""), "")&amp; IF(COUNTIF('SAÍDA DE VENDAS'!$B$6:$B$500, B155)&gt;3, " + " &amp; IFERROR(INDEX('SAÍDA DE VENDAS'!$H$6:$H$500 &amp; "x " &amp; 'SAÍDA DE VENDAS'!$G$6:$G$500, MATCH(B155, 'SAÍDA DE VENDAS'!$B$6:$B$500, 0)+3), ""), "")&amp; IF(COUNTIF('SAÍDA DE VENDAS'!$B$6:$B$500, B155)&gt;4, " + " &amp; IFERROR(INDEX('SAÍDA DE VENDAS'!$H$6:$H$500 &amp; "x " &amp; 'SAÍDA DE VENDAS'!$G$6:$G$500, MATCH(B155, 'SAÍDA DE VENDAS'!$B$6:$B$500, 0)+4), ""), "")&amp; IF(COUNTIF('SAÍDA DE VENDAS'!$B$6:$B$500, B155)&gt;5, " + " &amp; IFERROR(INDEX('SAÍDA DE VENDAS'!$H$6:$H$500 &amp; "x " &amp; 'SAÍDA DE VENDAS'!$G$6:$G$500, MATCH(B155, 'SAÍDA DE VENDAS'!$B$6:$B$500, 0)+5), ""), ""))</f>
        <v/>
      </c>
      <c r="G155" s="34">
        <f>IFERROR(VLOOKUP(B155,'SAÍDA DE VENDAS'!$B$6:$P$500,10,FALSE),"")</f>
        <v>0</v>
      </c>
      <c r="H155" s="34" t="str">
        <f>IF(OR(ISBLANK(B155),B155=""), "", IF(B155=B154, (VALUE(LEFT(H154,FIND("/",H154)-1))+1)&amp;"/"&amp;RIGHT(H154,LEN(H154)-FIND("/",H154)), "1/"&amp;IFERROR(VLOOKUP(B155,'SAÍDA DE VENDAS'!$B$6:$P$500,13,FALSE),"1")))</f>
        <v/>
      </c>
      <c r="I155" s="35" t="str">
        <f t="shared" si="4"/>
        <v/>
      </c>
      <c r="J155" s="39" t="str">
        <f>IFERROR(VLOOKUP(B155,'SAÍDA DE VENDAS'!$B$6:$P$500,15,FALSE),"")</f>
        <v/>
      </c>
      <c r="K155" s="34" t="str">
        <f t="shared" ca="1" si="5"/>
        <v/>
      </c>
      <c r="L155" s="34"/>
      <c r="M155" s="34"/>
    </row>
    <row r="156" spans="2:13" ht="15" customHeight="1" x14ac:dyDescent="0.3">
      <c r="B156" s="28" t="str">
        <f>IF(B155="","", IF(VALUE(LEFT(H155,FIND("/",H155)-1)) &lt; VALUE(RIGHT(H155,LEN(H155)-FIND("/",H155))), B155, IFERROR(INDEX('SAÍDA DE VENDAS'!$B$6:$B$500, MATCH(B155,'SAÍDA DE VENDAS'!$B$6:$B$500,0)+COUNTIF('SAÍDA DE VENDAS'!$B$6:$B$500, B155)),"")))</f>
        <v/>
      </c>
      <c r="C156" s="29">
        <f>IFERROR(VLOOKUP(B156,'SAÍDA DE VENDAS'!$B$6:$P$500,3,FALSE),"")</f>
        <v>0</v>
      </c>
      <c r="D156" s="28">
        <f>IFERROR(VLOOKUP(B156,'SAÍDA DE VENDAS'!$B$6:$P$500,4,FALSE),"")</f>
        <v>0</v>
      </c>
      <c r="E156" s="28" t="str">
        <f>IFERROR(VLOOKUP(B156,'SAÍDA DE VENDAS'!$B$6:$P$500,5,FALSE),"")</f>
        <v/>
      </c>
      <c r="F156" s="28" t="str">
        <f>IF(OR(ISBLANK(B156),B156=""), "", IFERROR(INDEX('SAÍDA DE VENDAS'!$H$6:$H$500 &amp; "x " &amp; 'SAÍDA DE VENDAS'!$G$6:$G$500, MATCH(B156, 'SAÍDA DE VENDAS'!$B$6:$B$500, 0)), "")&amp; IF(COUNTIF('SAÍDA DE VENDAS'!$B$6:$B$500, B156)&gt;1, " + " &amp; IFERROR(INDEX('SAÍDA DE VENDAS'!$H$6:$H$500 &amp; "x " &amp; 'SAÍDA DE VENDAS'!$G$6:$G$500, MATCH(B156, 'SAÍDA DE VENDAS'!$B$6:$B$500, 0)+1), ""), "")&amp; IF(COUNTIF('SAÍDA DE VENDAS'!$B$6:$B$500, B156)&gt;2, " + " &amp; IFERROR(INDEX('SAÍDA DE VENDAS'!$H$6:$H$500 &amp; "x " &amp; 'SAÍDA DE VENDAS'!$G$6:$G$500, MATCH(B156, 'SAÍDA DE VENDAS'!$B$6:$B$500, 0)+2), ""), "")&amp; IF(COUNTIF('SAÍDA DE VENDAS'!$B$6:$B$500, B156)&gt;3, " + " &amp; IFERROR(INDEX('SAÍDA DE VENDAS'!$H$6:$H$500 &amp; "x " &amp; 'SAÍDA DE VENDAS'!$G$6:$G$500, MATCH(B156, 'SAÍDA DE VENDAS'!$B$6:$B$500, 0)+3), ""), "")&amp; IF(COUNTIF('SAÍDA DE VENDAS'!$B$6:$B$500, B156)&gt;4, " + " &amp; IFERROR(INDEX('SAÍDA DE VENDAS'!$H$6:$H$500 &amp; "x " &amp; 'SAÍDA DE VENDAS'!$G$6:$G$500, MATCH(B156, 'SAÍDA DE VENDAS'!$B$6:$B$500, 0)+4), ""), "")&amp; IF(COUNTIF('SAÍDA DE VENDAS'!$B$6:$B$500, B156)&gt;5, " + " &amp; IFERROR(INDEX('SAÍDA DE VENDAS'!$H$6:$H$500 &amp; "x " &amp; 'SAÍDA DE VENDAS'!$G$6:$G$500, MATCH(B156, 'SAÍDA DE VENDAS'!$B$6:$B$500, 0)+5), ""), ""))</f>
        <v/>
      </c>
      <c r="G156" s="28">
        <f>IFERROR(VLOOKUP(B156,'SAÍDA DE VENDAS'!$B$6:$P$500,10,FALSE),"")</f>
        <v>0</v>
      </c>
      <c r="H156" s="28" t="str">
        <f>IF(OR(ISBLANK(B156),B156=""), "", IF(B156=B155, (VALUE(LEFT(H155,FIND("/",H155)-1))+1)&amp;"/"&amp;RIGHT(H155,LEN(H155)-FIND("/",H155)), "1/"&amp;IFERROR(VLOOKUP(B156,'SAÍDA DE VENDAS'!$B$6:$P$500,13,FALSE),"1")))</f>
        <v/>
      </c>
      <c r="I156" s="69" t="str">
        <f t="shared" si="4"/>
        <v/>
      </c>
      <c r="J156" s="33" t="str">
        <f>IFERROR(VLOOKUP(B156,'SAÍDA DE VENDAS'!$B$6:$P$500,15,FALSE),"")</f>
        <v/>
      </c>
      <c r="K156" s="28" t="str">
        <f t="shared" ca="1" si="5"/>
        <v/>
      </c>
      <c r="L156" s="28"/>
      <c r="M156" s="28"/>
    </row>
    <row r="157" spans="2:13" ht="15" customHeight="1" x14ac:dyDescent="0.3">
      <c r="B157" s="34" t="str">
        <f>IF(B156="","", IF(VALUE(LEFT(H156,FIND("/",H156)-1)) &lt; VALUE(RIGHT(H156,LEN(H156)-FIND("/",H156))), B156, IFERROR(INDEX('SAÍDA DE VENDAS'!$B$6:$B$500, MATCH(B156,'SAÍDA DE VENDAS'!$B$6:$B$500,0)+COUNTIF('SAÍDA DE VENDAS'!$B$6:$B$500, B156)),"")))</f>
        <v/>
      </c>
      <c r="C157" s="35">
        <f>IFERROR(VLOOKUP(B157,'SAÍDA DE VENDAS'!$B$6:$P$500,3,FALSE),"")</f>
        <v>0</v>
      </c>
      <c r="D157" s="34">
        <f>IFERROR(VLOOKUP(B157,'SAÍDA DE VENDAS'!$B$6:$P$500,4,FALSE),"")</f>
        <v>0</v>
      </c>
      <c r="E157" s="34" t="str">
        <f>IFERROR(VLOOKUP(B157,'SAÍDA DE VENDAS'!$B$6:$P$500,5,FALSE),"")</f>
        <v/>
      </c>
      <c r="F157" s="34" t="str">
        <f>IF(OR(ISBLANK(B157),B157=""), "", IFERROR(INDEX('SAÍDA DE VENDAS'!$H$6:$H$500 &amp; "x " &amp; 'SAÍDA DE VENDAS'!$G$6:$G$500, MATCH(B157, 'SAÍDA DE VENDAS'!$B$6:$B$500, 0)), "")&amp; IF(COUNTIF('SAÍDA DE VENDAS'!$B$6:$B$500, B157)&gt;1, " + " &amp; IFERROR(INDEX('SAÍDA DE VENDAS'!$H$6:$H$500 &amp; "x " &amp; 'SAÍDA DE VENDAS'!$G$6:$G$500, MATCH(B157, 'SAÍDA DE VENDAS'!$B$6:$B$500, 0)+1), ""), "")&amp; IF(COUNTIF('SAÍDA DE VENDAS'!$B$6:$B$500, B157)&gt;2, " + " &amp; IFERROR(INDEX('SAÍDA DE VENDAS'!$H$6:$H$500 &amp; "x " &amp; 'SAÍDA DE VENDAS'!$G$6:$G$500, MATCH(B157, 'SAÍDA DE VENDAS'!$B$6:$B$500, 0)+2), ""), "")&amp; IF(COUNTIF('SAÍDA DE VENDAS'!$B$6:$B$500, B157)&gt;3, " + " &amp; IFERROR(INDEX('SAÍDA DE VENDAS'!$H$6:$H$500 &amp; "x " &amp; 'SAÍDA DE VENDAS'!$G$6:$G$500, MATCH(B157, 'SAÍDA DE VENDAS'!$B$6:$B$500, 0)+3), ""), "")&amp; IF(COUNTIF('SAÍDA DE VENDAS'!$B$6:$B$500, B157)&gt;4, " + " &amp; IFERROR(INDEX('SAÍDA DE VENDAS'!$H$6:$H$500 &amp; "x " &amp; 'SAÍDA DE VENDAS'!$G$6:$G$500, MATCH(B157, 'SAÍDA DE VENDAS'!$B$6:$B$500, 0)+4), ""), "")&amp; IF(COUNTIF('SAÍDA DE VENDAS'!$B$6:$B$500, B157)&gt;5, " + " &amp; IFERROR(INDEX('SAÍDA DE VENDAS'!$H$6:$H$500 &amp; "x " &amp; 'SAÍDA DE VENDAS'!$G$6:$G$500, MATCH(B157, 'SAÍDA DE VENDAS'!$B$6:$B$500, 0)+5), ""), ""))</f>
        <v/>
      </c>
      <c r="G157" s="34">
        <f>IFERROR(VLOOKUP(B157,'SAÍDA DE VENDAS'!$B$6:$P$500,10,FALSE),"")</f>
        <v>0</v>
      </c>
      <c r="H157" s="34" t="str">
        <f>IF(OR(ISBLANK(B157),B157=""), "", IF(B157=B156, (VALUE(LEFT(H156,FIND("/",H156)-1))+1)&amp;"/"&amp;RIGHT(H156,LEN(H156)-FIND("/",H156)), "1/"&amp;IFERROR(VLOOKUP(B157,'SAÍDA DE VENDAS'!$B$6:$P$500,13,FALSE),"1")))</f>
        <v/>
      </c>
      <c r="I157" s="35" t="str">
        <f t="shared" si="4"/>
        <v/>
      </c>
      <c r="J157" s="39" t="str">
        <f>IFERROR(VLOOKUP(B157,'SAÍDA DE VENDAS'!$B$6:$P$500,15,FALSE),"")</f>
        <v/>
      </c>
      <c r="K157" s="34" t="str">
        <f t="shared" ca="1" si="5"/>
        <v/>
      </c>
      <c r="L157" s="34"/>
      <c r="M157" s="34"/>
    </row>
    <row r="158" spans="2:13" ht="15" customHeight="1" x14ac:dyDescent="0.3">
      <c r="B158" s="28" t="str">
        <f>IF(B157="","", IF(VALUE(LEFT(H157,FIND("/",H157)-1)) &lt; VALUE(RIGHT(H157,LEN(H157)-FIND("/",H157))), B157, IFERROR(INDEX('SAÍDA DE VENDAS'!$B$6:$B$500, MATCH(B157,'SAÍDA DE VENDAS'!$B$6:$B$500,0)+COUNTIF('SAÍDA DE VENDAS'!$B$6:$B$500, B157)),"")))</f>
        <v/>
      </c>
      <c r="C158" s="29">
        <f>IFERROR(VLOOKUP(B158,'SAÍDA DE VENDAS'!$B$6:$P$500,3,FALSE),"")</f>
        <v>0</v>
      </c>
      <c r="D158" s="28">
        <f>IFERROR(VLOOKUP(B158,'SAÍDA DE VENDAS'!$B$6:$P$500,4,FALSE),"")</f>
        <v>0</v>
      </c>
      <c r="E158" s="28" t="str">
        <f>IFERROR(VLOOKUP(B158,'SAÍDA DE VENDAS'!$B$6:$P$500,5,FALSE),"")</f>
        <v/>
      </c>
      <c r="F158" s="28" t="str">
        <f>IF(OR(ISBLANK(B158),B158=""), "", IFERROR(INDEX('SAÍDA DE VENDAS'!$H$6:$H$500 &amp; "x " &amp; 'SAÍDA DE VENDAS'!$G$6:$G$500, MATCH(B158, 'SAÍDA DE VENDAS'!$B$6:$B$500, 0)), "")&amp; IF(COUNTIF('SAÍDA DE VENDAS'!$B$6:$B$500, B158)&gt;1, " + " &amp; IFERROR(INDEX('SAÍDA DE VENDAS'!$H$6:$H$500 &amp; "x " &amp; 'SAÍDA DE VENDAS'!$G$6:$G$500, MATCH(B158, 'SAÍDA DE VENDAS'!$B$6:$B$500, 0)+1), ""), "")&amp; IF(COUNTIF('SAÍDA DE VENDAS'!$B$6:$B$500, B158)&gt;2, " + " &amp; IFERROR(INDEX('SAÍDA DE VENDAS'!$H$6:$H$500 &amp; "x " &amp; 'SAÍDA DE VENDAS'!$G$6:$G$500, MATCH(B158, 'SAÍDA DE VENDAS'!$B$6:$B$500, 0)+2), ""), "")&amp; IF(COUNTIF('SAÍDA DE VENDAS'!$B$6:$B$500, B158)&gt;3, " + " &amp; IFERROR(INDEX('SAÍDA DE VENDAS'!$H$6:$H$500 &amp; "x " &amp; 'SAÍDA DE VENDAS'!$G$6:$G$500, MATCH(B158, 'SAÍDA DE VENDAS'!$B$6:$B$500, 0)+3), ""), "")&amp; IF(COUNTIF('SAÍDA DE VENDAS'!$B$6:$B$500, B158)&gt;4, " + " &amp; IFERROR(INDEX('SAÍDA DE VENDAS'!$H$6:$H$500 &amp; "x " &amp; 'SAÍDA DE VENDAS'!$G$6:$G$500, MATCH(B158, 'SAÍDA DE VENDAS'!$B$6:$B$500, 0)+4), ""), "")&amp; IF(COUNTIF('SAÍDA DE VENDAS'!$B$6:$B$500, B158)&gt;5, " + " &amp; IFERROR(INDEX('SAÍDA DE VENDAS'!$H$6:$H$500 &amp; "x " &amp; 'SAÍDA DE VENDAS'!$G$6:$G$500, MATCH(B158, 'SAÍDA DE VENDAS'!$B$6:$B$500, 0)+5), ""), ""))</f>
        <v/>
      </c>
      <c r="G158" s="28">
        <f>IFERROR(VLOOKUP(B158,'SAÍDA DE VENDAS'!$B$6:$P$500,10,FALSE),"")</f>
        <v>0</v>
      </c>
      <c r="H158" s="28" t="str">
        <f>IF(OR(ISBLANK(B158),B158=""), "", IF(B158=B157, (VALUE(LEFT(H157,FIND("/",H157)-1))+1)&amp;"/"&amp;RIGHT(H157,LEN(H157)-FIND("/",H157)), "1/"&amp;IFERROR(VLOOKUP(B158,'SAÍDA DE VENDAS'!$B$6:$P$500,13,FALSE),"1")))</f>
        <v/>
      </c>
      <c r="I158" s="69" t="str">
        <f t="shared" si="4"/>
        <v/>
      </c>
      <c r="J158" s="33" t="str">
        <f>IFERROR(VLOOKUP(B158,'SAÍDA DE VENDAS'!$B$6:$P$500,15,FALSE),"")</f>
        <v/>
      </c>
      <c r="K158" s="28" t="str">
        <f t="shared" ca="1" si="5"/>
        <v/>
      </c>
      <c r="L158" s="28"/>
      <c r="M158" s="28"/>
    </row>
    <row r="159" spans="2:13" ht="15" customHeight="1" x14ac:dyDescent="0.3">
      <c r="B159" s="34" t="str">
        <f>IF(B158="","", IF(VALUE(LEFT(H158,FIND("/",H158)-1)) &lt; VALUE(RIGHT(H158,LEN(H158)-FIND("/",H158))), B158, IFERROR(INDEX('SAÍDA DE VENDAS'!$B$6:$B$500, MATCH(B158,'SAÍDA DE VENDAS'!$B$6:$B$500,0)+COUNTIF('SAÍDA DE VENDAS'!$B$6:$B$500, B158)),"")))</f>
        <v/>
      </c>
      <c r="C159" s="35">
        <f>IFERROR(VLOOKUP(B159,'SAÍDA DE VENDAS'!$B$6:$P$500,3,FALSE),"")</f>
        <v>0</v>
      </c>
      <c r="D159" s="34">
        <f>IFERROR(VLOOKUP(B159,'SAÍDA DE VENDAS'!$B$6:$P$500,4,FALSE),"")</f>
        <v>0</v>
      </c>
      <c r="E159" s="34" t="str">
        <f>IFERROR(VLOOKUP(B159,'SAÍDA DE VENDAS'!$B$6:$P$500,5,FALSE),"")</f>
        <v/>
      </c>
      <c r="F159" s="34" t="str">
        <f>IF(OR(ISBLANK(B159),B159=""), "", IFERROR(INDEX('SAÍDA DE VENDAS'!$H$6:$H$500 &amp; "x " &amp; 'SAÍDA DE VENDAS'!$G$6:$G$500, MATCH(B159, 'SAÍDA DE VENDAS'!$B$6:$B$500, 0)), "")&amp; IF(COUNTIF('SAÍDA DE VENDAS'!$B$6:$B$500, B159)&gt;1, " + " &amp; IFERROR(INDEX('SAÍDA DE VENDAS'!$H$6:$H$500 &amp; "x " &amp; 'SAÍDA DE VENDAS'!$G$6:$G$500, MATCH(B159, 'SAÍDA DE VENDAS'!$B$6:$B$500, 0)+1), ""), "")&amp; IF(COUNTIF('SAÍDA DE VENDAS'!$B$6:$B$500, B159)&gt;2, " + " &amp; IFERROR(INDEX('SAÍDA DE VENDAS'!$H$6:$H$500 &amp; "x " &amp; 'SAÍDA DE VENDAS'!$G$6:$G$500, MATCH(B159, 'SAÍDA DE VENDAS'!$B$6:$B$500, 0)+2), ""), "")&amp; IF(COUNTIF('SAÍDA DE VENDAS'!$B$6:$B$500, B159)&gt;3, " + " &amp; IFERROR(INDEX('SAÍDA DE VENDAS'!$H$6:$H$500 &amp; "x " &amp; 'SAÍDA DE VENDAS'!$G$6:$G$500, MATCH(B159, 'SAÍDA DE VENDAS'!$B$6:$B$500, 0)+3), ""), "")&amp; IF(COUNTIF('SAÍDA DE VENDAS'!$B$6:$B$500, B159)&gt;4, " + " &amp; IFERROR(INDEX('SAÍDA DE VENDAS'!$H$6:$H$500 &amp; "x " &amp; 'SAÍDA DE VENDAS'!$G$6:$G$500, MATCH(B159, 'SAÍDA DE VENDAS'!$B$6:$B$500, 0)+4), ""), "")&amp; IF(COUNTIF('SAÍDA DE VENDAS'!$B$6:$B$500, B159)&gt;5, " + " &amp; IFERROR(INDEX('SAÍDA DE VENDAS'!$H$6:$H$500 &amp; "x " &amp; 'SAÍDA DE VENDAS'!$G$6:$G$500, MATCH(B159, 'SAÍDA DE VENDAS'!$B$6:$B$500, 0)+5), ""), ""))</f>
        <v/>
      </c>
      <c r="G159" s="34">
        <f>IFERROR(VLOOKUP(B159,'SAÍDA DE VENDAS'!$B$6:$P$500,10,FALSE),"")</f>
        <v>0</v>
      </c>
      <c r="H159" s="34" t="str">
        <f>IF(OR(ISBLANK(B159),B159=""), "", IF(B159=B158, (VALUE(LEFT(H158,FIND("/",H158)-1))+1)&amp;"/"&amp;RIGHT(H158,LEN(H158)-FIND("/",H158)), "1/"&amp;IFERROR(VLOOKUP(B159,'SAÍDA DE VENDAS'!$B$6:$P$500,13,FALSE),"1")))</f>
        <v/>
      </c>
      <c r="I159" s="35" t="str">
        <f t="shared" si="4"/>
        <v/>
      </c>
      <c r="J159" s="39" t="str">
        <f>IFERROR(VLOOKUP(B159,'SAÍDA DE VENDAS'!$B$6:$P$500,15,FALSE),"")</f>
        <v/>
      </c>
      <c r="K159" s="34" t="str">
        <f t="shared" ca="1" si="5"/>
        <v/>
      </c>
      <c r="L159" s="34"/>
      <c r="M159" s="34"/>
    </row>
    <row r="160" spans="2:13" ht="15" customHeight="1" x14ac:dyDescent="0.3">
      <c r="B160" s="28" t="str">
        <f>IF(B159="","", IF(VALUE(LEFT(H159,FIND("/",H159)-1)) &lt; VALUE(RIGHT(H159,LEN(H159)-FIND("/",H159))), B159, IFERROR(INDEX('SAÍDA DE VENDAS'!$B$6:$B$500, MATCH(B159,'SAÍDA DE VENDAS'!$B$6:$B$500,0)+COUNTIF('SAÍDA DE VENDAS'!$B$6:$B$500, B159)),"")))</f>
        <v/>
      </c>
      <c r="C160" s="29">
        <f>IFERROR(VLOOKUP(B160,'SAÍDA DE VENDAS'!$B$6:$P$500,3,FALSE),"")</f>
        <v>0</v>
      </c>
      <c r="D160" s="28">
        <f>IFERROR(VLOOKUP(B160,'SAÍDA DE VENDAS'!$B$6:$P$500,4,FALSE),"")</f>
        <v>0</v>
      </c>
      <c r="E160" s="28" t="str">
        <f>IFERROR(VLOOKUP(B160,'SAÍDA DE VENDAS'!$B$6:$P$500,5,FALSE),"")</f>
        <v/>
      </c>
      <c r="F160" s="28" t="str">
        <f>IF(OR(ISBLANK(B160),B160=""), "", IFERROR(INDEX('SAÍDA DE VENDAS'!$H$6:$H$500 &amp; "x " &amp; 'SAÍDA DE VENDAS'!$G$6:$G$500, MATCH(B160, 'SAÍDA DE VENDAS'!$B$6:$B$500, 0)), "")&amp; IF(COUNTIF('SAÍDA DE VENDAS'!$B$6:$B$500, B160)&gt;1, " + " &amp; IFERROR(INDEX('SAÍDA DE VENDAS'!$H$6:$H$500 &amp; "x " &amp; 'SAÍDA DE VENDAS'!$G$6:$G$500, MATCH(B160, 'SAÍDA DE VENDAS'!$B$6:$B$500, 0)+1), ""), "")&amp; IF(COUNTIF('SAÍDA DE VENDAS'!$B$6:$B$500, B160)&gt;2, " + " &amp; IFERROR(INDEX('SAÍDA DE VENDAS'!$H$6:$H$500 &amp; "x " &amp; 'SAÍDA DE VENDAS'!$G$6:$G$500, MATCH(B160, 'SAÍDA DE VENDAS'!$B$6:$B$500, 0)+2), ""), "")&amp; IF(COUNTIF('SAÍDA DE VENDAS'!$B$6:$B$500, B160)&gt;3, " + " &amp; IFERROR(INDEX('SAÍDA DE VENDAS'!$H$6:$H$500 &amp; "x " &amp; 'SAÍDA DE VENDAS'!$G$6:$G$500, MATCH(B160, 'SAÍDA DE VENDAS'!$B$6:$B$500, 0)+3), ""), "")&amp; IF(COUNTIF('SAÍDA DE VENDAS'!$B$6:$B$500, B160)&gt;4, " + " &amp; IFERROR(INDEX('SAÍDA DE VENDAS'!$H$6:$H$500 &amp; "x " &amp; 'SAÍDA DE VENDAS'!$G$6:$G$500, MATCH(B160, 'SAÍDA DE VENDAS'!$B$6:$B$500, 0)+4), ""), "")&amp; IF(COUNTIF('SAÍDA DE VENDAS'!$B$6:$B$500, B160)&gt;5, " + " &amp; IFERROR(INDEX('SAÍDA DE VENDAS'!$H$6:$H$500 &amp; "x " &amp; 'SAÍDA DE VENDAS'!$G$6:$G$500, MATCH(B160, 'SAÍDA DE VENDAS'!$B$6:$B$500, 0)+5), ""), ""))</f>
        <v/>
      </c>
      <c r="G160" s="28">
        <f>IFERROR(VLOOKUP(B160,'SAÍDA DE VENDAS'!$B$6:$P$500,10,FALSE),"")</f>
        <v>0</v>
      </c>
      <c r="H160" s="28" t="str">
        <f>IF(OR(ISBLANK(B160),B160=""), "", IF(B160=B159, (VALUE(LEFT(H159,FIND("/",H159)-1))+1)&amp;"/"&amp;RIGHT(H159,LEN(H159)-FIND("/",H159)), "1/"&amp;IFERROR(VLOOKUP(B160,'SAÍDA DE VENDAS'!$B$6:$P$500,13,FALSE),"1")))</f>
        <v/>
      </c>
      <c r="I160" s="69" t="str">
        <f t="shared" si="4"/>
        <v/>
      </c>
      <c r="J160" s="33" t="str">
        <f>IFERROR(VLOOKUP(B160,'SAÍDA DE VENDAS'!$B$6:$P$500,15,FALSE),"")</f>
        <v/>
      </c>
      <c r="K160" s="28" t="str">
        <f t="shared" ca="1" si="5"/>
        <v/>
      </c>
      <c r="L160" s="28"/>
      <c r="M160" s="28"/>
    </row>
    <row r="161" spans="2:13" ht="15" customHeight="1" x14ac:dyDescent="0.3">
      <c r="B161" s="34" t="str">
        <f>IF(B160="","", IF(VALUE(LEFT(H160,FIND("/",H160)-1)) &lt; VALUE(RIGHT(H160,LEN(H160)-FIND("/",H160))), B160, IFERROR(INDEX('SAÍDA DE VENDAS'!$B$6:$B$500, MATCH(B160,'SAÍDA DE VENDAS'!$B$6:$B$500,0)+COUNTIF('SAÍDA DE VENDAS'!$B$6:$B$500, B160)),"")))</f>
        <v/>
      </c>
      <c r="C161" s="35">
        <f>IFERROR(VLOOKUP(B161,'SAÍDA DE VENDAS'!$B$6:$P$500,3,FALSE),"")</f>
        <v>0</v>
      </c>
      <c r="D161" s="34">
        <f>IFERROR(VLOOKUP(B161,'SAÍDA DE VENDAS'!$B$6:$P$500,4,FALSE),"")</f>
        <v>0</v>
      </c>
      <c r="E161" s="34" t="str">
        <f>IFERROR(VLOOKUP(B161,'SAÍDA DE VENDAS'!$B$6:$P$500,5,FALSE),"")</f>
        <v/>
      </c>
      <c r="F161" s="34" t="str">
        <f>IF(OR(ISBLANK(B161),B161=""), "", IFERROR(INDEX('SAÍDA DE VENDAS'!$H$6:$H$500 &amp; "x " &amp; 'SAÍDA DE VENDAS'!$G$6:$G$500, MATCH(B161, 'SAÍDA DE VENDAS'!$B$6:$B$500, 0)), "")&amp; IF(COUNTIF('SAÍDA DE VENDAS'!$B$6:$B$500, B161)&gt;1, " + " &amp; IFERROR(INDEX('SAÍDA DE VENDAS'!$H$6:$H$500 &amp; "x " &amp; 'SAÍDA DE VENDAS'!$G$6:$G$500, MATCH(B161, 'SAÍDA DE VENDAS'!$B$6:$B$500, 0)+1), ""), "")&amp; IF(COUNTIF('SAÍDA DE VENDAS'!$B$6:$B$500, B161)&gt;2, " + " &amp; IFERROR(INDEX('SAÍDA DE VENDAS'!$H$6:$H$500 &amp; "x " &amp; 'SAÍDA DE VENDAS'!$G$6:$G$500, MATCH(B161, 'SAÍDA DE VENDAS'!$B$6:$B$500, 0)+2), ""), "")&amp; IF(COUNTIF('SAÍDA DE VENDAS'!$B$6:$B$500, B161)&gt;3, " + " &amp; IFERROR(INDEX('SAÍDA DE VENDAS'!$H$6:$H$500 &amp; "x " &amp; 'SAÍDA DE VENDAS'!$G$6:$G$500, MATCH(B161, 'SAÍDA DE VENDAS'!$B$6:$B$500, 0)+3), ""), "")&amp; IF(COUNTIF('SAÍDA DE VENDAS'!$B$6:$B$500, B161)&gt;4, " + " &amp; IFERROR(INDEX('SAÍDA DE VENDAS'!$H$6:$H$500 &amp; "x " &amp; 'SAÍDA DE VENDAS'!$G$6:$G$500, MATCH(B161, 'SAÍDA DE VENDAS'!$B$6:$B$500, 0)+4), ""), "")&amp; IF(COUNTIF('SAÍDA DE VENDAS'!$B$6:$B$500, B161)&gt;5, " + " &amp; IFERROR(INDEX('SAÍDA DE VENDAS'!$H$6:$H$500 &amp; "x " &amp; 'SAÍDA DE VENDAS'!$G$6:$G$500, MATCH(B161, 'SAÍDA DE VENDAS'!$B$6:$B$500, 0)+5), ""), ""))</f>
        <v/>
      </c>
      <c r="G161" s="34">
        <f>IFERROR(VLOOKUP(B161,'SAÍDA DE VENDAS'!$B$6:$P$500,10,FALSE),"")</f>
        <v>0</v>
      </c>
      <c r="H161" s="34" t="str">
        <f>IF(OR(ISBLANK(B161),B161=""), "", IF(B161=B160, (VALUE(LEFT(H160,FIND("/",H160)-1))+1)&amp;"/"&amp;RIGHT(H160,LEN(H160)-FIND("/",H160)), "1/"&amp;IFERROR(VLOOKUP(B161,'SAÍDA DE VENDAS'!$B$6:$P$500,13,FALSE),"1")))</f>
        <v/>
      </c>
      <c r="I161" s="35" t="str">
        <f t="shared" si="4"/>
        <v/>
      </c>
      <c r="J161" s="39" t="str">
        <f>IFERROR(VLOOKUP(B161,'SAÍDA DE VENDAS'!$B$6:$P$500,15,FALSE),"")</f>
        <v/>
      </c>
      <c r="K161" s="34" t="str">
        <f t="shared" ca="1" si="5"/>
        <v/>
      </c>
      <c r="L161" s="34"/>
      <c r="M161" s="34"/>
    </row>
    <row r="162" spans="2:13" ht="15" customHeight="1" x14ac:dyDescent="0.3">
      <c r="B162" s="28" t="str">
        <f>IF(B161="","", IF(VALUE(LEFT(H161,FIND("/",H161)-1)) &lt; VALUE(RIGHT(H161,LEN(H161)-FIND("/",H161))), B161, IFERROR(INDEX('SAÍDA DE VENDAS'!$B$6:$B$500, MATCH(B161,'SAÍDA DE VENDAS'!$B$6:$B$500,0)+COUNTIF('SAÍDA DE VENDAS'!$B$6:$B$500, B161)),"")))</f>
        <v/>
      </c>
      <c r="C162" s="29">
        <f>IFERROR(VLOOKUP(B162,'SAÍDA DE VENDAS'!$B$6:$P$500,3,FALSE),"")</f>
        <v>0</v>
      </c>
      <c r="D162" s="28">
        <f>IFERROR(VLOOKUP(B162,'SAÍDA DE VENDAS'!$B$6:$P$500,4,FALSE),"")</f>
        <v>0</v>
      </c>
      <c r="E162" s="28" t="str">
        <f>IFERROR(VLOOKUP(B162,'SAÍDA DE VENDAS'!$B$6:$P$500,5,FALSE),"")</f>
        <v/>
      </c>
      <c r="F162" s="28" t="str">
        <f>IF(OR(ISBLANK(B162),B162=""), "", IFERROR(INDEX('SAÍDA DE VENDAS'!$H$6:$H$500 &amp; "x " &amp; 'SAÍDA DE VENDAS'!$G$6:$G$500, MATCH(B162, 'SAÍDA DE VENDAS'!$B$6:$B$500, 0)), "")&amp; IF(COUNTIF('SAÍDA DE VENDAS'!$B$6:$B$500, B162)&gt;1, " + " &amp; IFERROR(INDEX('SAÍDA DE VENDAS'!$H$6:$H$500 &amp; "x " &amp; 'SAÍDA DE VENDAS'!$G$6:$G$500, MATCH(B162, 'SAÍDA DE VENDAS'!$B$6:$B$500, 0)+1), ""), "")&amp; IF(COUNTIF('SAÍDA DE VENDAS'!$B$6:$B$500, B162)&gt;2, " + " &amp; IFERROR(INDEX('SAÍDA DE VENDAS'!$H$6:$H$500 &amp; "x " &amp; 'SAÍDA DE VENDAS'!$G$6:$G$500, MATCH(B162, 'SAÍDA DE VENDAS'!$B$6:$B$500, 0)+2), ""), "")&amp; IF(COUNTIF('SAÍDA DE VENDAS'!$B$6:$B$500, B162)&gt;3, " + " &amp; IFERROR(INDEX('SAÍDA DE VENDAS'!$H$6:$H$500 &amp; "x " &amp; 'SAÍDA DE VENDAS'!$G$6:$G$500, MATCH(B162, 'SAÍDA DE VENDAS'!$B$6:$B$500, 0)+3), ""), "")&amp; IF(COUNTIF('SAÍDA DE VENDAS'!$B$6:$B$500, B162)&gt;4, " + " &amp; IFERROR(INDEX('SAÍDA DE VENDAS'!$H$6:$H$500 &amp; "x " &amp; 'SAÍDA DE VENDAS'!$G$6:$G$500, MATCH(B162, 'SAÍDA DE VENDAS'!$B$6:$B$500, 0)+4), ""), "")&amp; IF(COUNTIF('SAÍDA DE VENDAS'!$B$6:$B$500, B162)&gt;5, " + " &amp; IFERROR(INDEX('SAÍDA DE VENDAS'!$H$6:$H$500 &amp; "x " &amp; 'SAÍDA DE VENDAS'!$G$6:$G$500, MATCH(B162, 'SAÍDA DE VENDAS'!$B$6:$B$500, 0)+5), ""), ""))</f>
        <v/>
      </c>
      <c r="G162" s="28">
        <f>IFERROR(VLOOKUP(B162,'SAÍDA DE VENDAS'!$B$6:$P$500,10,FALSE),"")</f>
        <v>0</v>
      </c>
      <c r="H162" s="28" t="str">
        <f>IF(OR(ISBLANK(B162),B162=""), "", IF(B162=B161, (VALUE(LEFT(H161,FIND("/",H161)-1))+1)&amp;"/"&amp;RIGHT(H161,LEN(H161)-FIND("/",H161)), "1/"&amp;IFERROR(VLOOKUP(B162,'SAÍDA DE VENDAS'!$B$6:$P$500,13,FALSE),"1")))</f>
        <v/>
      </c>
      <c r="I162" s="69" t="str">
        <f t="shared" si="4"/>
        <v/>
      </c>
      <c r="J162" s="33" t="str">
        <f>IFERROR(VLOOKUP(B162,'SAÍDA DE VENDAS'!$B$6:$P$500,15,FALSE),"")</f>
        <v/>
      </c>
      <c r="K162" s="28" t="str">
        <f t="shared" ca="1" si="5"/>
        <v/>
      </c>
      <c r="L162" s="28"/>
      <c r="M162" s="28"/>
    </row>
    <row r="163" spans="2:13" ht="15" customHeight="1" x14ac:dyDescent="0.3">
      <c r="B163" s="34" t="str">
        <f>IF(B162="","", IF(VALUE(LEFT(H162,FIND("/",H162)-1)) &lt; VALUE(RIGHT(H162,LEN(H162)-FIND("/",H162))), B162, IFERROR(INDEX('SAÍDA DE VENDAS'!$B$6:$B$500, MATCH(B162,'SAÍDA DE VENDAS'!$B$6:$B$500,0)+COUNTIF('SAÍDA DE VENDAS'!$B$6:$B$500, B162)),"")))</f>
        <v/>
      </c>
      <c r="C163" s="35">
        <f>IFERROR(VLOOKUP(B163,'SAÍDA DE VENDAS'!$B$6:$P$500,3,FALSE),"")</f>
        <v>0</v>
      </c>
      <c r="D163" s="34">
        <f>IFERROR(VLOOKUP(B163,'SAÍDA DE VENDAS'!$B$6:$P$500,4,FALSE),"")</f>
        <v>0</v>
      </c>
      <c r="E163" s="34" t="str">
        <f>IFERROR(VLOOKUP(B163,'SAÍDA DE VENDAS'!$B$6:$P$500,5,FALSE),"")</f>
        <v/>
      </c>
      <c r="F163" s="34" t="str">
        <f>IF(OR(ISBLANK(B163),B163=""), "", IFERROR(INDEX('SAÍDA DE VENDAS'!$H$6:$H$500 &amp; "x " &amp; 'SAÍDA DE VENDAS'!$G$6:$G$500, MATCH(B163, 'SAÍDA DE VENDAS'!$B$6:$B$500, 0)), "")&amp; IF(COUNTIF('SAÍDA DE VENDAS'!$B$6:$B$500, B163)&gt;1, " + " &amp; IFERROR(INDEX('SAÍDA DE VENDAS'!$H$6:$H$500 &amp; "x " &amp; 'SAÍDA DE VENDAS'!$G$6:$G$500, MATCH(B163, 'SAÍDA DE VENDAS'!$B$6:$B$500, 0)+1), ""), "")&amp; IF(COUNTIF('SAÍDA DE VENDAS'!$B$6:$B$500, B163)&gt;2, " + " &amp; IFERROR(INDEX('SAÍDA DE VENDAS'!$H$6:$H$500 &amp; "x " &amp; 'SAÍDA DE VENDAS'!$G$6:$G$500, MATCH(B163, 'SAÍDA DE VENDAS'!$B$6:$B$500, 0)+2), ""), "")&amp; IF(COUNTIF('SAÍDA DE VENDAS'!$B$6:$B$500, B163)&gt;3, " + " &amp; IFERROR(INDEX('SAÍDA DE VENDAS'!$H$6:$H$500 &amp; "x " &amp; 'SAÍDA DE VENDAS'!$G$6:$G$500, MATCH(B163, 'SAÍDA DE VENDAS'!$B$6:$B$500, 0)+3), ""), "")&amp; IF(COUNTIF('SAÍDA DE VENDAS'!$B$6:$B$500, B163)&gt;4, " + " &amp; IFERROR(INDEX('SAÍDA DE VENDAS'!$H$6:$H$500 &amp; "x " &amp; 'SAÍDA DE VENDAS'!$G$6:$G$500, MATCH(B163, 'SAÍDA DE VENDAS'!$B$6:$B$500, 0)+4), ""), "")&amp; IF(COUNTIF('SAÍDA DE VENDAS'!$B$6:$B$500, B163)&gt;5, " + " &amp; IFERROR(INDEX('SAÍDA DE VENDAS'!$H$6:$H$500 &amp; "x " &amp; 'SAÍDA DE VENDAS'!$G$6:$G$500, MATCH(B163, 'SAÍDA DE VENDAS'!$B$6:$B$500, 0)+5), ""), ""))</f>
        <v/>
      </c>
      <c r="G163" s="34">
        <f>IFERROR(VLOOKUP(B163,'SAÍDA DE VENDAS'!$B$6:$P$500,10,FALSE),"")</f>
        <v>0</v>
      </c>
      <c r="H163" s="34" t="str">
        <f>IF(OR(ISBLANK(B163),B163=""), "", IF(B163=B162, (VALUE(LEFT(H162,FIND("/",H162)-1))+1)&amp;"/"&amp;RIGHT(H162,LEN(H162)-FIND("/",H162)), "1/"&amp;IFERROR(VLOOKUP(B163,'SAÍDA DE VENDAS'!$B$6:$P$500,13,FALSE),"1")))</f>
        <v/>
      </c>
      <c r="I163" s="35" t="str">
        <f t="shared" si="4"/>
        <v/>
      </c>
      <c r="J163" s="39" t="str">
        <f>IFERROR(VLOOKUP(B163,'SAÍDA DE VENDAS'!$B$6:$P$500,15,FALSE),"")</f>
        <v/>
      </c>
      <c r="K163" s="34" t="str">
        <f t="shared" ca="1" si="5"/>
        <v/>
      </c>
      <c r="L163" s="34"/>
      <c r="M163" s="34"/>
    </row>
    <row r="164" spans="2:13" ht="15" customHeight="1" x14ac:dyDescent="0.3">
      <c r="B164" s="28" t="str">
        <f>IF(B163="","", IF(VALUE(LEFT(H163,FIND("/",H163)-1)) &lt; VALUE(RIGHT(H163,LEN(H163)-FIND("/",H163))), B163, IFERROR(INDEX('SAÍDA DE VENDAS'!$B$6:$B$500, MATCH(B163,'SAÍDA DE VENDAS'!$B$6:$B$500,0)+COUNTIF('SAÍDA DE VENDAS'!$B$6:$B$500, B163)),"")))</f>
        <v/>
      </c>
      <c r="C164" s="29">
        <f>IFERROR(VLOOKUP(B164,'SAÍDA DE VENDAS'!$B$6:$P$500,3,FALSE),"")</f>
        <v>0</v>
      </c>
      <c r="D164" s="28">
        <f>IFERROR(VLOOKUP(B164,'SAÍDA DE VENDAS'!$B$6:$P$500,4,FALSE),"")</f>
        <v>0</v>
      </c>
      <c r="E164" s="28" t="str">
        <f>IFERROR(VLOOKUP(B164,'SAÍDA DE VENDAS'!$B$6:$P$500,5,FALSE),"")</f>
        <v/>
      </c>
      <c r="F164" s="28" t="str">
        <f>IF(OR(ISBLANK(B164),B164=""), "", IFERROR(INDEX('SAÍDA DE VENDAS'!$H$6:$H$500 &amp; "x " &amp; 'SAÍDA DE VENDAS'!$G$6:$G$500, MATCH(B164, 'SAÍDA DE VENDAS'!$B$6:$B$500, 0)), "")&amp; IF(COUNTIF('SAÍDA DE VENDAS'!$B$6:$B$500, B164)&gt;1, " + " &amp; IFERROR(INDEX('SAÍDA DE VENDAS'!$H$6:$H$500 &amp; "x " &amp; 'SAÍDA DE VENDAS'!$G$6:$G$500, MATCH(B164, 'SAÍDA DE VENDAS'!$B$6:$B$500, 0)+1), ""), "")&amp; IF(COUNTIF('SAÍDA DE VENDAS'!$B$6:$B$500, B164)&gt;2, " + " &amp; IFERROR(INDEX('SAÍDA DE VENDAS'!$H$6:$H$500 &amp; "x " &amp; 'SAÍDA DE VENDAS'!$G$6:$G$500, MATCH(B164, 'SAÍDA DE VENDAS'!$B$6:$B$500, 0)+2), ""), "")&amp; IF(COUNTIF('SAÍDA DE VENDAS'!$B$6:$B$500, B164)&gt;3, " + " &amp; IFERROR(INDEX('SAÍDA DE VENDAS'!$H$6:$H$500 &amp; "x " &amp; 'SAÍDA DE VENDAS'!$G$6:$G$500, MATCH(B164, 'SAÍDA DE VENDAS'!$B$6:$B$500, 0)+3), ""), "")&amp; IF(COUNTIF('SAÍDA DE VENDAS'!$B$6:$B$500, B164)&gt;4, " + " &amp; IFERROR(INDEX('SAÍDA DE VENDAS'!$H$6:$H$500 &amp; "x " &amp; 'SAÍDA DE VENDAS'!$G$6:$G$500, MATCH(B164, 'SAÍDA DE VENDAS'!$B$6:$B$500, 0)+4), ""), "")&amp; IF(COUNTIF('SAÍDA DE VENDAS'!$B$6:$B$500, B164)&gt;5, " + " &amp; IFERROR(INDEX('SAÍDA DE VENDAS'!$H$6:$H$500 &amp; "x " &amp; 'SAÍDA DE VENDAS'!$G$6:$G$500, MATCH(B164, 'SAÍDA DE VENDAS'!$B$6:$B$500, 0)+5), ""), ""))</f>
        <v/>
      </c>
      <c r="G164" s="28">
        <f>IFERROR(VLOOKUP(B164,'SAÍDA DE VENDAS'!$B$6:$P$500,10,FALSE),"")</f>
        <v>0</v>
      </c>
      <c r="H164" s="28" t="str">
        <f>IF(OR(ISBLANK(B164),B164=""), "", IF(B164=B163, (VALUE(LEFT(H163,FIND("/",H163)-1))+1)&amp;"/"&amp;RIGHT(H163,LEN(H163)-FIND("/",H163)), "1/"&amp;IFERROR(VLOOKUP(B164,'SAÍDA DE VENDAS'!$B$6:$P$500,13,FALSE),"1")))</f>
        <v/>
      </c>
      <c r="I164" s="69" t="str">
        <f t="shared" si="4"/>
        <v/>
      </c>
      <c r="J164" s="33" t="str">
        <f>IFERROR(VLOOKUP(B164,'SAÍDA DE VENDAS'!$B$6:$P$500,15,FALSE),"")</f>
        <v/>
      </c>
      <c r="K164" s="28" t="str">
        <f t="shared" ca="1" si="5"/>
        <v/>
      </c>
      <c r="L164" s="28"/>
      <c r="M164" s="28"/>
    </row>
    <row r="165" spans="2:13" ht="15" customHeight="1" x14ac:dyDescent="0.3">
      <c r="B165" s="34" t="str">
        <f>IF(B164="","", IF(VALUE(LEFT(H164,FIND("/",H164)-1)) &lt; VALUE(RIGHT(H164,LEN(H164)-FIND("/",H164))), B164, IFERROR(INDEX('SAÍDA DE VENDAS'!$B$6:$B$500, MATCH(B164,'SAÍDA DE VENDAS'!$B$6:$B$500,0)+COUNTIF('SAÍDA DE VENDAS'!$B$6:$B$500, B164)),"")))</f>
        <v/>
      </c>
      <c r="C165" s="35">
        <f>IFERROR(VLOOKUP(B165,'SAÍDA DE VENDAS'!$B$6:$P$500,3,FALSE),"")</f>
        <v>0</v>
      </c>
      <c r="D165" s="34">
        <f>IFERROR(VLOOKUP(B165,'SAÍDA DE VENDAS'!$B$6:$P$500,4,FALSE),"")</f>
        <v>0</v>
      </c>
      <c r="E165" s="34" t="str">
        <f>IFERROR(VLOOKUP(B165,'SAÍDA DE VENDAS'!$B$6:$P$500,5,FALSE),"")</f>
        <v/>
      </c>
      <c r="F165" s="34" t="str">
        <f>IF(OR(ISBLANK(B165),B165=""), "", IFERROR(INDEX('SAÍDA DE VENDAS'!$H$6:$H$500 &amp; "x " &amp; 'SAÍDA DE VENDAS'!$G$6:$G$500, MATCH(B165, 'SAÍDA DE VENDAS'!$B$6:$B$500, 0)), "")&amp; IF(COUNTIF('SAÍDA DE VENDAS'!$B$6:$B$500, B165)&gt;1, " + " &amp; IFERROR(INDEX('SAÍDA DE VENDAS'!$H$6:$H$500 &amp; "x " &amp; 'SAÍDA DE VENDAS'!$G$6:$G$500, MATCH(B165, 'SAÍDA DE VENDAS'!$B$6:$B$500, 0)+1), ""), "")&amp; IF(COUNTIF('SAÍDA DE VENDAS'!$B$6:$B$500, B165)&gt;2, " + " &amp; IFERROR(INDEX('SAÍDA DE VENDAS'!$H$6:$H$500 &amp; "x " &amp; 'SAÍDA DE VENDAS'!$G$6:$G$500, MATCH(B165, 'SAÍDA DE VENDAS'!$B$6:$B$500, 0)+2), ""), "")&amp; IF(COUNTIF('SAÍDA DE VENDAS'!$B$6:$B$500, B165)&gt;3, " + " &amp; IFERROR(INDEX('SAÍDA DE VENDAS'!$H$6:$H$500 &amp; "x " &amp; 'SAÍDA DE VENDAS'!$G$6:$G$500, MATCH(B165, 'SAÍDA DE VENDAS'!$B$6:$B$500, 0)+3), ""), "")&amp; IF(COUNTIF('SAÍDA DE VENDAS'!$B$6:$B$500, B165)&gt;4, " + " &amp; IFERROR(INDEX('SAÍDA DE VENDAS'!$H$6:$H$500 &amp; "x " &amp; 'SAÍDA DE VENDAS'!$G$6:$G$500, MATCH(B165, 'SAÍDA DE VENDAS'!$B$6:$B$500, 0)+4), ""), "")&amp; IF(COUNTIF('SAÍDA DE VENDAS'!$B$6:$B$500, B165)&gt;5, " + " &amp; IFERROR(INDEX('SAÍDA DE VENDAS'!$H$6:$H$500 &amp; "x " &amp; 'SAÍDA DE VENDAS'!$G$6:$G$500, MATCH(B165, 'SAÍDA DE VENDAS'!$B$6:$B$500, 0)+5), ""), ""))</f>
        <v/>
      </c>
      <c r="G165" s="34">
        <f>IFERROR(VLOOKUP(B165,'SAÍDA DE VENDAS'!$B$6:$P$500,10,FALSE),"")</f>
        <v>0</v>
      </c>
      <c r="H165" s="34" t="str">
        <f>IF(OR(ISBLANK(B165),B165=""), "", IF(B165=B164, (VALUE(LEFT(H164,FIND("/",H164)-1))+1)&amp;"/"&amp;RIGHT(H164,LEN(H164)-FIND("/",H164)), "1/"&amp;IFERROR(VLOOKUP(B165,'SAÍDA DE VENDAS'!$B$6:$P$500,13,FALSE),"1")))</f>
        <v/>
      </c>
      <c r="I165" s="35" t="str">
        <f t="shared" si="4"/>
        <v/>
      </c>
      <c r="J165" s="39" t="str">
        <f>IFERROR(VLOOKUP(B165,'SAÍDA DE VENDAS'!$B$6:$P$500,15,FALSE),"")</f>
        <v/>
      </c>
      <c r="K165" s="34" t="str">
        <f t="shared" ca="1" si="5"/>
        <v/>
      </c>
      <c r="L165" s="34"/>
      <c r="M165" s="34"/>
    </row>
    <row r="166" spans="2:13" ht="15" customHeight="1" x14ac:dyDescent="0.3">
      <c r="B166" s="28" t="str">
        <f>IF(B165="","", IF(VALUE(LEFT(H165,FIND("/",H165)-1)) &lt; VALUE(RIGHT(H165,LEN(H165)-FIND("/",H165))), B165, IFERROR(INDEX('SAÍDA DE VENDAS'!$B$6:$B$500, MATCH(B165,'SAÍDA DE VENDAS'!$B$6:$B$500,0)+COUNTIF('SAÍDA DE VENDAS'!$B$6:$B$500, B165)),"")))</f>
        <v/>
      </c>
      <c r="C166" s="29">
        <f>IFERROR(VLOOKUP(B166,'SAÍDA DE VENDAS'!$B$6:$P$500,3,FALSE),"")</f>
        <v>0</v>
      </c>
      <c r="D166" s="28">
        <f>IFERROR(VLOOKUP(B166,'SAÍDA DE VENDAS'!$B$6:$P$500,4,FALSE),"")</f>
        <v>0</v>
      </c>
      <c r="E166" s="28" t="str">
        <f>IFERROR(VLOOKUP(B166,'SAÍDA DE VENDAS'!$B$6:$P$500,5,FALSE),"")</f>
        <v/>
      </c>
      <c r="F166" s="28" t="str">
        <f>IF(OR(ISBLANK(B166),B166=""), "", IFERROR(INDEX('SAÍDA DE VENDAS'!$H$6:$H$500 &amp; "x " &amp; 'SAÍDA DE VENDAS'!$G$6:$G$500, MATCH(B166, 'SAÍDA DE VENDAS'!$B$6:$B$500, 0)), "")&amp; IF(COUNTIF('SAÍDA DE VENDAS'!$B$6:$B$500, B166)&gt;1, " + " &amp; IFERROR(INDEX('SAÍDA DE VENDAS'!$H$6:$H$500 &amp; "x " &amp; 'SAÍDA DE VENDAS'!$G$6:$G$500, MATCH(B166, 'SAÍDA DE VENDAS'!$B$6:$B$500, 0)+1), ""), "")&amp; IF(COUNTIF('SAÍDA DE VENDAS'!$B$6:$B$500, B166)&gt;2, " + " &amp; IFERROR(INDEX('SAÍDA DE VENDAS'!$H$6:$H$500 &amp; "x " &amp; 'SAÍDA DE VENDAS'!$G$6:$G$500, MATCH(B166, 'SAÍDA DE VENDAS'!$B$6:$B$500, 0)+2), ""), "")&amp; IF(COUNTIF('SAÍDA DE VENDAS'!$B$6:$B$500, B166)&gt;3, " + " &amp; IFERROR(INDEX('SAÍDA DE VENDAS'!$H$6:$H$500 &amp; "x " &amp; 'SAÍDA DE VENDAS'!$G$6:$G$500, MATCH(B166, 'SAÍDA DE VENDAS'!$B$6:$B$500, 0)+3), ""), "")&amp; IF(COUNTIF('SAÍDA DE VENDAS'!$B$6:$B$500, B166)&gt;4, " + " &amp; IFERROR(INDEX('SAÍDA DE VENDAS'!$H$6:$H$500 &amp; "x " &amp; 'SAÍDA DE VENDAS'!$G$6:$G$500, MATCH(B166, 'SAÍDA DE VENDAS'!$B$6:$B$500, 0)+4), ""), "")&amp; IF(COUNTIF('SAÍDA DE VENDAS'!$B$6:$B$500, B166)&gt;5, " + " &amp; IFERROR(INDEX('SAÍDA DE VENDAS'!$H$6:$H$500 &amp; "x " &amp; 'SAÍDA DE VENDAS'!$G$6:$G$500, MATCH(B166, 'SAÍDA DE VENDAS'!$B$6:$B$500, 0)+5), ""), ""))</f>
        <v/>
      </c>
      <c r="G166" s="28">
        <f>IFERROR(VLOOKUP(B166,'SAÍDA DE VENDAS'!$B$6:$P$500,10,FALSE),"")</f>
        <v>0</v>
      </c>
      <c r="H166" s="28" t="str">
        <f>IF(OR(ISBLANK(B166),B166=""), "", IF(B166=B165, (VALUE(LEFT(H165,FIND("/",H165)-1))+1)&amp;"/"&amp;RIGHT(H165,LEN(H165)-FIND("/",H165)), "1/"&amp;IFERROR(VLOOKUP(B166,'SAÍDA DE VENDAS'!$B$6:$P$500,13,FALSE),"1")))</f>
        <v/>
      </c>
      <c r="I166" s="69" t="str">
        <f t="shared" si="4"/>
        <v/>
      </c>
      <c r="J166" s="33" t="str">
        <f>IFERROR(VLOOKUP(B166,'SAÍDA DE VENDAS'!$B$6:$P$500,15,FALSE),"")</f>
        <v/>
      </c>
      <c r="K166" s="28" t="str">
        <f t="shared" ca="1" si="5"/>
        <v/>
      </c>
      <c r="L166" s="28"/>
      <c r="M166" s="28"/>
    </row>
    <row r="167" spans="2:13" ht="15" customHeight="1" x14ac:dyDescent="0.3">
      <c r="B167" s="34" t="str">
        <f>IF(B166="","", IF(VALUE(LEFT(H166,FIND("/",H166)-1)) &lt; VALUE(RIGHT(H166,LEN(H166)-FIND("/",H166))), B166, IFERROR(INDEX('SAÍDA DE VENDAS'!$B$6:$B$500, MATCH(B166,'SAÍDA DE VENDAS'!$B$6:$B$500,0)+COUNTIF('SAÍDA DE VENDAS'!$B$6:$B$500, B166)),"")))</f>
        <v/>
      </c>
      <c r="C167" s="35">
        <f>IFERROR(VLOOKUP(B167,'SAÍDA DE VENDAS'!$B$6:$P$500,3,FALSE),"")</f>
        <v>0</v>
      </c>
      <c r="D167" s="34">
        <f>IFERROR(VLOOKUP(B167,'SAÍDA DE VENDAS'!$B$6:$P$500,4,FALSE),"")</f>
        <v>0</v>
      </c>
      <c r="E167" s="34" t="str">
        <f>IFERROR(VLOOKUP(B167,'SAÍDA DE VENDAS'!$B$6:$P$500,5,FALSE),"")</f>
        <v/>
      </c>
      <c r="F167" s="34" t="str">
        <f>IF(OR(ISBLANK(B167),B167=""), "", IFERROR(INDEX('SAÍDA DE VENDAS'!$H$6:$H$500 &amp; "x " &amp; 'SAÍDA DE VENDAS'!$G$6:$G$500, MATCH(B167, 'SAÍDA DE VENDAS'!$B$6:$B$500, 0)), "")&amp; IF(COUNTIF('SAÍDA DE VENDAS'!$B$6:$B$500, B167)&gt;1, " + " &amp; IFERROR(INDEX('SAÍDA DE VENDAS'!$H$6:$H$500 &amp; "x " &amp; 'SAÍDA DE VENDAS'!$G$6:$G$500, MATCH(B167, 'SAÍDA DE VENDAS'!$B$6:$B$500, 0)+1), ""), "")&amp; IF(COUNTIF('SAÍDA DE VENDAS'!$B$6:$B$500, B167)&gt;2, " + " &amp; IFERROR(INDEX('SAÍDA DE VENDAS'!$H$6:$H$500 &amp; "x " &amp; 'SAÍDA DE VENDAS'!$G$6:$G$500, MATCH(B167, 'SAÍDA DE VENDAS'!$B$6:$B$500, 0)+2), ""), "")&amp; IF(COUNTIF('SAÍDA DE VENDAS'!$B$6:$B$500, B167)&gt;3, " + " &amp; IFERROR(INDEX('SAÍDA DE VENDAS'!$H$6:$H$500 &amp; "x " &amp; 'SAÍDA DE VENDAS'!$G$6:$G$500, MATCH(B167, 'SAÍDA DE VENDAS'!$B$6:$B$500, 0)+3), ""), "")&amp; IF(COUNTIF('SAÍDA DE VENDAS'!$B$6:$B$500, B167)&gt;4, " + " &amp; IFERROR(INDEX('SAÍDA DE VENDAS'!$H$6:$H$500 &amp; "x " &amp; 'SAÍDA DE VENDAS'!$G$6:$G$500, MATCH(B167, 'SAÍDA DE VENDAS'!$B$6:$B$500, 0)+4), ""), "")&amp; IF(COUNTIF('SAÍDA DE VENDAS'!$B$6:$B$500, B167)&gt;5, " + " &amp; IFERROR(INDEX('SAÍDA DE VENDAS'!$H$6:$H$500 &amp; "x " &amp; 'SAÍDA DE VENDAS'!$G$6:$G$500, MATCH(B167, 'SAÍDA DE VENDAS'!$B$6:$B$500, 0)+5), ""), ""))</f>
        <v/>
      </c>
      <c r="G167" s="34">
        <f>IFERROR(VLOOKUP(B167,'SAÍDA DE VENDAS'!$B$6:$P$500,10,FALSE),"")</f>
        <v>0</v>
      </c>
      <c r="H167" s="34" t="str">
        <f>IF(OR(ISBLANK(B167),B167=""), "", IF(B167=B166, (VALUE(LEFT(H166,FIND("/",H166)-1))+1)&amp;"/"&amp;RIGHT(H166,LEN(H166)-FIND("/",H166)), "1/"&amp;IFERROR(VLOOKUP(B167,'SAÍDA DE VENDAS'!$B$6:$P$500,13,FALSE),"1")))</f>
        <v/>
      </c>
      <c r="I167" s="35" t="str">
        <f t="shared" si="4"/>
        <v/>
      </c>
      <c r="J167" s="39" t="str">
        <f>IFERROR(VLOOKUP(B167,'SAÍDA DE VENDAS'!$B$6:$P$500,15,FALSE),"")</f>
        <v/>
      </c>
      <c r="K167" s="34" t="str">
        <f t="shared" ca="1" si="5"/>
        <v/>
      </c>
      <c r="L167" s="34"/>
      <c r="M167" s="34"/>
    </row>
    <row r="168" spans="2:13" ht="15" customHeight="1" x14ac:dyDescent="0.3">
      <c r="B168" s="28" t="str">
        <f>IF(B167="","", IF(VALUE(LEFT(H167,FIND("/",H167)-1)) &lt; VALUE(RIGHT(H167,LEN(H167)-FIND("/",H167))), B167, IFERROR(INDEX('SAÍDA DE VENDAS'!$B$6:$B$500, MATCH(B167,'SAÍDA DE VENDAS'!$B$6:$B$500,0)+COUNTIF('SAÍDA DE VENDAS'!$B$6:$B$500, B167)),"")))</f>
        <v/>
      </c>
      <c r="C168" s="29">
        <f>IFERROR(VLOOKUP(B168,'SAÍDA DE VENDAS'!$B$6:$P$500,3,FALSE),"")</f>
        <v>0</v>
      </c>
      <c r="D168" s="28">
        <f>IFERROR(VLOOKUP(B168,'SAÍDA DE VENDAS'!$B$6:$P$500,4,FALSE),"")</f>
        <v>0</v>
      </c>
      <c r="E168" s="28" t="str">
        <f>IFERROR(VLOOKUP(B168,'SAÍDA DE VENDAS'!$B$6:$P$500,5,FALSE),"")</f>
        <v/>
      </c>
      <c r="F168" s="28" t="str">
        <f>IF(OR(ISBLANK(B168),B168=""), "", IFERROR(INDEX('SAÍDA DE VENDAS'!$H$6:$H$500 &amp; "x " &amp; 'SAÍDA DE VENDAS'!$G$6:$G$500, MATCH(B168, 'SAÍDA DE VENDAS'!$B$6:$B$500, 0)), "")&amp; IF(COUNTIF('SAÍDA DE VENDAS'!$B$6:$B$500, B168)&gt;1, " + " &amp; IFERROR(INDEX('SAÍDA DE VENDAS'!$H$6:$H$500 &amp; "x " &amp; 'SAÍDA DE VENDAS'!$G$6:$G$500, MATCH(B168, 'SAÍDA DE VENDAS'!$B$6:$B$500, 0)+1), ""), "")&amp; IF(COUNTIF('SAÍDA DE VENDAS'!$B$6:$B$500, B168)&gt;2, " + " &amp; IFERROR(INDEX('SAÍDA DE VENDAS'!$H$6:$H$500 &amp; "x " &amp; 'SAÍDA DE VENDAS'!$G$6:$G$500, MATCH(B168, 'SAÍDA DE VENDAS'!$B$6:$B$500, 0)+2), ""), "")&amp; IF(COUNTIF('SAÍDA DE VENDAS'!$B$6:$B$500, B168)&gt;3, " + " &amp; IFERROR(INDEX('SAÍDA DE VENDAS'!$H$6:$H$500 &amp; "x " &amp; 'SAÍDA DE VENDAS'!$G$6:$G$500, MATCH(B168, 'SAÍDA DE VENDAS'!$B$6:$B$500, 0)+3), ""), "")&amp; IF(COUNTIF('SAÍDA DE VENDAS'!$B$6:$B$500, B168)&gt;4, " + " &amp; IFERROR(INDEX('SAÍDA DE VENDAS'!$H$6:$H$500 &amp; "x " &amp; 'SAÍDA DE VENDAS'!$G$6:$G$500, MATCH(B168, 'SAÍDA DE VENDAS'!$B$6:$B$500, 0)+4), ""), "")&amp; IF(COUNTIF('SAÍDA DE VENDAS'!$B$6:$B$500, B168)&gt;5, " + " &amp; IFERROR(INDEX('SAÍDA DE VENDAS'!$H$6:$H$500 &amp; "x " &amp; 'SAÍDA DE VENDAS'!$G$6:$G$500, MATCH(B168, 'SAÍDA DE VENDAS'!$B$6:$B$500, 0)+5), ""), ""))</f>
        <v/>
      </c>
      <c r="G168" s="28">
        <f>IFERROR(VLOOKUP(B168,'SAÍDA DE VENDAS'!$B$6:$P$500,10,FALSE),"")</f>
        <v>0</v>
      </c>
      <c r="H168" s="28" t="str">
        <f>IF(OR(ISBLANK(B168),B168=""), "", IF(B168=B167, (VALUE(LEFT(H167,FIND("/",H167)-1))+1)&amp;"/"&amp;RIGHT(H167,LEN(H167)-FIND("/",H167)), "1/"&amp;IFERROR(VLOOKUP(B168,'SAÍDA DE VENDAS'!$B$6:$P$500,13,FALSE),"1")))</f>
        <v/>
      </c>
      <c r="I168" s="69" t="str">
        <f t="shared" si="4"/>
        <v/>
      </c>
      <c r="J168" s="33" t="str">
        <f>IFERROR(VLOOKUP(B168,'SAÍDA DE VENDAS'!$B$6:$P$500,15,FALSE),"")</f>
        <v/>
      </c>
      <c r="K168" s="28" t="str">
        <f t="shared" ca="1" si="5"/>
        <v/>
      </c>
      <c r="L168" s="28"/>
      <c r="M168" s="28"/>
    </row>
    <row r="169" spans="2:13" ht="15" customHeight="1" x14ac:dyDescent="0.3">
      <c r="B169" s="34" t="str">
        <f>IF(B168="","", IF(VALUE(LEFT(H168,FIND("/",H168)-1)) &lt; VALUE(RIGHT(H168,LEN(H168)-FIND("/",H168))), B168, IFERROR(INDEX('SAÍDA DE VENDAS'!$B$6:$B$500, MATCH(B168,'SAÍDA DE VENDAS'!$B$6:$B$500,0)+COUNTIF('SAÍDA DE VENDAS'!$B$6:$B$500, B168)),"")))</f>
        <v/>
      </c>
      <c r="C169" s="35">
        <f>IFERROR(VLOOKUP(B169,'SAÍDA DE VENDAS'!$B$6:$P$500,3,FALSE),"")</f>
        <v>0</v>
      </c>
      <c r="D169" s="34">
        <f>IFERROR(VLOOKUP(B169,'SAÍDA DE VENDAS'!$B$6:$P$500,4,FALSE),"")</f>
        <v>0</v>
      </c>
      <c r="E169" s="34" t="str">
        <f>IFERROR(VLOOKUP(B169,'SAÍDA DE VENDAS'!$B$6:$P$500,5,FALSE),"")</f>
        <v/>
      </c>
      <c r="F169" s="34" t="str">
        <f>IF(OR(ISBLANK(B169),B169=""), "", IFERROR(INDEX('SAÍDA DE VENDAS'!$H$6:$H$500 &amp; "x " &amp; 'SAÍDA DE VENDAS'!$G$6:$G$500, MATCH(B169, 'SAÍDA DE VENDAS'!$B$6:$B$500, 0)), "")&amp; IF(COUNTIF('SAÍDA DE VENDAS'!$B$6:$B$500, B169)&gt;1, " + " &amp; IFERROR(INDEX('SAÍDA DE VENDAS'!$H$6:$H$500 &amp; "x " &amp; 'SAÍDA DE VENDAS'!$G$6:$G$500, MATCH(B169, 'SAÍDA DE VENDAS'!$B$6:$B$500, 0)+1), ""), "")&amp; IF(COUNTIF('SAÍDA DE VENDAS'!$B$6:$B$500, B169)&gt;2, " + " &amp; IFERROR(INDEX('SAÍDA DE VENDAS'!$H$6:$H$500 &amp; "x " &amp; 'SAÍDA DE VENDAS'!$G$6:$G$500, MATCH(B169, 'SAÍDA DE VENDAS'!$B$6:$B$500, 0)+2), ""), "")&amp; IF(COUNTIF('SAÍDA DE VENDAS'!$B$6:$B$500, B169)&gt;3, " + " &amp; IFERROR(INDEX('SAÍDA DE VENDAS'!$H$6:$H$500 &amp; "x " &amp; 'SAÍDA DE VENDAS'!$G$6:$G$500, MATCH(B169, 'SAÍDA DE VENDAS'!$B$6:$B$500, 0)+3), ""), "")&amp; IF(COUNTIF('SAÍDA DE VENDAS'!$B$6:$B$500, B169)&gt;4, " + " &amp; IFERROR(INDEX('SAÍDA DE VENDAS'!$H$6:$H$500 &amp; "x " &amp; 'SAÍDA DE VENDAS'!$G$6:$G$500, MATCH(B169, 'SAÍDA DE VENDAS'!$B$6:$B$500, 0)+4), ""), "")&amp; IF(COUNTIF('SAÍDA DE VENDAS'!$B$6:$B$500, B169)&gt;5, " + " &amp; IFERROR(INDEX('SAÍDA DE VENDAS'!$H$6:$H$500 &amp; "x " &amp; 'SAÍDA DE VENDAS'!$G$6:$G$500, MATCH(B169, 'SAÍDA DE VENDAS'!$B$6:$B$500, 0)+5), ""), ""))</f>
        <v/>
      </c>
      <c r="G169" s="34">
        <f>IFERROR(VLOOKUP(B169,'SAÍDA DE VENDAS'!$B$6:$P$500,10,FALSE),"")</f>
        <v>0</v>
      </c>
      <c r="H169" s="34" t="str">
        <f>IF(OR(ISBLANK(B169),B169=""), "", IF(B169=B168, (VALUE(LEFT(H168,FIND("/",H168)-1))+1)&amp;"/"&amp;RIGHT(H168,LEN(H168)-FIND("/",H168)), "1/"&amp;IFERROR(VLOOKUP(B169,'SAÍDA DE VENDAS'!$B$6:$P$500,13,FALSE),"1")))</f>
        <v/>
      </c>
      <c r="I169" s="35" t="str">
        <f t="shared" si="4"/>
        <v/>
      </c>
      <c r="J169" s="39" t="str">
        <f>IFERROR(VLOOKUP(B169,'SAÍDA DE VENDAS'!$B$6:$P$500,15,FALSE),"")</f>
        <v/>
      </c>
      <c r="K169" s="34" t="str">
        <f t="shared" ca="1" si="5"/>
        <v/>
      </c>
      <c r="L169" s="34"/>
      <c r="M169" s="34"/>
    </row>
    <row r="170" spans="2:13" ht="15" customHeight="1" x14ac:dyDescent="0.3">
      <c r="B170" s="28" t="str">
        <f>IF(B169="","", IF(VALUE(LEFT(H169,FIND("/",H169)-1)) &lt; VALUE(RIGHT(H169,LEN(H169)-FIND("/",H169))), B169, IFERROR(INDEX('SAÍDA DE VENDAS'!$B$6:$B$500, MATCH(B169,'SAÍDA DE VENDAS'!$B$6:$B$500,0)+COUNTIF('SAÍDA DE VENDAS'!$B$6:$B$500, B169)),"")))</f>
        <v/>
      </c>
      <c r="C170" s="29">
        <f>IFERROR(VLOOKUP(B170,'SAÍDA DE VENDAS'!$B$6:$P$500,3,FALSE),"")</f>
        <v>0</v>
      </c>
      <c r="D170" s="28">
        <f>IFERROR(VLOOKUP(B170,'SAÍDA DE VENDAS'!$B$6:$P$500,4,FALSE),"")</f>
        <v>0</v>
      </c>
      <c r="E170" s="28" t="str">
        <f>IFERROR(VLOOKUP(B170,'SAÍDA DE VENDAS'!$B$6:$P$500,5,FALSE),"")</f>
        <v/>
      </c>
      <c r="F170" s="28" t="str">
        <f>IF(OR(ISBLANK(B170),B170=""), "", IFERROR(INDEX('SAÍDA DE VENDAS'!$H$6:$H$500 &amp; "x " &amp; 'SAÍDA DE VENDAS'!$G$6:$G$500, MATCH(B170, 'SAÍDA DE VENDAS'!$B$6:$B$500, 0)), "")&amp; IF(COUNTIF('SAÍDA DE VENDAS'!$B$6:$B$500, B170)&gt;1, " + " &amp; IFERROR(INDEX('SAÍDA DE VENDAS'!$H$6:$H$500 &amp; "x " &amp; 'SAÍDA DE VENDAS'!$G$6:$G$500, MATCH(B170, 'SAÍDA DE VENDAS'!$B$6:$B$500, 0)+1), ""), "")&amp; IF(COUNTIF('SAÍDA DE VENDAS'!$B$6:$B$500, B170)&gt;2, " + " &amp; IFERROR(INDEX('SAÍDA DE VENDAS'!$H$6:$H$500 &amp; "x " &amp; 'SAÍDA DE VENDAS'!$G$6:$G$500, MATCH(B170, 'SAÍDA DE VENDAS'!$B$6:$B$500, 0)+2), ""), "")&amp; IF(COUNTIF('SAÍDA DE VENDAS'!$B$6:$B$500, B170)&gt;3, " + " &amp; IFERROR(INDEX('SAÍDA DE VENDAS'!$H$6:$H$500 &amp; "x " &amp; 'SAÍDA DE VENDAS'!$G$6:$G$500, MATCH(B170, 'SAÍDA DE VENDAS'!$B$6:$B$500, 0)+3), ""), "")&amp; IF(COUNTIF('SAÍDA DE VENDAS'!$B$6:$B$500, B170)&gt;4, " + " &amp; IFERROR(INDEX('SAÍDA DE VENDAS'!$H$6:$H$500 &amp; "x " &amp; 'SAÍDA DE VENDAS'!$G$6:$G$500, MATCH(B170, 'SAÍDA DE VENDAS'!$B$6:$B$500, 0)+4), ""), "")&amp; IF(COUNTIF('SAÍDA DE VENDAS'!$B$6:$B$500, B170)&gt;5, " + " &amp; IFERROR(INDEX('SAÍDA DE VENDAS'!$H$6:$H$500 &amp; "x " &amp; 'SAÍDA DE VENDAS'!$G$6:$G$500, MATCH(B170, 'SAÍDA DE VENDAS'!$B$6:$B$500, 0)+5), ""), ""))</f>
        <v/>
      </c>
      <c r="G170" s="28">
        <f>IFERROR(VLOOKUP(B170,'SAÍDA DE VENDAS'!$B$6:$P$500,10,FALSE),"")</f>
        <v>0</v>
      </c>
      <c r="H170" s="28" t="str">
        <f>IF(OR(ISBLANK(B170),B170=""), "", IF(B170=B169, (VALUE(LEFT(H169,FIND("/",H169)-1))+1)&amp;"/"&amp;RIGHT(H169,LEN(H169)-FIND("/",H169)), "1/"&amp;IFERROR(VLOOKUP(B170,'SAÍDA DE VENDAS'!$B$6:$P$500,13,FALSE),"1")))</f>
        <v/>
      </c>
      <c r="I170" s="69" t="str">
        <f t="shared" si="4"/>
        <v/>
      </c>
      <c r="J170" s="33" t="str">
        <f>IFERROR(VLOOKUP(B170,'SAÍDA DE VENDAS'!$B$6:$P$500,15,FALSE),"")</f>
        <v/>
      </c>
      <c r="K170" s="28" t="str">
        <f t="shared" ca="1" si="5"/>
        <v/>
      </c>
      <c r="L170" s="28"/>
      <c r="M170" s="28"/>
    </row>
    <row r="171" spans="2:13" ht="15" customHeight="1" x14ac:dyDescent="0.3">
      <c r="B171" s="34" t="str">
        <f>IF(B170="","", IF(VALUE(LEFT(H170,FIND("/",H170)-1)) &lt; VALUE(RIGHT(H170,LEN(H170)-FIND("/",H170))), B170, IFERROR(INDEX('SAÍDA DE VENDAS'!$B$6:$B$500, MATCH(B170,'SAÍDA DE VENDAS'!$B$6:$B$500,0)+COUNTIF('SAÍDA DE VENDAS'!$B$6:$B$500, B170)),"")))</f>
        <v/>
      </c>
      <c r="C171" s="35">
        <f>IFERROR(VLOOKUP(B171,'SAÍDA DE VENDAS'!$B$6:$P$500,3,FALSE),"")</f>
        <v>0</v>
      </c>
      <c r="D171" s="34">
        <f>IFERROR(VLOOKUP(B171,'SAÍDA DE VENDAS'!$B$6:$P$500,4,FALSE),"")</f>
        <v>0</v>
      </c>
      <c r="E171" s="34" t="str">
        <f>IFERROR(VLOOKUP(B171,'SAÍDA DE VENDAS'!$B$6:$P$500,5,FALSE),"")</f>
        <v/>
      </c>
      <c r="F171" s="34" t="str">
        <f>IF(OR(ISBLANK(B171),B171=""), "", IFERROR(INDEX('SAÍDA DE VENDAS'!$H$6:$H$500 &amp; "x " &amp; 'SAÍDA DE VENDAS'!$G$6:$G$500, MATCH(B171, 'SAÍDA DE VENDAS'!$B$6:$B$500, 0)), "")&amp; IF(COUNTIF('SAÍDA DE VENDAS'!$B$6:$B$500, B171)&gt;1, " + " &amp; IFERROR(INDEX('SAÍDA DE VENDAS'!$H$6:$H$500 &amp; "x " &amp; 'SAÍDA DE VENDAS'!$G$6:$G$500, MATCH(B171, 'SAÍDA DE VENDAS'!$B$6:$B$500, 0)+1), ""), "")&amp; IF(COUNTIF('SAÍDA DE VENDAS'!$B$6:$B$500, B171)&gt;2, " + " &amp; IFERROR(INDEX('SAÍDA DE VENDAS'!$H$6:$H$500 &amp; "x " &amp; 'SAÍDA DE VENDAS'!$G$6:$G$500, MATCH(B171, 'SAÍDA DE VENDAS'!$B$6:$B$500, 0)+2), ""), "")&amp; IF(COUNTIF('SAÍDA DE VENDAS'!$B$6:$B$500, B171)&gt;3, " + " &amp; IFERROR(INDEX('SAÍDA DE VENDAS'!$H$6:$H$500 &amp; "x " &amp; 'SAÍDA DE VENDAS'!$G$6:$G$500, MATCH(B171, 'SAÍDA DE VENDAS'!$B$6:$B$500, 0)+3), ""), "")&amp; IF(COUNTIF('SAÍDA DE VENDAS'!$B$6:$B$500, B171)&gt;4, " + " &amp; IFERROR(INDEX('SAÍDA DE VENDAS'!$H$6:$H$500 &amp; "x " &amp; 'SAÍDA DE VENDAS'!$G$6:$G$500, MATCH(B171, 'SAÍDA DE VENDAS'!$B$6:$B$500, 0)+4), ""), "")&amp; IF(COUNTIF('SAÍDA DE VENDAS'!$B$6:$B$500, B171)&gt;5, " + " &amp; IFERROR(INDEX('SAÍDA DE VENDAS'!$H$6:$H$500 &amp; "x " &amp; 'SAÍDA DE VENDAS'!$G$6:$G$500, MATCH(B171, 'SAÍDA DE VENDAS'!$B$6:$B$500, 0)+5), ""), ""))</f>
        <v/>
      </c>
      <c r="G171" s="34">
        <f>IFERROR(VLOOKUP(B171,'SAÍDA DE VENDAS'!$B$6:$P$500,10,FALSE),"")</f>
        <v>0</v>
      </c>
      <c r="H171" s="34" t="str">
        <f>IF(OR(ISBLANK(B171),B171=""), "", IF(B171=B170, (VALUE(LEFT(H170,FIND("/",H170)-1))+1)&amp;"/"&amp;RIGHT(H170,LEN(H170)-FIND("/",H170)), "1/"&amp;IFERROR(VLOOKUP(B171,'SAÍDA DE VENDAS'!$B$6:$P$500,13,FALSE),"1")))</f>
        <v/>
      </c>
      <c r="I171" s="35" t="str">
        <f t="shared" si="4"/>
        <v/>
      </c>
      <c r="J171" s="39" t="str">
        <f>IFERROR(VLOOKUP(B171,'SAÍDA DE VENDAS'!$B$6:$P$500,15,FALSE),"")</f>
        <v/>
      </c>
      <c r="K171" s="34" t="str">
        <f t="shared" ca="1" si="5"/>
        <v/>
      </c>
      <c r="L171" s="34"/>
      <c r="M171" s="34"/>
    </row>
    <row r="172" spans="2:13" ht="15" customHeight="1" x14ac:dyDescent="0.3">
      <c r="B172" s="28" t="str">
        <f>IF(B171="","", IF(VALUE(LEFT(H171,FIND("/",H171)-1)) &lt; VALUE(RIGHT(H171,LEN(H171)-FIND("/",H171))), B171, IFERROR(INDEX('SAÍDA DE VENDAS'!$B$6:$B$500, MATCH(B171,'SAÍDA DE VENDAS'!$B$6:$B$500,0)+COUNTIF('SAÍDA DE VENDAS'!$B$6:$B$500, B171)),"")))</f>
        <v/>
      </c>
      <c r="C172" s="29">
        <f>IFERROR(VLOOKUP(B172,'SAÍDA DE VENDAS'!$B$6:$P$500,3,FALSE),"")</f>
        <v>0</v>
      </c>
      <c r="D172" s="28">
        <f>IFERROR(VLOOKUP(B172,'SAÍDA DE VENDAS'!$B$6:$P$500,4,FALSE),"")</f>
        <v>0</v>
      </c>
      <c r="E172" s="28" t="str">
        <f>IFERROR(VLOOKUP(B172,'SAÍDA DE VENDAS'!$B$6:$P$500,5,FALSE),"")</f>
        <v/>
      </c>
      <c r="F172" s="28" t="str">
        <f>IF(OR(ISBLANK(B172),B172=""), "", IFERROR(INDEX('SAÍDA DE VENDAS'!$H$6:$H$500 &amp; "x " &amp; 'SAÍDA DE VENDAS'!$G$6:$G$500, MATCH(B172, 'SAÍDA DE VENDAS'!$B$6:$B$500, 0)), "")&amp; IF(COUNTIF('SAÍDA DE VENDAS'!$B$6:$B$500, B172)&gt;1, " + " &amp; IFERROR(INDEX('SAÍDA DE VENDAS'!$H$6:$H$500 &amp; "x " &amp; 'SAÍDA DE VENDAS'!$G$6:$G$500, MATCH(B172, 'SAÍDA DE VENDAS'!$B$6:$B$500, 0)+1), ""), "")&amp; IF(COUNTIF('SAÍDA DE VENDAS'!$B$6:$B$500, B172)&gt;2, " + " &amp; IFERROR(INDEX('SAÍDA DE VENDAS'!$H$6:$H$500 &amp; "x " &amp; 'SAÍDA DE VENDAS'!$G$6:$G$500, MATCH(B172, 'SAÍDA DE VENDAS'!$B$6:$B$500, 0)+2), ""), "")&amp; IF(COUNTIF('SAÍDA DE VENDAS'!$B$6:$B$500, B172)&gt;3, " + " &amp; IFERROR(INDEX('SAÍDA DE VENDAS'!$H$6:$H$500 &amp; "x " &amp; 'SAÍDA DE VENDAS'!$G$6:$G$500, MATCH(B172, 'SAÍDA DE VENDAS'!$B$6:$B$500, 0)+3), ""), "")&amp; IF(COUNTIF('SAÍDA DE VENDAS'!$B$6:$B$500, B172)&gt;4, " + " &amp; IFERROR(INDEX('SAÍDA DE VENDAS'!$H$6:$H$500 &amp; "x " &amp; 'SAÍDA DE VENDAS'!$G$6:$G$500, MATCH(B172, 'SAÍDA DE VENDAS'!$B$6:$B$500, 0)+4), ""), "")&amp; IF(COUNTIF('SAÍDA DE VENDAS'!$B$6:$B$500, B172)&gt;5, " + " &amp; IFERROR(INDEX('SAÍDA DE VENDAS'!$H$6:$H$500 &amp; "x " &amp; 'SAÍDA DE VENDAS'!$G$6:$G$500, MATCH(B172, 'SAÍDA DE VENDAS'!$B$6:$B$500, 0)+5), ""), ""))</f>
        <v/>
      </c>
      <c r="G172" s="28">
        <f>IFERROR(VLOOKUP(B172,'SAÍDA DE VENDAS'!$B$6:$P$500,10,FALSE),"")</f>
        <v>0</v>
      </c>
      <c r="H172" s="28" t="str">
        <f>IF(OR(ISBLANK(B172),B172=""), "", IF(B172=B171, (VALUE(LEFT(H171,FIND("/",H171)-1))+1)&amp;"/"&amp;RIGHT(H171,LEN(H171)-FIND("/",H171)), "1/"&amp;IFERROR(VLOOKUP(B172,'SAÍDA DE VENDAS'!$B$6:$P$500,13,FALSE),"1")))</f>
        <v/>
      </c>
      <c r="I172" s="69" t="str">
        <f t="shared" si="4"/>
        <v/>
      </c>
      <c r="J172" s="33" t="str">
        <f>IFERROR(VLOOKUP(B172,'SAÍDA DE VENDAS'!$B$6:$P$500,15,FALSE),"")</f>
        <v/>
      </c>
      <c r="K172" s="28" t="str">
        <f t="shared" ca="1" si="5"/>
        <v/>
      </c>
      <c r="L172" s="28"/>
      <c r="M172" s="28"/>
    </row>
    <row r="173" spans="2:13" ht="15" customHeight="1" x14ac:dyDescent="0.3">
      <c r="B173" s="34" t="str">
        <f>IF(B172="","", IF(VALUE(LEFT(H172,FIND("/",H172)-1)) &lt; VALUE(RIGHT(H172,LEN(H172)-FIND("/",H172))), B172, IFERROR(INDEX('SAÍDA DE VENDAS'!$B$6:$B$500, MATCH(B172,'SAÍDA DE VENDAS'!$B$6:$B$500,0)+COUNTIF('SAÍDA DE VENDAS'!$B$6:$B$500, B172)),"")))</f>
        <v/>
      </c>
      <c r="C173" s="35">
        <f>IFERROR(VLOOKUP(B173,'SAÍDA DE VENDAS'!$B$6:$P$500,3,FALSE),"")</f>
        <v>0</v>
      </c>
      <c r="D173" s="34">
        <f>IFERROR(VLOOKUP(B173,'SAÍDA DE VENDAS'!$B$6:$P$500,4,FALSE),"")</f>
        <v>0</v>
      </c>
      <c r="E173" s="34" t="str">
        <f>IFERROR(VLOOKUP(B173,'SAÍDA DE VENDAS'!$B$6:$P$500,5,FALSE),"")</f>
        <v/>
      </c>
      <c r="F173" s="34" t="str">
        <f>IF(OR(ISBLANK(B173),B173=""), "", IFERROR(INDEX('SAÍDA DE VENDAS'!$H$6:$H$500 &amp; "x " &amp; 'SAÍDA DE VENDAS'!$G$6:$G$500, MATCH(B173, 'SAÍDA DE VENDAS'!$B$6:$B$500, 0)), "")&amp; IF(COUNTIF('SAÍDA DE VENDAS'!$B$6:$B$500, B173)&gt;1, " + " &amp; IFERROR(INDEX('SAÍDA DE VENDAS'!$H$6:$H$500 &amp; "x " &amp; 'SAÍDA DE VENDAS'!$G$6:$G$500, MATCH(B173, 'SAÍDA DE VENDAS'!$B$6:$B$500, 0)+1), ""), "")&amp; IF(COUNTIF('SAÍDA DE VENDAS'!$B$6:$B$500, B173)&gt;2, " + " &amp; IFERROR(INDEX('SAÍDA DE VENDAS'!$H$6:$H$500 &amp; "x " &amp; 'SAÍDA DE VENDAS'!$G$6:$G$500, MATCH(B173, 'SAÍDA DE VENDAS'!$B$6:$B$500, 0)+2), ""), "")&amp; IF(COUNTIF('SAÍDA DE VENDAS'!$B$6:$B$500, B173)&gt;3, " + " &amp; IFERROR(INDEX('SAÍDA DE VENDAS'!$H$6:$H$500 &amp; "x " &amp; 'SAÍDA DE VENDAS'!$G$6:$G$500, MATCH(B173, 'SAÍDA DE VENDAS'!$B$6:$B$500, 0)+3), ""), "")&amp; IF(COUNTIF('SAÍDA DE VENDAS'!$B$6:$B$500, B173)&gt;4, " + " &amp; IFERROR(INDEX('SAÍDA DE VENDAS'!$H$6:$H$500 &amp; "x " &amp; 'SAÍDA DE VENDAS'!$G$6:$G$500, MATCH(B173, 'SAÍDA DE VENDAS'!$B$6:$B$500, 0)+4), ""), "")&amp; IF(COUNTIF('SAÍDA DE VENDAS'!$B$6:$B$500, B173)&gt;5, " + " &amp; IFERROR(INDEX('SAÍDA DE VENDAS'!$H$6:$H$500 &amp; "x " &amp; 'SAÍDA DE VENDAS'!$G$6:$G$500, MATCH(B173, 'SAÍDA DE VENDAS'!$B$6:$B$500, 0)+5), ""), ""))</f>
        <v/>
      </c>
      <c r="G173" s="34">
        <f>IFERROR(VLOOKUP(B173,'SAÍDA DE VENDAS'!$B$6:$P$500,10,FALSE),"")</f>
        <v>0</v>
      </c>
      <c r="H173" s="34" t="str">
        <f>IF(OR(ISBLANK(B173),B173=""), "", IF(B173=B172, (VALUE(LEFT(H172,FIND("/",H172)-1))+1)&amp;"/"&amp;RIGHT(H172,LEN(H172)-FIND("/",H172)), "1/"&amp;IFERROR(VLOOKUP(B173,'SAÍDA DE VENDAS'!$B$6:$P$500,13,FALSE),"1")))</f>
        <v/>
      </c>
      <c r="I173" s="35" t="str">
        <f t="shared" si="4"/>
        <v/>
      </c>
      <c r="J173" s="39" t="str">
        <f>IFERROR(VLOOKUP(B173,'SAÍDA DE VENDAS'!$B$6:$P$500,15,FALSE),"")</f>
        <v/>
      </c>
      <c r="K173" s="34" t="str">
        <f t="shared" ca="1" si="5"/>
        <v/>
      </c>
      <c r="L173" s="34"/>
      <c r="M173" s="34"/>
    </row>
    <row r="174" spans="2:13" ht="15" customHeight="1" x14ac:dyDescent="0.3">
      <c r="B174" s="28" t="str">
        <f>IF(B173="","", IF(VALUE(LEFT(H173,FIND("/",H173)-1)) &lt; VALUE(RIGHT(H173,LEN(H173)-FIND("/",H173))), B173, IFERROR(INDEX('SAÍDA DE VENDAS'!$B$6:$B$500, MATCH(B173,'SAÍDA DE VENDAS'!$B$6:$B$500,0)+COUNTIF('SAÍDA DE VENDAS'!$B$6:$B$500, B173)),"")))</f>
        <v/>
      </c>
      <c r="C174" s="29">
        <f>IFERROR(VLOOKUP(B174,'SAÍDA DE VENDAS'!$B$6:$P$500,3,FALSE),"")</f>
        <v>0</v>
      </c>
      <c r="D174" s="28">
        <f>IFERROR(VLOOKUP(B174,'SAÍDA DE VENDAS'!$B$6:$P$500,4,FALSE),"")</f>
        <v>0</v>
      </c>
      <c r="E174" s="28" t="str">
        <f>IFERROR(VLOOKUP(B174,'SAÍDA DE VENDAS'!$B$6:$P$500,5,FALSE),"")</f>
        <v/>
      </c>
      <c r="F174" s="28" t="str">
        <f>IF(OR(ISBLANK(B174),B174=""), "", IFERROR(INDEX('SAÍDA DE VENDAS'!$H$6:$H$500 &amp; "x " &amp; 'SAÍDA DE VENDAS'!$G$6:$G$500, MATCH(B174, 'SAÍDA DE VENDAS'!$B$6:$B$500, 0)), "")&amp; IF(COUNTIF('SAÍDA DE VENDAS'!$B$6:$B$500, B174)&gt;1, " + " &amp; IFERROR(INDEX('SAÍDA DE VENDAS'!$H$6:$H$500 &amp; "x " &amp; 'SAÍDA DE VENDAS'!$G$6:$G$500, MATCH(B174, 'SAÍDA DE VENDAS'!$B$6:$B$500, 0)+1), ""), "")&amp; IF(COUNTIF('SAÍDA DE VENDAS'!$B$6:$B$500, B174)&gt;2, " + " &amp; IFERROR(INDEX('SAÍDA DE VENDAS'!$H$6:$H$500 &amp; "x " &amp; 'SAÍDA DE VENDAS'!$G$6:$G$500, MATCH(B174, 'SAÍDA DE VENDAS'!$B$6:$B$500, 0)+2), ""), "")&amp; IF(COUNTIF('SAÍDA DE VENDAS'!$B$6:$B$500, B174)&gt;3, " + " &amp; IFERROR(INDEX('SAÍDA DE VENDAS'!$H$6:$H$500 &amp; "x " &amp; 'SAÍDA DE VENDAS'!$G$6:$G$500, MATCH(B174, 'SAÍDA DE VENDAS'!$B$6:$B$500, 0)+3), ""), "")&amp; IF(COUNTIF('SAÍDA DE VENDAS'!$B$6:$B$500, B174)&gt;4, " + " &amp; IFERROR(INDEX('SAÍDA DE VENDAS'!$H$6:$H$500 &amp; "x " &amp; 'SAÍDA DE VENDAS'!$G$6:$G$500, MATCH(B174, 'SAÍDA DE VENDAS'!$B$6:$B$500, 0)+4), ""), "")&amp; IF(COUNTIF('SAÍDA DE VENDAS'!$B$6:$B$500, B174)&gt;5, " + " &amp; IFERROR(INDEX('SAÍDA DE VENDAS'!$H$6:$H$500 &amp; "x " &amp; 'SAÍDA DE VENDAS'!$G$6:$G$500, MATCH(B174, 'SAÍDA DE VENDAS'!$B$6:$B$500, 0)+5), ""), ""))</f>
        <v/>
      </c>
      <c r="G174" s="28">
        <f>IFERROR(VLOOKUP(B174,'SAÍDA DE VENDAS'!$B$6:$P$500,10,FALSE),"")</f>
        <v>0</v>
      </c>
      <c r="H174" s="28" t="str">
        <f>IF(OR(ISBLANK(B174),B174=""), "", IF(B174=B173, (VALUE(LEFT(H173,FIND("/",H173)-1))+1)&amp;"/"&amp;RIGHT(H173,LEN(H173)-FIND("/",H173)), "1/"&amp;IFERROR(VLOOKUP(B174,'SAÍDA DE VENDAS'!$B$6:$P$500,13,FALSE),"1")))</f>
        <v/>
      </c>
      <c r="I174" s="69" t="str">
        <f t="shared" si="4"/>
        <v/>
      </c>
      <c r="J174" s="33" t="str">
        <f>IFERROR(VLOOKUP(B174,'SAÍDA DE VENDAS'!$B$6:$P$500,15,FALSE),"")</f>
        <v/>
      </c>
      <c r="K174" s="28" t="str">
        <f t="shared" ca="1" si="5"/>
        <v/>
      </c>
      <c r="L174" s="28"/>
      <c r="M174" s="28"/>
    </row>
    <row r="175" spans="2:13" ht="15" customHeight="1" x14ac:dyDescent="0.3">
      <c r="B175" s="34" t="str">
        <f>IF(B174="","", IF(VALUE(LEFT(H174,FIND("/",H174)-1)) &lt; VALUE(RIGHT(H174,LEN(H174)-FIND("/",H174))), B174, IFERROR(INDEX('SAÍDA DE VENDAS'!$B$6:$B$500, MATCH(B174,'SAÍDA DE VENDAS'!$B$6:$B$500,0)+COUNTIF('SAÍDA DE VENDAS'!$B$6:$B$500, B174)),"")))</f>
        <v/>
      </c>
      <c r="C175" s="35">
        <f>IFERROR(VLOOKUP(B175,'SAÍDA DE VENDAS'!$B$6:$P$500,3,FALSE),"")</f>
        <v>0</v>
      </c>
      <c r="D175" s="34">
        <f>IFERROR(VLOOKUP(B175,'SAÍDA DE VENDAS'!$B$6:$P$500,4,FALSE),"")</f>
        <v>0</v>
      </c>
      <c r="E175" s="34" t="str">
        <f>IFERROR(VLOOKUP(B175,'SAÍDA DE VENDAS'!$B$6:$P$500,5,FALSE),"")</f>
        <v/>
      </c>
      <c r="F175" s="34" t="str">
        <f>IF(OR(ISBLANK(B175),B175=""), "", IFERROR(INDEX('SAÍDA DE VENDAS'!$H$6:$H$500 &amp; "x " &amp; 'SAÍDA DE VENDAS'!$G$6:$G$500, MATCH(B175, 'SAÍDA DE VENDAS'!$B$6:$B$500, 0)), "")&amp; IF(COUNTIF('SAÍDA DE VENDAS'!$B$6:$B$500, B175)&gt;1, " + " &amp; IFERROR(INDEX('SAÍDA DE VENDAS'!$H$6:$H$500 &amp; "x " &amp; 'SAÍDA DE VENDAS'!$G$6:$G$500, MATCH(B175, 'SAÍDA DE VENDAS'!$B$6:$B$500, 0)+1), ""), "")&amp; IF(COUNTIF('SAÍDA DE VENDAS'!$B$6:$B$500, B175)&gt;2, " + " &amp; IFERROR(INDEX('SAÍDA DE VENDAS'!$H$6:$H$500 &amp; "x " &amp; 'SAÍDA DE VENDAS'!$G$6:$G$500, MATCH(B175, 'SAÍDA DE VENDAS'!$B$6:$B$500, 0)+2), ""), "")&amp; IF(COUNTIF('SAÍDA DE VENDAS'!$B$6:$B$500, B175)&gt;3, " + " &amp; IFERROR(INDEX('SAÍDA DE VENDAS'!$H$6:$H$500 &amp; "x " &amp; 'SAÍDA DE VENDAS'!$G$6:$G$500, MATCH(B175, 'SAÍDA DE VENDAS'!$B$6:$B$500, 0)+3), ""), "")&amp; IF(COUNTIF('SAÍDA DE VENDAS'!$B$6:$B$500, B175)&gt;4, " + " &amp; IFERROR(INDEX('SAÍDA DE VENDAS'!$H$6:$H$500 &amp; "x " &amp; 'SAÍDA DE VENDAS'!$G$6:$G$500, MATCH(B175, 'SAÍDA DE VENDAS'!$B$6:$B$500, 0)+4), ""), "")&amp; IF(COUNTIF('SAÍDA DE VENDAS'!$B$6:$B$500, B175)&gt;5, " + " &amp; IFERROR(INDEX('SAÍDA DE VENDAS'!$H$6:$H$500 &amp; "x " &amp; 'SAÍDA DE VENDAS'!$G$6:$G$500, MATCH(B175, 'SAÍDA DE VENDAS'!$B$6:$B$500, 0)+5), ""), ""))</f>
        <v/>
      </c>
      <c r="G175" s="34">
        <f>IFERROR(VLOOKUP(B175,'SAÍDA DE VENDAS'!$B$6:$P$500,10,FALSE),"")</f>
        <v>0</v>
      </c>
      <c r="H175" s="34" t="str">
        <f>IF(OR(ISBLANK(B175),B175=""), "", IF(B175=B174, (VALUE(LEFT(H174,FIND("/",H174)-1))+1)&amp;"/"&amp;RIGHT(H174,LEN(H174)-FIND("/",H174)), "1/"&amp;IFERROR(VLOOKUP(B175,'SAÍDA DE VENDAS'!$B$6:$P$500,13,FALSE),"1")))</f>
        <v/>
      </c>
      <c r="I175" s="35" t="str">
        <f t="shared" si="4"/>
        <v/>
      </c>
      <c r="J175" s="39" t="str">
        <f>IFERROR(VLOOKUP(B175,'SAÍDA DE VENDAS'!$B$6:$P$500,15,FALSE),"")</f>
        <v/>
      </c>
      <c r="K175" s="34" t="str">
        <f t="shared" ca="1" si="5"/>
        <v/>
      </c>
      <c r="L175" s="34"/>
      <c r="M175" s="34"/>
    </row>
    <row r="176" spans="2:13" ht="15" customHeight="1" x14ac:dyDescent="0.3">
      <c r="B176" s="28" t="str">
        <f>IF(B175="","", IF(VALUE(LEFT(H175,FIND("/",H175)-1)) &lt; VALUE(RIGHT(H175,LEN(H175)-FIND("/",H175))), B175, IFERROR(INDEX('SAÍDA DE VENDAS'!$B$6:$B$500, MATCH(B175,'SAÍDA DE VENDAS'!$B$6:$B$500,0)+COUNTIF('SAÍDA DE VENDAS'!$B$6:$B$500, B175)),"")))</f>
        <v/>
      </c>
      <c r="C176" s="29">
        <f>IFERROR(VLOOKUP(B176,'SAÍDA DE VENDAS'!$B$6:$P$500,3,FALSE),"")</f>
        <v>0</v>
      </c>
      <c r="D176" s="28">
        <f>IFERROR(VLOOKUP(B176,'SAÍDA DE VENDAS'!$B$6:$P$500,4,FALSE),"")</f>
        <v>0</v>
      </c>
      <c r="E176" s="28" t="str">
        <f>IFERROR(VLOOKUP(B176,'SAÍDA DE VENDAS'!$B$6:$P$500,5,FALSE),"")</f>
        <v/>
      </c>
      <c r="F176" s="28" t="str">
        <f>IF(OR(ISBLANK(B176),B176=""), "", IFERROR(INDEX('SAÍDA DE VENDAS'!$H$6:$H$500 &amp; "x " &amp; 'SAÍDA DE VENDAS'!$G$6:$G$500, MATCH(B176, 'SAÍDA DE VENDAS'!$B$6:$B$500, 0)), "")&amp; IF(COUNTIF('SAÍDA DE VENDAS'!$B$6:$B$500, B176)&gt;1, " + " &amp; IFERROR(INDEX('SAÍDA DE VENDAS'!$H$6:$H$500 &amp; "x " &amp; 'SAÍDA DE VENDAS'!$G$6:$G$500, MATCH(B176, 'SAÍDA DE VENDAS'!$B$6:$B$500, 0)+1), ""), "")&amp; IF(COUNTIF('SAÍDA DE VENDAS'!$B$6:$B$500, B176)&gt;2, " + " &amp; IFERROR(INDEX('SAÍDA DE VENDAS'!$H$6:$H$500 &amp; "x " &amp; 'SAÍDA DE VENDAS'!$G$6:$G$500, MATCH(B176, 'SAÍDA DE VENDAS'!$B$6:$B$500, 0)+2), ""), "")&amp; IF(COUNTIF('SAÍDA DE VENDAS'!$B$6:$B$500, B176)&gt;3, " + " &amp; IFERROR(INDEX('SAÍDA DE VENDAS'!$H$6:$H$500 &amp; "x " &amp; 'SAÍDA DE VENDAS'!$G$6:$G$500, MATCH(B176, 'SAÍDA DE VENDAS'!$B$6:$B$500, 0)+3), ""), "")&amp; IF(COUNTIF('SAÍDA DE VENDAS'!$B$6:$B$500, B176)&gt;4, " + " &amp; IFERROR(INDEX('SAÍDA DE VENDAS'!$H$6:$H$500 &amp; "x " &amp; 'SAÍDA DE VENDAS'!$G$6:$G$500, MATCH(B176, 'SAÍDA DE VENDAS'!$B$6:$B$500, 0)+4), ""), "")&amp; IF(COUNTIF('SAÍDA DE VENDAS'!$B$6:$B$500, B176)&gt;5, " + " &amp; IFERROR(INDEX('SAÍDA DE VENDAS'!$H$6:$H$500 &amp; "x " &amp; 'SAÍDA DE VENDAS'!$G$6:$G$500, MATCH(B176, 'SAÍDA DE VENDAS'!$B$6:$B$500, 0)+5), ""), ""))</f>
        <v/>
      </c>
      <c r="G176" s="28">
        <f>IFERROR(VLOOKUP(B176,'SAÍDA DE VENDAS'!$B$6:$P$500,10,FALSE),"")</f>
        <v>0</v>
      </c>
      <c r="H176" s="28" t="str">
        <f>IF(OR(ISBLANK(B176),B176=""), "", IF(B176=B175, (VALUE(LEFT(H175,FIND("/",H175)-1))+1)&amp;"/"&amp;RIGHT(H175,LEN(H175)-FIND("/",H175)), "1/"&amp;IFERROR(VLOOKUP(B176,'SAÍDA DE VENDAS'!$B$6:$P$500,13,FALSE),"1")))</f>
        <v/>
      </c>
      <c r="I176" s="69" t="str">
        <f t="shared" si="4"/>
        <v/>
      </c>
      <c r="J176" s="33" t="str">
        <f>IFERROR(VLOOKUP(B176,'SAÍDA DE VENDAS'!$B$6:$P$500,15,FALSE),"")</f>
        <v/>
      </c>
      <c r="K176" s="28" t="str">
        <f t="shared" ca="1" si="5"/>
        <v/>
      </c>
      <c r="L176" s="28"/>
      <c r="M176" s="28"/>
    </row>
    <row r="177" spans="2:13" ht="15" customHeight="1" x14ac:dyDescent="0.3">
      <c r="B177" s="34" t="str">
        <f>IF(B176="","", IF(VALUE(LEFT(H176,FIND("/",H176)-1)) &lt; VALUE(RIGHT(H176,LEN(H176)-FIND("/",H176))), B176, IFERROR(INDEX('SAÍDA DE VENDAS'!$B$6:$B$500, MATCH(B176,'SAÍDA DE VENDAS'!$B$6:$B$500,0)+COUNTIF('SAÍDA DE VENDAS'!$B$6:$B$500, B176)),"")))</f>
        <v/>
      </c>
      <c r="C177" s="35">
        <f>IFERROR(VLOOKUP(B177,'SAÍDA DE VENDAS'!$B$6:$P$500,3,FALSE),"")</f>
        <v>0</v>
      </c>
      <c r="D177" s="34">
        <f>IFERROR(VLOOKUP(B177,'SAÍDA DE VENDAS'!$B$6:$P$500,4,FALSE),"")</f>
        <v>0</v>
      </c>
      <c r="E177" s="34" t="str">
        <f>IFERROR(VLOOKUP(B177,'SAÍDA DE VENDAS'!$B$6:$P$500,5,FALSE),"")</f>
        <v/>
      </c>
      <c r="F177" s="34" t="str">
        <f>IF(OR(ISBLANK(B177),B177=""), "", IFERROR(INDEX('SAÍDA DE VENDAS'!$H$6:$H$500 &amp; "x " &amp; 'SAÍDA DE VENDAS'!$G$6:$G$500, MATCH(B177, 'SAÍDA DE VENDAS'!$B$6:$B$500, 0)), "")&amp; IF(COUNTIF('SAÍDA DE VENDAS'!$B$6:$B$500, B177)&gt;1, " + " &amp; IFERROR(INDEX('SAÍDA DE VENDAS'!$H$6:$H$500 &amp; "x " &amp; 'SAÍDA DE VENDAS'!$G$6:$G$500, MATCH(B177, 'SAÍDA DE VENDAS'!$B$6:$B$500, 0)+1), ""), "")&amp; IF(COUNTIF('SAÍDA DE VENDAS'!$B$6:$B$500, B177)&gt;2, " + " &amp; IFERROR(INDEX('SAÍDA DE VENDAS'!$H$6:$H$500 &amp; "x " &amp; 'SAÍDA DE VENDAS'!$G$6:$G$500, MATCH(B177, 'SAÍDA DE VENDAS'!$B$6:$B$500, 0)+2), ""), "")&amp; IF(COUNTIF('SAÍDA DE VENDAS'!$B$6:$B$500, B177)&gt;3, " + " &amp; IFERROR(INDEX('SAÍDA DE VENDAS'!$H$6:$H$500 &amp; "x " &amp; 'SAÍDA DE VENDAS'!$G$6:$G$500, MATCH(B177, 'SAÍDA DE VENDAS'!$B$6:$B$500, 0)+3), ""), "")&amp; IF(COUNTIF('SAÍDA DE VENDAS'!$B$6:$B$500, B177)&gt;4, " + " &amp; IFERROR(INDEX('SAÍDA DE VENDAS'!$H$6:$H$500 &amp; "x " &amp; 'SAÍDA DE VENDAS'!$G$6:$G$500, MATCH(B177, 'SAÍDA DE VENDAS'!$B$6:$B$500, 0)+4), ""), "")&amp; IF(COUNTIF('SAÍDA DE VENDAS'!$B$6:$B$500, B177)&gt;5, " + " &amp; IFERROR(INDEX('SAÍDA DE VENDAS'!$H$6:$H$500 &amp; "x " &amp; 'SAÍDA DE VENDAS'!$G$6:$G$500, MATCH(B177, 'SAÍDA DE VENDAS'!$B$6:$B$500, 0)+5), ""), ""))</f>
        <v/>
      </c>
      <c r="G177" s="34">
        <f>IFERROR(VLOOKUP(B177,'SAÍDA DE VENDAS'!$B$6:$P$500,10,FALSE),"")</f>
        <v>0</v>
      </c>
      <c r="H177" s="34" t="str">
        <f>IF(OR(ISBLANK(B177),B177=""), "", IF(B177=B176, (VALUE(LEFT(H176,FIND("/",H176)-1))+1)&amp;"/"&amp;RIGHT(H176,LEN(H176)-FIND("/",H176)), "1/"&amp;IFERROR(VLOOKUP(B177,'SAÍDA DE VENDAS'!$B$6:$P$500,13,FALSE),"1")))</f>
        <v/>
      </c>
      <c r="I177" s="35" t="str">
        <f t="shared" si="4"/>
        <v/>
      </c>
      <c r="J177" s="39" t="str">
        <f>IFERROR(VLOOKUP(B177,'SAÍDA DE VENDAS'!$B$6:$P$500,15,FALSE),"")</f>
        <v/>
      </c>
      <c r="K177" s="34" t="str">
        <f t="shared" ca="1" si="5"/>
        <v/>
      </c>
      <c r="L177" s="34"/>
      <c r="M177" s="34"/>
    </row>
    <row r="178" spans="2:13" ht="15" customHeight="1" x14ac:dyDescent="0.3">
      <c r="B178" s="28" t="str">
        <f>IF(B177="","", IF(VALUE(LEFT(H177,FIND("/",H177)-1)) &lt; VALUE(RIGHT(H177,LEN(H177)-FIND("/",H177))), B177, IFERROR(INDEX('SAÍDA DE VENDAS'!$B$6:$B$500, MATCH(B177,'SAÍDA DE VENDAS'!$B$6:$B$500,0)+COUNTIF('SAÍDA DE VENDAS'!$B$6:$B$500, B177)),"")))</f>
        <v/>
      </c>
      <c r="C178" s="29">
        <f>IFERROR(VLOOKUP(B178,'SAÍDA DE VENDAS'!$B$6:$P$500,3,FALSE),"")</f>
        <v>0</v>
      </c>
      <c r="D178" s="28">
        <f>IFERROR(VLOOKUP(B178,'SAÍDA DE VENDAS'!$B$6:$P$500,4,FALSE),"")</f>
        <v>0</v>
      </c>
      <c r="E178" s="28" t="str">
        <f>IFERROR(VLOOKUP(B178,'SAÍDA DE VENDAS'!$B$6:$P$500,5,FALSE),"")</f>
        <v/>
      </c>
      <c r="F178" s="28" t="str">
        <f>IF(OR(ISBLANK(B178),B178=""), "", IFERROR(INDEX('SAÍDA DE VENDAS'!$H$6:$H$500 &amp; "x " &amp; 'SAÍDA DE VENDAS'!$G$6:$G$500, MATCH(B178, 'SAÍDA DE VENDAS'!$B$6:$B$500, 0)), "")&amp; IF(COUNTIF('SAÍDA DE VENDAS'!$B$6:$B$500, B178)&gt;1, " + " &amp; IFERROR(INDEX('SAÍDA DE VENDAS'!$H$6:$H$500 &amp; "x " &amp; 'SAÍDA DE VENDAS'!$G$6:$G$500, MATCH(B178, 'SAÍDA DE VENDAS'!$B$6:$B$500, 0)+1), ""), "")&amp; IF(COUNTIF('SAÍDA DE VENDAS'!$B$6:$B$500, B178)&gt;2, " + " &amp; IFERROR(INDEX('SAÍDA DE VENDAS'!$H$6:$H$500 &amp; "x " &amp; 'SAÍDA DE VENDAS'!$G$6:$G$500, MATCH(B178, 'SAÍDA DE VENDAS'!$B$6:$B$500, 0)+2), ""), "")&amp; IF(COUNTIF('SAÍDA DE VENDAS'!$B$6:$B$500, B178)&gt;3, " + " &amp; IFERROR(INDEX('SAÍDA DE VENDAS'!$H$6:$H$500 &amp; "x " &amp; 'SAÍDA DE VENDAS'!$G$6:$G$500, MATCH(B178, 'SAÍDA DE VENDAS'!$B$6:$B$500, 0)+3), ""), "")&amp; IF(COUNTIF('SAÍDA DE VENDAS'!$B$6:$B$500, B178)&gt;4, " + " &amp; IFERROR(INDEX('SAÍDA DE VENDAS'!$H$6:$H$500 &amp; "x " &amp; 'SAÍDA DE VENDAS'!$G$6:$G$500, MATCH(B178, 'SAÍDA DE VENDAS'!$B$6:$B$500, 0)+4), ""), "")&amp; IF(COUNTIF('SAÍDA DE VENDAS'!$B$6:$B$500, B178)&gt;5, " + " &amp; IFERROR(INDEX('SAÍDA DE VENDAS'!$H$6:$H$500 &amp; "x " &amp; 'SAÍDA DE VENDAS'!$G$6:$G$500, MATCH(B178, 'SAÍDA DE VENDAS'!$B$6:$B$500, 0)+5), ""), ""))</f>
        <v/>
      </c>
      <c r="G178" s="28">
        <f>IFERROR(VLOOKUP(B178,'SAÍDA DE VENDAS'!$B$6:$P$500,10,FALSE),"")</f>
        <v>0</v>
      </c>
      <c r="H178" s="28" t="str">
        <f>IF(OR(ISBLANK(B178),B178=""), "", IF(B178=B177, (VALUE(LEFT(H177,FIND("/",H177)-1))+1)&amp;"/"&amp;RIGHT(H177,LEN(H177)-FIND("/",H177)), "1/"&amp;IFERROR(VLOOKUP(B178,'SAÍDA DE VENDAS'!$B$6:$P$500,13,FALSE),"1")))</f>
        <v/>
      </c>
      <c r="I178" s="69" t="str">
        <f t="shared" si="4"/>
        <v/>
      </c>
      <c r="J178" s="33" t="str">
        <f>IFERROR(VLOOKUP(B178,'SAÍDA DE VENDAS'!$B$6:$P$500,15,FALSE),"")</f>
        <v/>
      </c>
      <c r="K178" s="28" t="str">
        <f t="shared" ca="1" si="5"/>
        <v/>
      </c>
      <c r="L178" s="28"/>
      <c r="M178" s="28"/>
    </row>
    <row r="179" spans="2:13" ht="15" customHeight="1" x14ac:dyDescent="0.3">
      <c r="B179" s="34" t="str">
        <f>IF(B178="","", IF(VALUE(LEFT(H178,FIND("/",H178)-1)) &lt; VALUE(RIGHT(H178,LEN(H178)-FIND("/",H178))), B178, IFERROR(INDEX('SAÍDA DE VENDAS'!$B$6:$B$500, MATCH(B178,'SAÍDA DE VENDAS'!$B$6:$B$500,0)+COUNTIF('SAÍDA DE VENDAS'!$B$6:$B$500, B178)),"")))</f>
        <v/>
      </c>
      <c r="C179" s="35">
        <f>IFERROR(VLOOKUP(B179,'SAÍDA DE VENDAS'!$B$6:$P$500,3,FALSE),"")</f>
        <v>0</v>
      </c>
      <c r="D179" s="34">
        <f>IFERROR(VLOOKUP(B179,'SAÍDA DE VENDAS'!$B$6:$P$500,4,FALSE),"")</f>
        <v>0</v>
      </c>
      <c r="E179" s="34" t="str">
        <f>IFERROR(VLOOKUP(B179,'SAÍDA DE VENDAS'!$B$6:$P$500,5,FALSE),"")</f>
        <v/>
      </c>
      <c r="F179" s="34" t="str">
        <f>IF(OR(ISBLANK(B179),B179=""), "", IFERROR(INDEX('SAÍDA DE VENDAS'!$H$6:$H$500 &amp; "x " &amp; 'SAÍDA DE VENDAS'!$G$6:$G$500, MATCH(B179, 'SAÍDA DE VENDAS'!$B$6:$B$500, 0)), "")&amp; IF(COUNTIF('SAÍDA DE VENDAS'!$B$6:$B$500, B179)&gt;1, " + " &amp; IFERROR(INDEX('SAÍDA DE VENDAS'!$H$6:$H$500 &amp; "x " &amp; 'SAÍDA DE VENDAS'!$G$6:$G$500, MATCH(B179, 'SAÍDA DE VENDAS'!$B$6:$B$500, 0)+1), ""), "")&amp; IF(COUNTIF('SAÍDA DE VENDAS'!$B$6:$B$500, B179)&gt;2, " + " &amp; IFERROR(INDEX('SAÍDA DE VENDAS'!$H$6:$H$500 &amp; "x " &amp; 'SAÍDA DE VENDAS'!$G$6:$G$500, MATCH(B179, 'SAÍDA DE VENDAS'!$B$6:$B$500, 0)+2), ""), "")&amp; IF(COUNTIF('SAÍDA DE VENDAS'!$B$6:$B$500, B179)&gt;3, " + " &amp; IFERROR(INDEX('SAÍDA DE VENDAS'!$H$6:$H$500 &amp; "x " &amp; 'SAÍDA DE VENDAS'!$G$6:$G$500, MATCH(B179, 'SAÍDA DE VENDAS'!$B$6:$B$500, 0)+3), ""), "")&amp; IF(COUNTIF('SAÍDA DE VENDAS'!$B$6:$B$500, B179)&gt;4, " + " &amp; IFERROR(INDEX('SAÍDA DE VENDAS'!$H$6:$H$500 &amp; "x " &amp; 'SAÍDA DE VENDAS'!$G$6:$G$500, MATCH(B179, 'SAÍDA DE VENDAS'!$B$6:$B$500, 0)+4), ""), "")&amp; IF(COUNTIF('SAÍDA DE VENDAS'!$B$6:$B$500, B179)&gt;5, " + " &amp; IFERROR(INDEX('SAÍDA DE VENDAS'!$H$6:$H$500 &amp; "x " &amp; 'SAÍDA DE VENDAS'!$G$6:$G$500, MATCH(B179, 'SAÍDA DE VENDAS'!$B$6:$B$500, 0)+5), ""), ""))</f>
        <v/>
      </c>
      <c r="G179" s="34">
        <f>IFERROR(VLOOKUP(B179,'SAÍDA DE VENDAS'!$B$6:$P$500,10,FALSE),"")</f>
        <v>0</v>
      </c>
      <c r="H179" s="34" t="str">
        <f>IF(OR(ISBLANK(B179),B179=""), "", IF(B179=B178, (VALUE(LEFT(H178,FIND("/",H178)-1))+1)&amp;"/"&amp;RIGHT(H178,LEN(H178)-FIND("/",H178)), "1/"&amp;IFERROR(VLOOKUP(B179,'SAÍDA DE VENDAS'!$B$6:$P$500,13,FALSE),"1")))</f>
        <v/>
      </c>
      <c r="I179" s="35" t="str">
        <f t="shared" si="4"/>
        <v/>
      </c>
      <c r="J179" s="39" t="str">
        <f>IFERROR(VLOOKUP(B179,'SAÍDA DE VENDAS'!$B$6:$P$500,15,FALSE),"")</f>
        <v/>
      </c>
      <c r="K179" s="34" t="str">
        <f t="shared" ca="1" si="5"/>
        <v/>
      </c>
      <c r="L179" s="34"/>
      <c r="M179" s="34"/>
    </row>
    <row r="180" spans="2:13" ht="15" customHeight="1" x14ac:dyDescent="0.3">
      <c r="B180" s="28" t="str">
        <f>IF(B179="","", IF(VALUE(LEFT(H179,FIND("/",H179)-1)) &lt; VALUE(RIGHT(H179,LEN(H179)-FIND("/",H179))), B179, IFERROR(INDEX('SAÍDA DE VENDAS'!$B$6:$B$500, MATCH(B179,'SAÍDA DE VENDAS'!$B$6:$B$500,0)+COUNTIF('SAÍDA DE VENDAS'!$B$6:$B$500, B179)),"")))</f>
        <v/>
      </c>
      <c r="C180" s="29">
        <f>IFERROR(VLOOKUP(B180,'SAÍDA DE VENDAS'!$B$6:$P$500,3,FALSE),"")</f>
        <v>0</v>
      </c>
      <c r="D180" s="28">
        <f>IFERROR(VLOOKUP(B180,'SAÍDA DE VENDAS'!$B$6:$P$500,4,FALSE),"")</f>
        <v>0</v>
      </c>
      <c r="E180" s="28" t="str">
        <f>IFERROR(VLOOKUP(B180,'SAÍDA DE VENDAS'!$B$6:$P$500,5,FALSE),"")</f>
        <v/>
      </c>
      <c r="F180" s="28" t="str">
        <f>IF(OR(ISBLANK(B180),B180=""), "", IFERROR(INDEX('SAÍDA DE VENDAS'!$H$6:$H$500 &amp; "x " &amp; 'SAÍDA DE VENDAS'!$G$6:$G$500, MATCH(B180, 'SAÍDA DE VENDAS'!$B$6:$B$500, 0)), "")&amp; IF(COUNTIF('SAÍDA DE VENDAS'!$B$6:$B$500, B180)&gt;1, " + " &amp; IFERROR(INDEX('SAÍDA DE VENDAS'!$H$6:$H$500 &amp; "x " &amp; 'SAÍDA DE VENDAS'!$G$6:$G$500, MATCH(B180, 'SAÍDA DE VENDAS'!$B$6:$B$500, 0)+1), ""), "")&amp; IF(COUNTIF('SAÍDA DE VENDAS'!$B$6:$B$500, B180)&gt;2, " + " &amp; IFERROR(INDEX('SAÍDA DE VENDAS'!$H$6:$H$500 &amp; "x " &amp; 'SAÍDA DE VENDAS'!$G$6:$G$500, MATCH(B180, 'SAÍDA DE VENDAS'!$B$6:$B$500, 0)+2), ""), "")&amp; IF(COUNTIF('SAÍDA DE VENDAS'!$B$6:$B$500, B180)&gt;3, " + " &amp; IFERROR(INDEX('SAÍDA DE VENDAS'!$H$6:$H$500 &amp; "x " &amp; 'SAÍDA DE VENDAS'!$G$6:$G$500, MATCH(B180, 'SAÍDA DE VENDAS'!$B$6:$B$500, 0)+3), ""), "")&amp; IF(COUNTIF('SAÍDA DE VENDAS'!$B$6:$B$500, B180)&gt;4, " + " &amp; IFERROR(INDEX('SAÍDA DE VENDAS'!$H$6:$H$500 &amp; "x " &amp; 'SAÍDA DE VENDAS'!$G$6:$G$500, MATCH(B180, 'SAÍDA DE VENDAS'!$B$6:$B$500, 0)+4), ""), "")&amp; IF(COUNTIF('SAÍDA DE VENDAS'!$B$6:$B$500, B180)&gt;5, " + " &amp; IFERROR(INDEX('SAÍDA DE VENDAS'!$H$6:$H$500 &amp; "x " &amp; 'SAÍDA DE VENDAS'!$G$6:$G$500, MATCH(B180, 'SAÍDA DE VENDAS'!$B$6:$B$500, 0)+5), ""), ""))</f>
        <v/>
      </c>
      <c r="G180" s="28">
        <f>IFERROR(VLOOKUP(B180,'SAÍDA DE VENDAS'!$B$6:$P$500,10,FALSE),"")</f>
        <v>0</v>
      </c>
      <c r="H180" s="28" t="str">
        <f>IF(OR(ISBLANK(B180),B180=""), "", IF(B180=B179, (VALUE(LEFT(H179,FIND("/",H179)-1))+1)&amp;"/"&amp;RIGHT(H179,LEN(H179)-FIND("/",H179)), "1/"&amp;IFERROR(VLOOKUP(B180,'SAÍDA DE VENDAS'!$B$6:$P$500,13,FALSE),"1")))</f>
        <v/>
      </c>
      <c r="I180" s="69" t="str">
        <f t="shared" si="4"/>
        <v/>
      </c>
      <c r="J180" s="33" t="str">
        <f>IFERROR(VLOOKUP(B180,'SAÍDA DE VENDAS'!$B$6:$P$500,15,FALSE),"")</f>
        <v/>
      </c>
      <c r="K180" s="28" t="str">
        <f t="shared" ca="1" si="5"/>
        <v/>
      </c>
      <c r="L180" s="28"/>
      <c r="M180" s="28"/>
    </row>
    <row r="181" spans="2:13" ht="15" customHeight="1" x14ac:dyDescent="0.3">
      <c r="B181" s="34" t="str">
        <f>IF(B180="","", IF(VALUE(LEFT(H180,FIND("/",H180)-1)) &lt; VALUE(RIGHT(H180,LEN(H180)-FIND("/",H180))), B180, IFERROR(INDEX('SAÍDA DE VENDAS'!$B$6:$B$500, MATCH(B180,'SAÍDA DE VENDAS'!$B$6:$B$500,0)+COUNTIF('SAÍDA DE VENDAS'!$B$6:$B$500, B180)),"")))</f>
        <v/>
      </c>
      <c r="C181" s="35">
        <f>IFERROR(VLOOKUP(B181,'SAÍDA DE VENDAS'!$B$6:$P$500,3,FALSE),"")</f>
        <v>0</v>
      </c>
      <c r="D181" s="34">
        <f>IFERROR(VLOOKUP(B181,'SAÍDA DE VENDAS'!$B$6:$P$500,4,FALSE),"")</f>
        <v>0</v>
      </c>
      <c r="E181" s="34" t="str">
        <f>IFERROR(VLOOKUP(B181,'SAÍDA DE VENDAS'!$B$6:$P$500,5,FALSE),"")</f>
        <v/>
      </c>
      <c r="F181" s="34" t="str">
        <f>IF(OR(ISBLANK(B181),B181=""), "", IFERROR(INDEX('SAÍDA DE VENDAS'!$H$6:$H$500 &amp; "x " &amp; 'SAÍDA DE VENDAS'!$G$6:$G$500, MATCH(B181, 'SAÍDA DE VENDAS'!$B$6:$B$500, 0)), "")&amp; IF(COUNTIF('SAÍDA DE VENDAS'!$B$6:$B$500, B181)&gt;1, " + " &amp; IFERROR(INDEX('SAÍDA DE VENDAS'!$H$6:$H$500 &amp; "x " &amp; 'SAÍDA DE VENDAS'!$G$6:$G$500, MATCH(B181, 'SAÍDA DE VENDAS'!$B$6:$B$500, 0)+1), ""), "")&amp; IF(COUNTIF('SAÍDA DE VENDAS'!$B$6:$B$500, B181)&gt;2, " + " &amp; IFERROR(INDEX('SAÍDA DE VENDAS'!$H$6:$H$500 &amp; "x " &amp; 'SAÍDA DE VENDAS'!$G$6:$G$500, MATCH(B181, 'SAÍDA DE VENDAS'!$B$6:$B$500, 0)+2), ""), "")&amp; IF(COUNTIF('SAÍDA DE VENDAS'!$B$6:$B$500, B181)&gt;3, " + " &amp; IFERROR(INDEX('SAÍDA DE VENDAS'!$H$6:$H$500 &amp; "x " &amp; 'SAÍDA DE VENDAS'!$G$6:$G$500, MATCH(B181, 'SAÍDA DE VENDAS'!$B$6:$B$500, 0)+3), ""), "")&amp; IF(COUNTIF('SAÍDA DE VENDAS'!$B$6:$B$500, B181)&gt;4, " + " &amp; IFERROR(INDEX('SAÍDA DE VENDAS'!$H$6:$H$500 &amp; "x " &amp; 'SAÍDA DE VENDAS'!$G$6:$G$500, MATCH(B181, 'SAÍDA DE VENDAS'!$B$6:$B$500, 0)+4), ""), "")&amp; IF(COUNTIF('SAÍDA DE VENDAS'!$B$6:$B$500, B181)&gt;5, " + " &amp; IFERROR(INDEX('SAÍDA DE VENDAS'!$H$6:$H$500 &amp; "x " &amp; 'SAÍDA DE VENDAS'!$G$6:$G$500, MATCH(B181, 'SAÍDA DE VENDAS'!$B$6:$B$500, 0)+5), ""), ""))</f>
        <v/>
      </c>
      <c r="G181" s="34">
        <f>IFERROR(VLOOKUP(B181,'SAÍDA DE VENDAS'!$B$6:$P$500,10,FALSE),"")</f>
        <v>0</v>
      </c>
      <c r="H181" s="34" t="str">
        <f>IF(OR(ISBLANK(B181),B181=""), "", IF(B181=B180, (VALUE(LEFT(H180,FIND("/",H180)-1))+1)&amp;"/"&amp;RIGHT(H180,LEN(H180)-FIND("/",H180)), "1/"&amp;IFERROR(VLOOKUP(B181,'SAÍDA DE VENDAS'!$B$6:$P$500,13,FALSE),"1")))</f>
        <v/>
      </c>
      <c r="I181" s="35" t="str">
        <f t="shared" si="4"/>
        <v/>
      </c>
      <c r="J181" s="39" t="str">
        <f>IFERROR(VLOOKUP(B181,'SAÍDA DE VENDAS'!$B$6:$P$500,15,FALSE),"")</f>
        <v/>
      </c>
      <c r="K181" s="34" t="str">
        <f t="shared" ca="1" si="5"/>
        <v/>
      </c>
      <c r="L181" s="34"/>
      <c r="M181" s="34"/>
    </row>
    <row r="182" spans="2:13" ht="15" customHeight="1" x14ac:dyDescent="0.3">
      <c r="B182" s="28" t="str">
        <f>IF(B181="","", IF(VALUE(LEFT(H181,FIND("/",H181)-1)) &lt; VALUE(RIGHT(H181,LEN(H181)-FIND("/",H181))), B181, IFERROR(INDEX('SAÍDA DE VENDAS'!$B$6:$B$500, MATCH(B181,'SAÍDA DE VENDAS'!$B$6:$B$500,0)+COUNTIF('SAÍDA DE VENDAS'!$B$6:$B$500, B181)),"")))</f>
        <v/>
      </c>
      <c r="C182" s="29">
        <f>IFERROR(VLOOKUP(B182,'SAÍDA DE VENDAS'!$B$6:$P$500,3,FALSE),"")</f>
        <v>0</v>
      </c>
      <c r="D182" s="28">
        <f>IFERROR(VLOOKUP(B182,'SAÍDA DE VENDAS'!$B$6:$P$500,4,FALSE),"")</f>
        <v>0</v>
      </c>
      <c r="E182" s="28" t="str">
        <f>IFERROR(VLOOKUP(B182,'SAÍDA DE VENDAS'!$B$6:$P$500,5,FALSE),"")</f>
        <v/>
      </c>
      <c r="F182" s="28" t="str">
        <f>IF(OR(ISBLANK(B182),B182=""), "", IFERROR(INDEX('SAÍDA DE VENDAS'!$H$6:$H$500 &amp; "x " &amp; 'SAÍDA DE VENDAS'!$G$6:$G$500, MATCH(B182, 'SAÍDA DE VENDAS'!$B$6:$B$500, 0)), "")&amp; IF(COUNTIF('SAÍDA DE VENDAS'!$B$6:$B$500, B182)&gt;1, " + " &amp; IFERROR(INDEX('SAÍDA DE VENDAS'!$H$6:$H$500 &amp; "x " &amp; 'SAÍDA DE VENDAS'!$G$6:$G$500, MATCH(B182, 'SAÍDA DE VENDAS'!$B$6:$B$500, 0)+1), ""), "")&amp; IF(COUNTIF('SAÍDA DE VENDAS'!$B$6:$B$500, B182)&gt;2, " + " &amp; IFERROR(INDEX('SAÍDA DE VENDAS'!$H$6:$H$500 &amp; "x " &amp; 'SAÍDA DE VENDAS'!$G$6:$G$500, MATCH(B182, 'SAÍDA DE VENDAS'!$B$6:$B$500, 0)+2), ""), "")&amp; IF(COUNTIF('SAÍDA DE VENDAS'!$B$6:$B$500, B182)&gt;3, " + " &amp; IFERROR(INDEX('SAÍDA DE VENDAS'!$H$6:$H$500 &amp; "x " &amp; 'SAÍDA DE VENDAS'!$G$6:$G$500, MATCH(B182, 'SAÍDA DE VENDAS'!$B$6:$B$500, 0)+3), ""), "")&amp; IF(COUNTIF('SAÍDA DE VENDAS'!$B$6:$B$500, B182)&gt;4, " + " &amp; IFERROR(INDEX('SAÍDA DE VENDAS'!$H$6:$H$500 &amp; "x " &amp; 'SAÍDA DE VENDAS'!$G$6:$G$500, MATCH(B182, 'SAÍDA DE VENDAS'!$B$6:$B$500, 0)+4), ""), "")&amp; IF(COUNTIF('SAÍDA DE VENDAS'!$B$6:$B$500, B182)&gt;5, " + " &amp; IFERROR(INDEX('SAÍDA DE VENDAS'!$H$6:$H$500 &amp; "x " &amp; 'SAÍDA DE VENDAS'!$G$6:$G$500, MATCH(B182, 'SAÍDA DE VENDAS'!$B$6:$B$500, 0)+5), ""), ""))</f>
        <v/>
      </c>
      <c r="G182" s="28">
        <f>IFERROR(VLOOKUP(B182,'SAÍDA DE VENDAS'!$B$6:$P$500,10,FALSE),"")</f>
        <v>0</v>
      </c>
      <c r="H182" s="28" t="str">
        <f>IF(OR(ISBLANK(B182),B182=""), "", IF(B182=B181, (VALUE(LEFT(H181,FIND("/",H181)-1))+1)&amp;"/"&amp;RIGHT(H181,LEN(H181)-FIND("/",H181)), "1/"&amp;IFERROR(VLOOKUP(B182,'SAÍDA DE VENDAS'!$B$6:$P$500,13,FALSE),"1")))</f>
        <v/>
      </c>
      <c r="I182" s="69" t="str">
        <f t="shared" si="4"/>
        <v/>
      </c>
      <c r="J182" s="33" t="str">
        <f>IFERROR(VLOOKUP(B182,'SAÍDA DE VENDAS'!$B$6:$P$500,15,FALSE),"")</f>
        <v/>
      </c>
      <c r="K182" s="28" t="str">
        <f t="shared" ca="1" si="5"/>
        <v/>
      </c>
      <c r="L182" s="28"/>
      <c r="M182" s="28"/>
    </row>
    <row r="183" spans="2:13" ht="15" customHeight="1" x14ac:dyDescent="0.3">
      <c r="B183" s="34" t="str">
        <f>IF(B182="","", IF(VALUE(LEFT(H182,FIND("/",H182)-1)) &lt; VALUE(RIGHT(H182,LEN(H182)-FIND("/",H182))), B182, IFERROR(INDEX('SAÍDA DE VENDAS'!$B$6:$B$500, MATCH(B182,'SAÍDA DE VENDAS'!$B$6:$B$500,0)+COUNTIF('SAÍDA DE VENDAS'!$B$6:$B$500, B182)),"")))</f>
        <v/>
      </c>
      <c r="C183" s="35">
        <f>IFERROR(VLOOKUP(B183,'SAÍDA DE VENDAS'!$B$6:$P$500,3,FALSE),"")</f>
        <v>0</v>
      </c>
      <c r="D183" s="34">
        <f>IFERROR(VLOOKUP(B183,'SAÍDA DE VENDAS'!$B$6:$P$500,4,FALSE),"")</f>
        <v>0</v>
      </c>
      <c r="E183" s="34" t="str">
        <f>IFERROR(VLOOKUP(B183,'SAÍDA DE VENDAS'!$B$6:$P$500,5,FALSE),"")</f>
        <v/>
      </c>
      <c r="F183" s="34" t="str">
        <f>IF(OR(ISBLANK(B183),B183=""), "", IFERROR(INDEX('SAÍDA DE VENDAS'!$H$6:$H$500 &amp; "x " &amp; 'SAÍDA DE VENDAS'!$G$6:$G$500, MATCH(B183, 'SAÍDA DE VENDAS'!$B$6:$B$500, 0)), "")&amp; IF(COUNTIF('SAÍDA DE VENDAS'!$B$6:$B$500, B183)&gt;1, " + " &amp; IFERROR(INDEX('SAÍDA DE VENDAS'!$H$6:$H$500 &amp; "x " &amp; 'SAÍDA DE VENDAS'!$G$6:$G$500, MATCH(B183, 'SAÍDA DE VENDAS'!$B$6:$B$500, 0)+1), ""), "")&amp; IF(COUNTIF('SAÍDA DE VENDAS'!$B$6:$B$500, B183)&gt;2, " + " &amp; IFERROR(INDEX('SAÍDA DE VENDAS'!$H$6:$H$500 &amp; "x " &amp; 'SAÍDA DE VENDAS'!$G$6:$G$500, MATCH(B183, 'SAÍDA DE VENDAS'!$B$6:$B$500, 0)+2), ""), "")&amp; IF(COUNTIF('SAÍDA DE VENDAS'!$B$6:$B$500, B183)&gt;3, " + " &amp; IFERROR(INDEX('SAÍDA DE VENDAS'!$H$6:$H$500 &amp; "x " &amp; 'SAÍDA DE VENDAS'!$G$6:$G$500, MATCH(B183, 'SAÍDA DE VENDAS'!$B$6:$B$500, 0)+3), ""), "")&amp; IF(COUNTIF('SAÍDA DE VENDAS'!$B$6:$B$500, B183)&gt;4, " + " &amp; IFERROR(INDEX('SAÍDA DE VENDAS'!$H$6:$H$500 &amp; "x " &amp; 'SAÍDA DE VENDAS'!$G$6:$G$500, MATCH(B183, 'SAÍDA DE VENDAS'!$B$6:$B$500, 0)+4), ""), "")&amp; IF(COUNTIF('SAÍDA DE VENDAS'!$B$6:$B$500, B183)&gt;5, " + " &amp; IFERROR(INDEX('SAÍDA DE VENDAS'!$H$6:$H$500 &amp; "x " &amp; 'SAÍDA DE VENDAS'!$G$6:$G$500, MATCH(B183, 'SAÍDA DE VENDAS'!$B$6:$B$500, 0)+5), ""), ""))</f>
        <v/>
      </c>
      <c r="G183" s="34">
        <f>IFERROR(VLOOKUP(B183,'SAÍDA DE VENDAS'!$B$6:$P$500,10,FALSE),"")</f>
        <v>0</v>
      </c>
      <c r="H183" s="34" t="str">
        <f>IF(OR(ISBLANK(B183),B183=""), "", IF(B183=B182, (VALUE(LEFT(H182,FIND("/",H182)-1))+1)&amp;"/"&amp;RIGHT(H182,LEN(H182)-FIND("/",H182)), "1/"&amp;IFERROR(VLOOKUP(B183,'SAÍDA DE VENDAS'!$B$6:$P$500,13,FALSE),"1")))</f>
        <v/>
      </c>
      <c r="I183" s="35" t="str">
        <f t="shared" si="4"/>
        <v/>
      </c>
      <c r="J183" s="39" t="str">
        <f>IFERROR(VLOOKUP(B183,'SAÍDA DE VENDAS'!$B$6:$P$500,15,FALSE),"")</f>
        <v/>
      </c>
      <c r="K183" s="34" t="str">
        <f t="shared" ca="1" si="5"/>
        <v/>
      </c>
      <c r="L183" s="34"/>
      <c r="M183" s="34"/>
    </row>
    <row r="184" spans="2:13" ht="15" customHeight="1" x14ac:dyDescent="0.3">
      <c r="B184" s="28" t="str">
        <f>IF(B183="","", IF(VALUE(LEFT(H183,FIND("/",H183)-1)) &lt; VALUE(RIGHT(H183,LEN(H183)-FIND("/",H183))), B183, IFERROR(INDEX('SAÍDA DE VENDAS'!$B$6:$B$500, MATCH(B183,'SAÍDA DE VENDAS'!$B$6:$B$500,0)+COUNTIF('SAÍDA DE VENDAS'!$B$6:$B$500, B183)),"")))</f>
        <v/>
      </c>
      <c r="C184" s="29">
        <f>IFERROR(VLOOKUP(B184,'SAÍDA DE VENDAS'!$B$6:$P$500,3,FALSE),"")</f>
        <v>0</v>
      </c>
      <c r="D184" s="28">
        <f>IFERROR(VLOOKUP(B184,'SAÍDA DE VENDAS'!$B$6:$P$500,4,FALSE),"")</f>
        <v>0</v>
      </c>
      <c r="E184" s="28" t="str">
        <f>IFERROR(VLOOKUP(B184,'SAÍDA DE VENDAS'!$B$6:$P$500,5,FALSE),"")</f>
        <v/>
      </c>
      <c r="F184" s="28" t="str">
        <f>IF(OR(ISBLANK(B184),B184=""), "", IFERROR(INDEX('SAÍDA DE VENDAS'!$H$6:$H$500 &amp; "x " &amp; 'SAÍDA DE VENDAS'!$G$6:$G$500, MATCH(B184, 'SAÍDA DE VENDAS'!$B$6:$B$500, 0)), "")&amp; IF(COUNTIF('SAÍDA DE VENDAS'!$B$6:$B$500, B184)&gt;1, " + " &amp; IFERROR(INDEX('SAÍDA DE VENDAS'!$H$6:$H$500 &amp; "x " &amp; 'SAÍDA DE VENDAS'!$G$6:$G$500, MATCH(B184, 'SAÍDA DE VENDAS'!$B$6:$B$500, 0)+1), ""), "")&amp; IF(COUNTIF('SAÍDA DE VENDAS'!$B$6:$B$500, B184)&gt;2, " + " &amp; IFERROR(INDEX('SAÍDA DE VENDAS'!$H$6:$H$500 &amp; "x " &amp; 'SAÍDA DE VENDAS'!$G$6:$G$500, MATCH(B184, 'SAÍDA DE VENDAS'!$B$6:$B$500, 0)+2), ""), "")&amp; IF(COUNTIF('SAÍDA DE VENDAS'!$B$6:$B$500, B184)&gt;3, " + " &amp; IFERROR(INDEX('SAÍDA DE VENDAS'!$H$6:$H$500 &amp; "x " &amp; 'SAÍDA DE VENDAS'!$G$6:$G$500, MATCH(B184, 'SAÍDA DE VENDAS'!$B$6:$B$500, 0)+3), ""), "")&amp; IF(COUNTIF('SAÍDA DE VENDAS'!$B$6:$B$500, B184)&gt;4, " + " &amp; IFERROR(INDEX('SAÍDA DE VENDAS'!$H$6:$H$500 &amp; "x " &amp; 'SAÍDA DE VENDAS'!$G$6:$G$500, MATCH(B184, 'SAÍDA DE VENDAS'!$B$6:$B$500, 0)+4), ""), "")&amp; IF(COUNTIF('SAÍDA DE VENDAS'!$B$6:$B$500, B184)&gt;5, " + " &amp; IFERROR(INDEX('SAÍDA DE VENDAS'!$H$6:$H$500 &amp; "x " &amp; 'SAÍDA DE VENDAS'!$G$6:$G$500, MATCH(B184, 'SAÍDA DE VENDAS'!$B$6:$B$500, 0)+5), ""), ""))</f>
        <v/>
      </c>
      <c r="G184" s="28">
        <f>IFERROR(VLOOKUP(B184,'SAÍDA DE VENDAS'!$B$6:$P$500,10,FALSE),"")</f>
        <v>0</v>
      </c>
      <c r="H184" s="28" t="str">
        <f>IF(OR(ISBLANK(B184),B184=""), "", IF(B184=B183, (VALUE(LEFT(H183,FIND("/",H183)-1))+1)&amp;"/"&amp;RIGHT(H183,LEN(H183)-FIND("/",H183)), "1/"&amp;IFERROR(VLOOKUP(B184,'SAÍDA DE VENDAS'!$B$6:$P$500,13,FALSE),"1")))</f>
        <v/>
      </c>
      <c r="I184" s="69" t="str">
        <f t="shared" si="4"/>
        <v/>
      </c>
      <c r="J184" s="33" t="str">
        <f>IFERROR(VLOOKUP(B184,'SAÍDA DE VENDAS'!$B$6:$P$500,15,FALSE),"")</f>
        <v/>
      </c>
      <c r="K184" s="28" t="str">
        <f t="shared" ca="1" si="5"/>
        <v/>
      </c>
      <c r="L184" s="28"/>
      <c r="M184" s="28"/>
    </row>
    <row r="185" spans="2:13" ht="15" customHeight="1" x14ac:dyDescent="0.3">
      <c r="B185" s="34" t="str">
        <f>IF(B184="","", IF(VALUE(LEFT(H184,FIND("/",H184)-1)) &lt; VALUE(RIGHT(H184,LEN(H184)-FIND("/",H184))), B184, IFERROR(INDEX('SAÍDA DE VENDAS'!$B$6:$B$500, MATCH(B184,'SAÍDA DE VENDAS'!$B$6:$B$500,0)+COUNTIF('SAÍDA DE VENDAS'!$B$6:$B$500, B184)),"")))</f>
        <v/>
      </c>
      <c r="C185" s="35">
        <f>IFERROR(VLOOKUP(B185,'SAÍDA DE VENDAS'!$B$6:$P$500,3,FALSE),"")</f>
        <v>0</v>
      </c>
      <c r="D185" s="34">
        <f>IFERROR(VLOOKUP(B185,'SAÍDA DE VENDAS'!$B$6:$P$500,4,FALSE),"")</f>
        <v>0</v>
      </c>
      <c r="E185" s="34" t="str">
        <f>IFERROR(VLOOKUP(B185,'SAÍDA DE VENDAS'!$B$6:$P$500,5,FALSE),"")</f>
        <v/>
      </c>
      <c r="F185" s="34" t="str">
        <f>IF(OR(ISBLANK(B185),B185=""), "", IFERROR(INDEX('SAÍDA DE VENDAS'!$H$6:$H$500 &amp; "x " &amp; 'SAÍDA DE VENDAS'!$G$6:$G$500, MATCH(B185, 'SAÍDA DE VENDAS'!$B$6:$B$500, 0)), "")&amp; IF(COUNTIF('SAÍDA DE VENDAS'!$B$6:$B$500, B185)&gt;1, " + " &amp; IFERROR(INDEX('SAÍDA DE VENDAS'!$H$6:$H$500 &amp; "x " &amp; 'SAÍDA DE VENDAS'!$G$6:$G$500, MATCH(B185, 'SAÍDA DE VENDAS'!$B$6:$B$500, 0)+1), ""), "")&amp; IF(COUNTIF('SAÍDA DE VENDAS'!$B$6:$B$500, B185)&gt;2, " + " &amp; IFERROR(INDEX('SAÍDA DE VENDAS'!$H$6:$H$500 &amp; "x " &amp; 'SAÍDA DE VENDAS'!$G$6:$G$500, MATCH(B185, 'SAÍDA DE VENDAS'!$B$6:$B$500, 0)+2), ""), "")&amp; IF(COUNTIF('SAÍDA DE VENDAS'!$B$6:$B$500, B185)&gt;3, " + " &amp; IFERROR(INDEX('SAÍDA DE VENDAS'!$H$6:$H$500 &amp; "x " &amp; 'SAÍDA DE VENDAS'!$G$6:$G$500, MATCH(B185, 'SAÍDA DE VENDAS'!$B$6:$B$500, 0)+3), ""), "")&amp; IF(COUNTIF('SAÍDA DE VENDAS'!$B$6:$B$500, B185)&gt;4, " + " &amp; IFERROR(INDEX('SAÍDA DE VENDAS'!$H$6:$H$500 &amp; "x " &amp; 'SAÍDA DE VENDAS'!$G$6:$G$500, MATCH(B185, 'SAÍDA DE VENDAS'!$B$6:$B$500, 0)+4), ""), "")&amp; IF(COUNTIF('SAÍDA DE VENDAS'!$B$6:$B$500, B185)&gt;5, " + " &amp; IFERROR(INDEX('SAÍDA DE VENDAS'!$H$6:$H$500 &amp; "x " &amp; 'SAÍDA DE VENDAS'!$G$6:$G$500, MATCH(B185, 'SAÍDA DE VENDAS'!$B$6:$B$500, 0)+5), ""), ""))</f>
        <v/>
      </c>
      <c r="G185" s="34">
        <f>IFERROR(VLOOKUP(B185,'SAÍDA DE VENDAS'!$B$6:$P$500,10,FALSE),"")</f>
        <v>0</v>
      </c>
      <c r="H185" s="34" t="str">
        <f>IF(OR(ISBLANK(B185),B185=""), "", IF(B185=B184, (VALUE(LEFT(H184,FIND("/",H184)-1))+1)&amp;"/"&amp;RIGHT(H184,LEN(H184)-FIND("/",H184)), "1/"&amp;IFERROR(VLOOKUP(B185,'SAÍDA DE VENDAS'!$B$6:$P$500,13,FALSE),"1")))</f>
        <v/>
      </c>
      <c r="I185" s="35" t="str">
        <f t="shared" si="4"/>
        <v/>
      </c>
      <c r="J185" s="39" t="str">
        <f>IFERROR(VLOOKUP(B185,'SAÍDA DE VENDAS'!$B$6:$P$500,15,FALSE),"")</f>
        <v/>
      </c>
      <c r="K185" s="34" t="str">
        <f t="shared" ca="1" si="5"/>
        <v/>
      </c>
      <c r="L185" s="34"/>
      <c r="M185" s="34"/>
    </row>
    <row r="186" spans="2:13" ht="15" customHeight="1" x14ac:dyDescent="0.3">
      <c r="B186" s="28" t="str">
        <f>IF(B185="","", IF(VALUE(LEFT(H185,FIND("/",H185)-1)) &lt; VALUE(RIGHT(H185,LEN(H185)-FIND("/",H185))), B185, IFERROR(INDEX('SAÍDA DE VENDAS'!$B$6:$B$500, MATCH(B185,'SAÍDA DE VENDAS'!$B$6:$B$500,0)+COUNTIF('SAÍDA DE VENDAS'!$B$6:$B$500, B185)),"")))</f>
        <v/>
      </c>
      <c r="C186" s="29">
        <f>IFERROR(VLOOKUP(B186,'SAÍDA DE VENDAS'!$B$6:$P$500,3,FALSE),"")</f>
        <v>0</v>
      </c>
      <c r="D186" s="28">
        <f>IFERROR(VLOOKUP(B186,'SAÍDA DE VENDAS'!$B$6:$P$500,4,FALSE),"")</f>
        <v>0</v>
      </c>
      <c r="E186" s="28" t="str">
        <f>IFERROR(VLOOKUP(B186,'SAÍDA DE VENDAS'!$B$6:$P$500,5,FALSE),"")</f>
        <v/>
      </c>
      <c r="F186" s="28" t="str">
        <f>IF(OR(ISBLANK(B186),B186=""), "", IFERROR(INDEX('SAÍDA DE VENDAS'!$H$6:$H$500 &amp; "x " &amp; 'SAÍDA DE VENDAS'!$G$6:$G$500, MATCH(B186, 'SAÍDA DE VENDAS'!$B$6:$B$500, 0)), "")&amp; IF(COUNTIF('SAÍDA DE VENDAS'!$B$6:$B$500, B186)&gt;1, " + " &amp; IFERROR(INDEX('SAÍDA DE VENDAS'!$H$6:$H$500 &amp; "x " &amp; 'SAÍDA DE VENDAS'!$G$6:$G$500, MATCH(B186, 'SAÍDA DE VENDAS'!$B$6:$B$500, 0)+1), ""), "")&amp; IF(COUNTIF('SAÍDA DE VENDAS'!$B$6:$B$500, B186)&gt;2, " + " &amp; IFERROR(INDEX('SAÍDA DE VENDAS'!$H$6:$H$500 &amp; "x " &amp; 'SAÍDA DE VENDAS'!$G$6:$G$500, MATCH(B186, 'SAÍDA DE VENDAS'!$B$6:$B$500, 0)+2), ""), "")&amp; IF(COUNTIF('SAÍDA DE VENDAS'!$B$6:$B$500, B186)&gt;3, " + " &amp; IFERROR(INDEX('SAÍDA DE VENDAS'!$H$6:$H$500 &amp; "x " &amp; 'SAÍDA DE VENDAS'!$G$6:$G$500, MATCH(B186, 'SAÍDA DE VENDAS'!$B$6:$B$500, 0)+3), ""), "")&amp; IF(COUNTIF('SAÍDA DE VENDAS'!$B$6:$B$500, B186)&gt;4, " + " &amp; IFERROR(INDEX('SAÍDA DE VENDAS'!$H$6:$H$500 &amp; "x " &amp; 'SAÍDA DE VENDAS'!$G$6:$G$500, MATCH(B186, 'SAÍDA DE VENDAS'!$B$6:$B$500, 0)+4), ""), "")&amp; IF(COUNTIF('SAÍDA DE VENDAS'!$B$6:$B$500, B186)&gt;5, " + " &amp; IFERROR(INDEX('SAÍDA DE VENDAS'!$H$6:$H$500 &amp; "x " &amp; 'SAÍDA DE VENDAS'!$G$6:$G$500, MATCH(B186, 'SAÍDA DE VENDAS'!$B$6:$B$500, 0)+5), ""), ""))</f>
        <v/>
      </c>
      <c r="G186" s="28">
        <f>IFERROR(VLOOKUP(B186,'SAÍDA DE VENDAS'!$B$6:$P$500,10,FALSE),"")</f>
        <v>0</v>
      </c>
      <c r="H186" s="28" t="str">
        <f>IF(OR(ISBLANK(B186),B186=""), "", IF(B186=B185, (VALUE(LEFT(H185,FIND("/",H185)-1))+1)&amp;"/"&amp;RIGHT(H185,LEN(H185)-FIND("/",H185)), "1/"&amp;IFERROR(VLOOKUP(B186,'SAÍDA DE VENDAS'!$B$6:$P$500,13,FALSE),"1")))</f>
        <v/>
      </c>
      <c r="I186" s="69" t="str">
        <f t="shared" si="4"/>
        <v/>
      </c>
      <c r="J186" s="33" t="str">
        <f>IFERROR(VLOOKUP(B186,'SAÍDA DE VENDAS'!$B$6:$P$500,15,FALSE),"")</f>
        <v/>
      </c>
      <c r="K186" s="28" t="str">
        <f t="shared" ca="1" si="5"/>
        <v/>
      </c>
      <c r="L186" s="28"/>
      <c r="M186" s="28"/>
    </row>
    <row r="187" spans="2:13" ht="15" customHeight="1" x14ac:dyDescent="0.3">
      <c r="B187" s="34" t="str">
        <f>IF(B186="","", IF(VALUE(LEFT(H186,FIND("/",H186)-1)) &lt; VALUE(RIGHT(H186,LEN(H186)-FIND("/",H186))), B186, IFERROR(INDEX('SAÍDA DE VENDAS'!$B$6:$B$500, MATCH(B186,'SAÍDA DE VENDAS'!$B$6:$B$500,0)+COUNTIF('SAÍDA DE VENDAS'!$B$6:$B$500, B186)),"")))</f>
        <v/>
      </c>
      <c r="C187" s="35">
        <f>IFERROR(VLOOKUP(B187,'SAÍDA DE VENDAS'!$B$6:$P$500,3,FALSE),"")</f>
        <v>0</v>
      </c>
      <c r="D187" s="34">
        <f>IFERROR(VLOOKUP(B187,'SAÍDA DE VENDAS'!$B$6:$P$500,4,FALSE),"")</f>
        <v>0</v>
      </c>
      <c r="E187" s="34" t="str">
        <f>IFERROR(VLOOKUP(B187,'SAÍDA DE VENDAS'!$B$6:$P$500,5,FALSE),"")</f>
        <v/>
      </c>
      <c r="F187" s="34" t="str">
        <f>IF(OR(ISBLANK(B187),B187=""), "", IFERROR(INDEX('SAÍDA DE VENDAS'!$H$6:$H$500 &amp; "x " &amp; 'SAÍDA DE VENDAS'!$G$6:$G$500, MATCH(B187, 'SAÍDA DE VENDAS'!$B$6:$B$500, 0)), "")&amp; IF(COUNTIF('SAÍDA DE VENDAS'!$B$6:$B$500, B187)&gt;1, " + " &amp; IFERROR(INDEX('SAÍDA DE VENDAS'!$H$6:$H$500 &amp; "x " &amp; 'SAÍDA DE VENDAS'!$G$6:$G$500, MATCH(B187, 'SAÍDA DE VENDAS'!$B$6:$B$500, 0)+1), ""), "")&amp; IF(COUNTIF('SAÍDA DE VENDAS'!$B$6:$B$500, B187)&gt;2, " + " &amp; IFERROR(INDEX('SAÍDA DE VENDAS'!$H$6:$H$500 &amp; "x " &amp; 'SAÍDA DE VENDAS'!$G$6:$G$500, MATCH(B187, 'SAÍDA DE VENDAS'!$B$6:$B$500, 0)+2), ""), "")&amp; IF(COUNTIF('SAÍDA DE VENDAS'!$B$6:$B$500, B187)&gt;3, " + " &amp; IFERROR(INDEX('SAÍDA DE VENDAS'!$H$6:$H$500 &amp; "x " &amp; 'SAÍDA DE VENDAS'!$G$6:$G$500, MATCH(B187, 'SAÍDA DE VENDAS'!$B$6:$B$500, 0)+3), ""), "")&amp; IF(COUNTIF('SAÍDA DE VENDAS'!$B$6:$B$500, B187)&gt;4, " + " &amp; IFERROR(INDEX('SAÍDA DE VENDAS'!$H$6:$H$500 &amp; "x " &amp; 'SAÍDA DE VENDAS'!$G$6:$G$500, MATCH(B187, 'SAÍDA DE VENDAS'!$B$6:$B$500, 0)+4), ""), "")&amp; IF(COUNTIF('SAÍDA DE VENDAS'!$B$6:$B$500, B187)&gt;5, " + " &amp; IFERROR(INDEX('SAÍDA DE VENDAS'!$H$6:$H$500 &amp; "x " &amp; 'SAÍDA DE VENDAS'!$G$6:$G$500, MATCH(B187, 'SAÍDA DE VENDAS'!$B$6:$B$500, 0)+5), ""), ""))</f>
        <v/>
      </c>
      <c r="G187" s="34">
        <f>IFERROR(VLOOKUP(B187,'SAÍDA DE VENDAS'!$B$6:$P$500,10,FALSE),"")</f>
        <v>0</v>
      </c>
      <c r="H187" s="34" t="str">
        <f>IF(OR(ISBLANK(B187),B187=""), "", IF(B187=B186, (VALUE(LEFT(H186,FIND("/",H186)-1))+1)&amp;"/"&amp;RIGHT(H186,LEN(H186)-FIND("/",H186)), "1/"&amp;IFERROR(VLOOKUP(B187,'SAÍDA DE VENDAS'!$B$6:$P$500,13,FALSE),"1")))</f>
        <v/>
      </c>
      <c r="I187" s="35" t="str">
        <f t="shared" si="4"/>
        <v/>
      </c>
      <c r="J187" s="39" t="str">
        <f>IFERROR(VLOOKUP(B187,'SAÍDA DE VENDAS'!$B$6:$P$500,15,FALSE),"")</f>
        <v/>
      </c>
      <c r="K187" s="34" t="str">
        <f t="shared" ca="1" si="5"/>
        <v/>
      </c>
      <c r="L187" s="34"/>
      <c r="M187" s="34"/>
    </row>
    <row r="188" spans="2:13" ht="15" customHeight="1" x14ac:dyDescent="0.3">
      <c r="B188" s="28" t="str">
        <f>IF(B187="","", IF(VALUE(LEFT(H187,FIND("/",H187)-1)) &lt; VALUE(RIGHT(H187,LEN(H187)-FIND("/",H187))), B187, IFERROR(INDEX('SAÍDA DE VENDAS'!$B$6:$B$500, MATCH(B187,'SAÍDA DE VENDAS'!$B$6:$B$500,0)+COUNTIF('SAÍDA DE VENDAS'!$B$6:$B$500, B187)),"")))</f>
        <v/>
      </c>
      <c r="C188" s="29">
        <f>IFERROR(VLOOKUP(B188,'SAÍDA DE VENDAS'!$B$6:$P$500,3,FALSE),"")</f>
        <v>0</v>
      </c>
      <c r="D188" s="28">
        <f>IFERROR(VLOOKUP(B188,'SAÍDA DE VENDAS'!$B$6:$P$500,4,FALSE),"")</f>
        <v>0</v>
      </c>
      <c r="E188" s="28" t="str">
        <f>IFERROR(VLOOKUP(B188,'SAÍDA DE VENDAS'!$B$6:$P$500,5,FALSE),"")</f>
        <v/>
      </c>
      <c r="F188" s="28" t="str">
        <f>IF(OR(ISBLANK(B188),B188=""), "", IFERROR(INDEX('SAÍDA DE VENDAS'!$H$6:$H$500 &amp; "x " &amp; 'SAÍDA DE VENDAS'!$G$6:$G$500, MATCH(B188, 'SAÍDA DE VENDAS'!$B$6:$B$500, 0)), "")&amp; IF(COUNTIF('SAÍDA DE VENDAS'!$B$6:$B$500, B188)&gt;1, " + " &amp; IFERROR(INDEX('SAÍDA DE VENDAS'!$H$6:$H$500 &amp; "x " &amp; 'SAÍDA DE VENDAS'!$G$6:$G$500, MATCH(B188, 'SAÍDA DE VENDAS'!$B$6:$B$500, 0)+1), ""), "")&amp; IF(COUNTIF('SAÍDA DE VENDAS'!$B$6:$B$500, B188)&gt;2, " + " &amp; IFERROR(INDEX('SAÍDA DE VENDAS'!$H$6:$H$500 &amp; "x " &amp; 'SAÍDA DE VENDAS'!$G$6:$G$500, MATCH(B188, 'SAÍDA DE VENDAS'!$B$6:$B$500, 0)+2), ""), "")&amp; IF(COUNTIF('SAÍDA DE VENDAS'!$B$6:$B$500, B188)&gt;3, " + " &amp; IFERROR(INDEX('SAÍDA DE VENDAS'!$H$6:$H$500 &amp; "x " &amp; 'SAÍDA DE VENDAS'!$G$6:$G$500, MATCH(B188, 'SAÍDA DE VENDAS'!$B$6:$B$500, 0)+3), ""), "")&amp; IF(COUNTIF('SAÍDA DE VENDAS'!$B$6:$B$500, B188)&gt;4, " + " &amp; IFERROR(INDEX('SAÍDA DE VENDAS'!$H$6:$H$500 &amp; "x " &amp; 'SAÍDA DE VENDAS'!$G$6:$G$500, MATCH(B188, 'SAÍDA DE VENDAS'!$B$6:$B$500, 0)+4), ""), "")&amp; IF(COUNTIF('SAÍDA DE VENDAS'!$B$6:$B$500, B188)&gt;5, " + " &amp; IFERROR(INDEX('SAÍDA DE VENDAS'!$H$6:$H$500 &amp; "x " &amp; 'SAÍDA DE VENDAS'!$G$6:$G$500, MATCH(B188, 'SAÍDA DE VENDAS'!$B$6:$B$500, 0)+5), ""), ""))</f>
        <v/>
      </c>
      <c r="G188" s="28">
        <f>IFERROR(VLOOKUP(B188,'SAÍDA DE VENDAS'!$B$6:$P$500,10,FALSE),"")</f>
        <v>0</v>
      </c>
      <c r="H188" s="28" t="str">
        <f>IF(OR(ISBLANK(B188),B188=""), "", IF(B188=B187, (VALUE(LEFT(H187,FIND("/",H187)-1))+1)&amp;"/"&amp;RIGHT(H187,LEN(H187)-FIND("/",H187)), "1/"&amp;IFERROR(VLOOKUP(B188,'SAÍDA DE VENDAS'!$B$6:$P$500,13,FALSE),"1")))</f>
        <v/>
      </c>
      <c r="I188" s="69" t="str">
        <f t="shared" si="4"/>
        <v/>
      </c>
      <c r="J188" s="33" t="str">
        <f>IFERROR(VLOOKUP(B188,'SAÍDA DE VENDAS'!$B$6:$P$500,15,FALSE),"")</f>
        <v/>
      </c>
      <c r="K188" s="28" t="str">
        <f t="shared" ca="1" si="5"/>
        <v/>
      </c>
      <c r="L188" s="28"/>
      <c r="M188" s="28"/>
    </row>
    <row r="189" spans="2:13" ht="15" customHeight="1" x14ac:dyDescent="0.3">
      <c r="B189" s="34" t="str">
        <f>IF(B188="","", IF(VALUE(LEFT(H188,FIND("/",H188)-1)) &lt; VALUE(RIGHT(H188,LEN(H188)-FIND("/",H188))), B188, IFERROR(INDEX('SAÍDA DE VENDAS'!$B$6:$B$500, MATCH(B188,'SAÍDA DE VENDAS'!$B$6:$B$500,0)+COUNTIF('SAÍDA DE VENDAS'!$B$6:$B$500, B188)),"")))</f>
        <v/>
      </c>
      <c r="C189" s="35">
        <f>IFERROR(VLOOKUP(B189,'SAÍDA DE VENDAS'!$B$6:$P$500,3,FALSE),"")</f>
        <v>0</v>
      </c>
      <c r="D189" s="34">
        <f>IFERROR(VLOOKUP(B189,'SAÍDA DE VENDAS'!$B$6:$P$500,4,FALSE),"")</f>
        <v>0</v>
      </c>
      <c r="E189" s="34" t="str">
        <f>IFERROR(VLOOKUP(B189,'SAÍDA DE VENDAS'!$B$6:$P$500,5,FALSE),"")</f>
        <v/>
      </c>
      <c r="F189" s="34" t="str">
        <f>IF(OR(ISBLANK(B189),B189=""), "", IFERROR(INDEX('SAÍDA DE VENDAS'!$H$6:$H$500 &amp; "x " &amp; 'SAÍDA DE VENDAS'!$G$6:$G$500, MATCH(B189, 'SAÍDA DE VENDAS'!$B$6:$B$500, 0)), "")&amp; IF(COUNTIF('SAÍDA DE VENDAS'!$B$6:$B$500, B189)&gt;1, " + " &amp; IFERROR(INDEX('SAÍDA DE VENDAS'!$H$6:$H$500 &amp; "x " &amp; 'SAÍDA DE VENDAS'!$G$6:$G$500, MATCH(B189, 'SAÍDA DE VENDAS'!$B$6:$B$500, 0)+1), ""), "")&amp; IF(COUNTIF('SAÍDA DE VENDAS'!$B$6:$B$500, B189)&gt;2, " + " &amp; IFERROR(INDEX('SAÍDA DE VENDAS'!$H$6:$H$500 &amp; "x " &amp; 'SAÍDA DE VENDAS'!$G$6:$G$500, MATCH(B189, 'SAÍDA DE VENDAS'!$B$6:$B$500, 0)+2), ""), "")&amp; IF(COUNTIF('SAÍDA DE VENDAS'!$B$6:$B$500, B189)&gt;3, " + " &amp; IFERROR(INDEX('SAÍDA DE VENDAS'!$H$6:$H$500 &amp; "x " &amp; 'SAÍDA DE VENDAS'!$G$6:$G$500, MATCH(B189, 'SAÍDA DE VENDAS'!$B$6:$B$500, 0)+3), ""), "")&amp; IF(COUNTIF('SAÍDA DE VENDAS'!$B$6:$B$500, B189)&gt;4, " + " &amp; IFERROR(INDEX('SAÍDA DE VENDAS'!$H$6:$H$500 &amp; "x " &amp; 'SAÍDA DE VENDAS'!$G$6:$G$500, MATCH(B189, 'SAÍDA DE VENDAS'!$B$6:$B$500, 0)+4), ""), "")&amp; IF(COUNTIF('SAÍDA DE VENDAS'!$B$6:$B$500, B189)&gt;5, " + " &amp; IFERROR(INDEX('SAÍDA DE VENDAS'!$H$6:$H$500 &amp; "x " &amp; 'SAÍDA DE VENDAS'!$G$6:$G$500, MATCH(B189, 'SAÍDA DE VENDAS'!$B$6:$B$500, 0)+5), ""), ""))</f>
        <v/>
      </c>
      <c r="G189" s="34">
        <f>IFERROR(VLOOKUP(B189,'SAÍDA DE VENDAS'!$B$6:$P$500,10,FALSE),"")</f>
        <v>0</v>
      </c>
      <c r="H189" s="34" t="str">
        <f>IF(OR(ISBLANK(B189),B189=""), "", IF(B189=B188, (VALUE(LEFT(H188,FIND("/",H188)-1))+1)&amp;"/"&amp;RIGHT(H188,LEN(H188)-FIND("/",H188)), "1/"&amp;IFERROR(VLOOKUP(B189,'SAÍDA DE VENDAS'!$B$6:$P$500,13,FALSE),"1")))</f>
        <v/>
      </c>
      <c r="I189" s="35" t="str">
        <f t="shared" si="4"/>
        <v/>
      </c>
      <c r="J189" s="39" t="str">
        <f>IFERROR(VLOOKUP(B189,'SAÍDA DE VENDAS'!$B$6:$P$500,15,FALSE),"")</f>
        <v/>
      </c>
      <c r="K189" s="34" t="str">
        <f t="shared" ca="1" si="5"/>
        <v/>
      </c>
      <c r="L189" s="34"/>
      <c r="M189" s="34"/>
    </row>
    <row r="190" spans="2:13" ht="15" customHeight="1" x14ac:dyDescent="0.3">
      <c r="B190" s="28" t="str">
        <f>IF(B189="","", IF(VALUE(LEFT(H189,FIND("/",H189)-1)) &lt; VALUE(RIGHT(H189,LEN(H189)-FIND("/",H189))), B189, IFERROR(INDEX('SAÍDA DE VENDAS'!$B$6:$B$500, MATCH(B189,'SAÍDA DE VENDAS'!$B$6:$B$500,0)+COUNTIF('SAÍDA DE VENDAS'!$B$6:$B$500, B189)),"")))</f>
        <v/>
      </c>
      <c r="C190" s="29">
        <f>IFERROR(VLOOKUP(B190,'SAÍDA DE VENDAS'!$B$6:$P$500,3,FALSE),"")</f>
        <v>0</v>
      </c>
      <c r="D190" s="28">
        <f>IFERROR(VLOOKUP(B190,'SAÍDA DE VENDAS'!$B$6:$P$500,4,FALSE),"")</f>
        <v>0</v>
      </c>
      <c r="E190" s="28" t="str">
        <f>IFERROR(VLOOKUP(B190,'SAÍDA DE VENDAS'!$B$6:$P$500,5,FALSE),"")</f>
        <v/>
      </c>
      <c r="F190" s="28" t="str">
        <f>IF(OR(ISBLANK(B190),B190=""), "", IFERROR(INDEX('SAÍDA DE VENDAS'!$H$6:$H$500 &amp; "x " &amp; 'SAÍDA DE VENDAS'!$G$6:$G$500, MATCH(B190, 'SAÍDA DE VENDAS'!$B$6:$B$500, 0)), "")&amp; IF(COUNTIF('SAÍDA DE VENDAS'!$B$6:$B$500, B190)&gt;1, " + " &amp; IFERROR(INDEX('SAÍDA DE VENDAS'!$H$6:$H$500 &amp; "x " &amp; 'SAÍDA DE VENDAS'!$G$6:$G$500, MATCH(B190, 'SAÍDA DE VENDAS'!$B$6:$B$500, 0)+1), ""), "")&amp; IF(COUNTIF('SAÍDA DE VENDAS'!$B$6:$B$500, B190)&gt;2, " + " &amp; IFERROR(INDEX('SAÍDA DE VENDAS'!$H$6:$H$500 &amp; "x " &amp; 'SAÍDA DE VENDAS'!$G$6:$G$500, MATCH(B190, 'SAÍDA DE VENDAS'!$B$6:$B$500, 0)+2), ""), "")&amp; IF(COUNTIF('SAÍDA DE VENDAS'!$B$6:$B$500, B190)&gt;3, " + " &amp; IFERROR(INDEX('SAÍDA DE VENDAS'!$H$6:$H$500 &amp; "x " &amp; 'SAÍDA DE VENDAS'!$G$6:$G$500, MATCH(B190, 'SAÍDA DE VENDAS'!$B$6:$B$500, 0)+3), ""), "")&amp; IF(COUNTIF('SAÍDA DE VENDAS'!$B$6:$B$500, B190)&gt;4, " + " &amp; IFERROR(INDEX('SAÍDA DE VENDAS'!$H$6:$H$500 &amp; "x " &amp; 'SAÍDA DE VENDAS'!$G$6:$G$500, MATCH(B190, 'SAÍDA DE VENDAS'!$B$6:$B$500, 0)+4), ""), "")&amp; IF(COUNTIF('SAÍDA DE VENDAS'!$B$6:$B$500, B190)&gt;5, " + " &amp; IFERROR(INDEX('SAÍDA DE VENDAS'!$H$6:$H$500 &amp; "x " &amp; 'SAÍDA DE VENDAS'!$G$6:$G$500, MATCH(B190, 'SAÍDA DE VENDAS'!$B$6:$B$500, 0)+5), ""), ""))</f>
        <v/>
      </c>
      <c r="G190" s="28">
        <f>IFERROR(VLOOKUP(B190,'SAÍDA DE VENDAS'!$B$6:$P$500,10,FALSE),"")</f>
        <v>0</v>
      </c>
      <c r="H190" s="28" t="str">
        <f>IF(OR(ISBLANK(B190),B190=""), "", IF(B190=B189, (VALUE(LEFT(H189,FIND("/",H189)-1))+1)&amp;"/"&amp;RIGHT(H189,LEN(H189)-FIND("/",H189)), "1/"&amp;IFERROR(VLOOKUP(B190,'SAÍDA DE VENDAS'!$B$6:$P$500,13,FALSE),"1")))</f>
        <v/>
      </c>
      <c r="I190" s="69" t="str">
        <f t="shared" si="4"/>
        <v/>
      </c>
      <c r="J190" s="33" t="str">
        <f>IFERROR(VLOOKUP(B190,'SAÍDA DE VENDAS'!$B$6:$P$500,15,FALSE),"")</f>
        <v/>
      </c>
      <c r="K190" s="28" t="str">
        <f t="shared" ca="1" si="5"/>
        <v/>
      </c>
      <c r="L190" s="28"/>
      <c r="M190" s="28"/>
    </row>
    <row r="191" spans="2:13" ht="15" customHeight="1" x14ac:dyDescent="0.3">
      <c r="B191" s="34" t="str">
        <f>IF(B190="","", IF(VALUE(LEFT(H190,FIND("/",H190)-1)) &lt; VALUE(RIGHT(H190,LEN(H190)-FIND("/",H190))), B190, IFERROR(INDEX('SAÍDA DE VENDAS'!$B$6:$B$500, MATCH(B190,'SAÍDA DE VENDAS'!$B$6:$B$500,0)+COUNTIF('SAÍDA DE VENDAS'!$B$6:$B$500, B190)),"")))</f>
        <v/>
      </c>
      <c r="C191" s="35">
        <f>IFERROR(VLOOKUP(B191,'SAÍDA DE VENDAS'!$B$6:$P$500,3,FALSE),"")</f>
        <v>0</v>
      </c>
      <c r="D191" s="34">
        <f>IFERROR(VLOOKUP(B191,'SAÍDA DE VENDAS'!$B$6:$P$500,4,FALSE),"")</f>
        <v>0</v>
      </c>
      <c r="E191" s="34" t="str">
        <f>IFERROR(VLOOKUP(B191,'SAÍDA DE VENDAS'!$B$6:$P$500,5,FALSE),"")</f>
        <v/>
      </c>
      <c r="F191" s="34" t="str">
        <f>IF(OR(ISBLANK(B191),B191=""), "", IFERROR(INDEX('SAÍDA DE VENDAS'!$H$6:$H$500 &amp; "x " &amp; 'SAÍDA DE VENDAS'!$G$6:$G$500, MATCH(B191, 'SAÍDA DE VENDAS'!$B$6:$B$500, 0)), "")&amp; IF(COUNTIF('SAÍDA DE VENDAS'!$B$6:$B$500, B191)&gt;1, " + " &amp; IFERROR(INDEX('SAÍDA DE VENDAS'!$H$6:$H$500 &amp; "x " &amp; 'SAÍDA DE VENDAS'!$G$6:$G$500, MATCH(B191, 'SAÍDA DE VENDAS'!$B$6:$B$500, 0)+1), ""), "")&amp; IF(COUNTIF('SAÍDA DE VENDAS'!$B$6:$B$500, B191)&gt;2, " + " &amp; IFERROR(INDEX('SAÍDA DE VENDAS'!$H$6:$H$500 &amp; "x " &amp; 'SAÍDA DE VENDAS'!$G$6:$G$500, MATCH(B191, 'SAÍDA DE VENDAS'!$B$6:$B$500, 0)+2), ""), "")&amp; IF(COUNTIF('SAÍDA DE VENDAS'!$B$6:$B$500, B191)&gt;3, " + " &amp; IFERROR(INDEX('SAÍDA DE VENDAS'!$H$6:$H$500 &amp; "x " &amp; 'SAÍDA DE VENDAS'!$G$6:$G$500, MATCH(B191, 'SAÍDA DE VENDAS'!$B$6:$B$500, 0)+3), ""), "")&amp; IF(COUNTIF('SAÍDA DE VENDAS'!$B$6:$B$500, B191)&gt;4, " + " &amp; IFERROR(INDEX('SAÍDA DE VENDAS'!$H$6:$H$500 &amp; "x " &amp; 'SAÍDA DE VENDAS'!$G$6:$G$500, MATCH(B191, 'SAÍDA DE VENDAS'!$B$6:$B$500, 0)+4), ""), "")&amp; IF(COUNTIF('SAÍDA DE VENDAS'!$B$6:$B$500, B191)&gt;5, " + " &amp; IFERROR(INDEX('SAÍDA DE VENDAS'!$H$6:$H$500 &amp; "x " &amp; 'SAÍDA DE VENDAS'!$G$6:$G$500, MATCH(B191, 'SAÍDA DE VENDAS'!$B$6:$B$500, 0)+5), ""), ""))</f>
        <v/>
      </c>
      <c r="G191" s="34">
        <f>IFERROR(VLOOKUP(B191,'SAÍDA DE VENDAS'!$B$6:$P$500,10,FALSE),"")</f>
        <v>0</v>
      </c>
      <c r="H191" s="34" t="str">
        <f>IF(OR(ISBLANK(B191),B191=""), "", IF(B191=B190, (VALUE(LEFT(H190,FIND("/",H190)-1))+1)&amp;"/"&amp;RIGHT(H190,LEN(H190)-FIND("/",H190)), "1/"&amp;IFERROR(VLOOKUP(B191,'SAÍDA DE VENDAS'!$B$6:$P$500,13,FALSE),"1")))</f>
        <v/>
      </c>
      <c r="I191" s="35" t="str">
        <f t="shared" si="4"/>
        <v/>
      </c>
      <c r="J191" s="39" t="str">
        <f>IFERROR(VLOOKUP(B191,'SAÍDA DE VENDAS'!$B$6:$P$500,15,FALSE),"")</f>
        <v/>
      </c>
      <c r="K191" s="34" t="str">
        <f t="shared" ca="1" si="5"/>
        <v/>
      </c>
      <c r="L191" s="34"/>
      <c r="M191" s="34"/>
    </row>
    <row r="192" spans="2:13" ht="15" customHeight="1" x14ac:dyDescent="0.3">
      <c r="B192" s="28" t="str">
        <f>IF(B191="","", IF(VALUE(LEFT(H191,FIND("/",H191)-1)) &lt; VALUE(RIGHT(H191,LEN(H191)-FIND("/",H191))), B191, IFERROR(INDEX('SAÍDA DE VENDAS'!$B$6:$B$500, MATCH(B191,'SAÍDA DE VENDAS'!$B$6:$B$500,0)+COUNTIF('SAÍDA DE VENDAS'!$B$6:$B$500, B191)),"")))</f>
        <v/>
      </c>
      <c r="C192" s="29">
        <f>IFERROR(VLOOKUP(B192,'SAÍDA DE VENDAS'!$B$6:$P$500,3,FALSE),"")</f>
        <v>0</v>
      </c>
      <c r="D192" s="28">
        <f>IFERROR(VLOOKUP(B192,'SAÍDA DE VENDAS'!$B$6:$P$500,4,FALSE),"")</f>
        <v>0</v>
      </c>
      <c r="E192" s="28" t="str">
        <f>IFERROR(VLOOKUP(B192,'SAÍDA DE VENDAS'!$B$6:$P$500,5,FALSE),"")</f>
        <v/>
      </c>
      <c r="F192" s="28" t="str">
        <f>IF(OR(ISBLANK(B192),B192=""), "", IFERROR(INDEX('SAÍDA DE VENDAS'!$H$6:$H$500 &amp; "x " &amp; 'SAÍDA DE VENDAS'!$G$6:$G$500, MATCH(B192, 'SAÍDA DE VENDAS'!$B$6:$B$500, 0)), "")&amp; IF(COUNTIF('SAÍDA DE VENDAS'!$B$6:$B$500, B192)&gt;1, " + " &amp; IFERROR(INDEX('SAÍDA DE VENDAS'!$H$6:$H$500 &amp; "x " &amp; 'SAÍDA DE VENDAS'!$G$6:$G$500, MATCH(B192, 'SAÍDA DE VENDAS'!$B$6:$B$500, 0)+1), ""), "")&amp; IF(COUNTIF('SAÍDA DE VENDAS'!$B$6:$B$500, B192)&gt;2, " + " &amp; IFERROR(INDEX('SAÍDA DE VENDAS'!$H$6:$H$500 &amp; "x " &amp; 'SAÍDA DE VENDAS'!$G$6:$G$500, MATCH(B192, 'SAÍDA DE VENDAS'!$B$6:$B$500, 0)+2), ""), "")&amp; IF(COUNTIF('SAÍDA DE VENDAS'!$B$6:$B$500, B192)&gt;3, " + " &amp; IFERROR(INDEX('SAÍDA DE VENDAS'!$H$6:$H$500 &amp; "x " &amp; 'SAÍDA DE VENDAS'!$G$6:$G$500, MATCH(B192, 'SAÍDA DE VENDAS'!$B$6:$B$500, 0)+3), ""), "")&amp; IF(COUNTIF('SAÍDA DE VENDAS'!$B$6:$B$500, B192)&gt;4, " + " &amp; IFERROR(INDEX('SAÍDA DE VENDAS'!$H$6:$H$500 &amp; "x " &amp; 'SAÍDA DE VENDAS'!$G$6:$G$500, MATCH(B192, 'SAÍDA DE VENDAS'!$B$6:$B$500, 0)+4), ""), "")&amp; IF(COUNTIF('SAÍDA DE VENDAS'!$B$6:$B$500, B192)&gt;5, " + " &amp; IFERROR(INDEX('SAÍDA DE VENDAS'!$H$6:$H$500 &amp; "x " &amp; 'SAÍDA DE VENDAS'!$G$6:$G$500, MATCH(B192, 'SAÍDA DE VENDAS'!$B$6:$B$500, 0)+5), ""), ""))</f>
        <v/>
      </c>
      <c r="G192" s="28">
        <f>IFERROR(VLOOKUP(B192,'SAÍDA DE VENDAS'!$B$6:$P$500,10,FALSE),"")</f>
        <v>0</v>
      </c>
      <c r="H192" s="28" t="str">
        <f>IF(OR(ISBLANK(B192),B192=""), "", IF(B192=B191, (VALUE(LEFT(H191,FIND("/",H191)-1))+1)&amp;"/"&amp;RIGHT(H191,LEN(H191)-FIND("/",H191)), "1/"&amp;IFERROR(VLOOKUP(B192,'SAÍDA DE VENDAS'!$B$6:$P$500,13,FALSE),"1")))</f>
        <v/>
      </c>
      <c r="I192" s="69" t="str">
        <f t="shared" si="4"/>
        <v/>
      </c>
      <c r="J192" s="33" t="str">
        <f>IFERROR(VLOOKUP(B192,'SAÍDA DE VENDAS'!$B$6:$P$500,15,FALSE),"")</f>
        <v/>
      </c>
      <c r="K192" s="28" t="str">
        <f t="shared" ca="1" si="5"/>
        <v/>
      </c>
      <c r="L192" s="28"/>
      <c r="M192" s="28"/>
    </row>
    <row r="193" spans="2:13" ht="15" customHeight="1" x14ac:dyDescent="0.3">
      <c r="B193" s="34" t="str">
        <f>IF(B192="","", IF(VALUE(LEFT(H192,FIND("/",H192)-1)) &lt; VALUE(RIGHT(H192,LEN(H192)-FIND("/",H192))), B192, IFERROR(INDEX('SAÍDA DE VENDAS'!$B$6:$B$500, MATCH(B192,'SAÍDA DE VENDAS'!$B$6:$B$500,0)+COUNTIF('SAÍDA DE VENDAS'!$B$6:$B$500, B192)),"")))</f>
        <v/>
      </c>
      <c r="C193" s="35">
        <f>IFERROR(VLOOKUP(B193,'SAÍDA DE VENDAS'!$B$6:$P$500,3,FALSE),"")</f>
        <v>0</v>
      </c>
      <c r="D193" s="34">
        <f>IFERROR(VLOOKUP(B193,'SAÍDA DE VENDAS'!$B$6:$P$500,4,FALSE),"")</f>
        <v>0</v>
      </c>
      <c r="E193" s="34" t="str">
        <f>IFERROR(VLOOKUP(B193,'SAÍDA DE VENDAS'!$B$6:$P$500,5,FALSE),"")</f>
        <v/>
      </c>
      <c r="F193" s="34" t="str">
        <f>IF(OR(ISBLANK(B193),B193=""), "", IFERROR(INDEX('SAÍDA DE VENDAS'!$H$6:$H$500 &amp; "x " &amp; 'SAÍDA DE VENDAS'!$G$6:$G$500, MATCH(B193, 'SAÍDA DE VENDAS'!$B$6:$B$500, 0)), "")&amp; IF(COUNTIF('SAÍDA DE VENDAS'!$B$6:$B$500, B193)&gt;1, " + " &amp; IFERROR(INDEX('SAÍDA DE VENDAS'!$H$6:$H$500 &amp; "x " &amp; 'SAÍDA DE VENDAS'!$G$6:$G$500, MATCH(B193, 'SAÍDA DE VENDAS'!$B$6:$B$500, 0)+1), ""), "")&amp; IF(COUNTIF('SAÍDA DE VENDAS'!$B$6:$B$500, B193)&gt;2, " + " &amp; IFERROR(INDEX('SAÍDA DE VENDAS'!$H$6:$H$500 &amp; "x " &amp; 'SAÍDA DE VENDAS'!$G$6:$G$500, MATCH(B193, 'SAÍDA DE VENDAS'!$B$6:$B$500, 0)+2), ""), "")&amp; IF(COUNTIF('SAÍDA DE VENDAS'!$B$6:$B$500, B193)&gt;3, " + " &amp; IFERROR(INDEX('SAÍDA DE VENDAS'!$H$6:$H$500 &amp; "x " &amp; 'SAÍDA DE VENDAS'!$G$6:$G$500, MATCH(B193, 'SAÍDA DE VENDAS'!$B$6:$B$500, 0)+3), ""), "")&amp; IF(COUNTIF('SAÍDA DE VENDAS'!$B$6:$B$500, B193)&gt;4, " + " &amp; IFERROR(INDEX('SAÍDA DE VENDAS'!$H$6:$H$500 &amp; "x " &amp; 'SAÍDA DE VENDAS'!$G$6:$G$500, MATCH(B193, 'SAÍDA DE VENDAS'!$B$6:$B$500, 0)+4), ""), "")&amp; IF(COUNTIF('SAÍDA DE VENDAS'!$B$6:$B$500, B193)&gt;5, " + " &amp; IFERROR(INDEX('SAÍDA DE VENDAS'!$H$6:$H$500 &amp; "x " &amp; 'SAÍDA DE VENDAS'!$G$6:$G$500, MATCH(B193, 'SAÍDA DE VENDAS'!$B$6:$B$500, 0)+5), ""), ""))</f>
        <v/>
      </c>
      <c r="G193" s="34">
        <f>IFERROR(VLOOKUP(B193,'SAÍDA DE VENDAS'!$B$6:$P$500,10,FALSE),"")</f>
        <v>0</v>
      </c>
      <c r="H193" s="34" t="str">
        <f>IF(OR(ISBLANK(B193),B193=""), "", IF(B193=B192, (VALUE(LEFT(H192,FIND("/",H192)-1))+1)&amp;"/"&amp;RIGHT(H192,LEN(H192)-FIND("/",H192)), "1/"&amp;IFERROR(VLOOKUP(B193,'SAÍDA DE VENDAS'!$B$6:$P$500,13,FALSE),"1")))</f>
        <v/>
      </c>
      <c r="I193" s="35" t="str">
        <f t="shared" si="4"/>
        <v/>
      </c>
      <c r="J193" s="39" t="str">
        <f>IFERROR(VLOOKUP(B193,'SAÍDA DE VENDAS'!$B$6:$P$500,15,FALSE),"")</f>
        <v/>
      </c>
      <c r="K193" s="34" t="str">
        <f t="shared" ca="1" si="5"/>
        <v/>
      </c>
      <c r="L193" s="34"/>
      <c r="M193" s="34"/>
    </row>
    <row r="194" spans="2:13" ht="15" customHeight="1" x14ac:dyDescent="0.3">
      <c r="B194" s="28" t="str">
        <f>IF(B193="","", IF(VALUE(LEFT(H193,FIND("/",H193)-1)) &lt; VALUE(RIGHT(H193,LEN(H193)-FIND("/",H193))), B193, IFERROR(INDEX('SAÍDA DE VENDAS'!$B$6:$B$500, MATCH(B193,'SAÍDA DE VENDAS'!$B$6:$B$500,0)+COUNTIF('SAÍDA DE VENDAS'!$B$6:$B$500, B193)),"")))</f>
        <v/>
      </c>
      <c r="C194" s="29">
        <f>IFERROR(VLOOKUP(B194,'SAÍDA DE VENDAS'!$B$6:$P$500,3,FALSE),"")</f>
        <v>0</v>
      </c>
      <c r="D194" s="28">
        <f>IFERROR(VLOOKUP(B194,'SAÍDA DE VENDAS'!$B$6:$P$500,4,FALSE),"")</f>
        <v>0</v>
      </c>
      <c r="E194" s="28" t="str">
        <f>IFERROR(VLOOKUP(B194,'SAÍDA DE VENDAS'!$B$6:$P$500,5,FALSE),"")</f>
        <v/>
      </c>
      <c r="F194" s="28" t="str">
        <f>IF(OR(ISBLANK(B194),B194=""), "", IFERROR(INDEX('SAÍDA DE VENDAS'!$H$6:$H$500 &amp; "x " &amp; 'SAÍDA DE VENDAS'!$G$6:$G$500, MATCH(B194, 'SAÍDA DE VENDAS'!$B$6:$B$500, 0)), "")&amp; IF(COUNTIF('SAÍDA DE VENDAS'!$B$6:$B$500, B194)&gt;1, " + " &amp; IFERROR(INDEX('SAÍDA DE VENDAS'!$H$6:$H$500 &amp; "x " &amp; 'SAÍDA DE VENDAS'!$G$6:$G$500, MATCH(B194, 'SAÍDA DE VENDAS'!$B$6:$B$500, 0)+1), ""), "")&amp; IF(COUNTIF('SAÍDA DE VENDAS'!$B$6:$B$500, B194)&gt;2, " + " &amp; IFERROR(INDEX('SAÍDA DE VENDAS'!$H$6:$H$500 &amp; "x " &amp; 'SAÍDA DE VENDAS'!$G$6:$G$500, MATCH(B194, 'SAÍDA DE VENDAS'!$B$6:$B$500, 0)+2), ""), "")&amp; IF(COUNTIF('SAÍDA DE VENDAS'!$B$6:$B$500, B194)&gt;3, " + " &amp; IFERROR(INDEX('SAÍDA DE VENDAS'!$H$6:$H$500 &amp; "x " &amp; 'SAÍDA DE VENDAS'!$G$6:$G$500, MATCH(B194, 'SAÍDA DE VENDAS'!$B$6:$B$500, 0)+3), ""), "")&amp; IF(COUNTIF('SAÍDA DE VENDAS'!$B$6:$B$500, B194)&gt;4, " + " &amp; IFERROR(INDEX('SAÍDA DE VENDAS'!$H$6:$H$500 &amp; "x " &amp; 'SAÍDA DE VENDAS'!$G$6:$G$500, MATCH(B194, 'SAÍDA DE VENDAS'!$B$6:$B$500, 0)+4), ""), "")&amp; IF(COUNTIF('SAÍDA DE VENDAS'!$B$6:$B$500, B194)&gt;5, " + " &amp; IFERROR(INDEX('SAÍDA DE VENDAS'!$H$6:$H$500 &amp; "x " &amp; 'SAÍDA DE VENDAS'!$G$6:$G$500, MATCH(B194, 'SAÍDA DE VENDAS'!$B$6:$B$500, 0)+5), ""), ""))</f>
        <v/>
      </c>
      <c r="G194" s="28">
        <f>IFERROR(VLOOKUP(B194,'SAÍDA DE VENDAS'!$B$6:$P$500,10,FALSE),"")</f>
        <v>0</v>
      </c>
      <c r="H194" s="28" t="str">
        <f>IF(OR(ISBLANK(B194),B194=""), "", IF(B194=B193, (VALUE(LEFT(H193,FIND("/",H193)-1))+1)&amp;"/"&amp;RIGHT(H193,LEN(H193)-FIND("/",H193)), "1/"&amp;IFERROR(VLOOKUP(B194,'SAÍDA DE VENDAS'!$B$6:$P$500,13,FALSE),"1")))</f>
        <v/>
      </c>
      <c r="I194" s="69" t="str">
        <f t="shared" si="4"/>
        <v/>
      </c>
      <c r="J194" s="33" t="str">
        <f>IFERROR(VLOOKUP(B194,'SAÍDA DE VENDAS'!$B$6:$P$500,15,FALSE),"")</f>
        <v/>
      </c>
      <c r="K194" s="28" t="str">
        <f t="shared" ca="1" si="5"/>
        <v/>
      </c>
      <c r="L194" s="28"/>
      <c r="M194" s="28"/>
    </row>
    <row r="195" spans="2:13" ht="15" customHeight="1" x14ac:dyDescent="0.3">
      <c r="B195" s="34" t="str">
        <f>IF(B194="","", IF(VALUE(LEFT(H194,FIND("/",H194)-1)) &lt; VALUE(RIGHT(H194,LEN(H194)-FIND("/",H194))), B194, IFERROR(INDEX('SAÍDA DE VENDAS'!$B$6:$B$500, MATCH(B194,'SAÍDA DE VENDAS'!$B$6:$B$500,0)+COUNTIF('SAÍDA DE VENDAS'!$B$6:$B$500, B194)),"")))</f>
        <v/>
      </c>
      <c r="C195" s="35">
        <f>IFERROR(VLOOKUP(B195,'SAÍDA DE VENDAS'!$B$6:$P$500,3,FALSE),"")</f>
        <v>0</v>
      </c>
      <c r="D195" s="34">
        <f>IFERROR(VLOOKUP(B195,'SAÍDA DE VENDAS'!$B$6:$P$500,4,FALSE),"")</f>
        <v>0</v>
      </c>
      <c r="E195" s="34" t="str">
        <f>IFERROR(VLOOKUP(B195,'SAÍDA DE VENDAS'!$B$6:$P$500,5,FALSE),"")</f>
        <v/>
      </c>
      <c r="F195" s="34" t="str">
        <f>IF(OR(ISBLANK(B195),B195=""), "", IFERROR(INDEX('SAÍDA DE VENDAS'!$H$6:$H$500 &amp; "x " &amp; 'SAÍDA DE VENDAS'!$G$6:$G$500, MATCH(B195, 'SAÍDA DE VENDAS'!$B$6:$B$500, 0)), "")&amp; IF(COUNTIF('SAÍDA DE VENDAS'!$B$6:$B$500, B195)&gt;1, " + " &amp; IFERROR(INDEX('SAÍDA DE VENDAS'!$H$6:$H$500 &amp; "x " &amp; 'SAÍDA DE VENDAS'!$G$6:$G$500, MATCH(B195, 'SAÍDA DE VENDAS'!$B$6:$B$500, 0)+1), ""), "")&amp; IF(COUNTIF('SAÍDA DE VENDAS'!$B$6:$B$500, B195)&gt;2, " + " &amp; IFERROR(INDEX('SAÍDA DE VENDAS'!$H$6:$H$500 &amp; "x " &amp; 'SAÍDA DE VENDAS'!$G$6:$G$500, MATCH(B195, 'SAÍDA DE VENDAS'!$B$6:$B$500, 0)+2), ""), "")&amp; IF(COUNTIF('SAÍDA DE VENDAS'!$B$6:$B$500, B195)&gt;3, " + " &amp; IFERROR(INDEX('SAÍDA DE VENDAS'!$H$6:$H$500 &amp; "x " &amp; 'SAÍDA DE VENDAS'!$G$6:$G$500, MATCH(B195, 'SAÍDA DE VENDAS'!$B$6:$B$500, 0)+3), ""), "")&amp; IF(COUNTIF('SAÍDA DE VENDAS'!$B$6:$B$500, B195)&gt;4, " + " &amp; IFERROR(INDEX('SAÍDA DE VENDAS'!$H$6:$H$500 &amp; "x " &amp; 'SAÍDA DE VENDAS'!$G$6:$G$500, MATCH(B195, 'SAÍDA DE VENDAS'!$B$6:$B$500, 0)+4), ""), "")&amp; IF(COUNTIF('SAÍDA DE VENDAS'!$B$6:$B$500, B195)&gt;5, " + " &amp; IFERROR(INDEX('SAÍDA DE VENDAS'!$H$6:$H$500 &amp; "x " &amp; 'SAÍDA DE VENDAS'!$G$6:$G$500, MATCH(B195, 'SAÍDA DE VENDAS'!$B$6:$B$500, 0)+5), ""), ""))</f>
        <v/>
      </c>
      <c r="G195" s="34">
        <f>IFERROR(VLOOKUP(B195,'SAÍDA DE VENDAS'!$B$6:$P$500,10,FALSE),"")</f>
        <v>0</v>
      </c>
      <c r="H195" s="34" t="str">
        <f>IF(OR(ISBLANK(B195),B195=""), "", IF(B195=B194, (VALUE(LEFT(H194,FIND("/",H194)-1))+1)&amp;"/"&amp;RIGHT(H194,LEN(H194)-FIND("/",H194)), "1/"&amp;IFERROR(VLOOKUP(B195,'SAÍDA DE VENDAS'!$B$6:$P$500,13,FALSE),"1")))</f>
        <v/>
      </c>
      <c r="I195" s="35" t="str">
        <f t="shared" si="4"/>
        <v/>
      </c>
      <c r="J195" s="39" t="str">
        <f>IFERROR(VLOOKUP(B195,'SAÍDA DE VENDAS'!$B$6:$P$500,15,FALSE),"")</f>
        <v/>
      </c>
      <c r="K195" s="34" t="str">
        <f t="shared" ca="1" si="5"/>
        <v/>
      </c>
      <c r="L195" s="34"/>
      <c r="M195" s="34"/>
    </row>
    <row r="196" spans="2:13" ht="15" customHeight="1" x14ac:dyDescent="0.3">
      <c r="B196" s="28" t="str">
        <f>IF(B195="","", IF(VALUE(LEFT(H195,FIND("/",H195)-1)) &lt; VALUE(RIGHT(H195,LEN(H195)-FIND("/",H195))), B195, IFERROR(INDEX('SAÍDA DE VENDAS'!$B$6:$B$500, MATCH(B195,'SAÍDA DE VENDAS'!$B$6:$B$500,0)+COUNTIF('SAÍDA DE VENDAS'!$B$6:$B$500, B195)),"")))</f>
        <v/>
      </c>
      <c r="C196" s="29">
        <f>IFERROR(VLOOKUP(B196,'SAÍDA DE VENDAS'!$B$6:$P$500,3,FALSE),"")</f>
        <v>0</v>
      </c>
      <c r="D196" s="28">
        <f>IFERROR(VLOOKUP(B196,'SAÍDA DE VENDAS'!$B$6:$P$500,4,FALSE),"")</f>
        <v>0</v>
      </c>
      <c r="E196" s="28" t="str">
        <f>IFERROR(VLOOKUP(B196,'SAÍDA DE VENDAS'!$B$6:$P$500,5,FALSE),"")</f>
        <v/>
      </c>
      <c r="F196" s="28" t="str">
        <f>IF(OR(ISBLANK(B196),B196=""), "", IFERROR(INDEX('SAÍDA DE VENDAS'!$H$6:$H$500 &amp; "x " &amp; 'SAÍDA DE VENDAS'!$G$6:$G$500, MATCH(B196, 'SAÍDA DE VENDAS'!$B$6:$B$500, 0)), "")&amp; IF(COUNTIF('SAÍDA DE VENDAS'!$B$6:$B$500, B196)&gt;1, " + " &amp; IFERROR(INDEX('SAÍDA DE VENDAS'!$H$6:$H$500 &amp; "x " &amp; 'SAÍDA DE VENDAS'!$G$6:$G$500, MATCH(B196, 'SAÍDA DE VENDAS'!$B$6:$B$500, 0)+1), ""), "")&amp; IF(COUNTIF('SAÍDA DE VENDAS'!$B$6:$B$500, B196)&gt;2, " + " &amp; IFERROR(INDEX('SAÍDA DE VENDAS'!$H$6:$H$500 &amp; "x " &amp; 'SAÍDA DE VENDAS'!$G$6:$G$500, MATCH(B196, 'SAÍDA DE VENDAS'!$B$6:$B$500, 0)+2), ""), "")&amp; IF(COUNTIF('SAÍDA DE VENDAS'!$B$6:$B$500, B196)&gt;3, " + " &amp; IFERROR(INDEX('SAÍDA DE VENDAS'!$H$6:$H$500 &amp; "x " &amp; 'SAÍDA DE VENDAS'!$G$6:$G$500, MATCH(B196, 'SAÍDA DE VENDAS'!$B$6:$B$500, 0)+3), ""), "")&amp; IF(COUNTIF('SAÍDA DE VENDAS'!$B$6:$B$500, B196)&gt;4, " + " &amp; IFERROR(INDEX('SAÍDA DE VENDAS'!$H$6:$H$500 &amp; "x " &amp; 'SAÍDA DE VENDAS'!$G$6:$G$500, MATCH(B196, 'SAÍDA DE VENDAS'!$B$6:$B$500, 0)+4), ""), "")&amp; IF(COUNTIF('SAÍDA DE VENDAS'!$B$6:$B$500, B196)&gt;5, " + " &amp; IFERROR(INDEX('SAÍDA DE VENDAS'!$H$6:$H$500 &amp; "x " &amp; 'SAÍDA DE VENDAS'!$G$6:$G$500, MATCH(B196, 'SAÍDA DE VENDAS'!$B$6:$B$500, 0)+5), ""), ""))</f>
        <v/>
      </c>
      <c r="G196" s="28">
        <f>IFERROR(VLOOKUP(B196,'SAÍDA DE VENDAS'!$B$6:$P$500,10,FALSE),"")</f>
        <v>0</v>
      </c>
      <c r="H196" s="28" t="str">
        <f>IF(OR(ISBLANK(B196),B196=""), "", IF(B196=B195, (VALUE(LEFT(H195,FIND("/",H195)-1))+1)&amp;"/"&amp;RIGHT(H195,LEN(H195)-FIND("/",H195)), "1/"&amp;IFERROR(VLOOKUP(B196,'SAÍDA DE VENDAS'!$B$6:$P$500,13,FALSE),"1")))</f>
        <v/>
      </c>
      <c r="I196" s="69" t="str">
        <f t="shared" si="4"/>
        <v/>
      </c>
      <c r="J196" s="33" t="str">
        <f>IFERROR(VLOOKUP(B196,'SAÍDA DE VENDAS'!$B$6:$P$500,15,FALSE),"")</f>
        <v/>
      </c>
      <c r="K196" s="28" t="str">
        <f t="shared" ca="1" si="5"/>
        <v/>
      </c>
      <c r="L196" s="28"/>
      <c r="M196" s="28"/>
    </row>
    <row r="197" spans="2:13" ht="15" customHeight="1" x14ac:dyDescent="0.3">
      <c r="B197" s="34" t="str">
        <f>IF(B196="","", IF(VALUE(LEFT(H196,FIND("/",H196)-1)) &lt; VALUE(RIGHT(H196,LEN(H196)-FIND("/",H196))), B196, IFERROR(INDEX('SAÍDA DE VENDAS'!$B$6:$B$500, MATCH(B196,'SAÍDA DE VENDAS'!$B$6:$B$500,0)+COUNTIF('SAÍDA DE VENDAS'!$B$6:$B$500, B196)),"")))</f>
        <v/>
      </c>
      <c r="C197" s="35">
        <f>IFERROR(VLOOKUP(B197,'SAÍDA DE VENDAS'!$B$6:$P$500,3,FALSE),"")</f>
        <v>0</v>
      </c>
      <c r="D197" s="34">
        <f>IFERROR(VLOOKUP(B197,'SAÍDA DE VENDAS'!$B$6:$P$500,4,FALSE),"")</f>
        <v>0</v>
      </c>
      <c r="E197" s="34" t="str">
        <f>IFERROR(VLOOKUP(B197,'SAÍDA DE VENDAS'!$B$6:$P$500,5,FALSE),"")</f>
        <v/>
      </c>
      <c r="F197" s="34" t="str">
        <f>IF(OR(ISBLANK(B197),B197=""), "", IFERROR(INDEX('SAÍDA DE VENDAS'!$H$6:$H$500 &amp; "x " &amp; 'SAÍDA DE VENDAS'!$G$6:$G$500, MATCH(B197, 'SAÍDA DE VENDAS'!$B$6:$B$500, 0)), "")&amp; IF(COUNTIF('SAÍDA DE VENDAS'!$B$6:$B$500, B197)&gt;1, " + " &amp; IFERROR(INDEX('SAÍDA DE VENDAS'!$H$6:$H$500 &amp; "x " &amp; 'SAÍDA DE VENDAS'!$G$6:$G$500, MATCH(B197, 'SAÍDA DE VENDAS'!$B$6:$B$500, 0)+1), ""), "")&amp; IF(COUNTIF('SAÍDA DE VENDAS'!$B$6:$B$500, B197)&gt;2, " + " &amp; IFERROR(INDEX('SAÍDA DE VENDAS'!$H$6:$H$500 &amp; "x " &amp; 'SAÍDA DE VENDAS'!$G$6:$G$500, MATCH(B197, 'SAÍDA DE VENDAS'!$B$6:$B$500, 0)+2), ""), "")&amp; IF(COUNTIF('SAÍDA DE VENDAS'!$B$6:$B$500, B197)&gt;3, " + " &amp; IFERROR(INDEX('SAÍDA DE VENDAS'!$H$6:$H$500 &amp; "x " &amp; 'SAÍDA DE VENDAS'!$G$6:$G$500, MATCH(B197, 'SAÍDA DE VENDAS'!$B$6:$B$500, 0)+3), ""), "")&amp; IF(COUNTIF('SAÍDA DE VENDAS'!$B$6:$B$500, B197)&gt;4, " + " &amp; IFERROR(INDEX('SAÍDA DE VENDAS'!$H$6:$H$500 &amp; "x " &amp; 'SAÍDA DE VENDAS'!$G$6:$G$500, MATCH(B197, 'SAÍDA DE VENDAS'!$B$6:$B$500, 0)+4), ""), "")&amp; IF(COUNTIF('SAÍDA DE VENDAS'!$B$6:$B$500, B197)&gt;5, " + " &amp; IFERROR(INDEX('SAÍDA DE VENDAS'!$H$6:$H$500 &amp; "x " &amp; 'SAÍDA DE VENDAS'!$G$6:$G$500, MATCH(B197, 'SAÍDA DE VENDAS'!$B$6:$B$500, 0)+5), ""), ""))</f>
        <v/>
      </c>
      <c r="G197" s="34">
        <f>IFERROR(VLOOKUP(B197,'SAÍDA DE VENDAS'!$B$6:$P$500,10,FALSE),"")</f>
        <v>0</v>
      </c>
      <c r="H197" s="34" t="str">
        <f>IF(OR(ISBLANK(B197),B197=""), "", IF(B197=B196, (VALUE(LEFT(H196,FIND("/",H196)-1))+1)&amp;"/"&amp;RIGHT(H196,LEN(H196)-FIND("/",H196)), "1/"&amp;IFERROR(VLOOKUP(B197,'SAÍDA DE VENDAS'!$B$6:$P$500,13,FALSE),"1")))</f>
        <v/>
      </c>
      <c r="I197" s="35" t="str">
        <f t="shared" si="4"/>
        <v/>
      </c>
      <c r="J197" s="39" t="str">
        <f>IFERROR(VLOOKUP(B197,'SAÍDA DE VENDAS'!$B$6:$P$500,15,FALSE),"")</f>
        <v/>
      </c>
      <c r="K197" s="34" t="str">
        <f t="shared" ca="1" si="5"/>
        <v/>
      </c>
      <c r="L197" s="34"/>
      <c r="M197" s="34"/>
    </row>
    <row r="198" spans="2:13" ht="15" customHeight="1" x14ac:dyDescent="0.3">
      <c r="B198" s="28" t="str">
        <f>IF(B197="","", IF(VALUE(LEFT(H197,FIND("/",H197)-1)) &lt; VALUE(RIGHT(H197,LEN(H197)-FIND("/",H197))), B197, IFERROR(INDEX('SAÍDA DE VENDAS'!$B$6:$B$500, MATCH(B197,'SAÍDA DE VENDAS'!$B$6:$B$500,0)+COUNTIF('SAÍDA DE VENDAS'!$B$6:$B$500, B197)),"")))</f>
        <v/>
      </c>
      <c r="C198" s="29">
        <f>IFERROR(VLOOKUP(B198,'SAÍDA DE VENDAS'!$B$6:$P$500,3,FALSE),"")</f>
        <v>0</v>
      </c>
      <c r="D198" s="28">
        <f>IFERROR(VLOOKUP(B198,'SAÍDA DE VENDAS'!$B$6:$P$500,4,FALSE),"")</f>
        <v>0</v>
      </c>
      <c r="E198" s="28" t="str">
        <f>IFERROR(VLOOKUP(B198,'SAÍDA DE VENDAS'!$B$6:$P$500,5,FALSE),"")</f>
        <v/>
      </c>
      <c r="F198" s="28" t="str">
        <f>IF(OR(ISBLANK(B198),B198=""), "", IFERROR(INDEX('SAÍDA DE VENDAS'!$H$6:$H$500 &amp; "x " &amp; 'SAÍDA DE VENDAS'!$G$6:$G$500, MATCH(B198, 'SAÍDA DE VENDAS'!$B$6:$B$500, 0)), "")&amp; IF(COUNTIF('SAÍDA DE VENDAS'!$B$6:$B$500, B198)&gt;1, " + " &amp; IFERROR(INDEX('SAÍDA DE VENDAS'!$H$6:$H$500 &amp; "x " &amp; 'SAÍDA DE VENDAS'!$G$6:$G$500, MATCH(B198, 'SAÍDA DE VENDAS'!$B$6:$B$500, 0)+1), ""), "")&amp; IF(COUNTIF('SAÍDA DE VENDAS'!$B$6:$B$500, B198)&gt;2, " + " &amp; IFERROR(INDEX('SAÍDA DE VENDAS'!$H$6:$H$500 &amp; "x " &amp; 'SAÍDA DE VENDAS'!$G$6:$G$500, MATCH(B198, 'SAÍDA DE VENDAS'!$B$6:$B$500, 0)+2), ""), "")&amp; IF(COUNTIF('SAÍDA DE VENDAS'!$B$6:$B$500, B198)&gt;3, " + " &amp; IFERROR(INDEX('SAÍDA DE VENDAS'!$H$6:$H$500 &amp; "x " &amp; 'SAÍDA DE VENDAS'!$G$6:$G$500, MATCH(B198, 'SAÍDA DE VENDAS'!$B$6:$B$500, 0)+3), ""), "")&amp; IF(COUNTIF('SAÍDA DE VENDAS'!$B$6:$B$500, B198)&gt;4, " + " &amp; IFERROR(INDEX('SAÍDA DE VENDAS'!$H$6:$H$500 &amp; "x " &amp; 'SAÍDA DE VENDAS'!$G$6:$G$500, MATCH(B198, 'SAÍDA DE VENDAS'!$B$6:$B$500, 0)+4), ""), "")&amp; IF(COUNTIF('SAÍDA DE VENDAS'!$B$6:$B$500, B198)&gt;5, " + " &amp; IFERROR(INDEX('SAÍDA DE VENDAS'!$H$6:$H$500 &amp; "x " &amp; 'SAÍDA DE VENDAS'!$G$6:$G$500, MATCH(B198, 'SAÍDA DE VENDAS'!$B$6:$B$500, 0)+5), ""), ""))</f>
        <v/>
      </c>
      <c r="G198" s="28">
        <f>IFERROR(VLOOKUP(B198,'SAÍDA DE VENDAS'!$B$6:$P$500,10,FALSE),"")</f>
        <v>0</v>
      </c>
      <c r="H198" s="28" t="str">
        <f>IF(OR(ISBLANK(B198),B198=""), "", IF(B198=B197, (VALUE(LEFT(H197,FIND("/",H197)-1))+1)&amp;"/"&amp;RIGHT(H197,LEN(H197)-FIND("/",H197)), "1/"&amp;IFERROR(VLOOKUP(B198,'SAÍDA DE VENDAS'!$B$6:$P$500,13,FALSE),"1")))</f>
        <v/>
      </c>
      <c r="I198" s="69" t="str">
        <f t="shared" ref="I198:I261" si="6">IF(OR(ISBLANK(B198), B198="", C198=""), "", C198 + (IFERROR(VALUE(LEFT(H198, FIND("/", H198)-1)), 1) * 30))</f>
        <v/>
      </c>
      <c r="J198" s="33" t="str">
        <f>IFERROR(VLOOKUP(B198,'SAÍDA DE VENDAS'!$B$6:$P$500,15,FALSE),"")</f>
        <v/>
      </c>
      <c r="K198" s="28" t="str">
        <f t="shared" ref="K198:K261" ca="1" si="7">IF(B198="","", IF(OR(G198="À Vista", L198&lt;&gt;""), "Pago", IF(AND(I198&lt;&gt;"", I198&lt;TODAY()), "Atrasado", "Pendente")))</f>
        <v/>
      </c>
      <c r="L198" s="28"/>
      <c r="M198" s="28"/>
    </row>
    <row r="199" spans="2:13" ht="15" customHeight="1" x14ac:dyDescent="0.3">
      <c r="B199" s="34" t="str">
        <f>IF(B198="","", IF(VALUE(LEFT(H198,FIND("/",H198)-1)) &lt; VALUE(RIGHT(H198,LEN(H198)-FIND("/",H198))), B198, IFERROR(INDEX('SAÍDA DE VENDAS'!$B$6:$B$500, MATCH(B198,'SAÍDA DE VENDAS'!$B$6:$B$500,0)+COUNTIF('SAÍDA DE VENDAS'!$B$6:$B$500, B198)),"")))</f>
        <v/>
      </c>
      <c r="C199" s="35">
        <f>IFERROR(VLOOKUP(B199,'SAÍDA DE VENDAS'!$B$6:$P$500,3,FALSE),"")</f>
        <v>0</v>
      </c>
      <c r="D199" s="34">
        <f>IFERROR(VLOOKUP(B199,'SAÍDA DE VENDAS'!$B$6:$P$500,4,FALSE),"")</f>
        <v>0</v>
      </c>
      <c r="E199" s="34" t="str">
        <f>IFERROR(VLOOKUP(B199,'SAÍDA DE VENDAS'!$B$6:$P$500,5,FALSE),"")</f>
        <v/>
      </c>
      <c r="F199" s="34" t="str">
        <f>IF(OR(ISBLANK(B199),B199=""), "", IFERROR(INDEX('SAÍDA DE VENDAS'!$H$6:$H$500 &amp; "x " &amp; 'SAÍDA DE VENDAS'!$G$6:$G$500, MATCH(B199, 'SAÍDA DE VENDAS'!$B$6:$B$500, 0)), "")&amp; IF(COUNTIF('SAÍDA DE VENDAS'!$B$6:$B$500, B199)&gt;1, " + " &amp; IFERROR(INDEX('SAÍDA DE VENDAS'!$H$6:$H$500 &amp; "x " &amp; 'SAÍDA DE VENDAS'!$G$6:$G$500, MATCH(B199, 'SAÍDA DE VENDAS'!$B$6:$B$500, 0)+1), ""), "")&amp; IF(COUNTIF('SAÍDA DE VENDAS'!$B$6:$B$500, B199)&gt;2, " + " &amp; IFERROR(INDEX('SAÍDA DE VENDAS'!$H$6:$H$500 &amp; "x " &amp; 'SAÍDA DE VENDAS'!$G$6:$G$500, MATCH(B199, 'SAÍDA DE VENDAS'!$B$6:$B$500, 0)+2), ""), "")&amp; IF(COUNTIF('SAÍDA DE VENDAS'!$B$6:$B$500, B199)&gt;3, " + " &amp; IFERROR(INDEX('SAÍDA DE VENDAS'!$H$6:$H$500 &amp; "x " &amp; 'SAÍDA DE VENDAS'!$G$6:$G$500, MATCH(B199, 'SAÍDA DE VENDAS'!$B$6:$B$500, 0)+3), ""), "")&amp; IF(COUNTIF('SAÍDA DE VENDAS'!$B$6:$B$500, B199)&gt;4, " + " &amp; IFERROR(INDEX('SAÍDA DE VENDAS'!$H$6:$H$500 &amp; "x " &amp; 'SAÍDA DE VENDAS'!$G$6:$G$500, MATCH(B199, 'SAÍDA DE VENDAS'!$B$6:$B$500, 0)+4), ""), "")&amp; IF(COUNTIF('SAÍDA DE VENDAS'!$B$6:$B$500, B199)&gt;5, " + " &amp; IFERROR(INDEX('SAÍDA DE VENDAS'!$H$6:$H$500 &amp; "x " &amp; 'SAÍDA DE VENDAS'!$G$6:$G$500, MATCH(B199, 'SAÍDA DE VENDAS'!$B$6:$B$500, 0)+5), ""), ""))</f>
        <v/>
      </c>
      <c r="G199" s="34">
        <f>IFERROR(VLOOKUP(B199,'SAÍDA DE VENDAS'!$B$6:$P$500,10,FALSE),"")</f>
        <v>0</v>
      </c>
      <c r="H199" s="34" t="str">
        <f>IF(OR(ISBLANK(B199),B199=""), "", IF(B199=B198, (VALUE(LEFT(H198,FIND("/",H198)-1))+1)&amp;"/"&amp;RIGHT(H198,LEN(H198)-FIND("/",H198)), "1/"&amp;IFERROR(VLOOKUP(B199,'SAÍDA DE VENDAS'!$B$6:$P$500,13,FALSE),"1")))</f>
        <v/>
      </c>
      <c r="I199" s="35" t="str">
        <f t="shared" si="6"/>
        <v/>
      </c>
      <c r="J199" s="39" t="str">
        <f>IFERROR(VLOOKUP(B199,'SAÍDA DE VENDAS'!$B$6:$P$500,15,FALSE),"")</f>
        <v/>
      </c>
      <c r="K199" s="34" t="str">
        <f t="shared" ca="1" si="7"/>
        <v/>
      </c>
      <c r="L199" s="34"/>
      <c r="M199" s="34"/>
    </row>
    <row r="200" spans="2:13" ht="15" customHeight="1" x14ac:dyDescent="0.3">
      <c r="B200" s="28" t="str">
        <f>IF(B199="","", IF(VALUE(LEFT(H199,FIND("/",H199)-1)) &lt; VALUE(RIGHT(H199,LEN(H199)-FIND("/",H199))), B199, IFERROR(INDEX('SAÍDA DE VENDAS'!$B$6:$B$500, MATCH(B199,'SAÍDA DE VENDAS'!$B$6:$B$500,0)+COUNTIF('SAÍDA DE VENDAS'!$B$6:$B$500, B199)),"")))</f>
        <v/>
      </c>
      <c r="C200" s="29">
        <f>IFERROR(VLOOKUP(B200,'SAÍDA DE VENDAS'!$B$6:$P$500,3,FALSE),"")</f>
        <v>0</v>
      </c>
      <c r="D200" s="28">
        <f>IFERROR(VLOOKUP(B200,'SAÍDA DE VENDAS'!$B$6:$P$500,4,FALSE),"")</f>
        <v>0</v>
      </c>
      <c r="E200" s="28" t="str">
        <f>IFERROR(VLOOKUP(B200,'SAÍDA DE VENDAS'!$B$6:$P$500,5,FALSE),"")</f>
        <v/>
      </c>
      <c r="F200" s="28" t="str">
        <f>IF(OR(ISBLANK(B200),B200=""), "", IFERROR(INDEX('SAÍDA DE VENDAS'!$H$6:$H$500 &amp; "x " &amp; 'SAÍDA DE VENDAS'!$G$6:$G$500, MATCH(B200, 'SAÍDA DE VENDAS'!$B$6:$B$500, 0)), "")&amp; IF(COUNTIF('SAÍDA DE VENDAS'!$B$6:$B$500, B200)&gt;1, " + " &amp; IFERROR(INDEX('SAÍDA DE VENDAS'!$H$6:$H$500 &amp; "x " &amp; 'SAÍDA DE VENDAS'!$G$6:$G$500, MATCH(B200, 'SAÍDA DE VENDAS'!$B$6:$B$500, 0)+1), ""), "")&amp; IF(COUNTIF('SAÍDA DE VENDAS'!$B$6:$B$500, B200)&gt;2, " + " &amp; IFERROR(INDEX('SAÍDA DE VENDAS'!$H$6:$H$500 &amp; "x " &amp; 'SAÍDA DE VENDAS'!$G$6:$G$500, MATCH(B200, 'SAÍDA DE VENDAS'!$B$6:$B$500, 0)+2), ""), "")&amp; IF(COUNTIF('SAÍDA DE VENDAS'!$B$6:$B$500, B200)&gt;3, " + " &amp; IFERROR(INDEX('SAÍDA DE VENDAS'!$H$6:$H$500 &amp; "x " &amp; 'SAÍDA DE VENDAS'!$G$6:$G$500, MATCH(B200, 'SAÍDA DE VENDAS'!$B$6:$B$500, 0)+3), ""), "")&amp; IF(COUNTIF('SAÍDA DE VENDAS'!$B$6:$B$500, B200)&gt;4, " + " &amp; IFERROR(INDEX('SAÍDA DE VENDAS'!$H$6:$H$500 &amp; "x " &amp; 'SAÍDA DE VENDAS'!$G$6:$G$500, MATCH(B200, 'SAÍDA DE VENDAS'!$B$6:$B$500, 0)+4), ""), "")&amp; IF(COUNTIF('SAÍDA DE VENDAS'!$B$6:$B$500, B200)&gt;5, " + " &amp; IFERROR(INDEX('SAÍDA DE VENDAS'!$H$6:$H$500 &amp; "x " &amp; 'SAÍDA DE VENDAS'!$G$6:$G$500, MATCH(B200, 'SAÍDA DE VENDAS'!$B$6:$B$500, 0)+5), ""), ""))</f>
        <v/>
      </c>
      <c r="G200" s="28">
        <f>IFERROR(VLOOKUP(B200,'SAÍDA DE VENDAS'!$B$6:$P$500,10,FALSE),"")</f>
        <v>0</v>
      </c>
      <c r="H200" s="28" t="str">
        <f>IF(OR(ISBLANK(B200),B200=""), "", IF(B200=B199, (VALUE(LEFT(H199,FIND("/",H199)-1))+1)&amp;"/"&amp;RIGHT(H199,LEN(H199)-FIND("/",H199)), "1/"&amp;IFERROR(VLOOKUP(B200,'SAÍDA DE VENDAS'!$B$6:$P$500,13,FALSE),"1")))</f>
        <v/>
      </c>
      <c r="I200" s="69" t="str">
        <f t="shared" si="6"/>
        <v/>
      </c>
      <c r="J200" s="33" t="str">
        <f>IFERROR(VLOOKUP(B200,'SAÍDA DE VENDAS'!$B$6:$P$500,15,FALSE),"")</f>
        <v/>
      </c>
      <c r="K200" s="28" t="str">
        <f t="shared" ca="1" si="7"/>
        <v/>
      </c>
      <c r="L200" s="28"/>
      <c r="M200" s="28"/>
    </row>
    <row r="201" spans="2:13" ht="15" customHeight="1" x14ac:dyDescent="0.3">
      <c r="B201" s="34" t="str">
        <f>IF(B200="","", IF(VALUE(LEFT(H200,FIND("/",H200)-1)) &lt; VALUE(RIGHT(H200,LEN(H200)-FIND("/",H200))), B200, IFERROR(INDEX('SAÍDA DE VENDAS'!$B$6:$B$500, MATCH(B200,'SAÍDA DE VENDAS'!$B$6:$B$500,0)+COUNTIF('SAÍDA DE VENDAS'!$B$6:$B$500, B200)),"")))</f>
        <v/>
      </c>
      <c r="C201" s="35">
        <f>IFERROR(VLOOKUP(B201,'SAÍDA DE VENDAS'!$B$6:$P$500,3,FALSE),"")</f>
        <v>0</v>
      </c>
      <c r="D201" s="34">
        <f>IFERROR(VLOOKUP(B201,'SAÍDA DE VENDAS'!$B$6:$P$500,4,FALSE),"")</f>
        <v>0</v>
      </c>
      <c r="E201" s="34" t="str">
        <f>IFERROR(VLOOKUP(B201,'SAÍDA DE VENDAS'!$B$6:$P$500,5,FALSE),"")</f>
        <v/>
      </c>
      <c r="F201" s="34" t="str">
        <f>IF(OR(ISBLANK(B201),B201=""), "", IFERROR(INDEX('SAÍDA DE VENDAS'!$H$6:$H$500 &amp; "x " &amp; 'SAÍDA DE VENDAS'!$G$6:$G$500, MATCH(B201, 'SAÍDA DE VENDAS'!$B$6:$B$500, 0)), "")&amp; IF(COUNTIF('SAÍDA DE VENDAS'!$B$6:$B$500, B201)&gt;1, " + " &amp; IFERROR(INDEX('SAÍDA DE VENDAS'!$H$6:$H$500 &amp; "x " &amp; 'SAÍDA DE VENDAS'!$G$6:$G$500, MATCH(B201, 'SAÍDA DE VENDAS'!$B$6:$B$500, 0)+1), ""), "")&amp; IF(COUNTIF('SAÍDA DE VENDAS'!$B$6:$B$500, B201)&gt;2, " + " &amp; IFERROR(INDEX('SAÍDA DE VENDAS'!$H$6:$H$500 &amp; "x " &amp; 'SAÍDA DE VENDAS'!$G$6:$G$500, MATCH(B201, 'SAÍDA DE VENDAS'!$B$6:$B$500, 0)+2), ""), "")&amp; IF(COUNTIF('SAÍDA DE VENDAS'!$B$6:$B$500, B201)&gt;3, " + " &amp; IFERROR(INDEX('SAÍDA DE VENDAS'!$H$6:$H$500 &amp; "x " &amp; 'SAÍDA DE VENDAS'!$G$6:$G$500, MATCH(B201, 'SAÍDA DE VENDAS'!$B$6:$B$500, 0)+3), ""), "")&amp; IF(COUNTIF('SAÍDA DE VENDAS'!$B$6:$B$500, B201)&gt;4, " + " &amp; IFERROR(INDEX('SAÍDA DE VENDAS'!$H$6:$H$500 &amp; "x " &amp; 'SAÍDA DE VENDAS'!$G$6:$G$500, MATCH(B201, 'SAÍDA DE VENDAS'!$B$6:$B$500, 0)+4), ""), "")&amp; IF(COUNTIF('SAÍDA DE VENDAS'!$B$6:$B$500, B201)&gt;5, " + " &amp; IFERROR(INDEX('SAÍDA DE VENDAS'!$H$6:$H$500 &amp; "x " &amp; 'SAÍDA DE VENDAS'!$G$6:$G$500, MATCH(B201, 'SAÍDA DE VENDAS'!$B$6:$B$500, 0)+5), ""), ""))</f>
        <v/>
      </c>
      <c r="G201" s="34">
        <f>IFERROR(VLOOKUP(B201,'SAÍDA DE VENDAS'!$B$6:$P$500,10,FALSE),"")</f>
        <v>0</v>
      </c>
      <c r="H201" s="34" t="str">
        <f>IF(OR(ISBLANK(B201),B201=""), "", IF(B201=B200, (VALUE(LEFT(H200,FIND("/",H200)-1))+1)&amp;"/"&amp;RIGHT(H200,LEN(H200)-FIND("/",H200)), "1/"&amp;IFERROR(VLOOKUP(B201,'SAÍDA DE VENDAS'!$B$6:$P$500,13,FALSE),"1")))</f>
        <v/>
      </c>
      <c r="I201" s="35" t="str">
        <f t="shared" si="6"/>
        <v/>
      </c>
      <c r="J201" s="39" t="str">
        <f>IFERROR(VLOOKUP(B201,'SAÍDA DE VENDAS'!$B$6:$P$500,15,FALSE),"")</f>
        <v/>
      </c>
      <c r="K201" s="34" t="str">
        <f t="shared" ca="1" si="7"/>
        <v/>
      </c>
      <c r="L201" s="34"/>
      <c r="M201" s="34"/>
    </row>
    <row r="202" spans="2:13" ht="15" customHeight="1" x14ac:dyDescent="0.3">
      <c r="B202" s="28" t="str">
        <f>IF(B201="","", IF(VALUE(LEFT(H201,FIND("/",H201)-1)) &lt; VALUE(RIGHT(H201,LEN(H201)-FIND("/",H201))), B201, IFERROR(INDEX('SAÍDA DE VENDAS'!$B$6:$B$500, MATCH(B201,'SAÍDA DE VENDAS'!$B$6:$B$500,0)+COUNTIF('SAÍDA DE VENDAS'!$B$6:$B$500, B201)),"")))</f>
        <v/>
      </c>
      <c r="C202" s="29">
        <f>IFERROR(VLOOKUP(B202,'SAÍDA DE VENDAS'!$B$6:$P$500,3,FALSE),"")</f>
        <v>0</v>
      </c>
      <c r="D202" s="28">
        <f>IFERROR(VLOOKUP(B202,'SAÍDA DE VENDAS'!$B$6:$P$500,4,FALSE),"")</f>
        <v>0</v>
      </c>
      <c r="E202" s="28" t="str">
        <f>IFERROR(VLOOKUP(B202,'SAÍDA DE VENDAS'!$B$6:$P$500,5,FALSE),"")</f>
        <v/>
      </c>
      <c r="F202" s="28" t="str">
        <f>IF(OR(ISBLANK(B202),B202=""), "", IFERROR(INDEX('SAÍDA DE VENDAS'!$H$6:$H$500 &amp; "x " &amp; 'SAÍDA DE VENDAS'!$G$6:$G$500, MATCH(B202, 'SAÍDA DE VENDAS'!$B$6:$B$500, 0)), "")&amp; IF(COUNTIF('SAÍDA DE VENDAS'!$B$6:$B$500, B202)&gt;1, " + " &amp; IFERROR(INDEX('SAÍDA DE VENDAS'!$H$6:$H$500 &amp; "x " &amp; 'SAÍDA DE VENDAS'!$G$6:$G$500, MATCH(B202, 'SAÍDA DE VENDAS'!$B$6:$B$500, 0)+1), ""), "")&amp; IF(COUNTIF('SAÍDA DE VENDAS'!$B$6:$B$500, B202)&gt;2, " + " &amp; IFERROR(INDEX('SAÍDA DE VENDAS'!$H$6:$H$500 &amp; "x " &amp; 'SAÍDA DE VENDAS'!$G$6:$G$500, MATCH(B202, 'SAÍDA DE VENDAS'!$B$6:$B$500, 0)+2), ""), "")&amp; IF(COUNTIF('SAÍDA DE VENDAS'!$B$6:$B$500, B202)&gt;3, " + " &amp; IFERROR(INDEX('SAÍDA DE VENDAS'!$H$6:$H$500 &amp; "x " &amp; 'SAÍDA DE VENDAS'!$G$6:$G$500, MATCH(B202, 'SAÍDA DE VENDAS'!$B$6:$B$500, 0)+3), ""), "")&amp; IF(COUNTIF('SAÍDA DE VENDAS'!$B$6:$B$500, B202)&gt;4, " + " &amp; IFERROR(INDEX('SAÍDA DE VENDAS'!$H$6:$H$500 &amp; "x " &amp; 'SAÍDA DE VENDAS'!$G$6:$G$500, MATCH(B202, 'SAÍDA DE VENDAS'!$B$6:$B$500, 0)+4), ""), "")&amp; IF(COUNTIF('SAÍDA DE VENDAS'!$B$6:$B$500, B202)&gt;5, " + " &amp; IFERROR(INDEX('SAÍDA DE VENDAS'!$H$6:$H$500 &amp; "x " &amp; 'SAÍDA DE VENDAS'!$G$6:$G$500, MATCH(B202, 'SAÍDA DE VENDAS'!$B$6:$B$500, 0)+5), ""), ""))</f>
        <v/>
      </c>
      <c r="G202" s="28">
        <f>IFERROR(VLOOKUP(B202,'SAÍDA DE VENDAS'!$B$6:$P$500,10,FALSE),"")</f>
        <v>0</v>
      </c>
      <c r="H202" s="28" t="str">
        <f>IF(OR(ISBLANK(B202),B202=""), "", IF(B202=B201, (VALUE(LEFT(H201,FIND("/",H201)-1))+1)&amp;"/"&amp;RIGHT(H201,LEN(H201)-FIND("/",H201)), "1/"&amp;IFERROR(VLOOKUP(B202,'SAÍDA DE VENDAS'!$B$6:$P$500,13,FALSE),"1")))</f>
        <v/>
      </c>
      <c r="I202" s="69" t="str">
        <f t="shared" si="6"/>
        <v/>
      </c>
      <c r="J202" s="33" t="str">
        <f>IFERROR(VLOOKUP(B202,'SAÍDA DE VENDAS'!$B$6:$P$500,15,FALSE),"")</f>
        <v/>
      </c>
      <c r="K202" s="28" t="str">
        <f t="shared" ca="1" si="7"/>
        <v/>
      </c>
      <c r="L202" s="28"/>
      <c r="M202" s="28"/>
    </row>
    <row r="203" spans="2:13" ht="15" customHeight="1" x14ac:dyDescent="0.3">
      <c r="B203" s="34" t="str">
        <f>IF(B202="","", IF(VALUE(LEFT(H202,FIND("/",H202)-1)) &lt; VALUE(RIGHT(H202,LEN(H202)-FIND("/",H202))), B202, IFERROR(INDEX('SAÍDA DE VENDAS'!$B$6:$B$500, MATCH(B202,'SAÍDA DE VENDAS'!$B$6:$B$500,0)+COUNTIF('SAÍDA DE VENDAS'!$B$6:$B$500, B202)),"")))</f>
        <v/>
      </c>
      <c r="C203" s="35">
        <f>IFERROR(VLOOKUP(B203,'SAÍDA DE VENDAS'!$B$6:$P$500,3,FALSE),"")</f>
        <v>0</v>
      </c>
      <c r="D203" s="34">
        <f>IFERROR(VLOOKUP(B203,'SAÍDA DE VENDAS'!$B$6:$P$500,4,FALSE),"")</f>
        <v>0</v>
      </c>
      <c r="E203" s="34" t="str">
        <f>IFERROR(VLOOKUP(B203,'SAÍDA DE VENDAS'!$B$6:$P$500,5,FALSE),"")</f>
        <v/>
      </c>
      <c r="F203" s="34" t="str">
        <f>IF(OR(ISBLANK(B203),B203=""), "", IFERROR(INDEX('SAÍDA DE VENDAS'!$H$6:$H$500 &amp; "x " &amp; 'SAÍDA DE VENDAS'!$G$6:$G$500, MATCH(B203, 'SAÍDA DE VENDAS'!$B$6:$B$500, 0)), "")&amp; IF(COUNTIF('SAÍDA DE VENDAS'!$B$6:$B$500, B203)&gt;1, " + " &amp; IFERROR(INDEX('SAÍDA DE VENDAS'!$H$6:$H$500 &amp; "x " &amp; 'SAÍDA DE VENDAS'!$G$6:$G$500, MATCH(B203, 'SAÍDA DE VENDAS'!$B$6:$B$500, 0)+1), ""), "")&amp; IF(COUNTIF('SAÍDA DE VENDAS'!$B$6:$B$500, B203)&gt;2, " + " &amp; IFERROR(INDEX('SAÍDA DE VENDAS'!$H$6:$H$500 &amp; "x " &amp; 'SAÍDA DE VENDAS'!$G$6:$G$500, MATCH(B203, 'SAÍDA DE VENDAS'!$B$6:$B$500, 0)+2), ""), "")&amp; IF(COUNTIF('SAÍDA DE VENDAS'!$B$6:$B$500, B203)&gt;3, " + " &amp; IFERROR(INDEX('SAÍDA DE VENDAS'!$H$6:$H$500 &amp; "x " &amp; 'SAÍDA DE VENDAS'!$G$6:$G$500, MATCH(B203, 'SAÍDA DE VENDAS'!$B$6:$B$500, 0)+3), ""), "")&amp; IF(COUNTIF('SAÍDA DE VENDAS'!$B$6:$B$500, B203)&gt;4, " + " &amp; IFERROR(INDEX('SAÍDA DE VENDAS'!$H$6:$H$500 &amp; "x " &amp; 'SAÍDA DE VENDAS'!$G$6:$G$500, MATCH(B203, 'SAÍDA DE VENDAS'!$B$6:$B$500, 0)+4), ""), "")&amp; IF(COUNTIF('SAÍDA DE VENDAS'!$B$6:$B$500, B203)&gt;5, " + " &amp; IFERROR(INDEX('SAÍDA DE VENDAS'!$H$6:$H$500 &amp; "x " &amp; 'SAÍDA DE VENDAS'!$G$6:$G$500, MATCH(B203, 'SAÍDA DE VENDAS'!$B$6:$B$500, 0)+5), ""), ""))</f>
        <v/>
      </c>
      <c r="G203" s="34">
        <f>IFERROR(VLOOKUP(B203,'SAÍDA DE VENDAS'!$B$6:$P$500,10,FALSE),"")</f>
        <v>0</v>
      </c>
      <c r="H203" s="34" t="str">
        <f>IF(OR(ISBLANK(B203),B203=""), "", IF(B203=B202, (VALUE(LEFT(H202,FIND("/",H202)-1))+1)&amp;"/"&amp;RIGHT(H202,LEN(H202)-FIND("/",H202)), "1/"&amp;IFERROR(VLOOKUP(B203,'SAÍDA DE VENDAS'!$B$6:$P$500,13,FALSE),"1")))</f>
        <v/>
      </c>
      <c r="I203" s="35" t="str">
        <f t="shared" si="6"/>
        <v/>
      </c>
      <c r="J203" s="39" t="str">
        <f>IFERROR(VLOOKUP(B203,'SAÍDA DE VENDAS'!$B$6:$P$500,15,FALSE),"")</f>
        <v/>
      </c>
      <c r="K203" s="34" t="str">
        <f t="shared" ca="1" si="7"/>
        <v/>
      </c>
      <c r="L203" s="34"/>
      <c r="M203" s="34"/>
    </row>
    <row r="204" spans="2:13" ht="15" customHeight="1" x14ac:dyDescent="0.3">
      <c r="B204" s="28" t="str">
        <f>IF(B203="","", IF(VALUE(LEFT(H203,FIND("/",H203)-1)) &lt; VALUE(RIGHT(H203,LEN(H203)-FIND("/",H203))), B203, IFERROR(INDEX('SAÍDA DE VENDAS'!$B$6:$B$500, MATCH(B203,'SAÍDA DE VENDAS'!$B$6:$B$500,0)+COUNTIF('SAÍDA DE VENDAS'!$B$6:$B$500, B203)),"")))</f>
        <v/>
      </c>
      <c r="C204" s="29">
        <f>IFERROR(VLOOKUP(B204,'SAÍDA DE VENDAS'!$B$6:$P$500,3,FALSE),"")</f>
        <v>0</v>
      </c>
      <c r="D204" s="28">
        <f>IFERROR(VLOOKUP(B204,'SAÍDA DE VENDAS'!$B$6:$P$500,4,FALSE),"")</f>
        <v>0</v>
      </c>
      <c r="E204" s="28" t="str">
        <f>IFERROR(VLOOKUP(B204,'SAÍDA DE VENDAS'!$B$6:$P$500,5,FALSE),"")</f>
        <v/>
      </c>
      <c r="F204" s="28" t="str">
        <f>IF(OR(ISBLANK(B204),B204=""), "", IFERROR(INDEX('SAÍDA DE VENDAS'!$H$6:$H$500 &amp; "x " &amp; 'SAÍDA DE VENDAS'!$G$6:$G$500, MATCH(B204, 'SAÍDA DE VENDAS'!$B$6:$B$500, 0)), "")&amp; IF(COUNTIF('SAÍDA DE VENDAS'!$B$6:$B$500, B204)&gt;1, " + " &amp; IFERROR(INDEX('SAÍDA DE VENDAS'!$H$6:$H$500 &amp; "x " &amp; 'SAÍDA DE VENDAS'!$G$6:$G$500, MATCH(B204, 'SAÍDA DE VENDAS'!$B$6:$B$500, 0)+1), ""), "")&amp; IF(COUNTIF('SAÍDA DE VENDAS'!$B$6:$B$500, B204)&gt;2, " + " &amp; IFERROR(INDEX('SAÍDA DE VENDAS'!$H$6:$H$500 &amp; "x " &amp; 'SAÍDA DE VENDAS'!$G$6:$G$500, MATCH(B204, 'SAÍDA DE VENDAS'!$B$6:$B$500, 0)+2), ""), "")&amp; IF(COUNTIF('SAÍDA DE VENDAS'!$B$6:$B$500, B204)&gt;3, " + " &amp; IFERROR(INDEX('SAÍDA DE VENDAS'!$H$6:$H$500 &amp; "x " &amp; 'SAÍDA DE VENDAS'!$G$6:$G$500, MATCH(B204, 'SAÍDA DE VENDAS'!$B$6:$B$500, 0)+3), ""), "")&amp; IF(COUNTIF('SAÍDA DE VENDAS'!$B$6:$B$500, B204)&gt;4, " + " &amp; IFERROR(INDEX('SAÍDA DE VENDAS'!$H$6:$H$500 &amp; "x " &amp; 'SAÍDA DE VENDAS'!$G$6:$G$500, MATCH(B204, 'SAÍDA DE VENDAS'!$B$6:$B$500, 0)+4), ""), "")&amp; IF(COUNTIF('SAÍDA DE VENDAS'!$B$6:$B$500, B204)&gt;5, " + " &amp; IFERROR(INDEX('SAÍDA DE VENDAS'!$H$6:$H$500 &amp; "x " &amp; 'SAÍDA DE VENDAS'!$G$6:$G$500, MATCH(B204, 'SAÍDA DE VENDAS'!$B$6:$B$500, 0)+5), ""), ""))</f>
        <v/>
      </c>
      <c r="G204" s="28">
        <f>IFERROR(VLOOKUP(B204,'SAÍDA DE VENDAS'!$B$6:$P$500,10,FALSE),"")</f>
        <v>0</v>
      </c>
      <c r="H204" s="28" t="str">
        <f>IF(OR(ISBLANK(B204),B204=""), "", IF(B204=B203, (VALUE(LEFT(H203,FIND("/",H203)-1))+1)&amp;"/"&amp;RIGHT(H203,LEN(H203)-FIND("/",H203)), "1/"&amp;IFERROR(VLOOKUP(B204,'SAÍDA DE VENDAS'!$B$6:$P$500,13,FALSE),"1")))</f>
        <v/>
      </c>
      <c r="I204" s="69" t="str">
        <f t="shared" si="6"/>
        <v/>
      </c>
      <c r="J204" s="33" t="str">
        <f>IFERROR(VLOOKUP(B204,'SAÍDA DE VENDAS'!$B$6:$P$500,15,FALSE),"")</f>
        <v/>
      </c>
      <c r="K204" s="28" t="str">
        <f t="shared" ca="1" si="7"/>
        <v/>
      </c>
      <c r="L204" s="28"/>
      <c r="M204" s="28"/>
    </row>
    <row r="205" spans="2:13" ht="15" customHeight="1" x14ac:dyDescent="0.3">
      <c r="B205" s="34" t="str">
        <f>IF(B204="","", IF(VALUE(LEFT(H204,FIND("/",H204)-1)) &lt; VALUE(RIGHT(H204,LEN(H204)-FIND("/",H204))), B204, IFERROR(INDEX('SAÍDA DE VENDAS'!$B$6:$B$500, MATCH(B204,'SAÍDA DE VENDAS'!$B$6:$B$500,0)+COUNTIF('SAÍDA DE VENDAS'!$B$6:$B$500, B204)),"")))</f>
        <v/>
      </c>
      <c r="C205" s="35">
        <f>IFERROR(VLOOKUP(B205,'SAÍDA DE VENDAS'!$B$6:$P$500,3,FALSE),"")</f>
        <v>0</v>
      </c>
      <c r="D205" s="34">
        <f>IFERROR(VLOOKUP(B205,'SAÍDA DE VENDAS'!$B$6:$P$500,4,FALSE),"")</f>
        <v>0</v>
      </c>
      <c r="E205" s="34" t="str">
        <f>IFERROR(VLOOKUP(B205,'SAÍDA DE VENDAS'!$B$6:$P$500,5,FALSE),"")</f>
        <v/>
      </c>
      <c r="F205" s="34" t="str">
        <f>IF(OR(ISBLANK(B205),B205=""), "", IFERROR(INDEX('SAÍDA DE VENDAS'!$H$6:$H$500 &amp; "x " &amp; 'SAÍDA DE VENDAS'!$G$6:$G$500, MATCH(B205, 'SAÍDA DE VENDAS'!$B$6:$B$500, 0)), "")&amp; IF(COUNTIF('SAÍDA DE VENDAS'!$B$6:$B$500, B205)&gt;1, " + " &amp; IFERROR(INDEX('SAÍDA DE VENDAS'!$H$6:$H$500 &amp; "x " &amp; 'SAÍDA DE VENDAS'!$G$6:$G$500, MATCH(B205, 'SAÍDA DE VENDAS'!$B$6:$B$500, 0)+1), ""), "")&amp; IF(COUNTIF('SAÍDA DE VENDAS'!$B$6:$B$500, B205)&gt;2, " + " &amp; IFERROR(INDEX('SAÍDA DE VENDAS'!$H$6:$H$500 &amp; "x " &amp; 'SAÍDA DE VENDAS'!$G$6:$G$500, MATCH(B205, 'SAÍDA DE VENDAS'!$B$6:$B$500, 0)+2), ""), "")&amp; IF(COUNTIF('SAÍDA DE VENDAS'!$B$6:$B$500, B205)&gt;3, " + " &amp; IFERROR(INDEX('SAÍDA DE VENDAS'!$H$6:$H$500 &amp; "x " &amp; 'SAÍDA DE VENDAS'!$G$6:$G$500, MATCH(B205, 'SAÍDA DE VENDAS'!$B$6:$B$500, 0)+3), ""), "")&amp; IF(COUNTIF('SAÍDA DE VENDAS'!$B$6:$B$500, B205)&gt;4, " + " &amp; IFERROR(INDEX('SAÍDA DE VENDAS'!$H$6:$H$500 &amp; "x " &amp; 'SAÍDA DE VENDAS'!$G$6:$G$500, MATCH(B205, 'SAÍDA DE VENDAS'!$B$6:$B$500, 0)+4), ""), "")&amp; IF(COUNTIF('SAÍDA DE VENDAS'!$B$6:$B$500, B205)&gt;5, " + " &amp; IFERROR(INDEX('SAÍDA DE VENDAS'!$H$6:$H$500 &amp; "x " &amp; 'SAÍDA DE VENDAS'!$G$6:$G$500, MATCH(B205, 'SAÍDA DE VENDAS'!$B$6:$B$500, 0)+5), ""), ""))</f>
        <v/>
      </c>
      <c r="G205" s="34">
        <f>IFERROR(VLOOKUP(B205,'SAÍDA DE VENDAS'!$B$6:$P$500,10,FALSE),"")</f>
        <v>0</v>
      </c>
      <c r="H205" s="34" t="str">
        <f>IF(OR(ISBLANK(B205),B205=""), "", IF(B205=B204, (VALUE(LEFT(H204,FIND("/",H204)-1))+1)&amp;"/"&amp;RIGHT(H204,LEN(H204)-FIND("/",H204)), "1/"&amp;IFERROR(VLOOKUP(B205,'SAÍDA DE VENDAS'!$B$6:$P$500,13,FALSE),"1")))</f>
        <v/>
      </c>
      <c r="I205" s="35" t="str">
        <f t="shared" si="6"/>
        <v/>
      </c>
      <c r="J205" s="39" t="str">
        <f>IFERROR(VLOOKUP(B205,'SAÍDA DE VENDAS'!$B$6:$P$500,15,FALSE),"")</f>
        <v/>
      </c>
      <c r="K205" s="34" t="str">
        <f t="shared" ca="1" si="7"/>
        <v/>
      </c>
      <c r="L205" s="34"/>
      <c r="M205" s="34"/>
    </row>
    <row r="206" spans="2:13" ht="15" customHeight="1" x14ac:dyDescent="0.3">
      <c r="B206" s="28" t="str">
        <f>IF(B205="","", IF(VALUE(LEFT(H205,FIND("/",H205)-1)) &lt; VALUE(RIGHT(H205,LEN(H205)-FIND("/",H205))), B205, IFERROR(INDEX('SAÍDA DE VENDAS'!$B$6:$B$500, MATCH(B205,'SAÍDA DE VENDAS'!$B$6:$B$500,0)+COUNTIF('SAÍDA DE VENDAS'!$B$6:$B$500, B205)),"")))</f>
        <v/>
      </c>
      <c r="C206" s="29">
        <f>IFERROR(VLOOKUP(B206,'SAÍDA DE VENDAS'!$B$6:$P$500,3,FALSE),"")</f>
        <v>0</v>
      </c>
      <c r="D206" s="28">
        <f>IFERROR(VLOOKUP(B206,'SAÍDA DE VENDAS'!$B$6:$P$500,4,FALSE),"")</f>
        <v>0</v>
      </c>
      <c r="E206" s="28" t="str">
        <f>IFERROR(VLOOKUP(B206,'SAÍDA DE VENDAS'!$B$6:$P$500,5,FALSE),"")</f>
        <v/>
      </c>
      <c r="F206" s="28" t="str">
        <f>IF(OR(ISBLANK(B206),B206=""), "", IFERROR(INDEX('SAÍDA DE VENDAS'!$H$6:$H$500 &amp; "x " &amp; 'SAÍDA DE VENDAS'!$G$6:$G$500, MATCH(B206, 'SAÍDA DE VENDAS'!$B$6:$B$500, 0)), "")&amp; IF(COUNTIF('SAÍDA DE VENDAS'!$B$6:$B$500, B206)&gt;1, " + " &amp; IFERROR(INDEX('SAÍDA DE VENDAS'!$H$6:$H$500 &amp; "x " &amp; 'SAÍDA DE VENDAS'!$G$6:$G$500, MATCH(B206, 'SAÍDA DE VENDAS'!$B$6:$B$500, 0)+1), ""), "")&amp; IF(COUNTIF('SAÍDA DE VENDAS'!$B$6:$B$500, B206)&gt;2, " + " &amp; IFERROR(INDEX('SAÍDA DE VENDAS'!$H$6:$H$500 &amp; "x " &amp; 'SAÍDA DE VENDAS'!$G$6:$G$500, MATCH(B206, 'SAÍDA DE VENDAS'!$B$6:$B$500, 0)+2), ""), "")&amp; IF(COUNTIF('SAÍDA DE VENDAS'!$B$6:$B$500, B206)&gt;3, " + " &amp; IFERROR(INDEX('SAÍDA DE VENDAS'!$H$6:$H$500 &amp; "x " &amp; 'SAÍDA DE VENDAS'!$G$6:$G$500, MATCH(B206, 'SAÍDA DE VENDAS'!$B$6:$B$500, 0)+3), ""), "")&amp; IF(COUNTIF('SAÍDA DE VENDAS'!$B$6:$B$500, B206)&gt;4, " + " &amp; IFERROR(INDEX('SAÍDA DE VENDAS'!$H$6:$H$500 &amp; "x " &amp; 'SAÍDA DE VENDAS'!$G$6:$G$500, MATCH(B206, 'SAÍDA DE VENDAS'!$B$6:$B$500, 0)+4), ""), "")&amp; IF(COUNTIF('SAÍDA DE VENDAS'!$B$6:$B$500, B206)&gt;5, " + " &amp; IFERROR(INDEX('SAÍDA DE VENDAS'!$H$6:$H$500 &amp; "x " &amp; 'SAÍDA DE VENDAS'!$G$6:$G$500, MATCH(B206, 'SAÍDA DE VENDAS'!$B$6:$B$500, 0)+5), ""), ""))</f>
        <v/>
      </c>
      <c r="G206" s="28">
        <f>IFERROR(VLOOKUP(B206,'SAÍDA DE VENDAS'!$B$6:$P$500,10,FALSE),"")</f>
        <v>0</v>
      </c>
      <c r="H206" s="28" t="str">
        <f>IF(OR(ISBLANK(B206),B206=""), "", IF(B206=B205, (VALUE(LEFT(H205,FIND("/",H205)-1))+1)&amp;"/"&amp;RIGHT(H205,LEN(H205)-FIND("/",H205)), "1/"&amp;IFERROR(VLOOKUP(B206,'SAÍDA DE VENDAS'!$B$6:$P$500,13,FALSE),"1")))</f>
        <v/>
      </c>
      <c r="I206" s="69" t="str">
        <f t="shared" si="6"/>
        <v/>
      </c>
      <c r="J206" s="33" t="str">
        <f>IFERROR(VLOOKUP(B206,'SAÍDA DE VENDAS'!$B$6:$P$500,15,FALSE),"")</f>
        <v/>
      </c>
      <c r="K206" s="28" t="str">
        <f t="shared" ca="1" si="7"/>
        <v/>
      </c>
      <c r="L206" s="28"/>
      <c r="M206" s="28"/>
    </row>
    <row r="207" spans="2:13" ht="15" customHeight="1" x14ac:dyDescent="0.3">
      <c r="B207" s="34" t="str">
        <f>IF(B206="","", IF(VALUE(LEFT(H206,FIND("/",H206)-1)) &lt; VALUE(RIGHT(H206,LEN(H206)-FIND("/",H206))), B206, IFERROR(INDEX('SAÍDA DE VENDAS'!$B$6:$B$500, MATCH(B206,'SAÍDA DE VENDAS'!$B$6:$B$500,0)+COUNTIF('SAÍDA DE VENDAS'!$B$6:$B$500, B206)),"")))</f>
        <v/>
      </c>
      <c r="C207" s="35">
        <f>IFERROR(VLOOKUP(B207,'SAÍDA DE VENDAS'!$B$6:$P$500,3,FALSE),"")</f>
        <v>0</v>
      </c>
      <c r="D207" s="34">
        <f>IFERROR(VLOOKUP(B207,'SAÍDA DE VENDAS'!$B$6:$P$500,4,FALSE),"")</f>
        <v>0</v>
      </c>
      <c r="E207" s="34" t="str">
        <f>IFERROR(VLOOKUP(B207,'SAÍDA DE VENDAS'!$B$6:$P$500,5,FALSE),"")</f>
        <v/>
      </c>
      <c r="F207" s="34" t="str">
        <f>IF(OR(ISBLANK(B207),B207=""), "", IFERROR(INDEX('SAÍDA DE VENDAS'!$H$6:$H$500 &amp; "x " &amp; 'SAÍDA DE VENDAS'!$G$6:$G$500, MATCH(B207, 'SAÍDA DE VENDAS'!$B$6:$B$500, 0)), "")&amp; IF(COUNTIF('SAÍDA DE VENDAS'!$B$6:$B$500, B207)&gt;1, " + " &amp; IFERROR(INDEX('SAÍDA DE VENDAS'!$H$6:$H$500 &amp; "x " &amp; 'SAÍDA DE VENDAS'!$G$6:$G$500, MATCH(B207, 'SAÍDA DE VENDAS'!$B$6:$B$500, 0)+1), ""), "")&amp; IF(COUNTIF('SAÍDA DE VENDAS'!$B$6:$B$500, B207)&gt;2, " + " &amp; IFERROR(INDEX('SAÍDA DE VENDAS'!$H$6:$H$500 &amp; "x " &amp; 'SAÍDA DE VENDAS'!$G$6:$G$500, MATCH(B207, 'SAÍDA DE VENDAS'!$B$6:$B$500, 0)+2), ""), "")&amp; IF(COUNTIF('SAÍDA DE VENDAS'!$B$6:$B$500, B207)&gt;3, " + " &amp; IFERROR(INDEX('SAÍDA DE VENDAS'!$H$6:$H$500 &amp; "x " &amp; 'SAÍDA DE VENDAS'!$G$6:$G$500, MATCH(B207, 'SAÍDA DE VENDAS'!$B$6:$B$500, 0)+3), ""), "")&amp; IF(COUNTIF('SAÍDA DE VENDAS'!$B$6:$B$500, B207)&gt;4, " + " &amp; IFERROR(INDEX('SAÍDA DE VENDAS'!$H$6:$H$500 &amp; "x " &amp; 'SAÍDA DE VENDAS'!$G$6:$G$500, MATCH(B207, 'SAÍDA DE VENDAS'!$B$6:$B$500, 0)+4), ""), "")&amp; IF(COUNTIF('SAÍDA DE VENDAS'!$B$6:$B$500, B207)&gt;5, " + " &amp; IFERROR(INDEX('SAÍDA DE VENDAS'!$H$6:$H$500 &amp; "x " &amp; 'SAÍDA DE VENDAS'!$G$6:$G$500, MATCH(B207, 'SAÍDA DE VENDAS'!$B$6:$B$500, 0)+5), ""), ""))</f>
        <v/>
      </c>
      <c r="G207" s="34">
        <f>IFERROR(VLOOKUP(B207,'SAÍDA DE VENDAS'!$B$6:$P$500,10,FALSE),"")</f>
        <v>0</v>
      </c>
      <c r="H207" s="34" t="str">
        <f>IF(OR(ISBLANK(B207),B207=""), "", IF(B207=B206, (VALUE(LEFT(H206,FIND("/",H206)-1))+1)&amp;"/"&amp;RIGHT(H206,LEN(H206)-FIND("/",H206)), "1/"&amp;IFERROR(VLOOKUP(B207,'SAÍDA DE VENDAS'!$B$6:$P$500,13,FALSE),"1")))</f>
        <v/>
      </c>
      <c r="I207" s="35" t="str">
        <f t="shared" si="6"/>
        <v/>
      </c>
      <c r="J207" s="39" t="str">
        <f>IFERROR(VLOOKUP(B207,'SAÍDA DE VENDAS'!$B$6:$P$500,15,FALSE),"")</f>
        <v/>
      </c>
      <c r="K207" s="34" t="str">
        <f t="shared" ca="1" si="7"/>
        <v/>
      </c>
      <c r="L207" s="34"/>
      <c r="M207" s="34"/>
    </row>
    <row r="208" spans="2:13" ht="15" customHeight="1" x14ac:dyDescent="0.3">
      <c r="B208" s="28" t="str">
        <f>IF(B207="","", IF(VALUE(LEFT(H207,FIND("/",H207)-1)) &lt; VALUE(RIGHT(H207,LEN(H207)-FIND("/",H207))), B207, IFERROR(INDEX('SAÍDA DE VENDAS'!$B$6:$B$500, MATCH(B207,'SAÍDA DE VENDAS'!$B$6:$B$500,0)+COUNTIF('SAÍDA DE VENDAS'!$B$6:$B$500, B207)),"")))</f>
        <v/>
      </c>
      <c r="C208" s="29">
        <f>IFERROR(VLOOKUP(B208,'SAÍDA DE VENDAS'!$B$6:$P$500,3,FALSE),"")</f>
        <v>0</v>
      </c>
      <c r="D208" s="28">
        <f>IFERROR(VLOOKUP(B208,'SAÍDA DE VENDAS'!$B$6:$P$500,4,FALSE),"")</f>
        <v>0</v>
      </c>
      <c r="E208" s="28" t="str">
        <f>IFERROR(VLOOKUP(B208,'SAÍDA DE VENDAS'!$B$6:$P$500,5,FALSE),"")</f>
        <v/>
      </c>
      <c r="F208" s="28" t="str">
        <f>IF(OR(ISBLANK(B208),B208=""), "", IFERROR(INDEX('SAÍDA DE VENDAS'!$H$6:$H$500 &amp; "x " &amp; 'SAÍDA DE VENDAS'!$G$6:$G$500, MATCH(B208, 'SAÍDA DE VENDAS'!$B$6:$B$500, 0)), "")&amp; IF(COUNTIF('SAÍDA DE VENDAS'!$B$6:$B$500, B208)&gt;1, " + " &amp; IFERROR(INDEX('SAÍDA DE VENDAS'!$H$6:$H$500 &amp; "x " &amp; 'SAÍDA DE VENDAS'!$G$6:$G$500, MATCH(B208, 'SAÍDA DE VENDAS'!$B$6:$B$500, 0)+1), ""), "")&amp; IF(COUNTIF('SAÍDA DE VENDAS'!$B$6:$B$500, B208)&gt;2, " + " &amp; IFERROR(INDEX('SAÍDA DE VENDAS'!$H$6:$H$500 &amp; "x " &amp; 'SAÍDA DE VENDAS'!$G$6:$G$500, MATCH(B208, 'SAÍDA DE VENDAS'!$B$6:$B$500, 0)+2), ""), "")&amp; IF(COUNTIF('SAÍDA DE VENDAS'!$B$6:$B$500, B208)&gt;3, " + " &amp; IFERROR(INDEX('SAÍDA DE VENDAS'!$H$6:$H$500 &amp; "x " &amp; 'SAÍDA DE VENDAS'!$G$6:$G$500, MATCH(B208, 'SAÍDA DE VENDAS'!$B$6:$B$500, 0)+3), ""), "")&amp; IF(COUNTIF('SAÍDA DE VENDAS'!$B$6:$B$500, B208)&gt;4, " + " &amp; IFERROR(INDEX('SAÍDA DE VENDAS'!$H$6:$H$500 &amp; "x " &amp; 'SAÍDA DE VENDAS'!$G$6:$G$500, MATCH(B208, 'SAÍDA DE VENDAS'!$B$6:$B$500, 0)+4), ""), "")&amp; IF(COUNTIF('SAÍDA DE VENDAS'!$B$6:$B$500, B208)&gt;5, " + " &amp; IFERROR(INDEX('SAÍDA DE VENDAS'!$H$6:$H$500 &amp; "x " &amp; 'SAÍDA DE VENDAS'!$G$6:$G$500, MATCH(B208, 'SAÍDA DE VENDAS'!$B$6:$B$500, 0)+5), ""), ""))</f>
        <v/>
      </c>
      <c r="G208" s="28">
        <f>IFERROR(VLOOKUP(B208,'SAÍDA DE VENDAS'!$B$6:$P$500,10,FALSE),"")</f>
        <v>0</v>
      </c>
      <c r="H208" s="28" t="str">
        <f>IF(OR(ISBLANK(B208),B208=""), "", IF(B208=B207, (VALUE(LEFT(H207,FIND("/",H207)-1))+1)&amp;"/"&amp;RIGHT(H207,LEN(H207)-FIND("/",H207)), "1/"&amp;IFERROR(VLOOKUP(B208,'SAÍDA DE VENDAS'!$B$6:$P$500,13,FALSE),"1")))</f>
        <v/>
      </c>
      <c r="I208" s="69" t="str">
        <f t="shared" si="6"/>
        <v/>
      </c>
      <c r="J208" s="33" t="str">
        <f>IFERROR(VLOOKUP(B208,'SAÍDA DE VENDAS'!$B$6:$P$500,15,FALSE),"")</f>
        <v/>
      </c>
      <c r="K208" s="28" t="str">
        <f t="shared" ca="1" si="7"/>
        <v/>
      </c>
      <c r="L208" s="28"/>
      <c r="M208" s="28"/>
    </row>
    <row r="209" spans="2:13" ht="15" customHeight="1" x14ac:dyDescent="0.3">
      <c r="B209" s="34" t="str">
        <f>IF(B208="","", IF(VALUE(LEFT(H208,FIND("/",H208)-1)) &lt; VALUE(RIGHT(H208,LEN(H208)-FIND("/",H208))), B208, IFERROR(INDEX('SAÍDA DE VENDAS'!$B$6:$B$500, MATCH(B208,'SAÍDA DE VENDAS'!$B$6:$B$500,0)+COUNTIF('SAÍDA DE VENDAS'!$B$6:$B$500, B208)),"")))</f>
        <v/>
      </c>
      <c r="C209" s="35">
        <f>IFERROR(VLOOKUP(B209,'SAÍDA DE VENDAS'!$B$6:$P$500,3,FALSE),"")</f>
        <v>0</v>
      </c>
      <c r="D209" s="34">
        <f>IFERROR(VLOOKUP(B209,'SAÍDA DE VENDAS'!$B$6:$P$500,4,FALSE),"")</f>
        <v>0</v>
      </c>
      <c r="E209" s="34" t="str">
        <f>IFERROR(VLOOKUP(B209,'SAÍDA DE VENDAS'!$B$6:$P$500,5,FALSE),"")</f>
        <v/>
      </c>
      <c r="F209" s="34" t="str">
        <f>IF(OR(ISBLANK(B209),B209=""), "", IFERROR(INDEX('SAÍDA DE VENDAS'!$H$6:$H$500 &amp; "x " &amp; 'SAÍDA DE VENDAS'!$G$6:$G$500, MATCH(B209, 'SAÍDA DE VENDAS'!$B$6:$B$500, 0)), "")&amp; IF(COUNTIF('SAÍDA DE VENDAS'!$B$6:$B$500, B209)&gt;1, " + " &amp; IFERROR(INDEX('SAÍDA DE VENDAS'!$H$6:$H$500 &amp; "x " &amp; 'SAÍDA DE VENDAS'!$G$6:$G$500, MATCH(B209, 'SAÍDA DE VENDAS'!$B$6:$B$500, 0)+1), ""), "")&amp; IF(COUNTIF('SAÍDA DE VENDAS'!$B$6:$B$500, B209)&gt;2, " + " &amp; IFERROR(INDEX('SAÍDA DE VENDAS'!$H$6:$H$500 &amp; "x " &amp; 'SAÍDA DE VENDAS'!$G$6:$G$500, MATCH(B209, 'SAÍDA DE VENDAS'!$B$6:$B$500, 0)+2), ""), "")&amp; IF(COUNTIF('SAÍDA DE VENDAS'!$B$6:$B$500, B209)&gt;3, " + " &amp; IFERROR(INDEX('SAÍDA DE VENDAS'!$H$6:$H$500 &amp; "x " &amp; 'SAÍDA DE VENDAS'!$G$6:$G$500, MATCH(B209, 'SAÍDA DE VENDAS'!$B$6:$B$500, 0)+3), ""), "")&amp; IF(COUNTIF('SAÍDA DE VENDAS'!$B$6:$B$500, B209)&gt;4, " + " &amp; IFERROR(INDEX('SAÍDA DE VENDAS'!$H$6:$H$500 &amp; "x " &amp; 'SAÍDA DE VENDAS'!$G$6:$G$500, MATCH(B209, 'SAÍDA DE VENDAS'!$B$6:$B$500, 0)+4), ""), "")&amp; IF(COUNTIF('SAÍDA DE VENDAS'!$B$6:$B$500, B209)&gt;5, " + " &amp; IFERROR(INDEX('SAÍDA DE VENDAS'!$H$6:$H$500 &amp; "x " &amp; 'SAÍDA DE VENDAS'!$G$6:$G$500, MATCH(B209, 'SAÍDA DE VENDAS'!$B$6:$B$500, 0)+5), ""), ""))</f>
        <v/>
      </c>
      <c r="G209" s="34">
        <f>IFERROR(VLOOKUP(B209,'SAÍDA DE VENDAS'!$B$6:$P$500,10,FALSE),"")</f>
        <v>0</v>
      </c>
      <c r="H209" s="34" t="str">
        <f>IF(OR(ISBLANK(B209),B209=""), "", IF(B209=B208, (VALUE(LEFT(H208,FIND("/",H208)-1))+1)&amp;"/"&amp;RIGHT(H208,LEN(H208)-FIND("/",H208)), "1/"&amp;IFERROR(VLOOKUP(B209,'SAÍDA DE VENDAS'!$B$6:$P$500,13,FALSE),"1")))</f>
        <v/>
      </c>
      <c r="I209" s="35" t="str">
        <f t="shared" si="6"/>
        <v/>
      </c>
      <c r="J209" s="39" t="str">
        <f>IFERROR(VLOOKUP(B209,'SAÍDA DE VENDAS'!$B$6:$P$500,15,FALSE),"")</f>
        <v/>
      </c>
      <c r="K209" s="34" t="str">
        <f t="shared" ca="1" si="7"/>
        <v/>
      </c>
      <c r="L209" s="34"/>
      <c r="M209" s="34"/>
    </row>
    <row r="210" spans="2:13" ht="15" customHeight="1" x14ac:dyDescent="0.3">
      <c r="B210" s="28" t="str">
        <f>IF(B209="","", IF(VALUE(LEFT(H209,FIND("/",H209)-1)) &lt; VALUE(RIGHT(H209,LEN(H209)-FIND("/",H209))), B209, IFERROR(INDEX('SAÍDA DE VENDAS'!$B$6:$B$500, MATCH(B209,'SAÍDA DE VENDAS'!$B$6:$B$500,0)+COUNTIF('SAÍDA DE VENDAS'!$B$6:$B$500, B209)),"")))</f>
        <v/>
      </c>
      <c r="C210" s="29">
        <f>IFERROR(VLOOKUP(B210,'SAÍDA DE VENDAS'!$B$6:$P$500,3,FALSE),"")</f>
        <v>0</v>
      </c>
      <c r="D210" s="28">
        <f>IFERROR(VLOOKUP(B210,'SAÍDA DE VENDAS'!$B$6:$P$500,4,FALSE),"")</f>
        <v>0</v>
      </c>
      <c r="E210" s="28" t="str">
        <f>IFERROR(VLOOKUP(B210,'SAÍDA DE VENDAS'!$B$6:$P$500,5,FALSE),"")</f>
        <v/>
      </c>
      <c r="F210" s="28" t="str">
        <f>IF(OR(ISBLANK(B210),B210=""), "", IFERROR(INDEX('SAÍDA DE VENDAS'!$H$6:$H$500 &amp; "x " &amp; 'SAÍDA DE VENDAS'!$G$6:$G$500, MATCH(B210, 'SAÍDA DE VENDAS'!$B$6:$B$500, 0)), "")&amp; IF(COUNTIF('SAÍDA DE VENDAS'!$B$6:$B$500, B210)&gt;1, " + " &amp; IFERROR(INDEX('SAÍDA DE VENDAS'!$H$6:$H$500 &amp; "x " &amp; 'SAÍDA DE VENDAS'!$G$6:$G$500, MATCH(B210, 'SAÍDA DE VENDAS'!$B$6:$B$500, 0)+1), ""), "")&amp; IF(COUNTIF('SAÍDA DE VENDAS'!$B$6:$B$500, B210)&gt;2, " + " &amp; IFERROR(INDEX('SAÍDA DE VENDAS'!$H$6:$H$500 &amp; "x " &amp; 'SAÍDA DE VENDAS'!$G$6:$G$500, MATCH(B210, 'SAÍDA DE VENDAS'!$B$6:$B$500, 0)+2), ""), "")&amp; IF(COUNTIF('SAÍDA DE VENDAS'!$B$6:$B$500, B210)&gt;3, " + " &amp; IFERROR(INDEX('SAÍDA DE VENDAS'!$H$6:$H$500 &amp; "x " &amp; 'SAÍDA DE VENDAS'!$G$6:$G$500, MATCH(B210, 'SAÍDA DE VENDAS'!$B$6:$B$500, 0)+3), ""), "")&amp; IF(COUNTIF('SAÍDA DE VENDAS'!$B$6:$B$500, B210)&gt;4, " + " &amp; IFERROR(INDEX('SAÍDA DE VENDAS'!$H$6:$H$500 &amp; "x " &amp; 'SAÍDA DE VENDAS'!$G$6:$G$500, MATCH(B210, 'SAÍDA DE VENDAS'!$B$6:$B$500, 0)+4), ""), "")&amp; IF(COUNTIF('SAÍDA DE VENDAS'!$B$6:$B$500, B210)&gt;5, " + " &amp; IFERROR(INDEX('SAÍDA DE VENDAS'!$H$6:$H$500 &amp; "x " &amp; 'SAÍDA DE VENDAS'!$G$6:$G$500, MATCH(B210, 'SAÍDA DE VENDAS'!$B$6:$B$500, 0)+5), ""), ""))</f>
        <v/>
      </c>
      <c r="G210" s="28">
        <f>IFERROR(VLOOKUP(B210,'SAÍDA DE VENDAS'!$B$6:$P$500,10,FALSE),"")</f>
        <v>0</v>
      </c>
      <c r="H210" s="28" t="str">
        <f>IF(OR(ISBLANK(B210),B210=""), "", IF(B210=B209, (VALUE(LEFT(H209,FIND("/",H209)-1))+1)&amp;"/"&amp;RIGHT(H209,LEN(H209)-FIND("/",H209)), "1/"&amp;IFERROR(VLOOKUP(B210,'SAÍDA DE VENDAS'!$B$6:$P$500,13,FALSE),"1")))</f>
        <v/>
      </c>
      <c r="I210" s="69" t="str">
        <f t="shared" si="6"/>
        <v/>
      </c>
      <c r="J210" s="33" t="str">
        <f>IFERROR(VLOOKUP(B210,'SAÍDA DE VENDAS'!$B$6:$P$500,15,FALSE),"")</f>
        <v/>
      </c>
      <c r="K210" s="28" t="str">
        <f t="shared" ca="1" si="7"/>
        <v/>
      </c>
      <c r="L210" s="28"/>
      <c r="M210" s="28"/>
    </row>
    <row r="211" spans="2:13" ht="15" customHeight="1" x14ac:dyDescent="0.3">
      <c r="B211" s="34" t="str">
        <f>IF(B210="","", IF(VALUE(LEFT(H210,FIND("/",H210)-1)) &lt; VALUE(RIGHT(H210,LEN(H210)-FIND("/",H210))), B210, IFERROR(INDEX('SAÍDA DE VENDAS'!$B$6:$B$500, MATCH(B210,'SAÍDA DE VENDAS'!$B$6:$B$500,0)+COUNTIF('SAÍDA DE VENDAS'!$B$6:$B$500, B210)),"")))</f>
        <v/>
      </c>
      <c r="C211" s="35">
        <f>IFERROR(VLOOKUP(B211,'SAÍDA DE VENDAS'!$B$6:$P$500,3,FALSE),"")</f>
        <v>0</v>
      </c>
      <c r="D211" s="34">
        <f>IFERROR(VLOOKUP(B211,'SAÍDA DE VENDAS'!$B$6:$P$500,4,FALSE),"")</f>
        <v>0</v>
      </c>
      <c r="E211" s="34" t="str">
        <f>IFERROR(VLOOKUP(B211,'SAÍDA DE VENDAS'!$B$6:$P$500,5,FALSE),"")</f>
        <v/>
      </c>
      <c r="F211" s="34" t="str">
        <f>IF(OR(ISBLANK(B211),B211=""), "", IFERROR(INDEX('SAÍDA DE VENDAS'!$H$6:$H$500 &amp; "x " &amp; 'SAÍDA DE VENDAS'!$G$6:$G$500, MATCH(B211, 'SAÍDA DE VENDAS'!$B$6:$B$500, 0)), "")&amp; IF(COUNTIF('SAÍDA DE VENDAS'!$B$6:$B$500, B211)&gt;1, " + " &amp; IFERROR(INDEX('SAÍDA DE VENDAS'!$H$6:$H$500 &amp; "x " &amp; 'SAÍDA DE VENDAS'!$G$6:$G$500, MATCH(B211, 'SAÍDA DE VENDAS'!$B$6:$B$500, 0)+1), ""), "")&amp; IF(COUNTIF('SAÍDA DE VENDAS'!$B$6:$B$500, B211)&gt;2, " + " &amp; IFERROR(INDEX('SAÍDA DE VENDAS'!$H$6:$H$500 &amp; "x " &amp; 'SAÍDA DE VENDAS'!$G$6:$G$500, MATCH(B211, 'SAÍDA DE VENDAS'!$B$6:$B$500, 0)+2), ""), "")&amp; IF(COUNTIF('SAÍDA DE VENDAS'!$B$6:$B$500, B211)&gt;3, " + " &amp; IFERROR(INDEX('SAÍDA DE VENDAS'!$H$6:$H$500 &amp; "x " &amp; 'SAÍDA DE VENDAS'!$G$6:$G$500, MATCH(B211, 'SAÍDA DE VENDAS'!$B$6:$B$500, 0)+3), ""), "")&amp; IF(COUNTIF('SAÍDA DE VENDAS'!$B$6:$B$500, B211)&gt;4, " + " &amp; IFERROR(INDEX('SAÍDA DE VENDAS'!$H$6:$H$500 &amp; "x " &amp; 'SAÍDA DE VENDAS'!$G$6:$G$500, MATCH(B211, 'SAÍDA DE VENDAS'!$B$6:$B$500, 0)+4), ""), "")&amp; IF(COUNTIF('SAÍDA DE VENDAS'!$B$6:$B$500, B211)&gt;5, " + " &amp; IFERROR(INDEX('SAÍDA DE VENDAS'!$H$6:$H$500 &amp; "x " &amp; 'SAÍDA DE VENDAS'!$G$6:$G$500, MATCH(B211, 'SAÍDA DE VENDAS'!$B$6:$B$500, 0)+5), ""), ""))</f>
        <v/>
      </c>
      <c r="G211" s="34">
        <f>IFERROR(VLOOKUP(B211,'SAÍDA DE VENDAS'!$B$6:$P$500,10,FALSE),"")</f>
        <v>0</v>
      </c>
      <c r="H211" s="34" t="str">
        <f>IF(OR(ISBLANK(B211),B211=""), "", IF(B211=B210, (VALUE(LEFT(H210,FIND("/",H210)-1))+1)&amp;"/"&amp;RIGHT(H210,LEN(H210)-FIND("/",H210)), "1/"&amp;IFERROR(VLOOKUP(B211,'SAÍDA DE VENDAS'!$B$6:$P$500,13,FALSE),"1")))</f>
        <v/>
      </c>
      <c r="I211" s="35" t="str">
        <f t="shared" si="6"/>
        <v/>
      </c>
      <c r="J211" s="39" t="str">
        <f>IFERROR(VLOOKUP(B211,'SAÍDA DE VENDAS'!$B$6:$P$500,15,FALSE),"")</f>
        <v/>
      </c>
      <c r="K211" s="34" t="str">
        <f t="shared" ca="1" si="7"/>
        <v/>
      </c>
      <c r="L211" s="34"/>
      <c r="M211" s="34"/>
    </row>
    <row r="212" spans="2:13" ht="15" customHeight="1" x14ac:dyDescent="0.3">
      <c r="B212" s="28" t="str">
        <f>IF(B211="","", IF(VALUE(LEFT(H211,FIND("/",H211)-1)) &lt; VALUE(RIGHT(H211,LEN(H211)-FIND("/",H211))), B211, IFERROR(INDEX('SAÍDA DE VENDAS'!$B$6:$B$500, MATCH(B211,'SAÍDA DE VENDAS'!$B$6:$B$500,0)+COUNTIF('SAÍDA DE VENDAS'!$B$6:$B$500, B211)),"")))</f>
        <v/>
      </c>
      <c r="C212" s="29">
        <f>IFERROR(VLOOKUP(B212,'SAÍDA DE VENDAS'!$B$6:$P$500,3,FALSE),"")</f>
        <v>0</v>
      </c>
      <c r="D212" s="28">
        <f>IFERROR(VLOOKUP(B212,'SAÍDA DE VENDAS'!$B$6:$P$500,4,FALSE),"")</f>
        <v>0</v>
      </c>
      <c r="E212" s="28" t="str">
        <f>IFERROR(VLOOKUP(B212,'SAÍDA DE VENDAS'!$B$6:$P$500,5,FALSE),"")</f>
        <v/>
      </c>
      <c r="F212" s="28" t="str">
        <f>IF(OR(ISBLANK(B212),B212=""), "", IFERROR(INDEX('SAÍDA DE VENDAS'!$H$6:$H$500 &amp; "x " &amp; 'SAÍDA DE VENDAS'!$G$6:$G$500, MATCH(B212, 'SAÍDA DE VENDAS'!$B$6:$B$500, 0)), "")&amp; IF(COUNTIF('SAÍDA DE VENDAS'!$B$6:$B$500, B212)&gt;1, " + " &amp; IFERROR(INDEX('SAÍDA DE VENDAS'!$H$6:$H$500 &amp; "x " &amp; 'SAÍDA DE VENDAS'!$G$6:$G$500, MATCH(B212, 'SAÍDA DE VENDAS'!$B$6:$B$500, 0)+1), ""), "")&amp; IF(COUNTIF('SAÍDA DE VENDAS'!$B$6:$B$500, B212)&gt;2, " + " &amp; IFERROR(INDEX('SAÍDA DE VENDAS'!$H$6:$H$500 &amp; "x " &amp; 'SAÍDA DE VENDAS'!$G$6:$G$500, MATCH(B212, 'SAÍDA DE VENDAS'!$B$6:$B$500, 0)+2), ""), "")&amp; IF(COUNTIF('SAÍDA DE VENDAS'!$B$6:$B$500, B212)&gt;3, " + " &amp; IFERROR(INDEX('SAÍDA DE VENDAS'!$H$6:$H$500 &amp; "x " &amp; 'SAÍDA DE VENDAS'!$G$6:$G$500, MATCH(B212, 'SAÍDA DE VENDAS'!$B$6:$B$500, 0)+3), ""), "")&amp; IF(COUNTIF('SAÍDA DE VENDAS'!$B$6:$B$500, B212)&gt;4, " + " &amp; IFERROR(INDEX('SAÍDA DE VENDAS'!$H$6:$H$500 &amp; "x " &amp; 'SAÍDA DE VENDAS'!$G$6:$G$500, MATCH(B212, 'SAÍDA DE VENDAS'!$B$6:$B$500, 0)+4), ""), "")&amp; IF(COUNTIF('SAÍDA DE VENDAS'!$B$6:$B$500, B212)&gt;5, " + " &amp; IFERROR(INDEX('SAÍDA DE VENDAS'!$H$6:$H$500 &amp; "x " &amp; 'SAÍDA DE VENDAS'!$G$6:$G$500, MATCH(B212, 'SAÍDA DE VENDAS'!$B$6:$B$500, 0)+5), ""), ""))</f>
        <v/>
      </c>
      <c r="G212" s="28">
        <f>IFERROR(VLOOKUP(B212,'SAÍDA DE VENDAS'!$B$6:$P$500,10,FALSE),"")</f>
        <v>0</v>
      </c>
      <c r="H212" s="28" t="str">
        <f>IF(OR(ISBLANK(B212),B212=""), "", IF(B212=B211, (VALUE(LEFT(H211,FIND("/",H211)-1))+1)&amp;"/"&amp;RIGHT(H211,LEN(H211)-FIND("/",H211)), "1/"&amp;IFERROR(VLOOKUP(B212,'SAÍDA DE VENDAS'!$B$6:$P$500,13,FALSE),"1")))</f>
        <v/>
      </c>
      <c r="I212" s="69" t="str">
        <f t="shared" si="6"/>
        <v/>
      </c>
      <c r="J212" s="33" t="str">
        <f>IFERROR(VLOOKUP(B212,'SAÍDA DE VENDAS'!$B$6:$P$500,15,FALSE),"")</f>
        <v/>
      </c>
      <c r="K212" s="28" t="str">
        <f t="shared" ca="1" si="7"/>
        <v/>
      </c>
      <c r="L212" s="28"/>
      <c r="M212" s="28"/>
    </row>
    <row r="213" spans="2:13" ht="15" customHeight="1" x14ac:dyDescent="0.3">
      <c r="B213" s="34" t="str">
        <f>IF(B212="","", IF(VALUE(LEFT(H212,FIND("/",H212)-1)) &lt; VALUE(RIGHT(H212,LEN(H212)-FIND("/",H212))), B212, IFERROR(INDEX('SAÍDA DE VENDAS'!$B$6:$B$500, MATCH(B212,'SAÍDA DE VENDAS'!$B$6:$B$500,0)+COUNTIF('SAÍDA DE VENDAS'!$B$6:$B$500, B212)),"")))</f>
        <v/>
      </c>
      <c r="C213" s="35">
        <f>IFERROR(VLOOKUP(B213,'SAÍDA DE VENDAS'!$B$6:$P$500,3,FALSE),"")</f>
        <v>0</v>
      </c>
      <c r="D213" s="34">
        <f>IFERROR(VLOOKUP(B213,'SAÍDA DE VENDAS'!$B$6:$P$500,4,FALSE),"")</f>
        <v>0</v>
      </c>
      <c r="E213" s="34" t="str">
        <f>IFERROR(VLOOKUP(B213,'SAÍDA DE VENDAS'!$B$6:$P$500,5,FALSE),"")</f>
        <v/>
      </c>
      <c r="F213" s="34" t="str">
        <f>IF(OR(ISBLANK(B213),B213=""), "", IFERROR(INDEX('SAÍDA DE VENDAS'!$H$6:$H$500 &amp; "x " &amp; 'SAÍDA DE VENDAS'!$G$6:$G$500, MATCH(B213, 'SAÍDA DE VENDAS'!$B$6:$B$500, 0)), "")&amp; IF(COUNTIF('SAÍDA DE VENDAS'!$B$6:$B$500, B213)&gt;1, " + " &amp; IFERROR(INDEX('SAÍDA DE VENDAS'!$H$6:$H$500 &amp; "x " &amp; 'SAÍDA DE VENDAS'!$G$6:$G$500, MATCH(B213, 'SAÍDA DE VENDAS'!$B$6:$B$500, 0)+1), ""), "")&amp; IF(COUNTIF('SAÍDA DE VENDAS'!$B$6:$B$500, B213)&gt;2, " + " &amp; IFERROR(INDEX('SAÍDA DE VENDAS'!$H$6:$H$500 &amp; "x " &amp; 'SAÍDA DE VENDAS'!$G$6:$G$500, MATCH(B213, 'SAÍDA DE VENDAS'!$B$6:$B$500, 0)+2), ""), "")&amp; IF(COUNTIF('SAÍDA DE VENDAS'!$B$6:$B$500, B213)&gt;3, " + " &amp; IFERROR(INDEX('SAÍDA DE VENDAS'!$H$6:$H$500 &amp; "x " &amp; 'SAÍDA DE VENDAS'!$G$6:$G$500, MATCH(B213, 'SAÍDA DE VENDAS'!$B$6:$B$500, 0)+3), ""), "")&amp; IF(COUNTIF('SAÍDA DE VENDAS'!$B$6:$B$500, B213)&gt;4, " + " &amp; IFERROR(INDEX('SAÍDA DE VENDAS'!$H$6:$H$500 &amp; "x " &amp; 'SAÍDA DE VENDAS'!$G$6:$G$500, MATCH(B213, 'SAÍDA DE VENDAS'!$B$6:$B$500, 0)+4), ""), "")&amp; IF(COUNTIF('SAÍDA DE VENDAS'!$B$6:$B$500, B213)&gt;5, " + " &amp; IFERROR(INDEX('SAÍDA DE VENDAS'!$H$6:$H$500 &amp; "x " &amp; 'SAÍDA DE VENDAS'!$G$6:$G$500, MATCH(B213, 'SAÍDA DE VENDAS'!$B$6:$B$500, 0)+5), ""), ""))</f>
        <v/>
      </c>
      <c r="G213" s="34">
        <f>IFERROR(VLOOKUP(B213,'SAÍDA DE VENDAS'!$B$6:$P$500,10,FALSE),"")</f>
        <v>0</v>
      </c>
      <c r="H213" s="34" t="str">
        <f>IF(OR(ISBLANK(B213),B213=""), "", IF(B213=B212, (VALUE(LEFT(H212,FIND("/",H212)-1))+1)&amp;"/"&amp;RIGHT(H212,LEN(H212)-FIND("/",H212)), "1/"&amp;IFERROR(VLOOKUP(B213,'SAÍDA DE VENDAS'!$B$6:$P$500,13,FALSE),"1")))</f>
        <v/>
      </c>
      <c r="I213" s="35" t="str">
        <f t="shared" si="6"/>
        <v/>
      </c>
      <c r="J213" s="39" t="str">
        <f>IFERROR(VLOOKUP(B213,'SAÍDA DE VENDAS'!$B$6:$P$500,15,FALSE),"")</f>
        <v/>
      </c>
      <c r="K213" s="34" t="str">
        <f t="shared" ca="1" si="7"/>
        <v/>
      </c>
      <c r="L213" s="34"/>
      <c r="M213" s="34"/>
    </row>
    <row r="214" spans="2:13" ht="15" customHeight="1" x14ac:dyDescent="0.3">
      <c r="B214" s="28" t="str">
        <f>IF(B213="","", IF(VALUE(LEFT(H213,FIND("/",H213)-1)) &lt; VALUE(RIGHT(H213,LEN(H213)-FIND("/",H213))), B213, IFERROR(INDEX('SAÍDA DE VENDAS'!$B$6:$B$500, MATCH(B213,'SAÍDA DE VENDAS'!$B$6:$B$500,0)+COUNTIF('SAÍDA DE VENDAS'!$B$6:$B$500, B213)),"")))</f>
        <v/>
      </c>
      <c r="C214" s="29">
        <f>IFERROR(VLOOKUP(B214,'SAÍDA DE VENDAS'!$B$6:$P$500,3,FALSE),"")</f>
        <v>0</v>
      </c>
      <c r="D214" s="28">
        <f>IFERROR(VLOOKUP(B214,'SAÍDA DE VENDAS'!$B$6:$P$500,4,FALSE),"")</f>
        <v>0</v>
      </c>
      <c r="E214" s="28" t="str">
        <f>IFERROR(VLOOKUP(B214,'SAÍDA DE VENDAS'!$B$6:$P$500,5,FALSE),"")</f>
        <v/>
      </c>
      <c r="F214" s="28" t="str">
        <f>IF(OR(ISBLANK(B214),B214=""), "", IFERROR(INDEX('SAÍDA DE VENDAS'!$H$6:$H$500 &amp; "x " &amp; 'SAÍDA DE VENDAS'!$G$6:$G$500, MATCH(B214, 'SAÍDA DE VENDAS'!$B$6:$B$500, 0)), "")&amp; IF(COUNTIF('SAÍDA DE VENDAS'!$B$6:$B$500, B214)&gt;1, " + " &amp; IFERROR(INDEX('SAÍDA DE VENDAS'!$H$6:$H$500 &amp; "x " &amp; 'SAÍDA DE VENDAS'!$G$6:$G$500, MATCH(B214, 'SAÍDA DE VENDAS'!$B$6:$B$500, 0)+1), ""), "")&amp; IF(COUNTIF('SAÍDA DE VENDAS'!$B$6:$B$500, B214)&gt;2, " + " &amp; IFERROR(INDEX('SAÍDA DE VENDAS'!$H$6:$H$500 &amp; "x " &amp; 'SAÍDA DE VENDAS'!$G$6:$G$500, MATCH(B214, 'SAÍDA DE VENDAS'!$B$6:$B$500, 0)+2), ""), "")&amp; IF(COUNTIF('SAÍDA DE VENDAS'!$B$6:$B$500, B214)&gt;3, " + " &amp; IFERROR(INDEX('SAÍDA DE VENDAS'!$H$6:$H$500 &amp; "x " &amp; 'SAÍDA DE VENDAS'!$G$6:$G$500, MATCH(B214, 'SAÍDA DE VENDAS'!$B$6:$B$500, 0)+3), ""), "")&amp; IF(COUNTIF('SAÍDA DE VENDAS'!$B$6:$B$500, B214)&gt;4, " + " &amp; IFERROR(INDEX('SAÍDA DE VENDAS'!$H$6:$H$500 &amp; "x " &amp; 'SAÍDA DE VENDAS'!$G$6:$G$500, MATCH(B214, 'SAÍDA DE VENDAS'!$B$6:$B$500, 0)+4), ""), "")&amp; IF(COUNTIF('SAÍDA DE VENDAS'!$B$6:$B$500, B214)&gt;5, " + " &amp; IFERROR(INDEX('SAÍDA DE VENDAS'!$H$6:$H$500 &amp; "x " &amp; 'SAÍDA DE VENDAS'!$G$6:$G$500, MATCH(B214, 'SAÍDA DE VENDAS'!$B$6:$B$500, 0)+5), ""), ""))</f>
        <v/>
      </c>
      <c r="G214" s="28">
        <f>IFERROR(VLOOKUP(B214,'SAÍDA DE VENDAS'!$B$6:$P$500,10,FALSE),"")</f>
        <v>0</v>
      </c>
      <c r="H214" s="28" t="str">
        <f>IF(OR(ISBLANK(B214),B214=""), "", IF(B214=B213, (VALUE(LEFT(H213,FIND("/",H213)-1))+1)&amp;"/"&amp;RIGHT(H213,LEN(H213)-FIND("/",H213)), "1/"&amp;IFERROR(VLOOKUP(B214,'SAÍDA DE VENDAS'!$B$6:$P$500,13,FALSE),"1")))</f>
        <v/>
      </c>
      <c r="I214" s="69" t="str">
        <f t="shared" si="6"/>
        <v/>
      </c>
      <c r="J214" s="33" t="str">
        <f>IFERROR(VLOOKUP(B214,'SAÍDA DE VENDAS'!$B$6:$P$500,15,FALSE),"")</f>
        <v/>
      </c>
      <c r="K214" s="28" t="str">
        <f t="shared" ca="1" si="7"/>
        <v/>
      </c>
      <c r="L214" s="28"/>
      <c r="M214" s="28"/>
    </row>
    <row r="215" spans="2:13" ht="15" customHeight="1" x14ac:dyDescent="0.3">
      <c r="B215" s="34" t="str">
        <f>IF(B214="","", IF(VALUE(LEFT(H214,FIND("/",H214)-1)) &lt; VALUE(RIGHT(H214,LEN(H214)-FIND("/",H214))), B214, IFERROR(INDEX('SAÍDA DE VENDAS'!$B$6:$B$500, MATCH(B214,'SAÍDA DE VENDAS'!$B$6:$B$500,0)+COUNTIF('SAÍDA DE VENDAS'!$B$6:$B$500, B214)),"")))</f>
        <v/>
      </c>
      <c r="C215" s="35">
        <f>IFERROR(VLOOKUP(B215,'SAÍDA DE VENDAS'!$B$6:$P$500,3,FALSE),"")</f>
        <v>0</v>
      </c>
      <c r="D215" s="34">
        <f>IFERROR(VLOOKUP(B215,'SAÍDA DE VENDAS'!$B$6:$P$500,4,FALSE),"")</f>
        <v>0</v>
      </c>
      <c r="E215" s="34" t="str">
        <f>IFERROR(VLOOKUP(B215,'SAÍDA DE VENDAS'!$B$6:$P$500,5,FALSE),"")</f>
        <v/>
      </c>
      <c r="F215" s="34" t="str">
        <f>IF(OR(ISBLANK(B215),B215=""), "", IFERROR(INDEX('SAÍDA DE VENDAS'!$H$6:$H$500 &amp; "x " &amp; 'SAÍDA DE VENDAS'!$G$6:$G$500, MATCH(B215, 'SAÍDA DE VENDAS'!$B$6:$B$500, 0)), "")&amp; IF(COUNTIF('SAÍDA DE VENDAS'!$B$6:$B$500, B215)&gt;1, " + " &amp; IFERROR(INDEX('SAÍDA DE VENDAS'!$H$6:$H$500 &amp; "x " &amp; 'SAÍDA DE VENDAS'!$G$6:$G$500, MATCH(B215, 'SAÍDA DE VENDAS'!$B$6:$B$500, 0)+1), ""), "")&amp; IF(COUNTIF('SAÍDA DE VENDAS'!$B$6:$B$500, B215)&gt;2, " + " &amp; IFERROR(INDEX('SAÍDA DE VENDAS'!$H$6:$H$500 &amp; "x " &amp; 'SAÍDA DE VENDAS'!$G$6:$G$500, MATCH(B215, 'SAÍDA DE VENDAS'!$B$6:$B$500, 0)+2), ""), "")&amp; IF(COUNTIF('SAÍDA DE VENDAS'!$B$6:$B$500, B215)&gt;3, " + " &amp; IFERROR(INDEX('SAÍDA DE VENDAS'!$H$6:$H$500 &amp; "x " &amp; 'SAÍDA DE VENDAS'!$G$6:$G$500, MATCH(B215, 'SAÍDA DE VENDAS'!$B$6:$B$500, 0)+3), ""), "")&amp; IF(COUNTIF('SAÍDA DE VENDAS'!$B$6:$B$500, B215)&gt;4, " + " &amp; IFERROR(INDEX('SAÍDA DE VENDAS'!$H$6:$H$500 &amp; "x " &amp; 'SAÍDA DE VENDAS'!$G$6:$G$500, MATCH(B215, 'SAÍDA DE VENDAS'!$B$6:$B$500, 0)+4), ""), "")&amp; IF(COUNTIF('SAÍDA DE VENDAS'!$B$6:$B$500, B215)&gt;5, " + " &amp; IFERROR(INDEX('SAÍDA DE VENDAS'!$H$6:$H$500 &amp; "x " &amp; 'SAÍDA DE VENDAS'!$G$6:$G$500, MATCH(B215, 'SAÍDA DE VENDAS'!$B$6:$B$500, 0)+5), ""), ""))</f>
        <v/>
      </c>
      <c r="G215" s="34">
        <f>IFERROR(VLOOKUP(B215,'SAÍDA DE VENDAS'!$B$6:$P$500,10,FALSE),"")</f>
        <v>0</v>
      </c>
      <c r="H215" s="34" t="str">
        <f>IF(OR(ISBLANK(B215),B215=""), "", IF(B215=B214, (VALUE(LEFT(H214,FIND("/",H214)-1))+1)&amp;"/"&amp;RIGHT(H214,LEN(H214)-FIND("/",H214)), "1/"&amp;IFERROR(VLOOKUP(B215,'SAÍDA DE VENDAS'!$B$6:$P$500,13,FALSE),"1")))</f>
        <v/>
      </c>
      <c r="I215" s="35" t="str">
        <f t="shared" si="6"/>
        <v/>
      </c>
      <c r="J215" s="39" t="str">
        <f>IFERROR(VLOOKUP(B215,'SAÍDA DE VENDAS'!$B$6:$P$500,15,FALSE),"")</f>
        <v/>
      </c>
      <c r="K215" s="34" t="str">
        <f t="shared" ca="1" si="7"/>
        <v/>
      </c>
      <c r="L215" s="34"/>
      <c r="M215" s="34"/>
    </row>
    <row r="216" spans="2:13" ht="15" customHeight="1" x14ac:dyDescent="0.3">
      <c r="B216" s="28" t="str">
        <f>IF(B215="","", IF(VALUE(LEFT(H215,FIND("/",H215)-1)) &lt; VALUE(RIGHT(H215,LEN(H215)-FIND("/",H215))), B215, IFERROR(INDEX('SAÍDA DE VENDAS'!$B$6:$B$500, MATCH(B215,'SAÍDA DE VENDAS'!$B$6:$B$500,0)+COUNTIF('SAÍDA DE VENDAS'!$B$6:$B$500, B215)),"")))</f>
        <v/>
      </c>
      <c r="C216" s="29">
        <f>IFERROR(VLOOKUP(B216,'SAÍDA DE VENDAS'!$B$6:$P$500,3,FALSE),"")</f>
        <v>0</v>
      </c>
      <c r="D216" s="28">
        <f>IFERROR(VLOOKUP(B216,'SAÍDA DE VENDAS'!$B$6:$P$500,4,FALSE),"")</f>
        <v>0</v>
      </c>
      <c r="E216" s="28" t="str">
        <f>IFERROR(VLOOKUP(B216,'SAÍDA DE VENDAS'!$B$6:$P$500,5,FALSE),"")</f>
        <v/>
      </c>
      <c r="F216" s="28" t="str">
        <f>IF(OR(ISBLANK(B216),B216=""), "", IFERROR(INDEX('SAÍDA DE VENDAS'!$H$6:$H$500 &amp; "x " &amp; 'SAÍDA DE VENDAS'!$G$6:$G$500, MATCH(B216, 'SAÍDA DE VENDAS'!$B$6:$B$500, 0)), "")&amp; IF(COUNTIF('SAÍDA DE VENDAS'!$B$6:$B$500, B216)&gt;1, " + " &amp; IFERROR(INDEX('SAÍDA DE VENDAS'!$H$6:$H$500 &amp; "x " &amp; 'SAÍDA DE VENDAS'!$G$6:$G$500, MATCH(B216, 'SAÍDA DE VENDAS'!$B$6:$B$500, 0)+1), ""), "")&amp; IF(COUNTIF('SAÍDA DE VENDAS'!$B$6:$B$500, B216)&gt;2, " + " &amp; IFERROR(INDEX('SAÍDA DE VENDAS'!$H$6:$H$500 &amp; "x " &amp; 'SAÍDA DE VENDAS'!$G$6:$G$500, MATCH(B216, 'SAÍDA DE VENDAS'!$B$6:$B$500, 0)+2), ""), "")&amp; IF(COUNTIF('SAÍDA DE VENDAS'!$B$6:$B$500, B216)&gt;3, " + " &amp; IFERROR(INDEX('SAÍDA DE VENDAS'!$H$6:$H$500 &amp; "x " &amp; 'SAÍDA DE VENDAS'!$G$6:$G$500, MATCH(B216, 'SAÍDA DE VENDAS'!$B$6:$B$500, 0)+3), ""), "")&amp; IF(COUNTIF('SAÍDA DE VENDAS'!$B$6:$B$500, B216)&gt;4, " + " &amp; IFERROR(INDEX('SAÍDA DE VENDAS'!$H$6:$H$500 &amp; "x " &amp; 'SAÍDA DE VENDAS'!$G$6:$G$500, MATCH(B216, 'SAÍDA DE VENDAS'!$B$6:$B$500, 0)+4), ""), "")&amp; IF(COUNTIF('SAÍDA DE VENDAS'!$B$6:$B$500, B216)&gt;5, " + " &amp; IFERROR(INDEX('SAÍDA DE VENDAS'!$H$6:$H$500 &amp; "x " &amp; 'SAÍDA DE VENDAS'!$G$6:$G$500, MATCH(B216, 'SAÍDA DE VENDAS'!$B$6:$B$500, 0)+5), ""), ""))</f>
        <v/>
      </c>
      <c r="G216" s="28">
        <f>IFERROR(VLOOKUP(B216,'SAÍDA DE VENDAS'!$B$6:$P$500,10,FALSE),"")</f>
        <v>0</v>
      </c>
      <c r="H216" s="28" t="str">
        <f>IF(OR(ISBLANK(B216),B216=""), "", IF(B216=B215, (VALUE(LEFT(H215,FIND("/",H215)-1))+1)&amp;"/"&amp;RIGHT(H215,LEN(H215)-FIND("/",H215)), "1/"&amp;IFERROR(VLOOKUP(B216,'SAÍDA DE VENDAS'!$B$6:$P$500,13,FALSE),"1")))</f>
        <v/>
      </c>
      <c r="I216" s="69" t="str">
        <f t="shared" si="6"/>
        <v/>
      </c>
      <c r="J216" s="33" t="str">
        <f>IFERROR(VLOOKUP(B216,'SAÍDA DE VENDAS'!$B$6:$P$500,15,FALSE),"")</f>
        <v/>
      </c>
      <c r="K216" s="28" t="str">
        <f t="shared" ca="1" si="7"/>
        <v/>
      </c>
      <c r="L216" s="28"/>
      <c r="M216" s="28"/>
    </row>
    <row r="217" spans="2:13" ht="15" customHeight="1" x14ac:dyDescent="0.3">
      <c r="B217" s="34" t="str">
        <f>IF(B216="","", IF(VALUE(LEFT(H216,FIND("/",H216)-1)) &lt; VALUE(RIGHT(H216,LEN(H216)-FIND("/",H216))), B216, IFERROR(INDEX('SAÍDA DE VENDAS'!$B$6:$B$500, MATCH(B216,'SAÍDA DE VENDAS'!$B$6:$B$500,0)+COUNTIF('SAÍDA DE VENDAS'!$B$6:$B$500, B216)),"")))</f>
        <v/>
      </c>
      <c r="C217" s="35">
        <f>IFERROR(VLOOKUP(B217,'SAÍDA DE VENDAS'!$B$6:$P$500,3,FALSE),"")</f>
        <v>0</v>
      </c>
      <c r="D217" s="34">
        <f>IFERROR(VLOOKUP(B217,'SAÍDA DE VENDAS'!$B$6:$P$500,4,FALSE),"")</f>
        <v>0</v>
      </c>
      <c r="E217" s="34" t="str">
        <f>IFERROR(VLOOKUP(B217,'SAÍDA DE VENDAS'!$B$6:$P$500,5,FALSE),"")</f>
        <v/>
      </c>
      <c r="F217" s="34" t="str">
        <f>IF(OR(ISBLANK(B217),B217=""), "", IFERROR(INDEX('SAÍDA DE VENDAS'!$H$6:$H$500 &amp; "x " &amp; 'SAÍDA DE VENDAS'!$G$6:$G$500, MATCH(B217, 'SAÍDA DE VENDAS'!$B$6:$B$500, 0)), "")&amp; IF(COUNTIF('SAÍDA DE VENDAS'!$B$6:$B$500, B217)&gt;1, " + " &amp; IFERROR(INDEX('SAÍDA DE VENDAS'!$H$6:$H$500 &amp; "x " &amp; 'SAÍDA DE VENDAS'!$G$6:$G$500, MATCH(B217, 'SAÍDA DE VENDAS'!$B$6:$B$500, 0)+1), ""), "")&amp; IF(COUNTIF('SAÍDA DE VENDAS'!$B$6:$B$500, B217)&gt;2, " + " &amp; IFERROR(INDEX('SAÍDA DE VENDAS'!$H$6:$H$500 &amp; "x " &amp; 'SAÍDA DE VENDAS'!$G$6:$G$500, MATCH(B217, 'SAÍDA DE VENDAS'!$B$6:$B$500, 0)+2), ""), "")&amp; IF(COUNTIF('SAÍDA DE VENDAS'!$B$6:$B$500, B217)&gt;3, " + " &amp; IFERROR(INDEX('SAÍDA DE VENDAS'!$H$6:$H$500 &amp; "x " &amp; 'SAÍDA DE VENDAS'!$G$6:$G$500, MATCH(B217, 'SAÍDA DE VENDAS'!$B$6:$B$500, 0)+3), ""), "")&amp; IF(COUNTIF('SAÍDA DE VENDAS'!$B$6:$B$500, B217)&gt;4, " + " &amp; IFERROR(INDEX('SAÍDA DE VENDAS'!$H$6:$H$500 &amp; "x " &amp; 'SAÍDA DE VENDAS'!$G$6:$G$500, MATCH(B217, 'SAÍDA DE VENDAS'!$B$6:$B$500, 0)+4), ""), "")&amp; IF(COUNTIF('SAÍDA DE VENDAS'!$B$6:$B$500, B217)&gt;5, " + " &amp; IFERROR(INDEX('SAÍDA DE VENDAS'!$H$6:$H$500 &amp; "x " &amp; 'SAÍDA DE VENDAS'!$G$6:$G$500, MATCH(B217, 'SAÍDA DE VENDAS'!$B$6:$B$500, 0)+5), ""), ""))</f>
        <v/>
      </c>
      <c r="G217" s="34">
        <f>IFERROR(VLOOKUP(B217,'SAÍDA DE VENDAS'!$B$6:$P$500,10,FALSE),"")</f>
        <v>0</v>
      </c>
      <c r="H217" s="34" t="str">
        <f>IF(OR(ISBLANK(B217),B217=""), "", IF(B217=B216, (VALUE(LEFT(H216,FIND("/",H216)-1))+1)&amp;"/"&amp;RIGHT(H216,LEN(H216)-FIND("/",H216)), "1/"&amp;IFERROR(VLOOKUP(B217,'SAÍDA DE VENDAS'!$B$6:$P$500,13,FALSE),"1")))</f>
        <v/>
      </c>
      <c r="I217" s="35" t="str">
        <f t="shared" si="6"/>
        <v/>
      </c>
      <c r="J217" s="39" t="str">
        <f>IFERROR(VLOOKUP(B217,'SAÍDA DE VENDAS'!$B$6:$P$500,15,FALSE),"")</f>
        <v/>
      </c>
      <c r="K217" s="34" t="str">
        <f t="shared" ca="1" si="7"/>
        <v/>
      </c>
      <c r="L217" s="34"/>
      <c r="M217" s="34"/>
    </row>
    <row r="218" spans="2:13" ht="15" customHeight="1" x14ac:dyDescent="0.3">
      <c r="B218" s="28" t="str">
        <f>IF(B217="","", IF(VALUE(LEFT(H217,FIND("/",H217)-1)) &lt; VALUE(RIGHT(H217,LEN(H217)-FIND("/",H217))), B217, IFERROR(INDEX('SAÍDA DE VENDAS'!$B$6:$B$500, MATCH(B217,'SAÍDA DE VENDAS'!$B$6:$B$500,0)+COUNTIF('SAÍDA DE VENDAS'!$B$6:$B$500, B217)),"")))</f>
        <v/>
      </c>
      <c r="C218" s="29">
        <f>IFERROR(VLOOKUP(B218,'SAÍDA DE VENDAS'!$B$6:$P$500,3,FALSE),"")</f>
        <v>0</v>
      </c>
      <c r="D218" s="28">
        <f>IFERROR(VLOOKUP(B218,'SAÍDA DE VENDAS'!$B$6:$P$500,4,FALSE),"")</f>
        <v>0</v>
      </c>
      <c r="E218" s="28" t="str">
        <f>IFERROR(VLOOKUP(B218,'SAÍDA DE VENDAS'!$B$6:$P$500,5,FALSE),"")</f>
        <v/>
      </c>
      <c r="F218" s="28" t="str">
        <f>IF(OR(ISBLANK(B218),B218=""), "", IFERROR(INDEX('SAÍDA DE VENDAS'!$H$6:$H$500 &amp; "x " &amp; 'SAÍDA DE VENDAS'!$G$6:$G$500, MATCH(B218, 'SAÍDA DE VENDAS'!$B$6:$B$500, 0)), "")&amp; IF(COUNTIF('SAÍDA DE VENDAS'!$B$6:$B$500, B218)&gt;1, " + " &amp; IFERROR(INDEX('SAÍDA DE VENDAS'!$H$6:$H$500 &amp; "x " &amp; 'SAÍDA DE VENDAS'!$G$6:$G$500, MATCH(B218, 'SAÍDA DE VENDAS'!$B$6:$B$500, 0)+1), ""), "")&amp; IF(COUNTIF('SAÍDA DE VENDAS'!$B$6:$B$500, B218)&gt;2, " + " &amp; IFERROR(INDEX('SAÍDA DE VENDAS'!$H$6:$H$500 &amp; "x " &amp; 'SAÍDA DE VENDAS'!$G$6:$G$500, MATCH(B218, 'SAÍDA DE VENDAS'!$B$6:$B$500, 0)+2), ""), "")&amp; IF(COUNTIF('SAÍDA DE VENDAS'!$B$6:$B$500, B218)&gt;3, " + " &amp; IFERROR(INDEX('SAÍDA DE VENDAS'!$H$6:$H$500 &amp; "x " &amp; 'SAÍDA DE VENDAS'!$G$6:$G$500, MATCH(B218, 'SAÍDA DE VENDAS'!$B$6:$B$500, 0)+3), ""), "")&amp; IF(COUNTIF('SAÍDA DE VENDAS'!$B$6:$B$500, B218)&gt;4, " + " &amp; IFERROR(INDEX('SAÍDA DE VENDAS'!$H$6:$H$500 &amp; "x " &amp; 'SAÍDA DE VENDAS'!$G$6:$G$500, MATCH(B218, 'SAÍDA DE VENDAS'!$B$6:$B$500, 0)+4), ""), "")&amp; IF(COUNTIF('SAÍDA DE VENDAS'!$B$6:$B$500, B218)&gt;5, " + " &amp; IFERROR(INDEX('SAÍDA DE VENDAS'!$H$6:$H$500 &amp; "x " &amp; 'SAÍDA DE VENDAS'!$G$6:$G$500, MATCH(B218, 'SAÍDA DE VENDAS'!$B$6:$B$500, 0)+5), ""), ""))</f>
        <v/>
      </c>
      <c r="G218" s="28">
        <f>IFERROR(VLOOKUP(B218,'SAÍDA DE VENDAS'!$B$6:$P$500,10,FALSE),"")</f>
        <v>0</v>
      </c>
      <c r="H218" s="28" t="str">
        <f>IF(OR(ISBLANK(B218),B218=""), "", IF(B218=B217, (VALUE(LEFT(H217,FIND("/",H217)-1))+1)&amp;"/"&amp;RIGHT(H217,LEN(H217)-FIND("/",H217)), "1/"&amp;IFERROR(VLOOKUP(B218,'SAÍDA DE VENDAS'!$B$6:$P$500,13,FALSE),"1")))</f>
        <v/>
      </c>
      <c r="I218" s="69" t="str">
        <f t="shared" si="6"/>
        <v/>
      </c>
      <c r="J218" s="33" t="str">
        <f>IFERROR(VLOOKUP(B218,'SAÍDA DE VENDAS'!$B$6:$P$500,15,FALSE),"")</f>
        <v/>
      </c>
      <c r="K218" s="28" t="str">
        <f t="shared" ca="1" si="7"/>
        <v/>
      </c>
      <c r="L218" s="28"/>
      <c r="M218" s="28"/>
    </row>
    <row r="219" spans="2:13" ht="15" customHeight="1" x14ac:dyDescent="0.3">
      <c r="B219" s="34" t="str">
        <f>IF(B218="","", IF(VALUE(LEFT(H218,FIND("/",H218)-1)) &lt; VALUE(RIGHT(H218,LEN(H218)-FIND("/",H218))), B218, IFERROR(INDEX('SAÍDA DE VENDAS'!$B$6:$B$500, MATCH(B218,'SAÍDA DE VENDAS'!$B$6:$B$500,0)+COUNTIF('SAÍDA DE VENDAS'!$B$6:$B$500, B218)),"")))</f>
        <v/>
      </c>
      <c r="C219" s="35">
        <f>IFERROR(VLOOKUP(B219,'SAÍDA DE VENDAS'!$B$6:$P$500,3,FALSE),"")</f>
        <v>0</v>
      </c>
      <c r="D219" s="34">
        <f>IFERROR(VLOOKUP(B219,'SAÍDA DE VENDAS'!$B$6:$P$500,4,FALSE),"")</f>
        <v>0</v>
      </c>
      <c r="E219" s="34" t="str">
        <f>IFERROR(VLOOKUP(B219,'SAÍDA DE VENDAS'!$B$6:$P$500,5,FALSE),"")</f>
        <v/>
      </c>
      <c r="F219" s="34" t="str">
        <f>IF(OR(ISBLANK(B219),B219=""), "", IFERROR(INDEX('SAÍDA DE VENDAS'!$H$6:$H$500 &amp; "x " &amp; 'SAÍDA DE VENDAS'!$G$6:$G$500, MATCH(B219, 'SAÍDA DE VENDAS'!$B$6:$B$500, 0)), "")&amp; IF(COUNTIF('SAÍDA DE VENDAS'!$B$6:$B$500, B219)&gt;1, " + " &amp; IFERROR(INDEX('SAÍDA DE VENDAS'!$H$6:$H$500 &amp; "x " &amp; 'SAÍDA DE VENDAS'!$G$6:$G$500, MATCH(B219, 'SAÍDA DE VENDAS'!$B$6:$B$500, 0)+1), ""), "")&amp; IF(COUNTIF('SAÍDA DE VENDAS'!$B$6:$B$500, B219)&gt;2, " + " &amp; IFERROR(INDEX('SAÍDA DE VENDAS'!$H$6:$H$500 &amp; "x " &amp; 'SAÍDA DE VENDAS'!$G$6:$G$500, MATCH(B219, 'SAÍDA DE VENDAS'!$B$6:$B$500, 0)+2), ""), "")&amp; IF(COUNTIF('SAÍDA DE VENDAS'!$B$6:$B$500, B219)&gt;3, " + " &amp; IFERROR(INDEX('SAÍDA DE VENDAS'!$H$6:$H$500 &amp; "x " &amp; 'SAÍDA DE VENDAS'!$G$6:$G$500, MATCH(B219, 'SAÍDA DE VENDAS'!$B$6:$B$500, 0)+3), ""), "")&amp; IF(COUNTIF('SAÍDA DE VENDAS'!$B$6:$B$500, B219)&gt;4, " + " &amp; IFERROR(INDEX('SAÍDA DE VENDAS'!$H$6:$H$500 &amp; "x " &amp; 'SAÍDA DE VENDAS'!$G$6:$G$500, MATCH(B219, 'SAÍDA DE VENDAS'!$B$6:$B$500, 0)+4), ""), "")&amp; IF(COUNTIF('SAÍDA DE VENDAS'!$B$6:$B$500, B219)&gt;5, " + " &amp; IFERROR(INDEX('SAÍDA DE VENDAS'!$H$6:$H$500 &amp; "x " &amp; 'SAÍDA DE VENDAS'!$G$6:$G$500, MATCH(B219, 'SAÍDA DE VENDAS'!$B$6:$B$500, 0)+5), ""), ""))</f>
        <v/>
      </c>
      <c r="G219" s="34">
        <f>IFERROR(VLOOKUP(B219,'SAÍDA DE VENDAS'!$B$6:$P$500,10,FALSE),"")</f>
        <v>0</v>
      </c>
      <c r="H219" s="34" t="str">
        <f>IF(OR(ISBLANK(B219),B219=""), "", IF(B219=B218, (VALUE(LEFT(H218,FIND("/",H218)-1))+1)&amp;"/"&amp;RIGHT(H218,LEN(H218)-FIND("/",H218)), "1/"&amp;IFERROR(VLOOKUP(B219,'SAÍDA DE VENDAS'!$B$6:$P$500,13,FALSE),"1")))</f>
        <v/>
      </c>
      <c r="I219" s="35" t="str">
        <f t="shared" si="6"/>
        <v/>
      </c>
      <c r="J219" s="39" t="str">
        <f>IFERROR(VLOOKUP(B219,'SAÍDA DE VENDAS'!$B$6:$P$500,15,FALSE),"")</f>
        <v/>
      </c>
      <c r="K219" s="34" t="str">
        <f t="shared" ca="1" si="7"/>
        <v/>
      </c>
      <c r="L219" s="34"/>
      <c r="M219" s="34"/>
    </row>
    <row r="220" spans="2:13" ht="15" customHeight="1" x14ac:dyDescent="0.3">
      <c r="B220" s="28" t="str">
        <f>IF(B219="","", IF(VALUE(LEFT(H219,FIND("/",H219)-1)) &lt; VALUE(RIGHT(H219,LEN(H219)-FIND("/",H219))), B219, IFERROR(INDEX('SAÍDA DE VENDAS'!$B$6:$B$500, MATCH(B219,'SAÍDA DE VENDAS'!$B$6:$B$500,0)+COUNTIF('SAÍDA DE VENDAS'!$B$6:$B$500, B219)),"")))</f>
        <v/>
      </c>
      <c r="C220" s="29">
        <f>IFERROR(VLOOKUP(B220,'SAÍDA DE VENDAS'!$B$6:$P$500,3,FALSE),"")</f>
        <v>0</v>
      </c>
      <c r="D220" s="28">
        <f>IFERROR(VLOOKUP(B220,'SAÍDA DE VENDAS'!$B$6:$P$500,4,FALSE),"")</f>
        <v>0</v>
      </c>
      <c r="E220" s="28" t="str">
        <f>IFERROR(VLOOKUP(B220,'SAÍDA DE VENDAS'!$B$6:$P$500,5,FALSE),"")</f>
        <v/>
      </c>
      <c r="F220" s="28" t="str">
        <f>IF(OR(ISBLANK(B220),B220=""), "", IFERROR(INDEX('SAÍDA DE VENDAS'!$H$6:$H$500 &amp; "x " &amp; 'SAÍDA DE VENDAS'!$G$6:$G$500, MATCH(B220, 'SAÍDA DE VENDAS'!$B$6:$B$500, 0)), "")&amp; IF(COUNTIF('SAÍDA DE VENDAS'!$B$6:$B$500, B220)&gt;1, " + " &amp; IFERROR(INDEX('SAÍDA DE VENDAS'!$H$6:$H$500 &amp; "x " &amp; 'SAÍDA DE VENDAS'!$G$6:$G$500, MATCH(B220, 'SAÍDA DE VENDAS'!$B$6:$B$500, 0)+1), ""), "")&amp; IF(COUNTIF('SAÍDA DE VENDAS'!$B$6:$B$500, B220)&gt;2, " + " &amp; IFERROR(INDEX('SAÍDA DE VENDAS'!$H$6:$H$500 &amp; "x " &amp; 'SAÍDA DE VENDAS'!$G$6:$G$500, MATCH(B220, 'SAÍDA DE VENDAS'!$B$6:$B$500, 0)+2), ""), "")&amp; IF(COUNTIF('SAÍDA DE VENDAS'!$B$6:$B$500, B220)&gt;3, " + " &amp; IFERROR(INDEX('SAÍDA DE VENDAS'!$H$6:$H$500 &amp; "x " &amp; 'SAÍDA DE VENDAS'!$G$6:$G$500, MATCH(B220, 'SAÍDA DE VENDAS'!$B$6:$B$500, 0)+3), ""), "")&amp; IF(COUNTIF('SAÍDA DE VENDAS'!$B$6:$B$500, B220)&gt;4, " + " &amp; IFERROR(INDEX('SAÍDA DE VENDAS'!$H$6:$H$500 &amp; "x " &amp; 'SAÍDA DE VENDAS'!$G$6:$G$500, MATCH(B220, 'SAÍDA DE VENDAS'!$B$6:$B$500, 0)+4), ""), "")&amp; IF(COUNTIF('SAÍDA DE VENDAS'!$B$6:$B$500, B220)&gt;5, " + " &amp; IFERROR(INDEX('SAÍDA DE VENDAS'!$H$6:$H$500 &amp; "x " &amp; 'SAÍDA DE VENDAS'!$G$6:$G$500, MATCH(B220, 'SAÍDA DE VENDAS'!$B$6:$B$500, 0)+5), ""), ""))</f>
        <v/>
      </c>
      <c r="G220" s="28">
        <f>IFERROR(VLOOKUP(B220,'SAÍDA DE VENDAS'!$B$6:$P$500,10,FALSE),"")</f>
        <v>0</v>
      </c>
      <c r="H220" s="28" t="str">
        <f>IF(OR(ISBLANK(B220),B220=""), "", IF(B220=B219, (VALUE(LEFT(H219,FIND("/",H219)-1))+1)&amp;"/"&amp;RIGHT(H219,LEN(H219)-FIND("/",H219)), "1/"&amp;IFERROR(VLOOKUP(B220,'SAÍDA DE VENDAS'!$B$6:$P$500,13,FALSE),"1")))</f>
        <v/>
      </c>
      <c r="I220" s="69" t="str">
        <f t="shared" si="6"/>
        <v/>
      </c>
      <c r="J220" s="33" t="str">
        <f>IFERROR(VLOOKUP(B220,'SAÍDA DE VENDAS'!$B$6:$P$500,15,FALSE),"")</f>
        <v/>
      </c>
      <c r="K220" s="28" t="str">
        <f t="shared" ca="1" si="7"/>
        <v/>
      </c>
      <c r="L220" s="28"/>
      <c r="M220" s="28"/>
    </row>
    <row r="221" spans="2:13" ht="15" customHeight="1" x14ac:dyDescent="0.3">
      <c r="B221" s="34" t="str">
        <f>IF(B220="","", IF(VALUE(LEFT(H220,FIND("/",H220)-1)) &lt; VALUE(RIGHT(H220,LEN(H220)-FIND("/",H220))), B220, IFERROR(INDEX('SAÍDA DE VENDAS'!$B$6:$B$500, MATCH(B220,'SAÍDA DE VENDAS'!$B$6:$B$500,0)+COUNTIF('SAÍDA DE VENDAS'!$B$6:$B$500, B220)),"")))</f>
        <v/>
      </c>
      <c r="C221" s="35">
        <f>IFERROR(VLOOKUP(B221,'SAÍDA DE VENDAS'!$B$6:$P$500,3,FALSE),"")</f>
        <v>0</v>
      </c>
      <c r="D221" s="34">
        <f>IFERROR(VLOOKUP(B221,'SAÍDA DE VENDAS'!$B$6:$P$500,4,FALSE),"")</f>
        <v>0</v>
      </c>
      <c r="E221" s="34" t="str">
        <f>IFERROR(VLOOKUP(B221,'SAÍDA DE VENDAS'!$B$6:$P$500,5,FALSE),"")</f>
        <v/>
      </c>
      <c r="F221" s="34" t="str">
        <f>IF(OR(ISBLANK(B221),B221=""), "", IFERROR(INDEX('SAÍDA DE VENDAS'!$H$6:$H$500 &amp; "x " &amp; 'SAÍDA DE VENDAS'!$G$6:$G$500, MATCH(B221, 'SAÍDA DE VENDAS'!$B$6:$B$500, 0)), "")&amp; IF(COUNTIF('SAÍDA DE VENDAS'!$B$6:$B$500, B221)&gt;1, " + " &amp; IFERROR(INDEX('SAÍDA DE VENDAS'!$H$6:$H$500 &amp; "x " &amp; 'SAÍDA DE VENDAS'!$G$6:$G$500, MATCH(B221, 'SAÍDA DE VENDAS'!$B$6:$B$500, 0)+1), ""), "")&amp; IF(COUNTIF('SAÍDA DE VENDAS'!$B$6:$B$500, B221)&gt;2, " + " &amp; IFERROR(INDEX('SAÍDA DE VENDAS'!$H$6:$H$500 &amp; "x " &amp; 'SAÍDA DE VENDAS'!$G$6:$G$500, MATCH(B221, 'SAÍDA DE VENDAS'!$B$6:$B$500, 0)+2), ""), "")&amp; IF(COUNTIF('SAÍDA DE VENDAS'!$B$6:$B$500, B221)&gt;3, " + " &amp; IFERROR(INDEX('SAÍDA DE VENDAS'!$H$6:$H$500 &amp; "x " &amp; 'SAÍDA DE VENDAS'!$G$6:$G$500, MATCH(B221, 'SAÍDA DE VENDAS'!$B$6:$B$500, 0)+3), ""), "")&amp; IF(COUNTIF('SAÍDA DE VENDAS'!$B$6:$B$500, B221)&gt;4, " + " &amp; IFERROR(INDEX('SAÍDA DE VENDAS'!$H$6:$H$500 &amp; "x " &amp; 'SAÍDA DE VENDAS'!$G$6:$G$500, MATCH(B221, 'SAÍDA DE VENDAS'!$B$6:$B$500, 0)+4), ""), "")&amp; IF(COUNTIF('SAÍDA DE VENDAS'!$B$6:$B$500, B221)&gt;5, " + " &amp; IFERROR(INDEX('SAÍDA DE VENDAS'!$H$6:$H$500 &amp; "x " &amp; 'SAÍDA DE VENDAS'!$G$6:$G$500, MATCH(B221, 'SAÍDA DE VENDAS'!$B$6:$B$500, 0)+5), ""), ""))</f>
        <v/>
      </c>
      <c r="G221" s="34">
        <f>IFERROR(VLOOKUP(B221,'SAÍDA DE VENDAS'!$B$6:$P$500,10,FALSE),"")</f>
        <v>0</v>
      </c>
      <c r="H221" s="34" t="str">
        <f>IF(OR(ISBLANK(B221),B221=""), "", IF(B221=B220, (VALUE(LEFT(H220,FIND("/",H220)-1))+1)&amp;"/"&amp;RIGHT(H220,LEN(H220)-FIND("/",H220)), "1/"&amp;IFERROR(VLOOKUP(B221,'SAÍDA DE VENDAS'!$B$6:$P$500,13,FALSE),"1")))</f>
        <v/>
      </c>
      <c r="I221" s="35" t="str">
        <f t="shared" si="6"/>
        <v/>
      </c>
      <c r="J221" s="39" t="str">
        <f>IFERROR(VLOOKUP(B221,'SAÍDA DE VENDAS'!$B$6:$P$500,15,FALSE),"")</f>
        <v/>
      </c>
      <c r="K221" s="34" t="str">
        <f t="shared" ca="1" si="7"/>
        <v/>
      </c>
      <c r="L221" s="34"/>
      <c r="M221" s="34"/>
    </row>
    <row r="222" spans="2:13" ht="15" customHeight="1" x14ac:dyDescent="0.3">
      <c r="B222" s="28" t="str">
        <f>IF(B221="","", IF(VALUE(LEFT(H221,FIND("/",H221)-1)) &lt; VALUE(RIGHT(H221,LEN(H221)-FIND("/",H221))), B221, IFERROR(INDEX('SAÍDA DE VENDAS'!$B$6:$B$500, MATCH(B221,'SAÍDA DE VENDAS'!$B$6:$B$500,0)+COUNTIF('SAÍDA DE VENDAS'!$B$6:$B$500, B221)),"")))</f>
        <v/>
      </c>
      <c r="C222" s="29">
        <f>IFERROR(VLOOKUP(B222,'SAÍDA DE VENDAS'!$B$6:$P$500,3,FALSE),"")</f>
        <v>0</v>
      </c>
      <c r="D222" s="28">
        <f>IFERROR(VLOOKUP(B222,'SAÍDA DE VENDAS'!$B$6:$P$500,4,FALSE),"")</f>
        <v>0</v>
      </c>
      <c r="E222" s="28" t="str">
        <f>IFERROR(VLOOKUP(B222,'SAÍDA DE VENDAS'!$B$6:$P$500,5,FALSE),"")</f>
        <v/>
      </c>
      <c r="F222" s="28" t="str">
        <f>IF(OR(ISBLANK(B222),B222=""), "", IFERROR(INDEX('SAÍDA DE VENDAS'!$H$6:$H$500 &amp; "x " &amp; 'SAÍDA DE VENDAS'!$G$6:$G$500, MATCH(B222, 'SAÍDA DE VENDAS'!$B$6:$B$500, 0)), "")&amp; IF(COUNTIF('SAÍDA DE VENDAS'!$B$6:$B$500, B222)&gt;1, " + " &amp; IFERROR(INDEX('SAÍDA DE VENDAS'!$H$6:$H$500 &amp; "x " &amp; 'SAÍDA DE VENDAS'!$G$6:$G$500, MATCH(B222, 'SAÍDA DE VENDAS'!$B$6:$B$500, 0)+1), ""), "")&amp; IF(COUNTIF('SAÍDA DE VENDAS'!$B$6:$B$500, B222)&gt;2, " + " &amp; IFERROR(INDEX('SAÍDA DE VENDAS'!$H$6:$H$500 &amp; "x " &amp; 'SAÍDA DE VENDAS'!$G$6:$G$500, MATCH(B222, 'SAÍDA DE VENDAS'!$B$6:$B$500, 0)+2), ""), "")&amp; IF(COUNTIF('SAÍDA DE VENDAS'!$B$6:$B$500, B222)&gt;3, " + " &amp; IFERROR(INDEX('SAÍDA DE VENDAS'!$H$6:$H$500 &amp; "x " &amp; 'SAÍDA DE VENDAS'!$G$6:$G$500, MATCH(B222, 'SAÍDA DE VENDAS'!$B$6:$B$500, 0)+3), ""), "")&amp; IF(COUNTIF('SAÍDA DE VENDAS'!$B$6:$B$500, B222)&gt;4, " + " &amp; IFERROR(INDEX('SAÍDA DE VENDAS'!$H$6:$H$500 &amp; "x " &amp; 'SAÍDA DE VENDAS'!$G$6:$G$500, MATCH(B222, 'SAÍDA DE VENDAS'!$B$6:$B$500, 0)+4), ""), "")&amp; IF(COUNTIF('SAÍDA DE VENDAS'!$B$6:$B$500, B222)&gt;5, " + " &amp; IFERROR(INDEX('SAÍDA DE VENDAS'!$H$6:$H$500 &amp; "x " &amp; 'SAÍDA DE VENDAS'!$G$6:$G$500, MATCH(B222, 'SAÍDA DE VENDAS'!$B$6:$B$500, 0)+5), ""), ""))</f>
        <v/>
      </c>
      <c r="G222" s="28">
        <f>IFERROR(VLOOKUP(B222,'SAÍDA DE VENDAS'!$B$6:$P$500,10,FALSE),"")</f>
        <v>0</v>
      </c>
      <c r="H222" s="28" t="str">
        <f>IF(OR(ISBLANK(B222),B222=""), "", IF(B222=B221, (VALUE(LEFT(H221,FIND("/",H221)-1))+1)&amp;"/"&amp;RIGHT(H221,LEN(H221)-FIND("/",H221)), "1/"&amp;IFERROR(VLOOKUP(B222,'SAÍDA DE VENDAS'!$B$6:$P$500,13,FALSE),"1")))</f>
        <v/>
      </c>
      <c r="I222" s="69" t="str">
        <f t="shared" si="6"/>
        <v/>
      </c>
      <c r="J222" s="33" t="str">
        <f>IFERROR(VLOOKUP(B222,'SAÍDA DE VENDAS'!$B$6:$P$500,15,FALSE),"")</f>
        <v/>
      </c>
      <c r="K222" s="28" t="str">
        <f t="shared" ca="1" si="7"/>
        <v/>
      </c>
      <c r="L222" s="28"/>
      <c r="M222" s="28"/>
    </row>
    <row r="223" spans="2:13" ht="15" customHeight="1" x14ac:dyDescent="0.3">
      <c r="B223" s="34" t="str">
        <f>IF(B222="","", IF(VALUE(LEFT(H222,FIND("/",H222)-1)) &lt; VALUE(RIGHT(H222,LEN(H222)-FIND("/",H222))), B222, IFERROR(INDEX('SAÍDA DE VENDAS'!$B$6:$B$500, MATCH(B222,'SAÍDA DE VENDAS'!$B$6:$B$500,0)+COUNTIF('SAÍDA DE VENDAS'!$B$6:$B$500, B222)),"")))</f>
        <v/>
      </c>
      <c r="C223" s="35">
        <f>IFERROR(VLOOKUP(B223,'SAÍDA DE VENDAS'!$B$6:$P$500,3,FALSE),"")</f>
        <v>0</v>
      </c>
      <c r="D223" s="34">
        <f>IFERROR(VLOOKUP(B223,'SAÍDA DE VENDAS'!$B$6:$P$500,4,FALSE),"")</f>
        <v>0</v>
      </c>
      <c r="E223" s="34" t="str">
        <f>IFERROR(VLOOKUP(B223,'SAÍDA DE VENDAS'!$B$6:$P$500,5,FALSE),"")</f>
        <v/>
      </c>
      <c r="F223" s="34" t="str">
        <f>IF(OR(ISBLANK(B223),B223=""), "", IFERROR(INDEX('SAÍDA DE VENDAS'!$H$6:$H$500 &amp; "x " &amp; 'SAÍDA DE VENDAS'!$G$6:$G$500, MATCH(B223, 'SAÍDA DE VENDAS'!$B$6:$B$500, 0)), "")&amp; IF(COUNTIF('SAÍDA DE VENDAS'!$B$6:$B$500, B223)&gt;1, " + " &amp; IFERROR(INDEX('SAÍDA DE VENDAS'!$H$6:$H$500 &amp; "x " &amp; 'SAÍDA DE VENDAS'!$G$6:$G$500, MATCH(B223, 'SAÍDA DE VENDAS'!$B$6:$B$500, 0)+1), ""), "")&amp; IF(COUNTIF('SAÍDA DE VENDAS'!$B$6:$B$500, B223)&gt;2, " + " &amp; IFERROR(INDEX('SAÍDA DE VENDAS'!$H$6:$H$500 &amp; "x " &amp; 'SAÍDA DE VENDAS'!$G$6:$G$500, MATCH(B223, 'SAÍDA DE VENDAS'!$B$6:$B$500, 0)+2), ""), "")&amp; IF(COUNTIF('SAÍDA DE VENDAS'!$B$6:$B$500, B223)&gt;3, " + " &amp; IFERROR(INDEX('SAÍDA DE VENDAS'!$H$6:$H$500 &amp; "x " &amp; 'SAÍDA DE VENDAS'!$G$6:$G$500, MATCH(B223, 'SAÍDA DE VENDAS'!$B$6:$B$500, 0)+3), ""), "")&amp; IF(COUNTIF('SAÍDA DE VENDAS'!$B$6:$B$500, B223)&gt;4, " + " &amp; IFERROR(INDEX('SAÍDA DE VENDAS'!$H$6:$H$500 &amp; "x " &amp; 'SAÍDA DE VENDAS'!$G$6:$G$500, MATCH(B223, 'SAÍDA DE VENDAS'!$B$6:$B$500, 0)+4), ""), "")&amp; IF(COUNTIF('SAÍDA DE VENDAS'!$B$6:$B$500, B223)&gt;5, " + " &amp; IFERROR(INDEX('SAÍDA DE VENDAS'!$H$6:$H$500 &amp; "x " &amp; 'SAÍDA DE VENDAS'!$G$6:$G$500, MATCH(B223, 'SAÍDA DE VENDAS'!$B$6:$B$500, 0)+5), ""), ""))</f>
        <v/>
      </c>
      <c r="G223" s="34">
        <f>IFERROR(VLOOKUP(B223,'SAÍDA DE VENDAS'!$B$6:$P$500,10,FALSE),"")</f>
        <v>0</v>
      </c>
      <c r="H223" s="34" t="str">
        <f>IF(OR(ISBLANK(B223),B223=""), "", IF(B223=B222, (VALUE(LEFT(H222,FIND("/",H222)-1))+1)&amp;"/"&amp;RIGHT(H222,LEN(H222)-FIND("/",H222)), "1/"&amp;IFERROR(VLOOKUP(B223,'SAÍDA DE VENDAS'!$B$6:$P$500,13,FALSE),"1")))</f>
        <v/>
      </c>
      <c r="I223" s="35" t="str">
        <f t="shared" si="6"/>
        <v/>
      </c>
      <c r="J223" s="39" t="str">
        <f>IFERROR(VLOOKUP(B223,'SAÍDA DE VENDAS'!$B$6:$P$500,15,FALSE),"")</f>
        <v/>
      </c>
      <c r="K223" s="34" t="str">
        <f t="shared" ca="1" si="7"/>
        <v/>
      </c>
      <c r="L223" s="34"/>
      <c r="M223" s="34"/>
    </row>
    <row r="224" spans="2:13" ht="15" customHeight="1" x14ac:dyDescent="0.3">
      <c r="B224" s="28" t="str">
        <f>IF(B223="","", IF(VALUE(LEFT(H223,FIND("/",H223)-1)) &lt; VALUE(RIGHT(H223,LEN(H223)-FIND("/",H223))), B223, IFERROR(INDEX('SAÍDA DE VENDAS'!$B$6:$B$500, MATCH(B223,'SAÍDA DE VENDAS'!$B$6:$B$500,0)+COUNTIF('SAÍDA DE VENDAS'!$B$6:$B$500, B223)),"")))</f>
        <v/>
      </c>
      <c r="C224" s="29">
        <f>IFERROR(VLOOKUP(B224,'SAÍDA DE VENDAS'!$B$6:$P$500,3,FALSE),"")</f>
        <v>0</v>
      </c>
      <c r="D224" s="28">
        <f>IFERROR(VLOOKUP(B224,'SAÍDA DE VENDAS'!$B$6:$P$500,4,FALSE),"")</f>
        <v>0</v>
      </c>
      <c r="E224" s="28" t="str">
        <f>IFERROR(VLOOKUP(B224,'SAÍDA DE VENDAS'!$B$6:$P$500,5,FALSE),"")</f>
        <v/>
      </c>
      <c r="F224" s="28" t="str">
        <f>IF(OR(ISBLANK(B224),B224=""), "", IFERROR(INDEX('SAÍDA DE VENDAS'!$H$6:$H$500 &amp; "x " &amp; 'SAÍDA DE VENDAS'!$G$6:$G$500, MATCH(B224, 'SAÍDA DE VENDAS'!$B$6:$B$500, 0)), "")&amp; IF(COUNTIF('SAÍDA DE VENDAS'!$B$6:$B$500, B224)&gt;1, " + " &amp; IFERROR(INDEX('SAÍDA DE VENDAS'!$H$6:$H$500 &amp; "x " &amp; 'SAÍDA DE VENDAS'!$G$6:$G$500, MATCH(B224, 'SAÍDA DE VENDAS'!$B$6:$B$500, 0)+1), ""), "")&amp; IF(COUNTIF('SAÍDA DE VENDAS'!$B$6:$B$500, B224)&gt;2, " + " &amp; IFERROR(INDEX('SAÍDA DE VENDAS'!$H$6:$H$500 &amp; "x " &amp; 'SAÍDA DE VENDAS'!$G$6:$G$500, MATCH(B224, 'SAÍDA DE VENDAS'!$B$6:$B$500, 0)+2), ""), "")&amp; IF(COUNTIF('SAÍDA DE VENDAS'!$B$6:$B$500, B224)&gt;3, " + " &amp; IFERROR(INDEX('SAÍDA DE VENDAS'!$H$6:$H$500 &amp; "x " &amp; 'SAÍDA DE VENDAS'!$G$6:$G$500, MATCH(B224, 'SAÍDA DE VENDAS'!$B$6:$B$500, 0)+3), ""), "")&amp; IF(COUNTIF('SAÍDA DE VENDAS'!$B$6:$B$500, B224)&gt;4, " + " &amp; IFERROR(INDEX('SAÍDA DE VENDAS'!$H$6:$H$500 &amp; "x " &amp; 'SAÍDA DE VENDAS'!$G$6:$G$500, MATCH(B224, 'SAÍDA DE VENDAS'!$B$6:$B$500, 0)+4), ""), "")&amp; IF(COUNTIF('SAÍDA DE VENDAS'!$B$6:$B$500, B224)&gt;5, " + " &amp; IFERROR(INDEX('SAÍDA DE VENDAS'!$H$6:$H$500 &amp; "x " &amp; 'SAÍDA DE VENDAS'!$G$6:$G$500, MATCH(B224, 'SAÍDA DE VENDAS'!$B$6:$B$500, 0)+5), ""), ""))</f>
        <v/>
      </c>
      <c r="G224" s="28">
        <f>IFERROR(VLOOKUP(B224,'SAÍDA DE VENDAS'!$B$6:$P$500,10,FALSE),"")</f>
        <v>0</v>
      </c>
      <c r="H224" s="28" t="str">
        <f>IF(OR(ISBLANK(B224),B224=""), "", IF(B224=B223, (VALUE(LEFT(H223,FIND("/",H223)-1))+1)&amp;"/"&amp;RIGHT(H223,LEN(H223)-FIND("/",H223)), "1/"&amp;IFERROR(VLOOKUP(B224,'SAÍDA DE VENDAS'!$B$6:$P$500,13,FALSE),"1")))</f>
        <v/>
      </c>
      <c r="I224" s="69" t="str">
        <f t="shared" si="6"/>
        <v/>
      </c>
      <c r="J224" s="33" t="str">
        <f>IFERROR(VLOOKUP(B224,'SAÍDA DE VENDAS'!$B$6:$P$500,15,FALSE),"")</f>
        <v/>
      </c>
      <c r="K224" s="28" t="str">
        <f t="shared" ca="1" si="7"/>
        <v/>
      </c>
      <c r="L224" s="28"/>
      <c r="M224" s="28"/>
    </row>
    <row r="225" spans="2:13" ht="15" customHeight="1" x14ac:dyDescent="0.3">
      <c r="B225" s="34" t="str">
        <f>IF(B224="","", IF(VALUE(LEFT(H224,FIND("/",H224)-1)) &lt; VALUE(RIGHT(H224,LEN(H224)-FIND("/",H224))), B224, IFERROR(INDEX('SAÍDA DE VENDAS'!$B$6:$B$500, MATCH(B224,'SAÍDA DE VENDAS'!$B$6:$B$500,0)+COUNTIF('SAÍDA DE VENDAS'!$B$6:$B$500, B224)),"")))</f>
        <v/>
      </c>
      <c r="C225" s="35">
        <f>IFERROR(VLOOKUP(B225,'SAÍDA DE VENDAS'!$B$6:$P$500,3,FALSE),"")</f>
        <v>0</v>
      </c>
      <c r="D225" s="34">
        <f>IFERROR(VLOOKUP(B225,'SAÍDA DE VENDAS'!$B$6:$P$500,4,FALSE),"")</f>
        <v>0</v>
      </c>
      <c r="E225" s="34" t="str">
        <f>IFERROR(VLOOKUP(B225,'SAÍDA DE VENDAS'!$B$6:$P$500,5,FALSE),"")</f>
        <v/>
      </c>
      <c r="F225" s="34" t="str">
        <f>IF(OR(ISBLANK(B225),B225=""), "", IFERROR(INDEX('SAÍDA DE VENDAS'!$H$6:$H$500 &amp; "x " &amp; 'SAÍDA DE VENDAS'!$G$6:$G$500, MATCH(B225, 'SAÍDA DE VENDAS'!$B$6:$B$500, 0)), "")&amp; IF(COUNTIF('SAÍDA DE VENDAS'!$B$6:$B$500, B225)&gt;1, " + " &amp; IFERROR(INDEX('SAÍDA DE VENDAS'!$H$6:$H$500 &amp; "x " &amp; 'SAÍDA DE VENDAS'!$G$6:$G$500, MATCH(B225, 'SAÍDA DE VENDAS'!$B$6:$B$500, 0)+1), ""), "")&amp; IF(COUNTIF('SAÍDA DE VENDAS'!$B$6:$B$500, B225)&gt;2, " + " &amp; IFERROR(INDEX('SAÍDA DE VENDAS'!$H$6:$H$500 &amp; "x " &amp; 'SAÍDA DE VENDAS'!$G$6:$G$500, MATCH(B225, 'SAÍDA DE VENDAS'!$B$6:$B$500, 0)+2), ""), "")&amp; IF(COUNTIF('SAÍDA DE VENDAS'!$B$6:$B$500, B225)&gt;3, " + " &amp; IFERROR(INDEX('SAÍDA DE VENDAS'!$H$6:$H$500 &amp; "x " &amp; 'SAÍDA DE VENDAS'!$G$6:$G$500, MATCH(B225, 'SAÍDA DE VENDAS'!$B$6:$B$500, 0)+3), ""), "")&amp; IF(COUNTIF('SAÍDA DE VENDAS'!$B$6:$B$500, B225)&gt;4, " + " &amp; IFERROR(INDEX('SAÍDA DE VENDAS'!$H$6:$H$500 &amp; "x " &amp; 'SAÍDA DE VENDAS'!$G$6:$G$500, MATCH(B225, 'SAÍDA DE VENDAS'!$B$6:$B$500, 0)+4), ""), "")&amp; IF(COUNTIF('SAÍDA DE VENDAS'!$B$6:$B$500, B225)&gt;5, " + " &amp; IFERROR(INDEX('SAÍDA DE VENDAS'!$H$6:$H$500 &amp; "x " &amp; 'SAÍDA DE VENDAS'!$G$6:$G$500, MATCH(B225, 'SAÍDA DE VENDAS'!$B$6:$B$500, 0)+5), ""), ""))</f>
        <v/>
      </c>
      <c r="G225" s="34">
        <f>IFERROR(VLOOKUP(B225,'SAÍDA DE VENDAS'!$B$6:$P$500,10,FALSE),"")</f>
        <v>0</v>
      </c>
      <c r="H225" s="34" t="str">
        <f>IF(OR(ISBLANK(B225),B225=""), "", IF(B225=B224, (VALUE(LEFT(H224,FIND("/",H224)-1))+1)&amp;"/"&amp;RIGHT(H224,LEN(H224)-FIND("/",H224)), "1/"&amp;IFERROR(VLOOKUP(B225,'SAÍDA DE VENDAS'!$B$6:$P$500,13,FALSE),"1")))</f>
        <v/>
      </c>
      <c r="I225" s="35" t="str">
        <f t="shared" si="6"/>
        <v/>
      </c>
      <c r="J225" s="39" t="str">
        <f>IFERROR(VLOOKUP(B225,'SAÍDA DE VENDAS'!$B$6:$P$500,15,FALSE),"")</f>
        <v/>
      </c>
      <c r="K225" s="34" t="str">
        <f t="shared" ca="1" si="7"/>
        <v/>
      </c>
      <c r="L225" s="34"/>
      <c r="M225" s="34"/>
    </row>
    <row r="226" spans="2:13" ht="15" customHeight="1" x14ac:dyDescent="0.3">
      <c r="B226" s="28" t="str">
        <f>IF(B225="","", IF(VALUE(LEFT(H225,FIND("/",H225)-1)) &lt; VALUE(RIGHT(H225,LEN(H225)-FIND("/",H225))), B225, IFERROR(INDEX('SAÍDA DE VENDAS'!$B$6:$B$500, MATCH(B225,'SAÍDA DE VENDAS'!$B$6:$B$500,0)+COUNTIF('SAÍDA DE VENDAS'!$B$6:$B$500, B225)),"")))</f>
        <v/>
      </c>
      <c r="C226" s="29">
        <f>IFERROR(VLOOKUP(B226,'SAÍDA DE VENDAS'!$B$6:$P$500,3,FALSE),"")</f>
        <v>0</v>
      </c>
      <c r="D226" s="28">
        <f>IFERROR(VLOOKUP(B226,'SAÍDA DE VENDAS'!$B$6:$P$500,4,FALSE),"")</f>
        <v>0</v>
      </c>
      <c r="E226" s="28" t="str">
        <f>IFERROR(VLOOKUP(B226,'SAÍDA DE VENDAS'!$B$6:$P$500,5,FALSE),"")</f>
        <v/>
      </c>
      <c r="F226" s="28" t="str">
        <f>IF(OR(ISBLANK(B226),B226=""), "", IFERROR(INDEX('SAÍDA DE VENDAS'!$H$6:$H$500 &amp; "x " &amp; 'SAÍDA DE VENDAS'!$G$6:$G$500, MATCH(B226, 'SAÍDA DE VENDAS'!$B$6:$B$500, 0)), "")&amp; IF(COUNTIF('SAÍDA DE VENDAS'!$B$6:$B$500, B226)&gt;1, " + " &amp; IFERROR(INDEX('SAÍDA DE VENDAS'!$H$6:$H$500 &amp; "x " &amp; 'SAÍDA DE VENDAS'!$G$6:$G$500, MATCH(B226, 'SAÍDA DE VENDAS'!$B$6:$B$500, 0)+1), ""), "")&amp; IF(COUNTIF('SAÍDA DE VENDAS'!$B$6:$B$500, B226)&gt;2, " + " &amp; IFERROR(INDEX('SAÍDA DE VENDAS'!$H$6:$H$500 &amp; "x " &amp; 'SAÍDA DE VENDAS'!$G$6:$G$500, MATCH(B226, 'SAÍDA DE VENDAS'!$B$6:$B$500, 0)+2), ""), "")&amp; IF(COUNTIF('SAÍDA DE VENDAS'!$B$6:$B$500, B226)&gt;3, " + " &amp; IFERROR(INDEX('SAÍDA DE VENDAS'!$H$6:$H$500 &amp; "x " &amp; 'SAÍDA DE VENDAS'!$G$6:$G$500, MATCH(B226, 'SAÍDA DE VENDAS'!$B$6:$B$500, 0)+3), ""), "")&amp; IF(COUNTIF('SAÍDA DE VENDAS'!$B$6:$B$500, B226)&gt;4, " + " &amp; IFERROR(INDEX('SAÍDA DE VENDAS'!$H$6:$H$500 &amp; "x " &amp; 'SAÍDA DE VENDAS'!$G$6:$G$500, MATCH(B226, 'SAÍDA DE VENDAS'!$B$6:$B$500, 0)+4), ""), "")&amp; IF(COUNTIF('SAÍDA DE VENDAS'!$B$6:$B$500, B226)&gt;5, " + " &amp; IFERROR(INDEX('SAÍDA DE VENDAS'!$H$6:$H$500 &amp; "x " &amp; 'SAÍDA DE VENDAS'!$G$6:$G$500, MATCH(B226, 'SAÍDA DE VENDAS'!$B$6:$B$500, 0)+5), ""), ""))</f>
        <v/>
      </c>
      <c r="G226" s="28">
        <f>IFERROR(VLOOKUP(B226,'SAÍDA DE VENDAS'!$B$6:$P$500,10,FALSE),"")</f>
        <v>0</v>
      </c>
      <c r="H226" s="28" t="str">
        <f>IF(OR(ISBLANK(B226),B226=""), "", IF(B226=B225, (VALUE(LEFT(H225,FIND("/",H225)-1))+1)&amp;"/"&amp;RIGHT(H225,LEN(H225)-FIND("/",H225)), "1/"&amp;IFERROR(VLOOKUP(B226,'SAÍDA DE VENDAS'!$B$6:$P$500,13,FALSE),"1")))</f>
        <v/>
      </c>
      <c r="I226" s="69" t="str">
        <f t="shared" si="6"/>
        <v/>
      </c>
      <c r="J226" s="33" t="str">
        <f>IFERROR(VLOOKUP(B226,'SAÍDA DE VENDAS'!$B$6:$P$500,15,FALSE),"")</f>
        <v/>
      </c>
      <c r="K226" s="28" t="str">
        <f t="shared" ca="1" si="7"/>
        <v/>
      </c>
      <c r="L226" s="28"/>
      <c r="M226" s="28"/>
    </row>
    <row r="227" spans="2:13" ht="15" customHeight="1" x14ac:dyDescent="0.3">
      <c r="B227" s="34" t="str">
        <f>IF(B226="","", IF(VALUE(LEFT(H226,FIND("/",H226)-1)) &lt; VALUE(RIGHT(H226,LEN(H226)-FIND("/",H226))), B226, IFERROR(INDEX('SAÍDA DE VENDAS'!$B$6:$B$500, MATCH(B226,'SAÍDA DE VENDAS'!$B$6:$B$500,0)+COUNTIF('SAÍDA DE VENDAS'!$B$6:$B$500, B226)),"")))</f>
        <v/>
      </c>
      <c r="C227" s="35">
        <f>IFERROR(VLOOKUP(B227,'SAÍDA DE VENDAS'!$B$6:$P$500,3,FALSE),"")</f>
        <v>0</v>
      </c>
      <c r="D227" s="34">
        <f>IFERROR(VLOOKUP(B227,'SAÍDA DE VENDAS'!$B$6:$P$500,4,FALSE),"")</f>
        <v>0</v>
      </c>
      <c r="E227" s="34" t="str">
        <f>IFERROR(VLOOKUP(B227,'SAÍDA DE VENDAS'!$B$6:$P$500,5,FALSE),"")</f>
        <v/>
      </c>
      <c r="F227" s="34" t="str">
        <f>IF(OR(ISBLANK(B227),B227=""), "", IFERROR(INDEX('SAÍDA DE VENDAS'!$H$6:$H$500 &amp; "x " &amp; 'SAÍDA DE VENDAS'!$G$6:$G$500, MATCH(B227, 'SAÍDA DE VENDAS'!$B$6:$B$500, 0)), "")&amp; IF(COUNTIF('SAÍDA DE VENDAS'!$B$6:$B$500, B227)&gt;1, " + " &amp; IFERROR(INDEX('SAÍDA DE VENDAS'!$H$6:$H$500 &amp; "x " &amp; 'SAÍDA DE VENDAS'!$G$6:$G$500, MATCH(B227, 'SAÍDA DE VENDAS'!$B$6:$B$500, 0)+1), ""), "")&amp; IF(COUNTIF('SAÍDA DE VENDAS'!$B$6:$B$500, B227)&gt;2, " + " &amp; IFERROR(INDEX('SAÍDA DE VENDAS'!$H$6:$H$500 &amp; "x " &amp; 'SAÍDA DE VENDAS'!$G$6:$G$500, MATCH(B227, 'SAÍDA DE VENDAS'!$B$6:$B$500, 0)+2), ""), "")&amp; IF(COUNTIF('SAÍDA DE VENDAS'!$B$6:$B$500, B227)&gt;3, " + " &amp; IFERROR(INDEX('SAÍDA DE VENDAS'!$H$6:$H$500 &amp; "x " &amp; 'SAÍDA DE VENDAS'!$G$6:$G$500, MATCH(B227, 'SAÍDA DE VENDAS'!$B$6:$B$500, 0)+3), ""), "")&amp; IF(COUNTIF('SAÍDA DE VENDAS'!$B$6:$B$500, B227)&gt;4, " + " &amp; IFERROR(INDEX('SAÍDA DE VENDAS'!$H$6:$H$500 &amp; "x " &amp; 'SAÍDA DE VENDAS'!$G$6:$G$500, MATCH(B227, 'SAÍDA DE VENDAS'!$B$6:$B$500, 0)+4), ""), "")&amp; IF(COUNTIF('SAÍDA DE VENDAS'!$B$6:$B$500, B227)&gt;5, " + " &amp; IFERROR(INDEX('SAÍDA DE VENDAS'!$H$6:$H$500 &amp; "x " &amp; 'SAÍDA DE VENDAS'!$G$6:$G$500, MATCH(B227, 'SAÍDA DE VENDAS'!$B$6:$B$500, 0)+5), ""), ""))</f>
        <v/>
      </c>
      <c r="G227" s="34">
        <f>IFERROR(VLOOKUP(B227,'SAÍDA DE VENDAS'!$B$6:$P$500,10,FALSE),"")</f>
        <v>0</v>
      </c>
      <c r="H227" s="34" t="str">
        <f>IF(OR(ISBLANK(B227),B227=""), "", IF(B227=B226, (VALUE(LEFT(H226,FIND("/",H226)-1))+1)&amp;"/"&amp;RIGHT(H226,LEN(H226)-FIND("/",H226)), "1/"&amp;IFERROR(VLOOKUP(B227,'SAÍDA DE VENDAS'!$B$6:$P$500,13,FALSE),"1")))</f>
        <v/>
      </c>
      <c r="I227" s="35" t="str">
        <f t="shared" si="6"/>
        <v/>
      </c>
      <c r="J227" s="39" t="str">
        <f>IFERROR(VLOOKUP(B227,'SAÍDA DE VENDAS'!$B$6:$P$500,15,FALSE),"")</f>
        <v/>
      </c>
      <c r="K227" s="34" t="str">
        <f t="shared" ca="1" si="7"/>
        <v/>
      </c>
      <c r="L227" s="34"/>
      <c r="M227" s="34"/>
    </row>
    <row r="228" spans="2:13" ht="15" customHeight="1" x14ac:dyDescent="0.3">
      <c r="B228" s="28" t="str">
        <f>IF(B227="","", IF(VALUE(LEFT(H227,FIND("/",H227)-1)) &lt; VALUE(RIGHT(H227,LEN(H227)-FIND("/",H227))), B227, IFERROR(INDEX('SAÍDA DE VENDAS'!$B$6:$B$500, MATCH(B227,'SAÍDA DE VENDAS'!$B$6:$B$500,0)+COUNTIF('SAÍDA DE VENDAS'!$B$6:$B$500, B227)),"")))</f>
        <v/>
      </c>
      <c r="C228" s="29">
        <f>IFERROR(VLOOKUP(B228,'SAÍDA DE VENDAS'!$B$6:$P$500,3,FALSE),"")</f>
        <v>0</v>
      </c>
      <c r="D228" s="28">
        <f>IFERROR(VLOOKUP(B228,'SAÍDA DE VENDAS'!$B$6:$P$500,4,FALSE),"")</f>
        <v>0</v>
      </c>
      <c r="E228" s="28" t="str">
        <f>IFERROR(VLOOKUP(B228,'SAÍDA DE VENDAS'!$B$6:$P$500,5,FALSE),"")</f>
        <v/>
      </c>
      <c r="F228" s="28" t="str">
        <f>IF(OR(ISBLANK(B228),B228=""), "", IFERROR(INDEX('SAÍDA DE VENDAS'!$H$6:$H$500 &amp; "x " &amp; 'SAÍDA DE VENDAS'!$G$6:$G$500, MATCH(B228, 'SAÍDA DE VENDAS'!$B$6:$B$500, 0)), "")&amp; IF(COUNTIF('SAÍDA DE VENDAS'!$B$6:$B$500, B228)&gt;1, " + " &amp; IFERROR(INDEX('SAÍDA DE VENDAS'!$H$6:$H$500 &amp; "x " &amp; 'SAÍDA DE VENDAS'!$G$6:$G$500, MATCH(B228, 'SAÍDA DE VENDAS'!$B$6:$B$500, 0)+1), ""), "")&amp; IF(COUNTIF('SAÍDA DE VENDAS'!$B$6:$B$500, B228)&gt;2, " + " &amp; IFERROR(INDEX('SAÍDA DE VENDAS'!$H$6:$H$500 &amp; "x " &amp; 'SAÍDA DE VENDAS'!$G$6:$G$500, MATCH(B228, 'SAÍDA DE VENDAS'!$B$6:$B$500, 0)+2), ""), "")&amp; IF(COUNTIF('SAÍDA DE VENDAS'!$B$6:$B$500, B228)&gt;3, " + " &amp; IFERROR(INDEX('SAÍDA DE VENDAS'!$H$6:$H$500 &amp; "x " &amp; 'SAÍDA DE VENDAS'!$G$6:$G$500, MATCH(B228, 'SAÍDA DE VENDAS'!$B$6:$B$500, 0)+3), ""), "")&amp; IF(COUNTIF('SAÍDA DE VENDAS'!$B$6:$B$500, B228)&gt;4, " + " &amp; IFERROR(INDEX('SAÍDA DE VENDAS'!$H$6:$H$500 &amp; "x " &amp; 'SAÍDA DE VENDAS'!$G$6:$G$500, MATCH(B228, 'SAÍDA DE VENDAS'!$B$6:$B$500, 0)+4), ""), "")&amp; IF(COUNTIF('SAÍDA DE VENDAS'!$B$6:$B$500, B228)&gt;5, " + " &amp; IFERROR(INDEX('SAÍDA DE VENDAS'!$H$6:$H$500 &amp; "x " &amp; 'SAÍDA DE VENDAS'!$G$6:$G$500, MATCH(B228, 'SAÍDA DE VENDAS'!$B$6:$B$500, 0)+5), ""), ""))</f>
        <v/>
      </c>
      <c r="G228" s="28">
        <f>IFERROR(VLOOKUP(B228,'SAÍDA DE VENDAS'!$B$6:$P$500,10,FALSE),"")</f>
        <v>0</v>
      </c>
      <c r="H228" s="28" t="str">
        <f>IF(OR(ISBLANK(B228),B228=""), "", IF(B228=B227, (VALUE(LEFT(H227,FIND("/",H227)-1))+1)&amp;"/"&amp;RIGHT(H227,LEN(H227)-FIND("/",H227)), "1/"&amp;IFERROR(VLOOKUP(B228,'SAÍDA DE VENDAS'!$B$6:$P$500,13,FALSE),"1")))</f>
        <v/>
      </c>
      <c r="I228" s="69" t="str">
        <f t="shared" si="6"/>
        <v/>
      </c>
      <c r="J228" s="33" t="str">
        <f>IFERROR(VLOOKUP(B228,'SAÍDA DE VENDAS'!$B$6:$P$500,15,FALSE),"")</f>
        <v/>
      </c>
      <c r="K228" s="28" t="str">
        <f t="shared" ca="1" si="7"/>
        <v/>
      </c>
      <c r="L228" s="28"/>
      <c r="M228" s="28"/>
    </row>
    <row r="229" spans="2:13" ht="15" customHeight="1" x14ac:dyDescent="0.3">
      <c r="B229" s="34" t="str">
        <f>IF(B228="","", IF(VALUE(LEFT(H228,FIND("/",H228)-1)) &lt; VALUE(RIGHT(H228,LEN(H228)-FIND("/",H228))), B228, IFERROR(INDEX('SAÍDA DE VENDAS'!$B$6:$B$500, MATCH(B228,'SAÍDA DE VENDAS'!$B$6:$B$500,0)+COUNTIF('SAÍDA DE VENDAS'!$B$6:$B$500, B228)),"")))</f>
        <v/>
      </c>
      <c r="C229" s="35">
        <f>IFERROR(VLOOKUP(B229,'SAÍDA DE VENDAS'!$B$6:$P$500,3,FALSE),"")</f>
        <v>0</v>
      </c>
      <c r="D229" s="34">
        <f>IFERROR(VLOOKUP(B229,'SAÍDA DE VENDAS'!$B$6:$P$500,4,FALSE),"")</f>
        <v>0</v>
      </c>
      <c r="E229" s="34" t="str">
        <f>IFERROR(VLOOKUP(B229,'SAÍDA DE VENDAS'!$B$6:$P$500,5,FALSE),"")</f>
        <v/>
      </c>
      <c r="F229" s="34" t="str">
        <f>IF(OR(ISBLANK(B229),B229=""), "", IFERROR(INDEX('SAÍDA DE VENDAS'!$H$6:$H$500 &amp; "x " &amp; 'SAÍDA DE VENDAS'!$G$6:$G$500, MATCH(B229, 'SAÍDA DE VENDAS'!$B$6:$B$500, 0)), "")&amp; IF(COUNTIF('SAÍDA DE VENDAS'!$B$6:$B$500, B229)&gt;1, " + " &amp; IFERROR(INDEX('SAÍDA DE VENDAS'!$H$6:$H$500 &amp; "x " &amp; 'SAÍDA DE VENDAS'!$G$6:$G$500, MATCH(B229, 'SAÍDA DE VENDAS'!$B$6:$B$500, 0)+1), ""), "")&amp; IF(COUNTIF('SAÍDA DE VENDAS'!$B$6:$B$500, B229)&gt;2, " + " &amp; IFERROR(INDEX('SAÍDA DE VENDAS'!$H$6:$H$500 &amp; "x " &amp; 'SAÍDA DE VENDAS'!$G$6:$G$500, MATCH(B229, 'SAÍDA DE VENDAS'!$B$6:$B$500, 0)+2), ""), "")&amp; IF(COUNTIF('SAÍDA DE VENDAS'!$B$6:$B$500, B229)&gt;3, " + " &amp; IFERROR(INDEX('SAÍDA DE VENDAS'!$H$6:$H$500 &amp; "x " &amp; 'SAÍDA DE VENDAS'!$G$6:$G$500, MATCH(B229, 'SAÍDA DE VENDAS'!$B$6:$B$500, 0)+3), ""), "")&amp; IF(COUNTIF('SAÍDA DE VENDAS'!$B$6:$B$500, B229)&gt;4, " + " &amp; IFERROR(INDEX('SAÍDA DE VENDAS'!$H$6:$H$500 &amp; "x " &amp; 'SAÍDA DE VENDAS'!$G$6:$G$500, MATCH(B229, 'SAÍDA DE VENDAS'!$B$6:$B$500, 0)+4), ""), "")&amp; IF(COUNTIF('SAÍDA DE VENDAS'!$B$6:$B$500, B229)&gt;5, " + " &amp; IFERROR(INDEX('SAÍDA DE VENDAS'!$H$6:$H$500 &amp; "x " &amp; 'SAÍDA DE VENDAS'!$G$6:$G$500, MATCH(B229, 'SAÍDA DE VENDAS'!$B$6:$B$500, 0)+5), ""), ""))</f>
        <v/>
      </c>
      <c r="G229" s="34">
        <f>IFERROR(VLOOKUP(B229,'SAÍDA DE VENDAS'!$B$6:$P$500,10,FALSE),"")</f>
        <v>0</v>
      </c>
      <c r="H229" s="34" t="str">
        <f>IF(OR(ISBLANK(B229),B229=""), "", IF(B229=B228, (VALUE(LEFT(H228,FIND("/",H228)-1))+1)&amp;"/"&amp;RIGHT(H228,LEN(H228)-FIND("/",H228)), "1/"&amp;IFERROR(VLOOKUP(B229,'SAÍDA DE VENDAS'!$B$6:$P$500,13,FALSE),"1")))</f>
        <v/>
      </c>
      <c r="I229" s="35" t="str">
        <f t="shared" si="6"/>
        <v/>
      </c>
      <c r="J229" s="39" t="str">
        <f>IFERROR(VLOOKUP(B229,'SAÍDA DE VENDAS'!$B$6:$P$500,15,FALSE),"")</f>
        <v/>
      </c>
      <c r="K229" s="34" t="str">
        <f t="shared" ca="1" si="7"/>
        <v/>
      </c>
      <c r="L229" s="34"/>
      <c r="M229" s="34"/>
    </row>
    <row r="230" spans="2:13" ht="15" customHeight="1" x14ac:dyDescent="0.3">
      <c r="B230" s="28" t="str">
        <f>IF(B229="","", IF(VALUE(LEFT(H229,FIND("/",H229)-1)) &lt; VALUE(RIGHT(H229,LEN(H229)-FIND("/",H229))), B229, IFERROR(INDEX('SAÍDA DE VENDAS'!$B$6:$B$500, MATCH(B229,'SAÍDA DE VENDAS'!$B$6:$B$500,0)+COUNTIF('SAÍDA DE VENDAS'!$B$6:$B$500, B229)),"")))</f>
        <v/>
      </c>
      <c r="C230" s="29">
        <f>IFERROR(VLOOKUP(B230,'SAÍDA DE VENDAS'!$B$6:$P$500,3,FALSE),"")</f>
        <v>0</v>
      </c>
      <c r="D230" s="28">
        <f>IFERROR(VLOOKUP(B230,'SAÍDA DE VENDAS'!$B$6:$P$500,4,FALSE),"")</f>
        <v>0</v>
      </c>
      <c r="E230" s="28" t="str">
        <f>IFERROR(VLOOKUP(B230,'SAÍDA DE VENDAS'!$B$6:$P$500,5,FALSE),"")</f>
        <v/>
      </c>
      <c r="F230" s="28" t="str">
        <f>IF(OR(ISBLANK(B230),B230=""), "", IFERROR(INDEX('SAÍDA DE VENDAS'!$H$6:$H$500 &amp; "x " &amp; 'SAÍDA DE VENDAS'!$G$6:$G$500, MATCH(B230, 'SAÍDA DE VENDAS'!$B$6:$B$500, 0)), "")&amp; IF(COUNTIF('SAÍDA DE VENDAS'!$B$6:$B$500, B230)&gt;1, " + " &amp; IFERROR(INDEX('SAÍDA DE VENDAS'!$H$6:$H$500 &amp; "x " &amp; 'SAÍDA DE VENDAS'!$G$6:$G$500, MATCH(B230, 'SAÍDA DE VENDAS'!$B$6:$B$500, 0)+1), ""), "")&amp; IF(COUNTIF('SAÍDA DE VENDAS'!$B$6:$B$500, B230)&gt;2, " + " &amp; IFERROR(INDEX('SAÍDA DE VENDAS'!$H$6:$H$500 &amp; "x " &amp; 'SAÍDA DE VENDAS'!$G$6:$G$500, MATCH(B230, 'SAÍDA DE VENDAS'!$B$6:$B$500, 0)+2), ""), "")&amp; IF(COUNTIF('SAÍDA DE VENDAS'!$B$6:$B$500, B230)&gt;3, " + " &amp; IFERROR(INDEX('SAÍDA DE VENDAS'!$H$6:$H$500 &amp; "x " &amp; 'SAÍDA DE VENDAS'!$G$6:$G$500, MATCH(B230, 'SAÍDA DE VENDAS'!$B$6:$B$500, 0)+3), ""), "")&amp; IF(COUNTIF('SAÍDA DE VENDAS'!$B$6:$B$500, B230)&gt;4, " + " &amp; IFERROR(INDEX('SAÍDA DE VENDAS'!$H$6:$H$500 &amp; "x " &amp; 'SAÍDA DE VENDAS'!$G$6:$G$500, MATCH(B230, 'SAÍDA DE VENDAS'!$B$6:$B$500, 0)+4), ""), "")&amp; IF(COUNTIF('SAÍDA DE VENDAS'!$B$6:$B$500, B230)&gt;5, " + " &amp; IFERROR(INDEX('SAÍDA DE VENDAS'!$H$6:$H$500 &amp; "x " &amp; 'SAÍDA DE VENDAS'!$G$6:$G$500, MATCH(B230, 'SAÍDA DE VENDAS'!$B$6:$B$500, 0)+5), ""), ""))</f>
        <v/>
      </c>
      <c r="G230" s="28">
        <f>IFERROR(VLOOKUP(B230,'SAÍDA DE VENDAS'!$B$6:$P$500,10,FALSE),"")</f>
        <v>0</v>
      </c>
      <c r="H230" s="28" t="str">
        <f>IF(OR(ISBLANK(B230),B230=""), "", IF(B230=B229, (VALUE(LEFT(H229,FIND("/",H229)-1))+1)&amp;"/"&amp;RIGHT(H229,LEN(H229)-FIND("/",H229)), "1/"&amp;IFERROR(VLOOKUP(B230,'SAÍDA DE VENDAS'!$B$6:$P$500,13,FALSE),"1")))</f>
        <v/>
      </c>
      <c r="I230" s="69" t="str">
        <f t="shared" si="6"/>
        <v/>
      </c>
      <c r="J230" s="33" t="str">
        <f>IFERROR(VLOOKUP(B230,'SAÍDA DE VENDAS'!$B$6:$P$500,15,FALSE),"")</f>
        <v/>
      </c>
      <c r="K230" s="28" t="str">
        <f t="shared" ca="1" si="7"/>
        <v/>
      </c>
      <c r="L230" s="28"/>
      <c r="M230" s="28"/>
    </row>
    <row r="231" spans="2:13" ht="15" customHeight="1" x14ac:dyDescent="0.3">
      <c r="B231" s="34" t="str">
        <f>IF(B230="","", IF(VALUE(LEFT(H230,FIND("/",H230)-1)) &lt; VALUE(RIGHT(H230,LEN(H230)-FIND("/",H230))), B230, IFERROR(INDEX('SAÍDA DE VENDAS'!$B$6:$B$500, MATCH(B230,'SAÍDA DE VENDAS'!$B$6:$B$500,0)+COUNTIF('SAÍDA DE VENDAS'!$B$6:$B$500, B230)),"")))</f>
        <v/>
      </c>
      <c r="C231" s="35">
        <f>IFERROR(VLOOKUP(B231,'SAÍDA DE VENDAS'!$B$6:$P$500,3,FALSE),"")</f>
        <v>0</v>
      </c>
      <c r="D231" s="34">
        <f>IFERROR(VLOOKUP(B231,'SAÍDA DE VENDAS'!$B$6:$P$500,4,FALSE),"")</f>
        <v>0</v>
      </c>
      <c r="E231" s="34" t="str">
        <f>IFERROR(VLOOKUP(B231,'SAÍDA DE VENDAS'!$B$6:$P$500,5,FALSE),"")</f>
        <v/>
      </c>
      <c r="F231" s="34" t="str">
        <f>IF(OR(ISBLANK(B231),B231=""), "", IFERROR(INDEX('SAÍDA DE VENDAS'!$H$6:$H$500 &amp; "x " &amp; 'SAÍDA DE VENDAS'!$G$6:$G$500, MATCH(B231, 'SAÍDA DE VENDAS'!$B$6:$B$500, 0)), "")&amp; IF(COUNTIF('SAÍDA DE VENDAS'!$B$6:$B$500, B231)&gt;1, " + " &amp; IFERROR(INDEX('SAÍDA DE VENDAS'!$H$6:$H$500 &amp; "x " &amp; 'SAÍDA DE VENDAS'!$G$6:$G$500, MATCH(B231, 'SAÍDA DE VENDAS'!$B$6:$B$500, 0)+1), ""), "")&amp; IF(COUNTIF('SAÍDA DE VENDAS'!$B$6:$B$500, B231)&gt;2, " + " &amp; IFERROR(INDEX('SAÍDA DE VENDAS'!$H$6:$H$500 &amp; "x " &amp; 'SAÍDA DE VENDAS'!$G$6:$G$500, MATCH(B231, 'SAÍDA DE VENDAS'!$B$6:$B$500, 0)+2), ""), "")&amp; IF(COUNTIF('SAÍDA DE VENDAS'!$B$6:$B$500, B231)&gt;3, " + " &amp; IFERROR(INDEX('SAÍDA DE VENDAS'!$H$6:$H$500 &amp; "x " &amp; 'SAÍDA DE VENDAS'!$G$6:$G$500, MATCH(B231, 'SAÍDA DE VENDAS'!$B$6:$B$500, 0)+3), ""), "")&amp; IF(COUNTIF('SAÍDA DE VENDAS'!$B$6:$B$500, B231)&gt;4, " + " &amp; IFERROR(INDEX('SAÍDA DE VENDAS'!$H$6:$H$500 &amp; "x " &amp; 'SAÍDA DE VENDAS'!$G$6:$G$500, MATCH(B231, 'SAÍDA DE VENDAS'!$B$6:$B$500, 0)+4), ""), "")&amp; IF(COUNTIF('SAÍDA DE VENDAS'!$B$6:$B$500, B231)&gt;5, " + " &amp; IFERROR(INDEX('SAÍDA DE VENDAS'!$H$6:$H$500 &amp; "x " &amp; 'SAÍDA DE VENDAS'!$G$6:$G$500, MATCH(B231, 'SAÍDA DE VENDAS'!$B$6:$B$500, 0)+5), ""), ""))</f>
        <v/>
      </c>
      <c r="G231" s="34">
        <f>IFERROR(VLOOKUP(B231,'SAÍDA DE VENDAS'!$B$6:$P$500,10,FALSE),"")</f>
        <v>0</v>
      </c>
      <c r="H231" s="34" t="str">
        <f>IF(OR(ISBLANK(B231),B231=""), "", IF(B231=B230, (VALUE(LEFT(H230,FIND("/",H230)-1))+1)&amp;"/"&amp;RIGHT(H230,LEN(H230)-FIND("/",H230)), "1/"&amp;IFERROR(VLOOKUP(B231,'SAÍDA DE VENDAS'!$B$6:$P$500,13,FALSE),"1")))</f>
        <v/>
      </c>
      <c r="I231" s="35" t="str">
        <f t="shared" si="6"/>
        <v/>
      </c>
      <c r="J231" s="39" t="str">
        <f>IFERROR(VLOOKUP(B231,'SAÍDA DE VENDAS'!$B$6:$P$500,15,FALSE),"")</f>
        <v/>
      </c>
      <c r="K231" s="34" t="str">
        <f t="shared" ca="1" si="7"/>
        <v/>
      </c>
      <c r="L231" s="34"/>
      <c r="M231" s="34"/>
    </row>
    <row r="232" spans="2:13" ht="15" customHeight="1" x14ac:dyDescent="0.3">
      <c r="B232" s="28" t="str">
        <f>IF(B231="","", IF(VALUE(LEFT(H231,FIND("/",H231)-1)) &lt; VALUE(RIGHT(H231,LEN(H231)-FIND("/",H231))), B231, IFERROR(INDEX('SAÍDA DE VENDAS'!$B$6:$B$500, MATCH(B231,'SAÍDA DE VENDAS'!$B$6:$B$500,0)+COUNTIF('SAÍDA DE VENDAS'!$B$6:$B$500, B231)),"")))</f>
        <v/>
      </c>
      <c r="C232" s="29">
        <f>IFERROR(VLOOKUP(B232,'SAÍDA DE VENDAS'!$B$6:$P$500,3,FALSE),"")</f>
        <v>0</v>
      </c>
      <c r="D232" s="28">
        <f>IFERROR(VLOOKUP(B232,'SAÍDA DE VENDAS'!$B$6:$P$500,4,FALSE),"")</f>
        <v>0</v>
      </c>
      <c r="E232" s="28" t="str">
        <f>IFERROR(VLOOKUP(B232,'SAÍDA DE VENDAS'!$B$6:$P$500,5,FALSE),"")</f>
        <v/>
      </c>
      <c r="F232" s="28" t="str">
        <f>IF(OR(ISBLANK(B232),B232=""), "", IFERROR(INDEX('SAÍDA DE VENDAS'!$H$6:$H$500 &amp; "x " &amp; 'SAÍDA DE VENDAS'!$G$6:$G$500, MATCH(B232, 'SAÍDA DE VENDAS'!$B$6:$B$500, 0)), "")&amp; IF(COUNTIF('SAÍDA DE VENDAS'!$B$6:$B$500, B232)&gt;1, " + " &amp; IFERROR(INDEX('SAÍDA DE VENDAS'!$H$6:$H$500 &amp; "x " &amp; 'SAÍDA DE VENDAS'!$G$6:$G$500, MATCH(B232, 'SAÍDA DE VENDAS'!$B$6:$B$500, 0)+1), ""), "")&amp; IF(COUNTIF('SAÍDA DE VENDAS'!$B$6:$B$500, B232)&gt;2, " + " &amp; IFERROR(INDEX('SAÍDA DE VENDAS'!$H$6:$H$500 &amp; "x " &amp; 'SAÍDA DE VENDAS'!$G$6:$G$500, MATCH(B232, 'SAÍDA DE VENDAS'!$B$6:$B$500, 0)+2), ""), "")&amp; IF(COUNTIF('SAÍDA DE VENDAS'!$B$6:$B$500, B232)&gt;3, " + " &amp; IFERROR(INDEX('SAÍDA DE VENDAS'!$H$6:$H$500 &amp; "x " &amp; 'SAÍDA DE VENDAS'!$G$6:$G$500, MATCH(B232, 'SAÍDA DE VENDAS'!$B$6:$B$500, 0)+3), ""), "")&amp; IF(COUNTIF('SAÍDA DE VENDAS'!$B$6:$B$500, B232)&gt;4, " + " &amp; IFERROR(INDEX('SAÍDA DE VENDAS'!$H$6:$H$500 &amp; "x " &amp; 'SAÍDA DE VENDAS'!$G$6:$G$500, MATCH(B232, 'SAÍDA DE VENDAS'!$B$6:$B$500, 0)+4), ""), "")&amp; IF(COUNTIF('SAÍDA DE VENDAS'!$B$6:$B$500, B232)&gt;5, " + " &amp; IFERROR(INDEX('SAÍDA DE VENDAS'!$H$6:$H$500 &amp; "x " &amp; 'SAÍDA DE VENDAS'!$G$6:$G$500, MATCH(B232, 'SAÍDA DE VENDAS'!$B$6:$B$500, 0)+5), ""), ""))</f>
        <v/>
      </c>
      <c r="G232" s="28">
        <f>IFERROR(VLOOKUP(B232,'SAÍDA DE VENDAS'!$B$6:$P$500,10,FALSE),"")</f>
        <v>0</v>
      </c>
      <c r="H232" s="28" t="str">
        <f>IF(OR(ISBLANK(B232),B232=""), "", IF(B232=B231, (VALUE(LEFT(H231,FIND("/",H231)-1))+1)&amp;"/"&amp;RIGHT(H231,LEN(H231)-FIND("/",H231)), "1/"&amp;IFERROR(VLOOKUP(B232,'SAÍDA DE VENDAS'!$B$6:$P$500,13,FALSE),"1")))</f>
        <v/>
      </c>
      <c r="I232" s="69" t="str">
        <f t="shared" si="6"/>
        <v/>
      </c>
      <c r="J232" s="33" t="str">
        <f>IFERROR(VLOOKUP(B232,'SAÍDA DE VENDAS'!$B$6:$P$500,15,FALSE),"")</f>
        <v/>
      </c>
      <c r="K232" s="28" t="str">
        <f t="shared" ca="1" si="7"/>
        <v/>
      </c>
      <c r="L232" s="28"/>
      <c r="M232" s="28"/>
    </row>
    <row r="233" spans="2:13" ht="15" customHeight="1" x14ac:dyDescent="0.3">
      <c r="B233" s="34" t="str">
        <f>IF(B232="","", IF(VALUE(LEFT(H232,FIND("/",H232)-1)) &lt; VALUE(RIGHT(H232,LEN(H232)-FIND("/",H232))), B232, IFERROR(INDEX('SAÍDA DE VENDAS'!$B$6:$B$500, MATCH(B232,'SAÍDA DE VENDAS'!$B$6:$B$500,0)+COUNTIF('SAÍDA DE VENDAS'!$B$6:$B$500, B232)),"")))</f>
        <v/>
      </c>
      <c r="C233" s="35">
        <f>IFERROR(VLOOKUP(B233,'SAÍDA DE VENDAS'!$B$6:$P$500,3,FALSE),"")</f>
        <v>0</v>
      </c>
      <c r="D233" s="34">
        <f>IFERROR(VLOOKUP(B233,'SAÍDA DE VENDAS'!$B$6:$P$500,4,FALSE),"")</f>
        <v>0</v>
      </c>
      <c r="E233" s="34" t="str">
        <f>IFERROR(VLOOKUP(B233,'SAÍDA DE VENDAS'!$B$6:$P$500,5,FALSE),"")</f>
        <v/>
      </c>
      <c r="F233" s="34" t="str">
        <f>IF(OR(ISBLANK(B233),B233=""), "", IFERROR(INDEX('SAÍDA DE VENDAS'!$H$6:$H$500 &amp; "x " &amp; 'SAÍDA DE VENDAS'!$G$6:$G$500, MATCH(B233, 'SAÍDA DE VENDAS'!$B$6:$B$500, 0)), "")&amp; IF(COUNTIF('SAÍDA DE VENDAS'!$B$6:$B$500, B233)&gt;1, " + " &amp; IFERROR(INDEX('SAÍDA DE VENDAS'!$H$6:$H$500 &amp; "x " &amp; 'SAÍDA DE VENDAS'!$G$6:$G$500, MATCH(B233, 'SAÍDA DE VENDAS'!$B$6:$B$500, 0)+1), ""), "")&amp; IF(COUNTIF('SAÍDA DE VENDAS'!$B$6:$B$500, B233)&gt;2, " + " &amp; IFERROR(INDEX('SAÍDA DE VENDAS'!$H$6:$H$500 &amp; "x " &amp; 'SAÍDA DE VENDAS'!$G$6:$G$500, MATCH(B233, 'SAÍDA DE VENDAS'!$B$6:$B$500, 0)+2), ""), "")&amp; IF(COUNTIF('SAÍDA DE VENDAS'!$B$6:$B$500, B233)&gt;3, " + " &amp; IFERROR(INDEX('SAÍDA DE VENDAS'!$H$6:$H$500 &amp; "x " &amp; 'SAÍDA DE VENDAS'!$G$6:$G$500, MATCH(B233, 'SAÍDA DE VENDAS'!$B$6:$B$500, 0)+3), ""), "")&amp; IF(COUNTIF('SAÍDA DE VENDAS'!$B$6:$B$500, B233)&gt;4, " + " &amp; IFERROR(INDEX('SAÍDA DE VENDAS'!$H$6:$H$500 &amp; "x " &amp; 'SAÍDA DE VENDAS'!$G$6:$G$500, MATCH(B233, 'SAÍDA DE VENDAS'!$B$6:$B$500, 0)+4), ""), "")&amp; IF(COUNTIF('SAÍDA DE VENDAS'!$B$6:$B$500, B233)&gt;5, " + " &amp; IFERROR(INDEX('SAÍDA DE VENDAS'!$H$6:$H$500 &amp; "x " &amp; 'SAÍDA DE VENDAS'!$G$6:$G$500, MATCH(B233, 'SAÍDA DE VENDAS'!$B$6:$B$500, 0)+5), ""), ""))</f>
        <v/>
      </c>
      <c r="G233" s="34">
        <f>IFERROR(VLOOKUP(B233,'SAÍDA DE VENDAS'!$B$6:$P$500,10,FALSE),"")</f>
        <v>0</v>
      </c>
      <c r="H233" s="34" t="str">
        <f>IF(OR(ISBLANK(B233),B233=""), "", IF(B233=B232, (VALUE(LEFT(H232,FIND("/",H232)-1))+1)&amp;"/"&amp;RIGHT(H232,LEN(H232)-FIND("/",H232)), "1/"&amp;IFERROR(VLOOKUP(B233,'SAÍDA DE VENDAS'!$B$6:$P$500,13,FALSE),"1")))</f>
        <v/>
      </c>
      <c r="I233" s="35" t="str">
        <f t="shared" si="6"/>
        <v/>
      </c>
      <c r="J233" s="39" t="str">
        <f>IFERROR(VLOOKUP(B233,'SAÍDA DE VENDAS'!$B$6:$P$500,15,FALSE),"")</f>
        <v/>
      </c>
      <c r="K233" s="34" t="str">
        <f t="shared" ca="1" si="7"/>
        <v/>
      </c>
      <c r="L233" s="34"/>
      <c r="M233" s="34"/>
    </row>
    <row r="234" spans="2:13" ht="15" customHeight="1" x14ac:dyDescent="0.3">
      <c r="B234" s="28" t="str">
        <f>IF(B233="","", IF(VALUE(LEFT(H233,FIND("/",H233)-1)) &lt; VALUE(RIGHT(H233,LEN(H233)-FIND("/",H233))), B233, IFERROR(INDEX('SAÍDA DE VENDAS'!$B$6:$B$500, MATCH(B233,'SAÍDA DE VENDAS'!$B$6:$B$500,0)+COUNTIF('SAÍDA DE VENDAS'!$B$6:$B$500, B233)),"")))</f>
        <v/>
      </c>
      <c r="C234" s="29">
        <f>IFERROR(VLOOKUP(B234,'SAÍDA DE VENDAS'!$B$6:$P$500,3,FALSE),"")</f>
        <v>0</v>
      </c>
      <c r="D234" s="28">
        <f>IFERROR(VLOOKUP(B234,'SAÍDA DE VENDAS'!$B$6:$P$500,4,FALSE),"")</f>
        <v>0</v>
      </c>
      <c r="E234" s="28" t="str">
        <f>IFERROR(VLOOKUP(B234,'SAÍDA DE VENDAS'!$B$6:$P$500,5,FALSE),"")</f>
        <v/>
      </c>
      <c r="F234" s="28" t="str">
        <f>IF(OR(ISBLANK(B234),B234=""), "", IFERROR(INDEX('SAÍDA DE VENDAS'!$H$6:$H$500 &amp; "x " &amp; 'SAÍDA DE VENDAS'!$G$6:$G$500, MATCH(B234, 'SAÍDA DE VENDAS'!$B$6:$B$500, 0)), "")&amp; IF(COUNTIF('SAÍDA DE VENDAS'!$B$6:$B$500, B234)&gt;1, " + " &amp; IFERROR(INDEX('SAÍDA DE VENDAS'!$H$6:$H$500 &amp; "x " &amp; 'SAÍDA DE VENDAS'!$G$6:$G$500, MATCH(B234, 'SAÍDA DE VENDAS'!$B$6:$B$500, 0)+1), ""), "")&amp; IF(COUNTIF('SAÍDA DE VENDAS'!$B$6:$B$500, B234)&gt;2, " + " &amp; IFERROR(INDEX('SAÍDA DE VENDAS'!$H$6:$H$500 &amp; "x " &amp; 'SAÍDA DE VENDAS'!$G$6:$G$500, MATCH(B234, 'SAÍDA DE VENDAS'!$B$6:$B$500, 0)+2), ""), "")&amp; IF(COUNTIF('SAÍDA DE VENDAS'!$B$6:$B$500, B234)&gt;3, " + " &amp; IFERROR(INDEX('SAÍDA DE VENDAS'!$H$6:$H$500 &amp; "x " &amp; 'SAÍDA DE VENDAS'!$G$6:$G$500, MATCH(B234, 'SAÍDA DE VENDAS'!$B$6:$B$500, 0)+3), ""), "")&amp; IF(COUNTIF('SAÍDA DE VENDAS'!$B$6:$B$500, B234)&gt;4, " + " &amp; IFERROR(INDEX('SAÍDA DE VENDAS'!$H$6:$H$500 &amp; "x " &amp; 'SAÍDA DE VENDAS'!$G$6:$G$500, MATCH(B234, 'SAÍDA DE VENDAS'!$B$6:$B$500, 0)+4), ""), "")&amp; IF(COUNTIF('SAÍDA DE VENDAS'!$B$6:$B$500, B234)&gt;5, " + " &amp; IFERROR(INDEX('SAÍDA DE VENDAS'!$H$6:$H$500 &amp; "x " &amp; 'SAÍDA DE VENDAS'!$G$6:$G$500, MATCH(B234, 'SAÍDA DE VENDAS'!$B$6:$B$500, 0)+5), ""), ""))</f>
        <v/>
      </c>
      <c r="G234" s="28">
        <f>IFERROR(VLOOKUP(B234,'SAÍDA DE VENDAS'!$B$6:$P$500,10,FALSE),"")</f>
        <v>0</v>
      </c>
      <c r="H234" s="28" t="str">
        <f>IF(OR(ISBLANK(B234),B234=""), "", IF(B234=B233, (VALUE(LEFT(H233,FIND("/",H233)-1))+1)&amp;"/"&amp;RIGHT(H233,LEN(H233)-FIND("/",H233)), "1/"&amp;IFERROR(VLOOKUP(B234,'SAÍDA DE VENDAS'!$B$6:$P$500,13,FALSE),"1")))</f>
        <v/>
      </c>
      <c r="I234" s="69" t="str">
        <f t="shared" si="6"/>
        <v/>
      </c>
      <c r="J234" s="33" t="str">
        <f>IFERROR(VLOOKUP(B234,'SAÍDA DE VENDAS'!$B$6:$P$500,15,FALSE),"")</f>
        <v/>
      </c>
      <c r="K234" s="28" t="str">
        <f t="shared" ca="1" si="7"/>
        <v/>
      </c>
      <c r="L234" s="28"/>
      <c r="M234" s="28"/>
    </row>
    <row r="235" spans="2:13" ht="15" customHeight="1" x14ac:dyDescent="0.3">
      <c r="B235" s="34" t="str">
        <f>IF(B234="","", IF(VALUE(LEFT(H234,FIND("/",H234)-1)) &lt; VALUE(RIGHT(H234,LEN(H234)-FIND("/",H234))), B234, IFERROR(INDEX('SAÍDA DE VENDAS'!$B$6:$B$500, MATCH(B234,'SAÍDA DE VENDAS'!$B$6:$B$500,0)+COUNTIF('SAÍDA DE VENDAS'!$B$6:$B$500, B234)),"")))</f>
        <v/>
      </c>
      <c r="C235" s="35">
        <f>IFERROR(VLOOKUP(B235,'SAÍDA DE VENDAS'!$B$6:$P$500,3,FALSE),"")</f>
        <v>0</v>
      </c>
      <c r="D235" s="34">
        <f>IFERROR(VLOOKUP(B235,'SAÍDA DE VENDAS'!$B$6:$P$500,4,FALSE),"")</f>
        <v>0</v>
      </c>
      <c r="E235" s="34" t="str">
        <f>IFERROR(VLOOKUP(B235,'SAÍDA DE VENDAS'!$B$6:$P$500,5,FALSE),"")</f>
        <v/>
      </c>
      <c r="F235" s="34" t="str">
        <f>IF(OR(ISBLANK(B235),B235=""), "", IFERROR(INDEX('SAÍDA DE VENDAS'!$H$6:$H$500 &amp; "x " &amp; 'SAÍDA DE VENDAS'!$G$6:$G$500, MATCH(B235, 'SAÍDA DE VENDAS'!$B$6:$B$500, 0)), "")&amp; IF(COUNTIF('SAÍDA DE VENDAS'!$B$6:$B$500, B235)&gt;1, " + " &amp; IFERROR(INDEX('SAÍDA DE VENDAS'!$H$6:$H$500 &amp; "x " &amp; 'SAÍDA DE VENDAS'!$G$6:$G$500, MATCH(B235, 'SAÍDA DE VENDAS'!$B$6:$B$500, 0)+1), ""), "")&amp; IF(COUNTIF('SAÍDA DE VENDAS'!$B$6:$B$500, B235)&gt;2, " + " &amp; IFERROR(INDEX('SAÍDA DE VENDAS'!$H$6:$H$500 &amp; "x " &amp; 'SAÍDA DE VENDAS'!$G$6:$G$500, MATCH(B235, 'SAÍDA DE VENDAS'!$B$6:$B$500, 0)+2), ""), "")&amp; IF(COUNTIF('SAÍDA DE VENDAS'!$B$6:$B$500, B235)&gt;3, " + " &amp; IFERROR(INDEX('SAÍDA DE VENDAS'!$H$6:$H$500 &amp; "x " &amp; 'SAÍDA DE VENDAS'!$G$6:$G$500, MATCH(B235, 'SAÍDA DE VENDAS'!$B$6:$B$500, 0)+3), ""), "")&amp; IF(COUNTIF('SAÍDA DE VENDAS'!$B$6:$B$500, B235)&gt;4, " + " &amp; IFERROR(INDEX('SAÍDA DE VENDAS'!$H$6:$H$500 &amp; "x " &amp; 'SAÍDA DE VENDAS'!$G$6:$G$500, MATCH(B235, 'SAÍDA DE VENDAS'!$B$6:$B$500, 0)+4), ""), "")&amp; IF(COUNTIF('SAÍDA DE VENDAS'!$B$6:$B$500, B235)&gt;5, " + " &amp; IFERROR(INDEX('SAÍDA DE VENDAS'!$H$6:$H$500 &amp; "x " &amp; 'SAÍDA DE VENDAS'!$G$6:$G$500, MATCH(B235, 'SAÍDA DE VENDAS'!$B$6:$B$500, 0)+5), ""), ""))</f>
        <v/>
      </c>
      <c r="G235" s="34">
        <f>IFERROR(VLOOKUP(B235,'SAÍDA DE VENDAS'!$B$6:$P$500,10,FALSE),"")</f>
        <v>0</v>
      </c>
      <c r="H235" s="34" t="str">
        <f>IF(OR(ISBLANK(B235),B235=""), "", IF(B235=B234, (VALUE(LEFT(H234,FIND("/",H234)-1))+1)&amp;"/"&amp;RIGHT(H234,LEN(H234)-FIND("/",H234)), "1/"&amp;IFERROR(VLOOKUP(B235,'SAÍDA DE VENDAS'!$B$6:$P$500,13,FALSE),"1")))</f>
        <v/>
      </c>
      <c r="I235" s="35" t="str">
        <f t="shared" si="6"/>
        <v/>
      </c>
      <c r="J235" s="39" t="str">
        <f>IFERROR(VLOOKUP(B235,'SAÍDA DE VENDAS'!$B$6:$P$500,15,FALSE),"")</f>
        <v/>
      </c>
      <c r="K235" s="34" t="str">
        <f t="shared" ca="1" si="7"/>
        <v/>
      </c>
      <c r="L235" s="34"/>
      <c r="M235" s="34"/>
    </row>
    <row r="236" spans="2:13" ht="15" customHeight="1" x14ac:dyDescent="0.3">
      <c r="B236" s="28" t="str">
        <f>IF(B235="","", IF(VALUE(LEFT(H235,FIND("/",H235)-1)) &lt; VALUE(RIGHT(H235,LEN(H235)-FIND("/",H235))), B235, IFERROR(INDEX('SAÍDA DE VENDAS'!$B$6:$B$500, MATCH(B235,'SAÍDA DE VENDAS'!$B$6:$B$500,0)+COUNTIF('SAÍDA DE VENDAS'!$B$6:$B$500, B235)),"")))</f>
        <v/>
      </c>
      <c r="C236" s="29">
        <f>IFERROR(VLOOKUP(B236,'SAÍDA DE VENDAS'!$B$6:$P$500,3,FALSE),"")</f>
        <v>0</v>
      </c>
      <c r="D236" s="28">
        <f>IFERROR(VLOOKUP(B236,'SAÍDA DE VENDAS'!$B$6:$P$500,4,FALSE),"")</f>
        <v>0</v>
      </c>
      <c r="E236" s="28" t="str">
        <f>IFERROR(VLOOKUP(B236,'SAÍDA DE VENDAS'!$B$6:$P$500,5,FALSE),"")</f>
        <v/>
      </c>
      <c r="F236" s="28" t="str">
        <f>IF(OR(ISBLANK(B236),B236=""), "", IFERROR(INDEX('SAÍDA DE VENDAS'!$H$6:$H$500 &amp; "x " &amp; 'SAÍDA DE VENDAS'!$G$6:$G$500, MATCH(B236, 'SAÍDA DE VENDAS'!$B$6:$B$500, 0)), "")&amp; IF(COUNTIF('SAÍDA DE VENDAS'!$B$6:$B$500, B236)&gt;1, " + " &amp; IFERROR(INDEX('SAÍDA DE VENDAS'!$H$6:$H$500 &amp; "x " &amp; 'SAÍDA DE VENDAS'!$G$6:$G$500, MATCH(B236, 'SAÍDA DE VENDAS'!$B$6:$B$500, 0)+1), ""), "")&amp; IF(COUNTIF('SAÍDA DE VENDAS'!$B$6:$B$500, B236)&gt;2, " + " &amp; IFERROR(INDEX('SAÍDA DE VENDAS'!$H$6:$H$500 &amp; "x " &amp; 'SAÍDA DE VENDAS'!$G$6:$G$500, MATCH(B236, 'SAÍDA DE VENDAS'!$B$6:$B$500, 0)+2), ""), "")&amp; IF(COUNTIF('SAÍDA DE VENDAS'!$B$6:$B$500, B236)&gt;3, " + " &amp; IFERROR(INDEX('SAÍDA DE VENDAS'!$H$6:$H$500 &amp; "x " &amp; 'SAÍDA DE VENDAS'!$G$6:$G$500, MATCH(B236, 'SAÍDA DE VENDAS'!$B$6:$B$500, 0)+3), ""), "")&amp; IF(COUNTIF('SAÍDA DE VENDAS'!$B$6:$B$500, B236)&gt;4, " + " &amp; IFERROR(INDEX('SAÍDA DE VENDAS'!$H$6:$H$500 &amp; "x " &amp; 'SAÍDA DE VENDAS'!$G$6:$G$500, MATCH(B236, 'SAÍDA DE VENDAS'!$B$6:$B$500, 0)+4), ""), "")&amp; IF(COUNTIF('SAÍDA DE VENDAS'!$B$6:$B$500, B236)&gt;5, " + " &amp; IFERROR(INDEX('SAÍDA DE VENDAS'!$H$6:$H$500 &amp; "x " &amp; 'SAÍDA DE VENDAS'!$G$6:$G$500, MATCH(B236, 'SAÍDA DE VENDAS'!$B$6:$B$500, 0)+5), ""), ""))</f>
        <v/>
      </c>
      <c r="G236" s="28">
        <f>IFERROR(VLOOKUP(B236,'SAÍDA DE VENDAS'!$B$6:$P$500,10,FALSE),"")</f>
        <v>0</v>
      </c>
      <c r="H236" s="28" t="str">
        <f>IF(OR(ISBLANK(B236),B236=""), "", IF(B236=B235, (VALUE(LEFT(H235,FIND("/",H235)-1))+1)&amp;"/"&amp;RIGHT(H235,LEN(H235)-FIND("/",H235)), "1/"&amp;IFERROR(VLOOKUP(B236,'SAÍDA DE VENDAS'!$B$6:$P$500,13,FALSE),"1")))</f>
        <v/>
      </c>
      <c r="I236" s="69" t="str">
        <f t="shared" si="6"/>
        <v/>
      </c>
      <c r="J236" s="33" t="str">
        <f>IFERROR(VLOOKUP(B236,'SAÍDA DE VENDAS'!$B$6:$P$500,15,FALSE),"")</f>
        <v/>
      </c>
      <c r="K236" s="28" t="str">
        <f t="shared" ca="1" si="7"/>
        <v/>
      </c>
      <c r="L236" s="28"/>
      <c r="M236" s="28"/>
    </row>
    <row r="237" spans="2:13" ht="15" customHeight="1" x14ac:dyDescent="0.3">
      <c r="B237" s="34" t="str">
        <f>IF(B236="","", IF(VALUE(LEFT(H236,FIND("/",H236)-1)) &lt; VALUE(RIGHT(H236,LEN(H236)-FIND("/",H236))), B236, IFERROR(INDEX('SAÍDA DE VENDAS'!$B$6:$B$500, MATCH(B236,'SAÍDA DE VENDAS'!$B$6:$B$500,0)+COUNTIF('SAÍDA DE VENDAS'!$B$6:$B$500, B236)),"")))</f>
        <v/>
      </c>
      <c r="C237" s="35">
        <f>IFERROR(VLOOKUP(B237,'SAÍDA DE VENDAS'!$B$6:$P$500,3,FALSE),"")</f>
        <v>0</v>
      </c>
      <c r="D237" s="34">
        <f>IFERROR(VLOOKUP(B237,'SAÍDA DE VENDAS'!$B$6:$P$500,4,FALSE),"")</f>
        <v>0</v>
      </c>
      <c r="E237" s="34" t="str">
        <f>IFERROR(VLOOKUP(B237,'SAÍDA DE VENDAS'!$B$6:$P$500,5,FALSE),"")</f>
        <v/>
      </c>
      <c r="F237" s="34" t="str">
        <f>IF(OR(ISBLANK(B237),B237=""), "", IFERROR(INDEX('SAÍDA DE VENDAS'!$H$6:$H$500 &amp; "x " &amp; 'SAÍDA DE VENDAS'!$G$6:$G$500, MATCH(B237, 'SAÍDA DE VENDAS'!$B$6:$B$500, 0)), "")&amp; IF(COUNTIF('SAÍDA DE VENDAS'!$B$6:$B$500, B237)&gt;1, " + " &amp; IFERROR(INDEX('SAÍDA DE VENDAS'!$H$6:$H$500 &amp; "x " &amp; 'SAÍDA DE VENDAS'!$G$6:$G$500, MATCH(B237, 'SAÍDA DE VENDAS'!$B$6:$B$500, 0)+1), ""), "")&amp; IF(COUNTIF('SAÍDA DE VENDAS'!$B$6:$B$500, B237)&gt;2, " + " &amp; IFERROR(INDEX('SAÍDA DE VENDAS'!$H$6:$H$500 &amp; "x " &amp; 'SAÍDA DE VENDAS'!$G$6:$G$500, MATCH(B237, 'SAÍDA DE VENDAS'!$B$6:$B$500, 0)+2), ""), "")&amp; IF(COUNTIF('SAÍDA DE VENDAS'!$B$6:$B$500, B237)&gt;3, " + " &amp; IFERROR(INDEX('SAÍDA DE VENDAS'!$H$6:$H$500 &amp; "x " &amp; 'SAÍDA DE VENDAS'!$G$6:$G$500, MATCH(B237, 'SAÍDA DE VENDAS'!$B$6:$B$500, 0)+3), ""), "")&amp; IF(COUNTIF('SAÍDA DE VENDAS'!$B$6:$B$500, B237)&gt;4, " + " &amp; IFERROR(INDEX('SAÍDA DE VENDAS'!$H$6:$H$500 &amp; "x " &amp; 'SAÍDA DE VENDAS'!$G$6:$G$500, MATCH(B237, 'SAÍDA DE VENDAS'!$B$6:$B$500, 0)+4), ""), "")&amp; IF(COUNTIF('SAÍDA DE VENDAS'!$B$6:$B$500, B237)&gt;5, " + " &amp; IFERROR(INDEX('SAÍDA DE VENDAS'!$H$6:$H$500 &amp; "x " &amp; 'SAÍDA DE VENDAS'!$G$6:$G$500, MATCH(B237, 'SAÍDA DE VENDAS'!$B$6:$B$500, 0)+5), ""), ""))</f>
        <v/>
      </c>
      <c r="G237" s="34">
        <f>IFERROR(VLOOKUP(B237,'SAÍDA DE VENDAS'!$B$6:$P$500,10,FALSE),"")</f>
        <v>0</v>
      </c>
      <c r="H237" s="34" t="str">
        <f>IF(OR(ISBLANK(B237),B237=""), "", IF(B237=B236, (VALUE(LEFT(H236,FIND("/",H236)-1))+1)&amp;"/"&amp;RIGHT(H236,LEN(H236)-FIND("/",H236)), "1/"&amp;IFERROR(VLOOKUP(B237,'SAÍDA DE VENDAS'!$B$6:$P$500,13,FALSE),"1")))</f>
        <v/>
      </c>
      <c r="I237" s="35" t="str">
        <f t="shared" si="6"/>
        <v/>
      </c>
      <c r="J237" s="39" t="str">
        <f>IFERROR(VLOOKUP(B237,'SAÍDA DE VENDAS'!$B$6:$P$500,15,FALSE),"")</f>
        <v/>
      </c>
      <c r="K237" s="34" t="str">
        <f t="shared" ca="1" si="7"/>
        <v/>
      </c>
      <c r="L237" s="34"/>
      <c r="M237" s="34"/>
    </row>
    <row r="238" spans="2:13" ht="15" customHeight="1" x14ac:dyDescent="0.3">
      <c r="B238" s="28" t="str">
        <f>IF(B237="","", IF(VALUE(LEFT(H237,FIND("/",H237)-1)) &lt; VALUE(RIGHT(H237,LEN(H237)-FIND("/",H237))), B237, IFERROR(INDEX('SAÍDA DE VENDAS'!$B$6:$B$500, MATCH(B237,'SAÍDA DE VENDAS'!$B$6:$B$500,0)+COUNTIF('SAÍDA DE VENDAS'!$B$6:$B$500, B237)),"")))</f>
        <v/>
      </c>
      <c r="C238" s="29">
        <f>IFERROR(VLOOKUP(B238,'SAÍDA DE VENDAS'!$B$6:$P$500,3,FALSE),"")</f>
        <v>0</v>
      </c>
      <c r="D238" s="28">
        <f>IFERROR(VLOOKUP(B238,'SAÍDA DE VENDAS'!$B$6:$P$500,4,FALSE),"")</f>
        <v>0</v>
      </c>
      <c r="E238" s="28" t="str">
        <f>IFERROR(VLOOKUP(B238,'SAÍDA DE VENDAS'!$B$6:$P$500,5,FALSE),"")</f>
        <v/>
      </c>
      <c r="F238" s="28" t="str">
        <f>IF(OR(ISBLANK(B238),B238=""), "", IFERROR(INDEX('SAÍDA DE VENDAS'!$H$6:$H$500 &amp; "x " &amp; 'SAÍDA DE VENDAS'!$G$6:$G$500, MATCH(B238, 'SAÍDA DE VENDAS'!$B$6:$B$500, 0)), "")&amp; IF(COUNTIF('SAÍDA DE VENDAS'!$B$6:$B$500, B238)&gt;1, " + " &amp; IFERROR(INDEX('SAÍDA DE VENDAS'!$H$6:$H$500 &amp; "x " &amp; 'SAÍDA DE VENDAS'!$G$6:$G$500, MATCH(B238, 'SAÍDA DE VENDAS'!$B$6:$B$500, 0)+1), ""), "")&amp; IF(COUNTIF('SAÍDA DE VENDAS'!$B$6:$B$500, B238)&gt;2, " + " &amp; IFERROR(INDEX('SAÍDA DE VENDAS'!$H$6:$H$500 &amp; "x " &amp; 'SAÍDA DE VENDAS'!$G$6:$G$500, MATCH(B238, 'SAÍDA DE VENDAS'!$B$6:$B$500, 0)+2), ""), "")&amp; IF(COUNTIF('SAÍDA DE VENDAS'!$B$6:$B$500, B238)&gt;3, " + " &amp; IFERROR(INDEX('SAÍDA DE VENDAS'!$H$6:$H$500 &amp; "x " &amp; 'SAÍDA DE VENDAS'!$G$6:$G$500, MATCH(B238, 'SAÍDA DE VENDAS'!$B$6:$B$500, 0)+3), ""), "")&amp; IF(COUNTIF('SAÍDA DE VENDAS'!$B$6:$B$500, B238)&gt;4, " + " &amp; IFERROR(INDEX('SAÍDA DE VENDAS'!$H$6:$H$500 &amp; "x " &amp; 'SAÍDA DE VENDAS'!$G$6:$G$500, MATCH(B238, 'SAÍDA DE VENDAS'!$B$6:$B$500, 0)+4), ""), "")&amp; IF(COUNTIF('SAÍDA DE VENDAS'!$B$6:$B$500, B238)&gt;5, " + " &amp; IFERROR(INDEX('SAÍDA DE VENDAS'!$H$6:$H$500 &amp; "x " &amp; 'SAÍDA DE VENDAS'!$G$6:$G$500, MATCH(B238, 'SAÍDA DE VENDAS'!$B$6:$B$500, 0)+5), ""), ""))</f>
        <v/>
      </c>
      <c r="G238" s="28">
        <f>IFERROR(VLOOKUP(B238,'SAÍDA DE VENDAS'!$B$6:$P$500,10,FALSE),"")</f>
        <v>0</v>
      </c>
      <c r="H238" s="28" t="str">
        <f>IF(OR(ISBLANK(B238),B238=""), "", IF(B238=B237, (VALUE(LEFT(H237,FIND("/",H237)-1))+1)&amp;"/"&amp;RIGHT(H237,LEN(H237)-FIND("/",H237)), "1/"&amp;IFERROR(VLOOKUP(B238,'SAÍDA DE VENDAS'!$B$6:$P$500,13,FALSE),"1")))</f>
        <v/>
      </c>
      <c r="I238" s="69" t="str">
        <f t="shared" si="6"/>
        <v/>
      </c>
      <c r="J238" s="33" t="str">
        <f>IFERROR(VLOOKUP(B238,'SAÍDA DE VENDAS'!$B$6:$P$500,15,FALSE),"")</f>
        <v/>
      </c>
      <c r="K238" s="28" t="str">
        <f t="shared" ca="1" si="7"/>
        <v/>
      </c>
      <c r="L238" s="28"/>
      <c r="M238" s="28"/>
    </row>
    <row r="239" spans="2:13" ht="15" customHeight="1" x14ac:dyDescent="0.3">
      <c r="B239" s="34" t="str">
        <f>IF(B238="","", IF(VALUE(LEFT(H238,FIND("/",H238)-1)) &lt; VALUE(RIGHT(H238,LEN(H238)-FIND("/",H238))), B238, IFERROR(INDEX('SAÍDA DE VENDAS'!$B$6:$B$500, MATCH(B238,'SAÍDA DE VENDAS'!$B$6:$B$500,0)+COUNTIF('SAÍDA DE VENDAS'!$B$6:$B$500, B238)),"")))</f>
        <v/>
      </c>
      <c r="C239" s="35">
        <f>IFERROR(VLOOKUP(B239,'SAÍDA DE VENDAS'!$B$6:$P$500,3,FALSE),"")</f>
        <v>0</v>
      </c>
      <c r="D239" s="34">
        <f>IFERROR(VLOOKUP(B239,'SAÍDA DE VENDAS'!$B$6:$P$500,4,FALSE),"")</f>
        <v>0</v>
      </c>
      <c r="E239" s="34" t="str">
        <f>IFERROR(VLOOKUP(B239,'SAÍDA DE VENDAS'!$B$6:$P$500,5,FALSE),"")</f>
        <v/>
      </c>
      <c r="F239" s="34" t="str">
        <f>IF(OR(ISBLANK(B239),B239=""), "", IFERROR(INDEX('SAÍDA DE VENDAS'!$H$6:$H$500 &amp; "x " &amp; 'SAÍDA DE VENDAS'!$G$6:$G$500, MATCH(B239, 'SAÍDA DE VENDAS'!$B$6:$B$500, 0)), "")&amp; IF(COUNTIF('SAÍDA DE VENDAS'!$B$6:$B$500, B239)&gt;1, " + " &amp; IFERROR(INDEX('SAÍDA DE VENDAS'!$H$6:$H$500 &amp; "x " &amp; 'SAÍDA DE VENDAS'!$G$6:$G$500, MATCH(B239, 'SAÍDA DE VENDAS'!$B$6:$B$500, 0)+1), ""), "")&amp; IF(COUNTIF('SAÍDA DE VENDAS'!$B$6:$B$500, B239)&gt;2, " + " &amp; IFERROR(INDEX('SAÍDA DE VENDAS'!$H$6:$H$500 &amp; "x " &amp; 'SAÍDA DE VENDAS'!$G$6:$G$500, MATCH(B239, 'SAÍDA DE VENDAS'!$B$6:$B$500, 0)+2), ""), "")&amp; IF(COUNTIF('SAÍDA DE VENDAS'!$B$6:$B$500, B239)&gt;3, " + " &amp; IFERROR(INDEX('SAÍDA DE VENDAS'!$H$6:$H$500 &amp; "x " &amp; 'SAÍDA DE VENDAS'!$G$6:$G$500, MATCH(B239, 'SAÍDA DE VENDAS'!$B$6:$B$500, 0)+3), ""), "")&amp; IF(COUNTIF('SAÍDA DE VENDAS'!$B$6:$B$500, B239)&gt;4, " + " &amp; IFERROR(INDEX('SAÍDA DE VENDAS'!$H$6:$H$500 &amp; "x " &amp; 'SAÍDA DE VENDAS'!$G$6:$G$500, MATCH(B239, 'SAÍDA DE VENDAS'!$B$6:$B$500, 0)+4), ""), "")&amp; IF(COUNTIF('SAÍDA DE VENDAS'!$B$6:$B$500, B239)&gt;5, " + " &amp; IFERROR(INDEX('SAÍDA DE VENDAS'!$H$6:$H$500 &amp; "x " &amp; 'SAÍDA DE VENDAS'!$G$6:$G$500, MATCH(B239, 'SAÍDA DE VENDAS'!$B$6:$B$500, 0)+5), ""), ""))</f>
        <v/>
      </c>
      <c r="G239" s="34">
        <f>IFERROR(VLOOKUP(B239,'SAÍDA DE VENDAS'!$B$6:$P$500,10,FALSE),"")</f>
        <v>0</v>
      </c>
      <c r="H239" s="34" t="str">
        <f>IF(OR(ISBLANK(B239),B239=""), "", IF(B239=B238, (VALUE(LEFT(H238,FIND("/",H238)-1))+1)&amp;"/"&amp;RIGHT(H238,LEN(H238)-FIND("/",H238)), "1/"&amp;IFERROR(VLOOKUP(B239,'SAÍDA DE VENDAS'!$B$6:$P$500,13,FALSE),"1")))</f>
        <v/>
      </c>
      <c r="I239" s="35" t="str">
        <f t="shared" si="6"/>
        <v/>
      </c>
      <c r="J239" s="39" t="str">
        <f>IFERROR(VLOOKUP(B239,'SAÍDA DE VENDAS'!$B$6:$P$500,15,FALSE),"")</f>
        <v/>
      </c>
      <c r="K239" s="34" t="str">
        <f t="shared" ca="1" si="7"/>
        <v/>
      </c>
      <c r="L239" s="34"/>
      <c r="M239" s="34"/>
    </row>
    <row r="240" spans="2:13" ht="15" customHeight="1" x14ac:dyDescent="0.3">
      <c r="B240" s="28" t="str">
        <f>IF(B239="","", IF(VALUE(LEFT(H239,FIND("/",H239)-1)) &lt; VALUE(RIGHT(H239,LEN(H239)-FIND("/",H239))), B239, IFERROR(INDEX('SAÍDA DE VENDAS'!$B$6:$B$500, MATCH(B239,'SAÍDA DE VENDAS'!$B$6:$B$500,0)+COUNTIF('SAÍDA DE VENDAS'!$B$6:$B$500, B239)),"")))</f>
        <v/>
      </c>
      <c r="C240" s="29">
        <f>IFERROR(VLOOKUP(B240,'SAÍDA DE VENDAS'!$B$6:$P$500,3,FALSE),"")</f>
        <v>0</v>
      </c>
      <c r="D240" s="28">
        <f>IFERROR(VLOOKUP(B240,'SAÍDA DE VENDAS'!$B$6:$P$500,4,FALSE),"")</f>
        <v>0</v>
      </c>
      <c r="E240" s="28" t="str">
        <f>IFERROR(VLOOKUP(B240,'SAÍDA DE VENDAS'!$B$6:$P$500,5,FALSE),"")</f>
        <v/>
      </c>
      <c r="F240" s="28" t="str">
        <f>IF(OR(ISBLANK(B240),B240=""), "", IFERROR(INDEX('SAÍDA DE VENDAS'!$H$6:$H$500 &amp; "x " &amp; 'SAÍDA DE VENDAS'!$G$6:$G$500, MATCH(B240, 'SAÍDA DE VENDAS'!$B$6:$B$500, 0)), "")&amp; IF(COUNTIF('SAÍDA DE VENDAS'!$B$6:$B$500, B240)&gt;1, " + " &amp; IFERROR(INDEX('SAÍDA DE VENDAS'!$H$6:$H$500 &amp; "x " &amp; 'SAÍDA DE VENDAS'!$G$6:$G$500, MATCH(B240, 'SAÍDA DE VENDAS'!$B$6:$B$500, 0)+1), ""), "")&amp; IF(COUNTIF('SAÍDA DE VENDAS'!$B$6:$B$500, B240)&gt;2, " + " &amp; IFERROR(INDEX('SAÍDA DE VENDAS'!$H$6:$H$500 &amp; "x " &amp; 'SAÍDA DE VENDAS'!$G$6:$G$500, MATCH(B240, 'SAÍDA DE VENDAS'!$B$6:$B$500, 0)+2), ""), "")&amp; IF(COUNTIF('SAÍDA DE VENDAS'!$B$6:$B$500, B240)&gt;3, " + " &amp; IFERROR(INDEX('SAÍDA DE VENDAS'!$H$6:$H$500 &amp; "x " &amp; 'SAÍDA DE VENDAS'!$G$6:$G$500, MATCH(B240, 'SAÍDA DE VENDAS'!$B$6:$B$500, 0)+3), ""), "")&amp; IF(COUNTIF('SAÍDA DE VENDAS'!$B$6:$B$500, B240)&gt;4, " + " &amp; IFERROR(INDEX('SAÍDA DE VENDAS'!$H$6:$H$500 &amp; "x " &amp; 'SAÍDA DE VENDAS'!$G$6:$G$500, MATCH(B240, 'SAÍDA DE VENDAS'!$B$6:$B$500, 0)+4), ""), "")&amp; IF(COUNTIF('SAÍDA DE VENDAS'!$B$6:$B$500, B240)&gt;5, " + " &amp; IFERROR(INDEX('SAÍDA DE VENDAS'!$H$6:$H$500 &amp; "x " &amp; 'SAÍDA DE VENDAS'!$G$6:$G$500, MATCH(B240, 'SAÍDA DE VENDAS'!$B$6:$B$500, 0)+5), ""), ""))</f>
        <v/>
      </c>
      <c r="G240" s="28">
        <f>IFERROR(VLOOKUP(B240,'SAÍDA DE VENDAS'!$B$6:$P$500,10,FALSE),"")</f>
        <v>0</v>
      </c>
      <c r="H240" s="28" t="str">
        <f>IF(OR(ISBLANK(B240),B240=""), "", IF(B240=B239, (VALUE(LEFT(H239,FIND("/",H239)-1))+1)&amp;"/"&amp;RIGHT(H239,LEN(H239)-FIND("/",H239)), "1/"&amp;IFERROR(VLOOKUP(B240,'SAÍDA DE VENDAS'!$B$6:$P$500,13,FALSE),"1")))</f>
        <v/>
      </c>
      <c r="I240" s="69" t="str">
        <f t="shared" si="6"/>
        <v/>
      </c>
      <c r="J240" s="33" t="str">
        <f>IFERROR(VLOOKUP(B240,'SAÍDA DE VENDAS'!$B$6:$P$500,15,FALSE),"")</f>
        <v/>
      </c>
      <c r="K240" s="28" t="str">
        <f t="shared" ca="1" si="7"/>
        <v/>
      </c>
      <c r="L240" s="28"/>
      <c r="M240" s="28"/>
    </row>
    <row r="241" spans="2:13" ht="15" customHeight="1" x14ac:dyDescent="0.3">
      <c r="B241" s="34" t="str">
        <f>IF(B240="","", IF(VALUE(LEFT(H240,FIND("/",H240)-1)) &lt; VALUE(RIGHT(H240,LEN(H240)-FIND("/",H240))), B240, IFERROR(INDEX('SAÍDA DE VENDAS'!$B$6:$B$500, MATCH(B240,'SAÍDA DE VENDAS'!$B$6:$B$500,0)+COUNTIF('SAÍDA DE VENDAS'!$B$6:$B$500, B240)),"")))</f>
        <v/>
      </c>
      <c r="C241" s="35">
        <f>IFERROR(VLOOKUP(B241,'SAÍDA DE VENDAS'!$B$6:$P$500,3,FALSE),"")</f>
        <v>0</v>
      </c>
      <c r="D241" s="34">
        <f>IFERROR(VLOOKUP(B241,'SAÍDA DE VENDAS'!$B$6:$P$500,4,FALSE),"")</f>
        <v>0</v>
      </c>
      <c r="E241" s="34" t="str">
        <f>IFERROR(VLOOKUP(B241,'SAÍDA DE VENDAS'!$B$6:$P$500,5,FALSE),"")</f>
        <v/>
      </c>
      <c r="F241" s="34" t="str">
        <f>IF(OR(ISBLANK(B241),B241=""), "", IFERROR(INDEX('SAÍDA DE VENDAS'!$H$6:$H$500 &amp; "x " &amp; 'SAÍDA DE VENDAS'!$G$6:$G$500, MATCH(B241, 'SAÍDA DE VENDAS'!$B$6:$B$500, 0)), "")&amp; IF(COUNTIF('SAÍDA DE VENDAS'!$B$6:$B$500, B241)&gt;1, " + " &amp; IFERROR(INDEX('SAÍDA DE VENDAS'!$H$6:$H$500 &amp; "x " &amp; 'SAÍDA DE VENDAS'!$G$6:$G$500, MATCH(B241, 'SAÍDA DE VENDAS'!$B$6:$B$500, 0)+1), ""), "")&amp; IF(COUNTIF('SAÍDA DE VENDAS'!$B$6:$B$500, B241)&gt;2, " + " &amp; IFERROR(INDEX('SAÍDA DE VENDAS'!$H$6:$H$500 &amp; "x " &amp; 'SAÍDA DE VENDAS'!$G$6:$G$500, MATCH(B241, 'SAÍDA DE VENDAS'!$B$6:$B$500, 0)+2), ""), "")&amp; IF(COUNTIF('SAÍDA DE VENDAS'!$B$6:$B$500, B241)&gt;3, " + " &amp; IFERROR(INDEX('SAÍDA DE VENDAS'!$H$6:$H$500 &amp; "x " &amp; 'SAÍDA DE VENDAS'!$G$6:$G$500, MATCH(B241, 'SAÍDA DE VENDAS'!$B$6:$B$500, 0)+3), ""), "")&amp; IF(COUNTIF('SAÍDA DE VENDAS'!$B$6:$B$500, B241)&gt;4, " + " &amp; IFERROR(INDEX('SAÍDA DE VENDAS'!$H$6:$H$500 &amp; "x " &amp; 'SAÍDA DE VENDAS'!$G$6:$G$500, MATCH(B241, 'SAÍDA DE VENDAS'!$B$6:$B$500, 0)+4), ""), "")&amp; IF(COUNTIF('SAÍDA DE VENDAS'!$B$6:$B$500, B241)&gt;5, " + " &amp; IFERROR(INDEX('SAÍDA DE VENDAS'!$H$6:$H$500 &amp; "x " &amp; 'SAÍDA DE VENDAS'!$G$6:$G$500, MATCH(B241, 'SAÍDA DE VENDAS'!$B$6:$B$500, 0)+5), ""), ""))</f>
        <v/>
      </c>
      <c r="G241" s="34">
        <f>IFERROR(VLOOKUP(B241,'SAÍDA DE VENDAS'!$B$6:$P$500,10,FALSE),"")</f>
        <v>0</v>
      </c>
      <c r="H241" s="34" t="str">
        <f>IF(OR(ISBLANK(B241),B241=""), "", IF(B241=B240, (VALUE(LEFT(H240,FIND("/",H240)-1))+1)&amp;"/"&amp;RIGHT(H240,LEN(H240)-FIND("/",H240)), "1/"&amp;IFERROR(VLOOKUP(B241,'SAÍDA DE VENDAS'!$B$6:$P$500,13,FALSE),"1")))</f>
        <v/>
      </c>
      <c r="I241" s="35" t="str">
        <f t="shared" si="6"/>
        <v/>
      </c>
      <c r="J241" s="39" t="str">
        <f>IFERROR(VLOOKUP(B241,'SAÍDA DE VENDAS'!$B$6:$P$500,15,FALSE),"")</f>
        <v/>
      </c>
      <c r="K241" s="34" t="str">
        <f t="shared" ca="1" si="7"/>
        <v/>
      </c>
      <c r="L241" s="34"/>
      <c r="M241" s="34"/>
    </row>
    <row r="242" spans="2:13" ht="15" customHeight="1" x14ac:dyDescent="0.3">
      <c r="B242" s="28" t="str">
        <f>IF(B241="","", IF(VALUE(LEFT(H241,FIND("/",H241)-1)) &lt; VALUE(RIGHT(H241,LEN(H241)-FIND("/",H241))), B241, IFERROR(INDEX('SAÍDA DE VENDAS'!$B$6:$B$500, MATCH(B241,'SAÍDA DE VENDAS'!$B$6:$B$500,0)+COUNTIF('SAÍDA DE VENDAS'!$B$6:$B$500, B241)),"")))</f>
        <v/>
      </c>
      <c r="C242" s="29">
        <f>IFERROR(VLOOKUP(B242,'SAÍDA DE VENDAS'!$B$6:$P$500,3,FALSE),"")</f>
        <v>0</v>
      </c>
      <c r="D242" s="28">
        <f>IFERROR(VLOOKUP(B242,'SAÍDA DE VENDAS'!$B$6:$P$500,4,FALSE),"")</f>
        <v>0</v>
      </c>
      <c r="E242" s="28" t="str">
        <f>IFERROR(VLOOKUP(B242,'SAÍDA DE VENDAS'!$B$6:$P$500,5,FALSE),"")</f>
        <v/>
      </c>
      <c r="F242" s="28" t="str">
        <f>IF(OR(ISBLANK(B242),B242=""), "", IFERROR(INDEX('SAÍDA DE VENDAS'!$H$6:$H$500 &amp; "x " &amp; 'SAÍDA DE VENDAS'!$G$6:$G$500, MATCH(B242, 'SAÍDA DE VENDAS'!$B$6:$B$500, 0)), "")&amp; IF(COUNTIF('SAÍDA DE VENDAS'!$B$6:$B$500, B242)&gt;1, " + " &amp; IFERROR(INDEX('SAÍDA DE VENDAS'!$H$6:$H$500 &amp; "x " &amp; 'SAÍDA DE VENDAS'!$G$6:$G$500, MATCH(B242, 'SAÍDA DE VENDAS'!$B$6:$B$500, 0)+1), ""), "")&amp; IF(COUNTIF('SAÍDA DE VENDAS'!$B$6:$B$500, B242)&gt;2, " + " &amp; IFERROR(INDEX('SAÍDA DE VENDAS'!$H$6:$H$500 &amp; "x " &amp; 'SAÍDA DE VENDAS'!$G$6:$G$500, MATCH(B242, 'SAÍDA DE VENDAS'!$B$6:$B$500, 0)+2), ""), "")&amp; IF(COUNTIF('SAÍDA DE VENDAS'!$B$6:$B$500, B242)&gt;3, " + " &amp; IFERROR(INDEX('SAÍDA DE VENDAS'!$H$6:$H$500 &amp; "x " &amp; 'SAÍDA DE VENDAS'!$G$6:$G$500, MATCH(B242, 'SAÍDA DE VENDAS'!$B$6:$B$500, 0)+3), ""), "")&amp; IF(COUNTIF('SAÍDA DE VENDAS'!$B$6:$B$500, B242)&gt;4, " + " &amp; IFERROR(INDEX('SAÍDA DE VENDAS'!$H$6:$H$500 &amp; "x " &amp; 'SAÍDA DE VENDAS'!$G$6:$G$500, MATCH(B242, 'SAÍDA DE VENDAS'!$B$6:$B$500, 0)+4), ""), "")&amp; IF(COUNTIF('SAÍDA DE VENDAS'!$B$6:$B$500, B242)&gt;5, " + " &amp; IFERROR(INDEX('SAÍDA DE VENDAS'!$H$6:$H$500 &amp; "x " &amp; 'SAÍDA DE VENDAS'!$G$6:$G$500, MATCH(B242, 'SAÍDA DE VENDAS'!$B$6:$B$500, 0)+5), ""), ""))</f>
        <v/>
      </c>
      <c r="G242" s="28">
        <f>IFERROR(VLOOKUP(B242,'SAÍDA DE VENDAS'!$B$6:$P$500,10,FALSE),"")</f>
        <v>0</v>
      </c>
      <c r="H242" s="28" t="str">
        <f>IF(OR(ISBLANK(B242),B242=""), "", IF(B242=B241, (VALUE(LEFT(H241,FIND("/",H241)-1))+1)&amp;"/"&amp;RIGHT(H241,LEN(H241)-FIND("/",H241)), "1/"&amp;IFERROR(VLOOKUP(B242,'SAÍDA DE VENDAS'!$B$6:$P$500,13,FALSE),"1")))</f>
        <v/>
      </c>
      <c r="I242" s="69" t="str">
        <f t="shared" si="6"/>
        <v/>
      </c>
      <c r="J242" s="33" t="str">
        <f>IFERROR(VLOOKUP(B242,'SAÍDA DE VENDAS'!$B$6:$P$500,15,FALSE),"")</f>
        <v/>
      </c>
      <c r="K242" s="28" t="str">
        <f t="shared" ca="1" si="7"/>
        <v/>
      </c>
      <c r="L242" s="28"/>
      <c r="M242" s="28"/>
    </row>
    <row r="243" spans="2:13" ht="15" customHeight="1" x14ac:dyDescent="0.3">
      <c r="B243" s="34" t="str">
        <f>IF(B242="","", IF(VALUE(LEFT(H242,FIND("/",H242)-1)) &lt; VALUE(RIGHT(H242,LEN(H242)-FIND("/",H242))), B242, IFERROR(INDEX('SAÍDA DE VENDAS'!$B$6:$B$500, MATCH(B242,'SAÍDA DE VENDAS'!$B$6:$B$500,0)+COUNTIF('SAÍDA DE VENDAS'!$B$6:$B$500, B242)),"")))</f>
        <v/>
      </c>
      <c r="C243" s="35">
        <f>IFERROR(VLOOKUP(B243,'SAÍDA DE VENDAS'!$B$6:$P$500,3,FALSE),"")</f>
        <v>0</v>
      </c>
      <c r="D243" s="34">
        <f>IFERROR(VLOOKUP(B243,'SAÍDA DE VENDAS'!$B$6:$P$500,4,FALSE),"")</f>
        <v>0</v>
      </c>
      <c r="E243" s="34" t="str">
        <f>IFERROR(VLOOKUP(B243,'SAÍDA DE VENDAS'!$B$6:$P$500,5,FALSE),"")</f>
        <v/>
      </c>
      <c r="F243" s="34" t="str">
        <f>IF(OR(ISBLANK(B243),B243=""), "", IFERROR(INDEX('SAÍDA DE VENDAS'!$H$6:$H$500 &amp; "x " &amp; 'SAÍDA DE VENDAS'!$G$6:$G$500, MATCH(B243, 'SAÍDA DE VENDAS'!$B$6:$B$500, 0)), "")&amp; IF(COUNTIF('SAÍDA DE VENDAS'!$B$6:$B$500, B243)&gt;1, " + " &amp; IFERROR(INDEX('SAÍDA DE VENDAS'!$H$6:$H$500 &amp; "x " &amp; 'SAÍDA DE VENDAS'!$G$6:$G$500, MATCH(B243, 'SAÍDA DE VENDAS'!$B$6:$B$500, 0)+1), ""), "")&amp; IF(COUNTIF('SAÍDA DE VENDAS'!$B$6:$B$500, B243)&gt;2, " + " &amp; IFERROR(INDEX('SAÍDA DE VENDAS'!$H$6:$H$500 &amp; "x " &amp; 'SAÍDA DE VENDAS'!$G$6:$G$500, MATCH(B243, 'SAÍDA DE VENDAS'!$B$6:$B$500, 0)+2), ""), "")&amp; IF(COUNTIF('SAÍDA DE VENDAS'!$B$6:$B$500, B243)&gt;3, " + " &amp; IFERROR(INDEX('SAÍDA DE VENDAS'!$H$6:$H$500 &amp; "x " &amp; 'SAÍDA DE VENDAS'!$G$6:$G$500, MATCH(B243, 'SAÍDA DE VENDAS'!$B$6:$B$500, 0)+3), ""), "")&amp; IF(COUNTIF('SAÍDA DE VENDAS'!$B$6:$B$500, B243)&gt;4, " + " &amp; IFERROR(INDEX('SAÍDA DE VENDAS'!$H$6:$H$500 &amp; "x " &amp; 'SAÍDA DE VENDAS'!$G$6:$G$500, MATCH(B243, 'SAÍDA DE VENDAS'!$B$6:$B$500, 0)+4), ""), "")&amp; IF(COUNTIF('SAÍDA DE VENDAS'!$B$6:$B$500, B243)&gt;5, " + " &amp; IFERROR(INDEX('SAÍDA DE VENDAS'!$H$6:$H$500 &amp; "x " &amp; 'SAÍDA DE VENDAS'!$G$6:$G$500, MATCH(B243, 'SAÍDA DE VENDAS'!$B$6:$B$500, 0)+5), ""), ""))</f>
        <v/>
      </c>
      <c r="G243" s="34">
        <f>IFERROR(VLOOKUP(B243,'SAÍDA DE VENDAS'!$B$6:$P$500,10,FALSE),"")</f>
        <v>0</v>
      </c>
      <c r="H243" s="34" t="str">
        <f>IF(OR(ISBLANK(B243),B243=""), "", IF(B243=B242, (VALUE(LEFT(H242,FIND("/",H242)-1))+1)&amp;"/"&amp;RIGHT(H242,LEN(H242)-FIND("/",H242)), "1/"&amp;IFERROR(VLOOKUP(B243,'SAÍDA DE VENDAS'!$B$6:$P$500,13,FALSE),"1")))</f>
        <v/>
      </c>
      <c r="I243" s="35" t="str">
        <f t="shared" si="6"/>
        <v/>
      </c>
      <c r="J243" s="39" t="str">
        <f>IFERROR(VLOOKUP(B243,'SAÍDA DE VENDAS'!$B$6:$P$500,15,FALSE),"")</f>
        <v/>
      </c>
      <c r="K243" s="34" t="str">
        <f t="shared" ca="1" si="7"/>
        <v/>
      </c>
      <c r="L243" s="34"/>
      <c r="M243" s="34"/>
    </row>
    <row r="244" spans="2:13" ht="15" customHeight="1" x14ac:dyDescent="0.3">
      <c r="B244" s="28" t="str">
        <f>IF(B243="","", IF(VALUE(LEFT(H243,FIND("/",H243)-1)) &lt; VALUE(RIGHT(H243,LEN(H243)-FIND("/",H243))), B243, IFERROR(INDEX('SAÍDA DE VENDAS'!$B$6:$B$500, MATCH(B243,'SAÍDA DE VENDAS'!$B$6:$B$500,0)+COUNTIF('SAÍDA DE VENDAS'!$B$6:$B$500, B243)),"")))</f>
        <v/>
      </c>
      <c r="C244" s="29">
        <f>IFERROR(VLOOKUP(B244,'SAÍDA DE VENDAS'!$B$6:$P$500,3,FALSE),"")</f>
        <v>0</v>
      </c>
      <c r="D244" s="28">
        <f>IFERROR(VLOOKUP(B244,'SAÍDA DE VENDAS'!$B$6:$P$500,4,FALSE),"")</f>
        <v>0</v>
      </c>
      <c r="E244" s="28" t="str">
        <f>IFERROR(VLOOKUP(B244,'SAÍDA DE VENDAS'!$B$6:$P$500,5,FALSE),"")</f>
        <v/>
      </c>
      <c r="F244" s="28" t="str">
        <f>IF(OR(ISBLANK(B244),B244=""), "", IFERROR(INDEX('SAÍDA DE VENDAS'!$H$6:$H$500 &amp; "x " &amp; 'SAÍDA DE VENDAS'!$G$6:$G$500, MATCH(B244, 'SAÍDA DE VENDAS'!$B$6:$B$500, 0)), "")&amp; IF(COUNTIF('SAÍDA DE VENDAS'!$B$6:$B$500, B244)&gt;1, " + " &amp; IFERROR(INDEX('SAÍDA DE VENDAS'!$H$6:$H$500 &amp; "x " &amp; 'SAÍDA DE VENDAS'!$G$6:$G$500, MATCH(B244, 'SAÍDA DE VENDAS'!$B$6:$B$500, 0)+1), ""), "")&amp; IF(COUNTIF('SAÍDA DE VENDAS'!$B$6:$B$500, B244)&gt;2, " + " &amp; IFERROR(INDEX('SAÍDA DE VENDAS'!$H$6:$H$500 &amp; "x " &amp; 'SAÍDA DE VENDAS'!$G$6:$G$500, MATCH(B244, 'SAÍDA DE VENDAS'!$B$6:$B$500, 0)+2), ""), "")&amp; IF(COUNTIF('SAÍDA DE VENDAS'!$B$6:$B$500, B244)&gt;3, " + " &amp; IFERROR(INDEX('SAÍDA DE VENDAS'!$H$6:$H$500 &amp; "x " &amp; 'SAÍDA DE VENDAS'!$G$6:$G$500, MATCH(B244, 'SAÍDA DE VENDAS'!$B$6:$B$500, 0)+3), ""), "")&amp; IF(COUNTIF('SAÍDA DE VENDAS'!$B$6:$B$500, B244)&gt;4, " + " &amp; IFERROR(INDEX('SAÍDA DE VENDAS'!$H$6:$H$500 &amp; "x " &amp; 'SAÍDA DE VENDAS'!$G$6:$G$500, MATCH(B244, 'SAÍDA DE VENDAS'!$B$6:$B$500, 0)+4), ""), "")&amp; IF(COUNTIF('SAÍDA DE VENDAS'!$B$6:$B$500, B244)&gt;5, " + " &amp; IFERROR(INDEX('SAÍDA DE VENDAS'!$H$6:$H$500 &amp; "x " &amp; 'SAÍDA DE VENDAS'!$G$6:$G$500, MATCH(B244, 'SAÍDA DE VENDAS'!$B$6:$B$500, 0)+5), ""), ""))</f>
        <v/>
      </c>
      <c r="G244" s="28">
        <f>IFERROR(VLOOKUP(B244,'SAÍDA DE VENDAS'!$B$6:$P$500,10,FALSE),"")</f>
        <v>0</v>
      </c>
      <c r="H244" s="28" t="str">
        <f>IF(OR(ISBLANK(B244),B244=""), "", IF(B244=B243, (VALUE(LEFT(H243,FIND("/",H243)-1))+1)&amp;"/"&amp;RIGHT(H243,LEN(H243)-FIND("/",H243)), "1/"&amp;IFERROR(VLOOKUP(B244,'SAÍDA DE VENDAS'!$B$6:$P$500,13,FALSE),"1")))</f>
        <v/>
      </c>
      <c r="I244" s="69" t="str">
        <f t="shared" si="6"/>
        <v/>
      </c>
      <c r="J244" s="33" t="str">
        <f>IFERROR(VLOOKUP(B244,'SAÍDA DE VENDAS'!$B$6:$P$500,15,FALSE),"")</f>
        <v/>
      </c>
      <c r="K244" s="28" t="str">
        <f t="shared" ca="1" si="7"/>
        <v/>
      </c>
      <c r="L244" s="28"/>
      <c r="M244" s="28"/>
    </row>
    <row r="245" spans="2:13" ht="15" customHeight="1" x14ac:dyDescent="0.3">
      <c r="B245" s="34" t="str">
        <f>IF(B244="","", IF(VALUE(LEFT(H244,FIND("/",H244)-1)) &lt; VALUE(RIGHT(H244,LEN(H244)-FIND("/",H244))), B244, IFERROR(INDEX('SAÍDA DE VENDAS'!$B$6:$B$500, MATCH(B244,'SAÍDA DE VENDAS'!$B$6:$B$500,0)+COUNTIF('SAÍDA DE VENDAS'!$B$6:$B$500, B244)),"")))</f>
        <v/>
      </c>
      <c r="C245" s="35">
        <f>IFERROR(VLOOKUP(B245,'SAÍDA DE VENDAS'!$B$6:$P$500,3,FALSE),"")</f>
        <v>0</v>
      </c>
      <c r="D245" s="34">
        <f>IFERROR(VLOOKUP(B245,'SAÍDA DE VENDAS'!$B$6:$P$500,4,FALSE),"")</f>
        <v>0</v>
      </c>
      <c r="E245" s="34" t="str">
        <f>IFERROR(VLOOKUP(B245,'SAÍDA DE VENDAS'!$B$6:$P$500,5,FALSE),"")</f>
        <v/>
      </c>
      <c r="F245" s="34" t="str">
        <f>IF(OR(ISBLANK(B245),B245=""), "", IFERROR(INDEX('SAÍDA DE VENDAS'!$H$6:$H$500 &amp; "x " &amp; 'SAÍDA DE VENDAS'!$G$6:$G$500, MATCH(B245, 'SAÍDA DE VENDAS'!$B$6:$B$500, 0)), "")&amp; IF(COUNTIF('SAÍDA DE VENDAS'!$B$6:$B$500, B245)&gt;1, " + " &amp; IFERROR(INDEX('SAÍDA DE VENDAS'!$H$6:$H$500 &amp; "x " &amp; 'SAÍDA DE VENDAS'!$G$6:$G$500, MATCH(B245, 'SAÍDA DE VENDAS'!$B$6:$B$500, 0)+1), ""), "")&amp; IF(COUNTIF('SAÍDA DE VENDAS'!$B$6:$B$500, B245)&gt;2, " + " &amp; IFERROR(INDEX('SAÍDA DE VENDAS'!$H$6:$H$500 &amp; "x " &amp; 'SAÍDA DE VENDAS'!$G$6:$G$500, MATCH(B245, 'SAÍDA DE VENDAS'!$B$6:$B$500, 0)+2), ""), "")&amp; IF(COUNTIF('SAÍDA DE VENDAS'!$B$6:$B$500, B245)&gt;3, " + " &amp; IFERROR(INDEX('SAÍDA DE VENDAS'!$H$6:$H$500 &amp; "x " &amp; 'SAÍDA DE VENDAS'!$G$6:$G$500, MATCH(B245, 'SAÍDA DE VENDAS'!$B$6:$B$500, 0)+3), ""), "")&amp; IF(COUNTIF('SAÍDA DE VENDAS'!$B$6:$B$500, B245)&gt;4, " + " &amp; IFERROR(INDEX('SAÍDA DE VENDAS'!$H$6:$H$500 &amp; "x " &amp; 'SAÍDA DE VENDAS'!$G$6:$G$500, MATCH(B245, 'SAÍDA DE VENDAS'!$B$6:$B$500, 0)+4), ""), "")&amp; IF(COUNTIF('SAÍDA DE VENDAS'!$B$6:$B$500, B245)&gt;5, " + " &amp; IFERROR(INDEX('SAÍDA DE VENDAS'!$H$6:$H$500 &amp; "x " &amp; 'SAÍDA DE VENDAS'!$G$6:$G$500, MATCH(B245, 'SAÍDA DE VENDAS'!$B$6:$B$500, 0)+5), ""), ""))</f>
        <v/>
      </c>
      <c r="G245" s="34">
        <f>IFERROR(VLOOKUP(B245,'SAÍDA DE VENDAS'!$B$6:$P$500,10,FALSE),"")</f>
        <v>0</v>
      </c>
      <c r="H245" s="34" t="str">
        <f>IF(OR(ISBLANK(B245),B245=""), "", IF(B245=B244, (VALUE(LEFT(H244,FIND("/",H244)-1))+1)&amp;"/"&amp;RIGHT(H244,LEN(H244)-FIND("/",H244)), "1/"&amp;IFERROR(VLOOKUP(B245,'SAÍDA DE VENDAS'!$B$6:$P$500,13,FALSE),"1")))</f>
        <v/>
      </c>
      <c r="I245" s="35" t="str">
        <f t="shared" si="6"/>
        <v/>
      </c>
      <c r="J245" s="39" t="str">
        <f>IFERROR(VLOOKUP(B245,'SAÍDA DE VENDAS'!$B$6:$P$500,15,FALSE),"")</f>
        <v/>
      </c>
      <c r="K245" s="34" t="str">
        <f t="shared" ca="1" si="7"/>
        <v/>
      </c>
      <c r="L245" s="34"/>
      <c r="M245" s="34"/>
    </row>
    <row r="246" spans="2:13" ht="15" customHeight="1" x14ac:dyDescent="0.3">
      <c r="B246" s="28" t="str">
        <f>IF(B245="","", IF(VALUE(LEFT(H245,FIND("/",H245)-1)) &lt; VALUE(RIGHT(H245,LEN(H245)-FIND("/",H245))), B245, IFERROR(INDEX('SAÍDA DE VENDAS'!$B$6:$B$500, MATCH(B245,'SAÍDA DE VENDAS'!$B$6:$B$500,0)+COUNTIF('SAÍDA DE VENDAS'!$B$6:$B$500, B245)),"")))</f>
        <v/>
      </c>
      <c r="C246" s="29">
        <f>IFERROR(VLOOKUP(B246,'SAÍDA DE VENDAS'!$B$6:$P$500,3,FALSE),"")</f>
        <v>0</v>
      </c>
      <c r="D246" s="28">
        <f>IFERROR(VLOOKUP(B246,'SAÍDA DE VENDAS'!$B$6:$P$500,4,FALSE),"")</f>
        <v>0</v>
      </c>
      <c r="E246" s="28" t="str">
        <f>IFERROR(VLOOKUP(B246,'SAÍDA DE VENDAS'!$B$6:$P$500,5,FALSE),"")</f>
        <v/>
      </c>
      <c r="F246" s="28" t="str">
        <f>IF(OR(ISBLANK(B246),B246=""), "", IFERROR(INDEX('SAÍDA DE VENDAS'!$H$6:$H$500 &amp; "x " &amp; 'SAÍDA DE VENDAS'!$G$6:$G$500, MATCH(B246, 'SAÍDA DE VENDAS'!$B$6:$B$500, 0)), "")&amp; IF(COUNTIF('SAÍDA DE VENDAS'!$B$6:$B$500, B246)&gt;1, " + " &amp; IFERROR(INDEX('SAÍDA DE VENDAS'!$H$6:$H$500 &amp; "x " &amp; 'SAÍDA DE VENDAS'!$G$6:$G$500, MATCH(B246, 'SAÍDA DE VENDAS'!$B$6:$B$500, 0)+1), ""), "")&amp; IF(COUNTIF('SAÍDA DE VENDAS'!$B$6:$B$500, B246)&gt;2, " + " &amp; IFERROR(INDEX('SAÍDA DE VENDAS'!$H$6:$H$500 &amp; "x " &amp; 'SAÍDA DE VENDAS'!$G$6:$G$500, MATCH(B246, 'SAÍDA DE VENDAS'!$B$6:$B$500, 0)+2), ""), "")&amp; IF(COUNTIF('SAÍDA DE VENDAS'!$B$6:$B$500, B246)&gt;3, " + " &amp; IFERROR(INDEX('SAÍDA DE VENDAS'!$H$6:$H$500 &amp; "x " &amp; 'SAÍDA DE VENDAS'!$G$6:$G$500, MATCH(B246, 'SAÍDA DE VENDAS'!$B$6:$B$500, 0)+3), ""), "")&amp; IF(COUNTIF('SAÍDA DE VENDAS'!$B$6:$B$500, B246)&gt;4, " + " &amp; IFERROR(INDEX('SAÍDA DE VENDAS'!$H$6:$H$500 &amp; "x " &amp; 'SAÍDA DE VENDAS'!$G$6:$G$500, MATCH(B246, 'SAÍDA DE VENDAS'!$B$6:$B$500, 0)+4), ""), "")&amp; IF(COUNTIF('SAÍDA DE VENDAS'!$B$6:$B$500, B246)&gt;5, " + " &amp; IFERROR(INDEX('SAÍDA DE VENDAS'!$H$6:$H$500 &amp; "x " &amp; 'SAÍDA DE VENDAS'!$G$6:$G$500, MATCH(B246, 'SAÍDA DE VENDAS'!$B$6:$B$500, 0)+5), ""), ""))</f>
        <v/>
      </c>
      <c r="G246" s="28">
        <f>IFERROR(VLOOKUP(B246,'SAÍDA DE VENDAS'!$B$6:$P$500,10,FALSE),"")</f>
        <v>0</v>
      </c>
      <c r="H246" s="28" t="str">
        <f>IF(OR(ISBLANK(B246),B246=""), "", IF(B246=B245, (VALUE(LEFT(H245,FIND("/",H245)-1))+1)&amp;"/"&amp;RIGHT(H245,LEN(H245)-FIND("/",H245)), "1/"&amp;IFERROR(VLOOKUP(B246,'SAÍDA DE VENDAS'!$B$6:$P$500,13,FALSE),"1")))</f>
        <v/>
      </c>
      <c r="I246" s="69" t="str">
        <f t="shared" si="6"/>
        <v/>
      </c>
      <c r="J246" s="33" t="str">
        <f>IFERROR(VLOOKUP(B246,'SAÍDA DE VENDAS'!$B$6:$P$500,15,FALSE),"")</f>
        <v/>
      </c>
      <c r="K246" s="28" t="str">
        <f t="shared" ca="1" si="7"/>
        <v/>
      </c>
      <c r="L246" s="28"/>
      <c r="M246" s="28"/>
    </row>
    <row r="247" spans="2:13" ht="15" customHeight="1" x14ac:dyDescent="0.3">
      <c r="B247" s="34" t="str">
        <f>IF(B246="","", IF(VALUE(LEFT(H246,FIND("/",H246)-1)) &lt; VALUE(RIGHT(H246,LEN(H246)-FIND("/",H246))), B246, IFERROR(INDEX('SAÍDA DE VENDAS'!$B$6:$B$500, MATCH(B246,'SAÍDA DE VENDAS'!$B$6:$B$500,0)+COUNTIF('SAÍDA DE VENDAS'!$B$6:$B$500, B246)),"")))</f>
        <v/>
      </c>
      <c r="C247" s="35">
        <f>IFERROR(VLOOKUP(B247,'SAÍDA DE VENDAS'!$B$6:$P$500,3,FALSE),"")</f>
        <v>0</v>
      </c>
      <c r="D247" s="34">
        <f>IFERROR(VLOOKUP(B247,'SAÍDA DE VENDAS'!$B$6:$P$500,4,FALSE),"")</f>
        <v>0</v>
      </c>
      <c r="E247" s="34" t="str">
        <f>IFERROR(VLOOKUP(B247,'SAÍDA DE VENDAS'!$B$6:$P$500,5,FALSE),"")</f>
        <v/>
      </c>
      <c r="F247" s="34" t="str">
        <f>IF(OR(ISBLANK(B247),B247=""), "", IFERROR(INDEX('SAÍDA DE VENDAS'!$H$6:$H$500 &amp; "x " &amp; 'SAÍDA DE VENDAS'!$G$6:$G$500, MATCH(B247, 'SAÍDA DE VENDAS'!$B$6:$B$500, 0)), "")&amp; IF(COUNTIF('SAÍDA DE VENDAS'!$B$6:$B$500, B247)&gt;1, " + " &amp; IFERROR(INDEX('SAÍDA DE VENDAS'!$H$6:$H$500 &amp; "x " &amp; 'SAÍDA DE VENDAS'!$G$6:$G$500, MATCH(B247, 'SAÍDA DE VENDAS'!$B$6:$B$500, 0)+1), ""), "")&amp; IF(COUNTIF('SAÍDA DE VENDAS'!$B$6:$B$500, B247)&gt;2, " + " &amp; IFERROR(INDEX('SAÍDA DE VENDAS'!$H$6:$H$500 &amp; "x " &amp; 'SAÍDA DE VENDAS'!$G$6:$G$500, MATCH(B247, 'SAÍDA DE VENDAS'!$B$6:$B$500, 0)+2), ""), "")&amp; IF(COUNTIF('SAÍDA DE VENDAS'!$B$6:$B$500, B247)&gt;3, " + " &amp; IFERROR(INDEX('SAÍDA DE VENDAS'!$H$6:$H$500 &amp; "x " &amp; 'SAÍDA DE VENDAS'!$G$6:$G$500, MATCH(B247, 'SAÍDA DE VENDAS'!$B$6:$B$500, 0)+3), ""), "")&amp; IF(COUNTIF('SAÍDA DE VENDAS'!$B$6:$B$500, B247)&gt;4, " + " &amp; IFERROR(INDEX('SAÍDA DE VENDAS'!$H$6:$H$500 &amp; "x " &amp; 'SAÍDA DE VENDAS'!$G$6:$G$500, MATCH(B247, 'SAÍDA DE VENDAS'!$B$6:$B$500, 0)+4), ""), "")&amp; IF(COUNTIF('SAÍDA DE VENDAS'!$B$6:$B$500, B247)&gt;5, " + " &amp; IFERROR(INDEX('SAÍDA DE VENDAS'!$H$6:$H$500 &amp; "x " &amp; 'SAÍDA DE VENDAS'!$G$6:$G$500, MATCH(B247, 'SAÍDA DE VENDAS'!$B$6:$B$500, 0)+5), ""), ""))</f>
        <v/>
      </c>
      <c r="G247" s="34">
        <f>IFERROR(VLOOKUP(B247,'SAÍDA DE VENDAS'!$B$6:$P$500,10,FALSE),"")</f>
        <v>0</v>
      </c>
      <c r="H247" s="34" t="str">
        <f>IF(OR(ISBLANK(B247),B247=""), "", IF(B247=B246, (VALUE(LEFT(H246,FIND("/",H246)-1))+1)&amp;"/"&amp;RIGHT(H246,LEN(H246)-FIND("/",H246)), "1/"&amp;IFERROR(VLOOKUP(B247,'SAÍDA DE VENDAS'!$B$6:$P$500,13,FALSE),"1")))</f>
        <v/>
      </c>
      <c r="I247" s="35" t="str">
        <f t="shared" si="6"/>
        <v/>
      </c>
      <c r="J247" s="39" t="str">
        <f>IFERROR(VLOOKUP(B247,'SAÍDA DE VENDAS'!$B$6:$P$500,15,FALSE),"")</f>
        <v/>
      </c>
      <c r="K247" s="34" t="str">
        <f t="shared" ca="1" si="7"/>
        <v/>
      </c>
      <c r="L247" s="34"/>
      <c r="M247" s="34"/>
    </row>
    <row r="248" spans="2:13" ht="15" customHeight="1" x14ac:dyDescent="0.3">
      <c r="B248" s="28" t="str">
        <f>IF(B247="","", IF(VALUE(LEFT(H247,FIND("/",H247)-1)) &lt; VALUE(RIGHT(H247,LEN(H247)-FIND("/",H247))), B247, IFERROR(INDEX('SAÍDA DE VENDAS'!$B$6:$B$500, MATCH(B247,'SAÍDA DE VENDAS'!$B$6:$B$500,0)+COUNTIF('SAÍDA DE VENDAS'!$B$6:$B$500, B247)),"")))</f>
        <v/>
      </c>
      <c r="C248" s="29">
        <f>IFERROR(VLOOKUP(B248,'SAÍDA DE VENDAS'!$B$6:$P$500,3,FALSE),"")</f>
        <v>0</v>
      </c>
      <c r="D248" s="28">
        <f>IFERROR(VLOOKUP(B248,'SAÍDA DE VENDAS'!$B$6:$P$500,4,FALSE),"")</f>
        <v>0</v>
      </c>
      <c r="E248" s="28" t="str">
        <f>IFERROR(VLOOKUP(B248,'SAÍDA DE VENDAS'!$B$6:$P$500,5,FALSE),"")</f>
        <v/>
      </c>
      <c r="F248" s="28" t="str">
        <f>IF(OR(ISBLANK(B248),B248=""), "", IFERROR(INDEX('SAÍDA DE VENDAS'!$H$6:$H$500 &amp; "x " &amp; 'SAÍDA DE VENDAS'!$G$6:$G$500, MATCH(B248, 'SAÍDA DE VENDAS'!$B$6:$B$500, 0)), "")&amp; IF(COUNTIF('SAÍDA DE VENDAS'!$B$6:$B$500, B248)&gt;1, " + " &amp; IFERROR(INDEX('SAÍDA DE VENDAS'!$H$6:$H$500 &amp; "x " &amp; 'SAÍDA DE VENDAS'!$G$6:$G$500, MATCH(B248, 'SAÍDA DE VENDAS'!$B$6:$B$500, 0)+1), ""), "")&amp; IF(COUNTIF('SAÍDA DE VENDAS'!$B$6:$B$500, B248)&gt;2, " + " &amp; IFERROR(INDEX('SAÍDA DE VENDAS'!$H$6:$H$500 &amp; "x " &amp; 'SAÍDA DE VENDAS'!$G$6:$G$500, MATCH(B248, 'SAÍDA DE VENDAS'!$B$6:$B$500, 0)+2), ""), "")&amp; IF(COUNTIF('SAÍDA DE VENDAS'!$B$6:$B$500, B248)&gt;3, " + " &amp; IFERROR(INDEX('SAÍDA DE VENDAS'!$H$6:$H$500 &amp; "x " &amp; 'SAÍDA DE VENDAS'!$G$6:$G$500, MATCH(B248, 'SAÍDA DE VENDAS'!$B$6:$B$500, 0)+3), ""), "")&amp; IF(COUNTIF('SAÍDA DE VENDAS'!$B$6:$B$500, B248)&gt;4, " + " &amp; IFERROR(INDEX('SAÍDA DE VENDAS'!$H$6:$H$500 &amp; "x " &amp; 'SAÍDA DE VENDAS'!$G$6:$G$500, MATCH(B248, 'SAÍDA DE VENDAS'!$B$6:$B$500, 0)+4), ""), "")&amp; IF(COUNTIF('SAÍDA DE VENDAS'!$B$6:$B$500, B248)&gt;5, " + " &amp; IFERROR(INDEX('SAÍDA DE VENDAS'!$H$6:$H$500 &amp; "x " &amp; 'SAÍDA DE VENDAS'!$G$6:$G$500, MATCH(B248, 'SAÍDA DE VENDAS'!$B$6:$B$500, 0)+5), ""), ""))</f>
        <v/>
      </c>
      <c r="G248" s="28">
        <f>IFERROR(VLOOKUP(B248,'SAÍDA DE VENDAS'!$B$6:$P$500,10,FALSE),"")</f>
        <v>0</v>
      </c>
      <c r="H248" s="28" t="str">
        <f>IF(OR(ISBLANK(B248),B248=""), "", IF(B248=B247, (VALUE(LEFT(H247,FIND("/",H247)-1))+1)&amp;"/"&amp;RIGHT(H247,LEN(H247)-FIND("/",H247)), "1/"&amp;IFERROR(VLOOKUP(B248,'SAÍDA DE VENDAS'!$B$6:$P$500,13,FALSE),"1")))</f>
        <v/>
      </c>
      <c r="I248" s="69" t="str">
        <f t="shared" si="6"/>
        <v/>
      </c>
      <c r="J248" s="33" t="str">
        <f>IFERROR(VLOOKUP(B248,'SAÍDA DE VENDAS'!$B$6:$P$500,15,FALSE),"")</f>
        <v/>
      </c>
      <c r="K248" s="28" t="str">
        <f t="shared" ca="1" si="7"/>
        <v/>
      </c>
      <c r="L248" s="28"/>
      <c r="M248" s="28"/>
    </row>
    <row r="249" spans="2:13" ht="15" customHeight="1" x14ac:dyDescent="0.3">
      <c r="B249" s="34" t="str">
        <f>IF(B248="","", IF(VALUE(LEFT(H248,FIND("/",H248)-1)) &lt; VALUE(RIGHT(H248,LEN(H248)-FIND("/",H248))), B248, IFERROR(INDEX('SAÍDA DE VENDAS'!$B$6:$B$500, MATCH(B248,'SAÍDA DE VENDAS'!$B$6:$B$500,0)+COUNTIF('SAÍDA DE VENDAS'!$B$6:$B$500, B248)),"")))</f>
        <v/>
      </c>
      <c r="C249" s="35">
        <f>IFERROR(VLOOKUP(B249,'SAÍDA DE VENDAS'!$B$6:$P$500,3,FALSE),"")</f>
        <v>0</v>
      </c>
      <c r="D249" s="34">
        <f>IFERROR(VLOOKUP(B249,'SAÍDA DE VENDAS'!$B$6:$P$500,4,FALSE),"")</f>
        <v>0</v>
      </c>
      <c r="E249" s="34" t="str">
        <f>IFERROR(VLOOKUP(B249,'SAÍDA DE VENDAS'!$B$6:$P$500,5,FALSE),"")</f>
        <v/>
      </c>
      <c r="F249" s="34" t="str">
        <f>IF(OR(ISBLANK(B249),B249=""), "", IFERROR(INDEX('SAÍDA DE VENDAS'!$H$6:$H$500 &amp; "x " &amp; 'SAÍDA DE VENDAS'!$G$6:$G$500, MATCH(B249, 'SAÍDA DE VENDAS'!$B$6:$B$500, 0)), "")&amp; IF(COUNTIF('SAÍDA DE VENDAS'!$B$6:$B$500, B249)&gt;1, " + " &amp; IFERROR(INDEX('SAÍDA DE VENDAS'!$H$6:$H$500 &amp; "x " &amp; 'SAÍDA DE VENDAS'!$G$6:$G$500, MATCH(B249, 'SAÍDA DE VENDAS'!$B$6:$B$500, 0)+1), ""), "")&amp; IF(COUNTIF('SAÍDA DE VENDAS'!$B$6:$B$500, B249)&gt;2, " + " &amp; IFERROR(INDEX('SAÍDA DE VENDAS'!$H$6:$H$500 &amp; "x " &amp; 'SAÍDA DE VENDAS'!$G$6:$G$500, MATCH(B249, 'SAÍDA DE VENDAS'!$B$6:$B$500, 0)+2), ""), "")&amp; IF(COUNTIF('SAÍDA DE VENDAS'!$B$6:$B$500, B249)&gt;3, " + " &amp; IFERROR(INDEX('SAÍDA DE VENDAS'!$H$6:$H$500 &amp; "x " &amp; 'SAÍDA DE VENDAS'!$G$6:$G$500, MATCH(B249, 'SAÍDA DE VENDAS'!$B$6:$B$500, 0)+3), ""), "")&amp; IF(COUNTIF('SAÍDA DE VENDAS'!$B$6:$B$500, B249)&gt;4, " + " &amp; IFERROR(INDEX('SAÍDA DE VENDAS'!$H$6:$H$500 &amp; "x " &amp; 'SAÍDA DE VENDAS'!$G$6:$G$500, MATCH(B249, 'SAÍDA DE VENDAS'!$B$6:$B$500, 0)+4), ""), "")&amp; IF(COUNTIF('SAÍDA DE VENDAS'!$B$6:$B$500, B249)&gt;5, " + " &amp; IFERROR(INDEX('SAÍDA DE VENDAS'!$H$6:$H$500 &amp; "x " &amp; 'SAÍDA DE VENDAS'!$G$6:$G$500, MATCH(B249, 'SAÍDA DE VENDAS'!$B$6:$B$500, 0)+5), ""), ""))</f>
        <v/>
      </c>
      <c r="G249" s="34">
        <f>IFERROR(VLOOKUP(B249,'SAÍDA DE VENDAS'!$B$6:$P$500,10,FALSE),"")</f>
        <v>0</v>
      </c>
      <c r="H249" s="34" t="str">
        <f>IF(OR(ISBLANK(B249),B249=""), "", IF(B249=B248, (VALUE(LEFT(H248,FIND("/",H248)-1))+1)&amp;"/"&amp;RIGHT(H248,LEN(H248)-FIND("/",H248)), "1/"&amp;IFERROR(VLOOKUP(B249,'SAÍDA DE VENDAS'!$B$6:$P$500,13,FALSE),"1")))</f>
        <v/>
      </c>
      <c r="I249" s="35" t="str">
        <f t="shared" si="6"/>
        <v/>
      </c>
      <c r="J249" s="39" t="str">
        <f>IFERROR(VLOOKUP(B249,'SAÍDA DE VENDAS'!$B$6:$P$500,15,FALSE),"")</f>
        <v/>
      </c>
      <c r="K249" s="34" t="str">
        <f t="shared" ca="1" si="7"/>
        <v/>
      </c>
      <c r="L249" s="34"/>
      <c r="M249" s="34"/>
    </row>
    <row r="250" spans="2:13" ht="15" customHeight="1" x14ac:dyDescent="0.3">
      <c r="B250" s="28" t="str">
        <f>IF(B249="","", IF(VALUE(LEFT(H249,FIND("/",H249)-1)) &lt; VALUE(RIGHT(H249,LEN(H249)-FIND("/",H249))), B249, IFERROR(INDEX('SAÍDA DE VENDAS'!$B$6:$B$500, MATCH(B249,'SAÍDA DE VENDAS'!$B$6:$B$500,0)+COUNTIF('SAÍDA DE VENDAS'!$B$6:$B$500, B249)),"")))</f>
        <v/>
      </c>
      <c r="C250" s="29">
        <f>IFERROR(VLOOKUP(B250,'SAÍDA DE VENDAS'!$B$6:$P$500,3,FALSE),"")</f>
        <v>0</v>
      </c>
      <c r="D250" s="28">
        <f>IFERROR(VLOOKUP(B250,'SAÍDA DE VENDAS'!$B$6:$P$500,4,FALSE),"")</f>
        <v>0</v>
      </c>
      <c r="E250" s="28" t="str">
        <f>IFERROR(VLOOKUP(B250,'SAÍDA DE VENDAS'!$B$6:$P$500,5,FALSE),"")</f>
        <v/>
      </c>
      <c r="F250" s="28" t="str">
        <f>IF(OR(ISBLANK(B250),B250=""), "", IFERROR(INDEX('SAÍDA DE VENDAS'!$H$6:$H$500 &amp; "x " &amp; 'SAÍDA DE VENDAS'!$G$6:$G$500, MATCH(B250, 'SAÍDA DE VENDAS'!$B$6:$B$500, 0)), "")&amp; IF(COUNTIF('SAÍDA DE VENDAS'!$B$6:$B$500, B250)&gt;1, " + " &amp; IFERROR(INDEX('SAÍDA DE VENDAS'!$H$6:$H$500 &amp; "x " &amp; 'SAÍDA DE VENDAS'!$G$6:$G$500, MATCH(B250, 'SAÍDA DE VENDAS'!$B$6:$B$500, 0)+1), ""), "")&amp; IF(COUNTIF('SAÍDA DE VENDAS'!$B$6:$B$500, B250)&gt;2, " + " &amp; IFERROR(INDEX('SAÍDA DE VENDAS'!$H$6:$H$500 &amp; "x " &amp; 'SAÍDA DE VENDAS'!$G$6:$G$500, MATCH(B250, 'SAÍDA DE VENDAS'!$B$6:$B$500, 0)+2), ""), "")&amp; IF(COUNTIF('SAÍDA DE VENDAS'!$B$6:$B$500, B250)&gt;3, " + " &amp; IFERROR(INDEX('SAÍDA DE VENDAS'!$H$6:$H$500 &amp; "x " &amp; 'SAÍDA DE VENDAS'!$G$6:$G$500, MATCH(B250, 'SAÍDA DE VENDAS'!$B$6:$B$500, 0)+3), ""), "")&amp; IF(COUNTIF('SAÍDA DE VENDAS'!$B$6:$B$500, B250)&gt;4, " + " &amp; IFERROR(INDEX('SAÍDA DE VENDAS'!$H$6:$H$500 &amp; "x " &amp; 'SAÍDA DE VENDAS'!$G$6:$G$500, MATCH(B250, 'SAÍDA DE VENDAS'!$B$6:$B$500, 0)+4), ""), "")&amp; IF(COUNTIF('SAÍDA DE VENDAS'!$B$6:$B$500, B250)&gt;5, " + " &amp; IFERROR(INDEX('SAÍDA DE VENDAS'!$H$6:$H$500 &amp; "x " &amp; 'SAÍDA DE VENDAS'!$G$6:$G$500, MATCH(B250, 'SAÍDA DE VENDAS'!$B$6:$B$500, 0)+5), ""), ""))</f>
        <v/>
      </c>
      <c r="G250" s="28">
        <f>IFERROR(VLOOKUP(B250,'SAÍDA DE VENDAS'!$B$6:$P$500,10,FALSE),"")</f>
        <v>0</v>
      </c>
      <c r="H250" s="28" t="str">
        <f>IF(OR(ISBLANK(B250),B250=""), "", IF(B250=B249, (VALUE(LEFT(H249,FIND("/",H249)-1))+1)&amp;"/"&amp;RIGHT(H249,LEN(H249)-FIND("/",H249)), "1/"&amp;IFERROR(VLOOKUP(B250,'SAÍDA DE VENDAS'!$B$6:$P$500,13,FALSE),"1")))</f>
        <v/>
      </c>
      <c r="I250" s="69" t="str">
        <f t="shared" si="6"/>
        <v/>
      </c>
      <c r="J250" s="33" t="str">
        <f>IFERROR(VLOOKUP(B250,'SAÍDA DE VENDAS'!$B$6:$P$500,15,FALSE),"")</f>
        <v/>
      </c>
      <c r="K250" s="28" t="str">
        <f t="shared" ca="1" si="7"/>
        <v/>
      </c>
      <c r="L250" s="28"/>
      <c r="M250" s="28"/>
    </row>
    <row r="251" spans="2:13" ht="15" customHeight="1" x14ac:dyDescent="0.3">
      <c r="B251" s="34" t="str">
        <f>IF(B250="","", IF(VALUE(LEFT(H250,FIND("/",H250)-1)) &lt; VALUE(RIGHT(H250,LEN(H250)-FIND("/",H250))), B250, IFERROR(INDEX('SAÍDA DE VENDAS'!$B$6:$B$500, MATCH(B250,'SAÍDA DE VENDAS'!$B$6:$B$500,0)+COUNTIF('SAÍDA DE VENDAS'!$B$6:$B$500, B250)),"")))</f>
        <v/>
      </c>
      <c r="C251" s="35">
        <f>IFERROR(VLOOKUP(B251,'SAÍDA DE VENDAS'!$B$6:$P$500,3,FALSE),"")</f>
        <v>0</v>
      </c>
      <c r="D251" s="34">
        <f>IFERROR(VLOOKUP(B251,'SAÍDA DE VENDAS'!$B$6:$P$500,4,FALSE),"")</f>
        <v>0</v>
      </c>
      <c r="E251" s="34" t="str">
        <f>IFERROR(VLOOKUP(B251,'SAÍDA DE VENDAS'!$B$6:$P$500,5,FALSE),"")</f>
        <v/>
      </c>
      <c r="F251" s="34" t="str">
        <f>IF(OR(ISBLANK(B251),B251=""), "", IFERROR(INDEX('SAÍDA DE VENDAS'!$H$6:$H$500 &amp; "x " &amp; 'SAÍDA DE VENDAS'!$G$6:$G$500, MATCH(B251, 'SAÍDA DE VENDAS'!$B$6:$B$500, 0)), "")&amp; IF(COUNTIF('SAÍDA DE VENDAS'!$B$6:$B$500, B251)&gt;1, " + " &amp; IFERROR(INDEX('SAÍDA DE VENDAS'!$H$6:$H$500 &amp; "x " &amp; 'SAÍDA DE VENDAS'!$G$6:$G$500, MATCH(B251, 'SAÍDA DE VENDAS'!$B$6:$B$500, 0)+1), ""), "")&amp; IF(COUNTIF('SAÍDA DE VENDAS'!$B$6:$B$500, B251)&gt;2, " + " &amp; IFERROR(INDEX('SAÍDA DE VENDAS'!$H$6:$H$500 &amp; "x " &amp; 'SAÍDA DE VENDAS'!$G$6:$G$500, MATCH(B251, 'SAÍDA DE VENDAS'!$B$6:$B$500, 0)+2), ""), "")&amp; IF(COUNTIF('SAÍDA DE VENDAS'!$B$6:$B$500, B251)&gt;3, " + " &amp; IFERROR(INDEX('SAÍDA DE VENDAS'!$H$6:$H$500 &amp; "x " &amp; 'SAÍDA DE VENDAS'!$G$6:$G$500, MATCH(B251, 'SAÍDA DE VENDAS'!$B$6:$B$500, 0)+3), ""), "")&amp; IF(COUNTIF('SAÍDA DE VENDAS'!$B$6:$B$500, B251)&gt;4, " + " &amp; IFERROR(INDEX('SAÍDA DE VENDAS'!$H$6:$H$500 &amp; "x " &amp; 'SAÍDA DE VENDAS'!$G$6:$G$500, MATCH(B251, 'SAÍDA DE VENDAS'!$B$6:$B$500, 0)+4), ""), "")&amp; IF(COUNTIF('SAÍDA DE VENDAS'!$B$6:$B$500, B251)&gt;5, " + " &amp; IFERROR(INDEX('SAÍDA DE VENDAS'!$H$6:$H$500 &amp; "x " &amp; 'SAÍDA DE VENDAS'!$G$6:$G$500, MATCH(B251, 'SAÍDA DE VENDAS'!$B$6:$B$500, 0)+5), ""), ""))</f>
        <v/>
      </c>
      <c r="G251" s="34">
        <f>IFERROR(VLOOKUP(B251,'SAÍDA DE VENDAS'!$B$6:$P$500,10,FALSE),"")</f>
        <v>0</v>
      </c>
      <c r="H251" s="34" t="str">
        <f>IF(OR(ISBLANK(B251),B251=""), "", IF(B251=B250, (VALUE(LEFT(H250,FIND("/",H250)-1))+1)&amp;"/"&amp;RIGHT(H250,LEN(H250)-FIND("/",H250)), "1/"&amp;IFERROR(VLOOKUP(B251,'SAÍDA DE VENDAS'!$B$6:$P$500,13,FALSE),"1")))</f>
        <v/>
      </c>
      <c r="I251" s="35" t="str">
        <f t="shared" si="6"/>
        <v/>
      </c>
      <c r="J251" s="39" t="str">
        <f>IFERROR(VLOOKUP(B251,'SAÍDA DE VENDAS'!$B$6:$P$500,15,FALSE),"")</f>
        <v/>
      </c>
      <c r="K251" s="34" t="str">
        <f t="shared" ca="1" si="7"/>
        <v/>
      </c>
      <c r="L251" s="34"/>
      <c r="M251" s="34"/>
    </row>
    <row r="252" spans="2:13" ht="15" customHeight="1" x14ac:dyDescent="0.3">
      <c r="B252" s="28" t="str">
        <f>IF(B251="","", IF(VALUE(LEFT(H251,FIND("/",H251)-1)) &lt; VALUE(RIGHT(H251,LEN(H251)-FIND("/",H251))), B251, IFERROR(INDEX('SAÍDA DE VENDAS'!$B$6:$B$500, MATCH(B251,'SAÍDA DE VENDAS'!$B$6:$B$500,0)+COUNTIF('SAÍDA DE VENDAS'!$B$6:$B$500, B251)),"")))</f>
        <v/>
      </c>
      <c r="C252" s="29">
        <f>IFERROR(VLOOKUP(B252,'SAÍDA DE VENDAS'!$B$6:$P$500,3,FALSE),"")</f>
        <v>0</v>
      </c>
      <c r="D252" s="28">
        <f>IFERROR(VLOOKUP(B252,'SAÍDA DE VENDAS'!$B$6:$P$500,4,FALSE),"")</f>
        <v>0</v>
      </c>
      <c r="E252" s="28" t="str">
        <f>IFERROR(VLOOKUP(B252,'SAÍDA DE VENDAS'!$B$6:$P$500,5,FALSE),"")</f>
        <v/>
      </c>
      <c r="F252" s="28" t="str">
        <f>IF(OR(ISBLANK(B252),B252=""), "", IFERROR(INDEX('SAÍDA DE VENDAS'!$H$6:$H$500 &amp; "x " &amp; 'SAÍDA DE VENDAS'!$G$6:$G$500, MATCH(B252, 'SAÍDA DE VENDAS'!$B$6:$B$500, 0)), "")&amp; IF(COUNTIF('SAÍDA DE VENDAS'!$B$6:$B$500, B252)&gt;1, " + " &amp; IFERROR(INDEX('SAÍDA DE VENDAS'!$H$6:$H$500 &amp; "x " &amp; 'SAÍDA DE VENDAS'!$G$6:$G$500, MATCH(B252, 'SAÍDA DE VENDAS'!$B$6:$B$500, 0)+1), ""), "")&amp; IF(COUNTIF('SAÍDA DE VENDAS'!$B$6:$B$500, B252)&gt;2, " + " &amp; IFERROR(INDEX('SAÍDA DE VENDAS'!$H$6:$H$500 &amp; "x " &amp; 'SAÍDA DE VENDAS'!$G$6:$G$500, MATCH(B252, 'SAÍDA DE VENDAS'!$B$6:$B$500, 0)+2), ""), "")&amp; IF(COUNTIF('SAÍDA DE VENDAS'!$B$6:$B$500, B252)&gt;3, " + " &amp; IFERROR(INDEX('SAÍDA DE VENDAS'!$H$6:$H$500 &amp; "x " &amp; 'SAÍDA DE VENDAS'!$G$6:$G$500, MATCH(B252, 'SAÍDA DE VENDAS'!$B$6:$B$500, 0)+3), ""), "")&amp; IF(COUNTIF('SAÍDA DE VENDAS'!$B$6:$B$500, B252)&gt;4, " + " &amp; IFERROR(INDEX('SAÍDA DE VENDAS'!$H$6:$H$500 &amp; "x " &amp; 'SAÍDA DE VENDAS'!$G$6:$G$500, MATCH(B252, 'SAÍDA DE VENDAS'!$B$6:$B$500, 0)+4), ""), "")&amp; IF(COUNTIF('SAÍDA DE VENDAS'!$B$6:$B$500, B252)&gt;5, " + " &amp; IFERROR(INDEX('SAÍDA DE VENDAS'!$H$6:$H$500 &amp; "x " &amp; 'SAÍDA DE VENDAS'!$G$6:$G$500, MATCH(B252, 'SAÍDA DE VENDAS'!$B$6:$B$500, 0)+5), ""), ""))</f>
        <v/>
      </c>
      <c r="G252" s="28">
        <f>IFERROR(VLOOKUP(B252,'SAÍDA DE VENDAS'!$B$6:$P$500,10,FALSE),"")</f>
        <v>0</v>
      </c>
      <c r="H252" s="28" t="str">
        <f>IF(OR(ISBLANK(B252),B252=""), "", IF(B252=B251, (VALUE(LEFT(H251,FIND("/",H251)-1))+1)&amp;"/"&amp;RIGHT(H251,LEN(H251)-FIND("/",H251)), "1/"&amp;IFERROR(VLOOKUP(B252,'SAÍDA DE VENDAS'!$B$6:$P$500,13,FALSE),"1")))</f>
        <v/>
      </c>
      <c r="I252" s="69" t="str">
        <f t="shared" si="6"/>
        <v/>
      </c>
      <c r="J252" s="33" t="str">
        <f>IFERROR(VLOOKUP(B252,'SAÍDA DE VENDAS'!$B$6:$P$500,15,FALSE),"")</f>
        <v/>
      </c>
      <c r="K252" s="28" t="str">
        <f t="shared" ca="1" si="7"/>
        <v/>
      </c>
      <c r="L252" s="28"/>
      <c r="M252" s="28"/>
    </row>
    <row r="253" spans="2:13" ht="15" customHeight="1" x14ac:dyDescent="0.3">
      <c r="B253" s="34" t="str">
        <f>IF(B252="","", IF(VALUE(LEFT(H252,FIND("/",H252)-1)) &lt; VALUE(RIGHT(H252,LEN(H252)-FIND("/",H252))), B252, IFERROR(INDEX('SAÍDA DE VENDAS'!$B$6:$B$500, MATCH(B252,'SAÍDA DE VENDAS'!$B$6:$B$500,0)+COUNTIF('SAÍDA DE VENDAS'!$B$6:$B$500, B252)),"")))</f>
        <v/>
      </c>
      <c r="C253" s="35">
        <f>IFERROR(VLOOKUP(B253,'SAÍDA DE VENDAS'!$B$6:$P$500,3,FALSE),"")</f>
        <v>0</v>
      </c>
      <c r="D253" s="34">
        <f>IFERROR(VLOOKUP(B253,'SAÍDA DE VENDAS'!$B$6:$P$500,4,FALSE),"")</f>
        <v>0</v>
      </c>
      <c r="E253" s="34" t="str">
        <f>IFERROR(VLOOKUP(B253,'SAÍDA DE VENDAS'!$B$6:$P$500,5,FALSE),"")</f>
        <v/>
      </c>
      <c r="F253" s="34" t="str">
        <f>IF(OR(ISBLANK(B253),B253=""), "", IFERROR(INDEX('SAÍDA DE VENDAS'!$H$6:$H$500 &amp; "x " &amp; 'SAÍDA DE VENDAS'!$G$6:$G$500, MATCH(B253, 'SAÍDA DE VENDAS'!$B$6:$B$500, 0)), "")&amp; IF(COUNTIF('SAÍDA DE VENDAS'!$B$6:$B$500, B253)&gt;1, " + " &amp; IFERROR(INDEX('SAÍDA DE VENDAS'!$H$6:$H$500 &amp; "x " &amp; 'SAÍDA DE VENDAS'!$G$6:$G$500, MATCH(B253, 'SAÍDA DE VENDAS'!$B$6:$B$500, 0)+1), ""), "")&amp; IF(COUNTIF('SAÍDA DE VENDAS'!$B$6:$B$500, B253)&gt;2, " + " &amp; IFERROR(INDEX('SAÍDA DE VENDAS'!$H$6:$H$500 &amp; "x " &amp; 'SAÍDA DE VENDAS'!$G$6:$G$500, MATCH(B253, 'SAÍDA DE VENDAS'!$B$6:$B$500, 0)+2), ""), "")&amp; IF(COUNTIF('SAÍDA DE VENDAS'!$B$6:$B$500, B253)&gt;3, " + " &amp; IFERROR(INDEX('SAÍDA DE VENDAS'!$H$6:$H$500 &amp; "x " &amp; 'SAÍDA DE VENDAS'!$G$6:$G$500, MATCH(B253, 'SAÍDA DE VENDAS'!$B$6:$B$500, 0)+3), ""), "")&amp; IF(COUNTIF('SAÍDA DE VENDAS'!$B$6:$B$500, B253)&gt;4, " + " &amp; IFERROR(INDEX('SAÍDA DE VENDAS'!$H$6:$H$500 &amp; "x " &amp; 'SAÍDA DE VENDAS'!$G$6:$G$500, MATCH(B253, 'SAÍDA DE VENDAS'!$B$6:$B$500, 0)+4), ""), "")&amp; IF(COUNTIF('SAÍDA DE VENDAS'!$B$6:$B$500, B253)&gt;5, " + " &amp; IFERROR(INDEX('SAÍDA DE VENDAS'!$H$6:$H$500 &amp; "x " &amp; 'SAÍDA DE VENDAS'!$G$6:$G$500, MATCH(B253, 'SAÍDA DE VENDAS'!$B$6:$B$500, 0)+5), ""), ""))</f>
        <v/>
      </c>
      <c r="G253" s="34">
        <f>IFERROR(VLOOKUP(B253,'SAÍDA DE VENDAS'!$B$6:$P$500,10,FALSE),"")</f>
        <v>0</v>
      </c>
      <c r="H253" s="34" t="str">
        <f>IF(OR(ISBLANK(B253),B253=""), "", IF(B253=B252, (VALUE(LEFT(H252,FIND("/",H252)-1))+1)&amp;"/"&amp;RIGHT(H252,LEN(H252)-FIND("/",H252)), "1/"&amp;IFERROR(VLOOKUP(B253,'SAÍDA DE VENDAS'!$B$6:$P$500,13,FALSE),"1")))</f>
        <v/>
      </c>
      <c r="I253" s="35" t="str">
        <f t="shared" si="6"/>
        <v/>
      </c>
      <c r="J253" s="39" t="str">
        <f>IFERROR(VLOOKUP(B253,'SAÍDA DE VENDAS'!$B$6:$P$500,15,FALSE),"")</f>
        <v/>
      </c>
      <c r="K253" s="34" t="str">
        <f t="shared" ca="1" si="7"/>
        <v/>
      </c>
      <c r="L253" s="34"/>
      <c r="M253" s="34"/>
    </row>
    <row r="254" spans="2:13" ht="15" customHeight="1" x14ac:dyDescent="0.3">
      <c r="B254" s="28" t="str">
        <f>IF(B253="","", IF(VALUE(LEFT(H253,FIND("/",H253)-1)) &lt; VALUE(RIGHT(H253,LEN(H253)-FIND("/",H253))), B253, IFERROR(INDEX('SAÍDA DE VENDAS'!$B$6:$B$500, MATCH(B253,'SAÍDA DE VENDAS'!$B$6:$B$500,0)+COUNTIF('SAÍDA DE VENDAS'!$B$6:$B$500, B253)),"")))</f>
        <v/>
      </c>
      <c r="C254" s="29">
        <f>IFERROR(VLOOKUP(B254,'SAÍDA DE VENDAS'!$B$6:$P$500,3,FALSE),"")</f>
        <v>0</v>
      </c>
      <c r="D254" s="28">
        <f>IFERROR(VLOOKUP(B254,'SAÍDA DE VENDAS'!$B$6:$P$500,4,FALSE),"")</f>
        <v>0</v>
      </c>
      <c r="E254" s="28" t="str">
        <f>IFERROR(VLOOKUP(B254,'SAÍDA DE VENDAS'!$B$6:$P$500,5,FALSE),"")</f>
        <v/>
      </c>
      <c r="F254" s="28" t="str">
        <f>IF(OR(ISBLANK(B254),B254=""), "", IFERROR(INDEX('SAÍDA DE VENDAS'!$H$6:$H$500 &amp; "x " &amp; 'SAÍDA DE VENDAS'!$G$6:$G$500, MATCH(B254, 'SAÍDA DE VENDAS'!$B$6:$B$500, 0)), "")&amp; IF(COUNTIF('SAÍDA DE VENDAS'!$B$6:$B$500, B254)&gt;1, " + " &amp; IFERROR(INDEX('SAÍDA DE VENDAS'!$H$6:$H$500 &amp; "x " &amp; 'SAÍDA DE VENDAS'!$G$6:$G$500, MATCH(B254, 'SAÍDA DE VENDAS'!$B$6:$B$500, 0)+1), ""), "")&amp; IF(COUNTIF('SAÍDA DE VENDAS'!$B$6:$B$500, B254)&gt;2, " + " &amp; IFERROR(INDEX('SAÍDA DE VENDAS'!$H$6:$H$500 &amp; "x " &amp; 'SAÍDA DE VENDAS'!$G$6:$G$500, MATCH(B254, 'SAÍDA DE VENDAS'!$B$6:$B$500, 0)+2), ""), "")&amp; IF(COUNTIF('SAÍDA DE VENDAS'!$B$6:$B$500, B254)&gt;3, " + " &amp; IFERROR(INDEX('SAÍDA DE VENDAS'!$H$6:$H$500 &amp; "x " &amp; 'SAÍDA DE VENDAS'!$G$6:$G$500, MATCH(B254, 'SAÍDA DE VENDAS'!$B$6:$B$500, 0)+3), ""), "")&amp; IF(COUNTIF('SAÍDA DE VENDAS'!$B$6:$B$500, B254)&gt;4, " + " &amp; IFERROR(INDEX('SAÍDA DE VENDAS'!$H$6:$H$500 &amp; "x " &amp; 'SAÍDA DE VENDAS'!$G$6:$G$500, MATCH(B254, 'SAÍDA DE VENDAS'!$B$6:$B$500, 0)+4), ""), "")&amp; IF(COUNTIF('SAÍDA DE VENDAS'!$B$6:$B$500, B254)&gt;5, " + " &amp; IFERROR(INDEX('SAÍDA DE VENDAS'!$H$6:$H$500 &amp; "x " &amp; 'SAÍDA DE VENDAS'!$G$6:$G$500, MATCH(B254, 'SAÍDA DE VENDAS'!$B$6:$B$500, 0)+5), ""), ""))</f>
        <v/>
      </c>
      <c r="G254" s="28">
        <f>IFERROR(VLOOKUP(B254,'SAÍDA DE VENDAS'!$B$6:$P$500,10,FALSE),"")</f>
        <v>0</v>
      </c>
      <c r="H254" s="28" t="str">
        <f>IF(OR(ISBLANK(B254),B254=""), "", IF(B254=B253, (VALUE(LEFT(H253,FIND("/",H253)-1))+1)&amp;"/"&amp;RIGHT(H253,LEN(H253)-FIND("/",H253)), "1/"&amp;IFERROR(VLOOKUP(B254,'SAÍDA DE VENDAS'!$B$6:$P$500,13,FALSE),"1")))</f>
        <v/>
      </c>
      <c r="I254" s="69" t="str">
        <f t="shared" si="6"/>
        <v/>
      </c>
      <c r="J254" s="33" t="str">
        <f>IFERROR(VLOOKUP(B254,'SAÍDA DE VENDAS'!$B$6:$P$500,15,FALSE),"")</f>
        <v/>
      </c>
      <c r="K254" s="28" t="str">
        <f t="shared" ca="1" si="7"/>
        <v/>
      </c>
      <c r="L254" s="28"/>
      <c r="M254" s="28"/>
    </row>
    <row r="255" spans="2:13" ht="15" customHeight="1" x14ac:dyDescent="0.3">
      <c r="B255" s="34" t="str">
        <f>IF(B254="","", IF(VALUE(LEFT(H254,FIND("/",H254)-1)) &lt; VALUE(RIGHT(H254,LEN(H254)-FIND("/",H254))), B254, IFERROR(INDEX('SAÍDA DE VENDAS'!$B$6:$B$500, MATCH(B254,'SAÍDA DE VENDAS'!$B$6:$B$500,0)+COUNTIF('SAÍDA DE VENDAS'!$B$6:$B$500, B254)),"")))</f>
        <v/>
      </c>
      <c r="C255" s="35">
        <f>IFERROR(VLOOKUP(B255,'SAÍDA DE VENDAS'!$B$6:$P$500,3,FALSE),"")</f>
        <v>0</v>
      </c>
      <c r="D255" s="34">
        <f>IFERROR(VLOOKUP(B255,'SAÍDA DE VENDAS'!$B$6:$P$500,4,FALSE),"")</f>
        <v>0</v>
      </c>
      <c r="E255" s="34" t="str">
        <f>IFERROR(VLOOKUP(B255,'SAÍDA DE VENDAS'!$B$6:$P$500,5,FALSE),"")</f>
        <v/>
      </c>
      <c r="F255" s="34" t="str">
        <f>IF(OR(ISBLANK(B255),B255=""), "", IFERROR(INDEX('SAÍDA DE VENDAS'!$H$6:$H$500 &amp; "x " &amp; 'SAÍDA DE VENDAS'!$G$6:$G$500, MATCH(B255, 'SAÍDA DE VENDAS'!$B$6:$B$500, 0)), "")&amp; IF(COUNTIF('SAÍDA DE VENDAS'!$B$6:$B$500, B255)&gt;1, " + " &amp; IFERROR(INDEX('SAÍDA DE VENDAS'!$H$6:$H$500 &amp; "x " &amp; 'SAÍDA DE VENDAS'!$G$6:$G$500, MATCH(B255, 'SAÍDA DE VENDAS'!$B$6:$B$500, 0)+1), ""), "")&amp; IF(COUNTIF('SAÍDA DE VENDAS'!$B$6:$B$500, B255)&gt;2, " + " &amp; IFERROR(INDEX('SAÍDA DE VENDAS'!$H$6:$H$500 &amp; "x " &amp; 'SAÍDA DE VENDAS'!$G$6:$G$500, MATCH(B255, 'SAÍDA DE VENDAS'!$B$6:$B$500, 0)+2), ""), "")&amp; IF(COUNTIF('SAÍDA DE VENDAS'!$B$6:$B$500, B255)&gt;3, " + " &amp; IFERROR(INDEX('SAÍDA DE VENDAS'!$H$6:$H$500 &amp; "x " &amp; 'SAÍDA DE VENDAS'!$G$6:$G$500, MATCH(B255, 'SAÍDA DE VENDAS'!$B$6:$B$500, 0)+3), ""), "")&amp; IF(COUNTIF('SAÍDA DE VENDAS'!$B$6:$B$500, B255)&gt;4, " + " &amp; IFERROR(INDEX('SAÍDA DE VENDAS'!$H$6:$H$500 &amp; "x " &amp; 'SAÍDA DE VENDAS'!$G$6:$G$500, MATCH(B255, 'SAÍDA DE VENDAS'!$B$6:$B$500, 0)+4), ""), "")&amp; IF(COUNTIF('SAÍDA DE VENDAS'!$B$6:$B$500, B255)&gt;5, " + " &amp; IFERROR(INDEX('SAÍDA DE VENDAS'!$H$6:$H$500 &amp; "x " &amp; 'SAÍDA DE VENDAS'!$G$6:$G$500, MATCH(B255, 'SAÍDA DE VENDAS'!$B$6:$B$500, 0)+5), ""), ""))</f>
        <v/>
      </c>
      <c r="G255" s="34">
        <f>IFERROR(VLOOKUP(B255,'SAÍDA DE VENDAS'!$B$6:$P$500,10,FALSE),"")</f>
        <v>0</v>
      </c>
      <c r="H255" s="34" t="str">
        <f>IF(OR(ISBLANK(B255),B255=""), "", IF(B255=B254, (VALUE(LEFT(H254,FIND("/",H254)-1))+1)&amp;"/"&amp;RIGHT(H254,LEN(H254)-FIND("/",H254)), "1/"&amp;IFERROR(VLOOKUP(B255,'SAÍDA DE VENDAS'!$B$6:$P$500,13,FALSE),"1")))</f>
        <v/>
      </c>
      <c r="I255" s="35" t="str">
        <f t="shared" si="6"/>
        <v/>
      </c>
      <c r="J255" s="39" t="str">
        <f>IFERROR(VLOOKUP(B255,'SAÍDA DE VENDAS'!$B$6:$P$500,15,FALSE),"")</f>
        <v/>
      </c>
      <c r="K255" s="34" t="str">
        <f t="shared" ca="1" si="7"/>
        <v/>
      </c>
      <c r="L255" s="34"/>
      <c r="M255" s="34"/>
    </row>
    <row r="256" spans="2:13" ht="15" customHeight="1" x14ac:dyDescent="0.3">
      <c r="B256" s="28" t="str">
        <f>IF(B255="","", IF(VALUE(LEFT(H255,FIND("/",H255)-1)) &lt; VALUE(RIGHT(H255,LEN(H255)-FIND("/",H255))), B255, IFERROR(INDEX('SAÍDA DE VENDAS'!$B$6:$B$500, MATCH(B255,'SAÍDA DE VENDAS'!$B$6:$B$500,0)+COUNTIF('SAÍDA DE VENDAS'!$B$6:$B$500, B255)),"")))</f>
        <v/>
      </c>
      <c r="C256" s="29">
        <f>IFERROR(VLOOKUP(B256,'SAÍDA DE VENDAS'!$B$6:$P$500,3,FALSE),"")</f>
        <v>0</v>
      </c>
      <c r="D256" s="28">
        <f>IFERROR(VLOOKUP(B256,'SAÍDA DE VENDAS'!$B$6:$P$500,4,FALSE),"")</f>
        <v>0</v>
      </c>
      <c r="E256" s="28" t="str">
        <f>IFERROR(VLOOKUP(B256,'SAÍDA DE VENDAS'!$B$6:$P$500,5,FALSE),"")</f>
        <v/>
      </c>
      <c r="F256" s="28" t="str">
        <f>IF(OR(ISBLANK(B256),B256=""), "", IFERROR(INDEX('SAÍDA DE VENDAS'!$H$6:$H$500 &amp; "x " &amp; 'SAÍDA DE VENDAS'!$G$6:$G$500, MATCH(B256, 'SAÍDA DE VENDAS'!$B$6:$B$500, 0)), "")&amp; IF(COUNTIF('SAÍDA DE VENDAS'!$B$6:$B$500, B256)&gt;1, " + " &amp; IFERROR(INDEX('SAÍDA DE VENDAS'!$H$6:$H$500 &amp; "x " &amp; 'SAÍDA DE VENDAS'!$G$6:$G$500, MATCH(B256, 'SAÍDA DE VENDAS'!$B$6:$B$500, 0)+1), ""), "")&amp; IF(COUNTIF('SAÍDA DE VENDAS'!$B$6:$B$500, B256)&gt;2, " + " &amp; IFERROR(INDEX('SAÍDA DE VENDAS'!$H$6:$H$500 &amp; "x " &amp; 'SAÍDA DE VENDAS'!$G$6:$G$500, MATCH(B256, 'SAÍDA DE VENDAS'!$B$6:$B$500, 0)+2), ""), "")&amp; IF(COUNTIF('SAÍDA DE VENDAS'!$B$6:$B$500, B256)&gt;3, " + " &amp; IFERROR(INDEX('SAÍDA DE VENDAS'!$H$6:$H$500 &amp; "x " &amp; 'SAÍDA DE VENDAS'!$G$6:$G$500, MATCH(B256, 'SAÍDA DE VENDAS'!$B$6:$B$500, 0)+3), ""), "")&amp; IF(COUNTIF('SAÍDA DE VENDAS'!$B$6:$B$500, B256)&gt;4, " + " &amp; IFERROR(INDEX('SAÍDA DE VENDAS'!$H$6:$H$500 &amp; "x " &amp; 'SAÍDA DE VENDAS'!$G$6:$G$500, MATCH(B256, 'SAÍDA DE VENDAS'!$B$6:$B$500, 0)+4), ""), "")&amp; IF(COUNTIF('SAÍDA DE VENDAS'!$B$6:$B$500, B256)&gt;5, " + " &amp; IFERROR(INDEX('SAÍDA DE VENDAS'!$H$6:$H$500 &amp; "x " &amp; 'SAÍDA DE VENDAS'!$G$6:$G$500, MATCH(B256, 'SAÍDA DE VENDAS'!$B$6:$B$500, 0)+5), ""), ""))</f>
        <v/>
      </c>
      <c r="G256" s="28">
        <f>IFERROR(VLOOKUP(B256,'SAÍDA DE VENDAS'!$B$6:$P$500,10,FALSE),"")</f>
        <v>0</v>
      </c>
      <c r="H256" s="28" t="str">
        <f>IF(OR(ISBLANK(B256),B256=""), "", IF(B256=B255, (VALUE(LEFT(H255,FIND("/",H255)-1))+1)&amp;"/"&amp;RIGHT(H255,LEN(H255)-FIND("/",H255)), "1/"&amp;IFERROR(VLOOKUP(B256,'SAÍDA DE VENDAS'!$B$6:$P$500,13,FALSE),"1")))</f>
        <v/>
      </c>
      <c r="I256" s="69" t="str">
        <f t="shared" si="6"/>
        <v/>
      </c>
      <c r="J256" s="33" t="str">
        <f>IFERROR(VLOOKUP(B256,'SAÍDA DE VENDAS'!$B$6:$P$500,15,FALSE),"")</f>
        <v/>
      </c>
      <c r="K256" s="28" t="str">
        <f t="shared" ca="1" si="7"/>
        <v/>
      </c>
      <c r="L256" s="28"/>
      <c r="M256" s="28"/>
    </row>
    <row r="257" spans="2:13" ht="15" customHeight="1" x14ac:dyDescent="0.3">
      <c r="B257" s="34" t="str">
        <f>IF(B256="","", IF(VALUE(LEFT(H256,FIND("/",H256)-1)) &lt; VALUE(RIGHT(H256,LEN(H256)-FIND("/",H256))), B256, IFERROR(INDEX('SAÍDA DE VENDAS'!$B$6:$B$500, MATCH(B256,'SAÍDA DE VENDAS'!$B$6:$B$500,0)+COUNTIF('SAÍDA DE VENDAS'!$B$6:$B$500, B256)),"")))</f>
        <v/>
      </c>
      <c r="C257" s="35">
        <f>IFERROR(VLOOKUP(B257,'SAÍDA DE VENDAS'!$B$6:$P$500,3,FALSE),"")</f>
        <v>0</v>
      </c>
      <c r="D257" s="34">
        <f>IFERROR(VLOOKUP(B257,'SAÍDA DE VENDAS'!$B$6:$P$500,4,FALSE),"")</f>
        <v>0</v>
      </c>
      <c r="E257" s="34" t="str">
        <f>IFERROR(VLOOKUP(B257,'SAÍDA DE VENDAS'!$B$6:$P$500,5,FALSE),"")</f>
        <v/>
      </c>
      <c r="F257" s="34" t="str">
        <f>IF(OR(ISBLANK(B257),B257=""), "", IFERROR(INDEX('SAÍDA DE VENDAS'!$H$6:$H$500 &amp; "x " &amp; 'SAÍDA DE VENDAS'!$G$6:$G$500, MATCH(B257, 'SAÍDA DE VENDAS'!$B$6:$B$500, 0)), "")&amp; IF(COUNTIF('SAÍDA DE VENDAS'!$B$6:$B$500, B257)&gt;1, " + " &amp; IFERROR(INDEX('SAÍDA DE VENDAS'!$H$6:$H$500 &amp; "x " &amp; 'SAÍDA DE VENDAS'!$G$6:$G$500, MATCH(B257, 'SAÍDA DE VENDAS'!$B$6:$B$500, 0)+1), ""), "")&amp; IF(COUNTIF('SAÍDA DE VENDAS'!$B$6:$B$500, B257)&gt;2, " + " &amp; IFERROR(INDEX('SAÍDA DE VENDAS'!$H$6:$H$500 &amp; "x " &amp; 'SAÍDA DE VENDAS'!$G$6:$G$500, MATCH(B257, 'SAÍDA DE VENDAS'!$B$6:$B$500, 0)+2), ""), "")&amp; IF(COUNTIF('SAÍDA DE VENDAS'!$B$6:$B$500, B257)&gt;3, " + " &amp; IFERROR(INDEX('SAÍDA DE VENDAS'!$H$6:$H$500 &amp; "x " &amp; 'SAÍDA DE VENDAS'!$G$6:$G$500, MATCH(B257, 'SAÍDA DE VENDAS'!$B$6:$B$500, 0)+3), ""), "")&amp; IF(COUNTIF('SAÍDA DE VENDAS'!$B$6:$B$500, B257)&gt;4, " + " &amp; IFERROR(INDEX('SAÍDA DE VENDAS'!$H$6:$H$500 &amp; "x " &amp; 'SAÍDA DE VENDAS'!$G$6:$G$500, MATCH(B257, 'SAÍDA DE VENDAS'!$B$6:$B$500, 0)+4), ""), "")&amp; IF(COUNTIF('SAÍDA DE VENDAS'!$B$6:$B$500, B257)&gt;5, " + " &amp; IFERROR(INDEX('SAÍDA DE VENDAS'!$H$6:$H$500 &amp; "x " &amp; 'SAÍDA DE VENDAS'!$G$6:$G$500, MATCH(B257, 'SAÍDA DE VENDAS'!$B$6:$B$500, 0)+5), ""), ""))</f>
        <v/>
      </c>
      <c r="G257" s="34">
        <f>IFERROR(VLOOKUP(B257,'SAÍDA DE VENDAS'!$B$6:$P$500,10,FALSE),"")</f>
        <v>0</v>
      </c>
      <c r="H257" s="34" t="str">
        <f>IF(OR(ISBLANK(B257),B257=""), "", IF(B257=B256, (VALUE(LEFT(H256,FIND("/",H256)-1))+1)&amp;"/"&amp;RIGHT(H256,LEN(H256)-FIND("/",H256)), "1/"&amp;IFERROR(VLOOKUP(B257,'SAÍDA DE VENDAS'!$B$6:$P$500,13,FALSE),"1")))</f>
        <v/>
      </c>
      <c r="I257" s="35" t="str">
        <f t="shared" si="6"/>
        <v/>
      </c>
      <c r="J257" s="39" t="str">
        <f>IFERROR(VLOOKUP(B257,'SAÍDA DE VENDAS'!$B$6:$P$500,15,FALSE),"")</f>
        <v/>
      </c>
      <c r="K257" s="34" t="str">
        <f t="shared" ca="1" si="7"/>
        <v/>
      </c>
      <c r="L257" s="34"/>
      <c r="M257" s="34"/>
    </row>
    <row r="258" spans="2:13" ht="15" customHeight="1" x14ac:dyDescent="0.3">
      <c r="B258" s="28" t="str">
        <f>IF(B257="","", IF(VALUE(LEFT(H257,FIND("/",H257)-1)) &lt; VALUE(RIGHT(H257,LEN(H257)-FIND("/",H257))), B257, IFERROR(INDEX('SAÍDA DE VENDAS'!$B$6:$B$500, MATCH(B257,'SAÍDA DE VENDAS'!$B$6:$B$500,0)+COUNTIF('SAÍDA DE VENDAS'!$B$6:$B$500, B257)),"")))</f>
        <v/>
      </c>
      <c r="C258" s="29">
        <f>IFERROR(VLOOKUP(B258,'SAÍDA DE VENDAS'!$B$6:$P$500,3,FALSE),"")</f>
        <v>0</v>
      </c>
      <c r="D258" s="28">
        <f>IFERROR(VLOOKUP(B258,'SAÍDA DE VENDAS'!$B$6:$P$500,4,FALSE),"")</f>
        <v>0</v>
      </c>
      <c r="E258" s="28" t="str">
        <f>IFERROR(VLOOKUP(B258,'SAÍDA DE VENDAS'!$B$6:$P$500,5,FALSE),"")</f>
        <v/>
      </c>
      <c r="F258" s="28" t="str">
        <f>IF(OR(ISBLANK(B258),B258=""), "", IFERROR(INDEX('SAÍDA DE VENDAS'!$H$6:$H$500 &amp; "x " &amp; 'SAÍDA DE VENDAS'!$G$6:$G$500, MATCH(B258, 'SAÍDA DE VENDAS'!$B$6:$B$500, 0)), "")&amp; IF(COUNTIF('SAÍDA DE VENDAS'!$B$6:$B$500, B258)&gt;1, " + " &amp; IFERROR(INDEX('SAÍDA DE VENDAS'!$H$6:$H$500 &amp; "x " &amp; 'SAÍDA DE VENDAS'!$G$6:$G$500, MATCH(B258, 'SAÍDA DE VENDAS'!$B$6:$B$500, 0)+1), ""), "")&amp; IF(COUNTIF('SAÍDA DE VENDAS'!$B$6:$B$500, B258)&gt;2, " + " &amp; IFERROR(INDEX('SAÍDA DE VENDAS'!$H$6:$H$500 &amp; "x " &amp; 'SAÍDA DE VENDAS'!$G$6:$G$500, MATCH(B258, 'SAÍDA DE VENDAS'!$B$6:$B$500, 0)+2), ""), "")&amp; IF(COUNTIF('SAÍDA DE VENDAS'!$B$6:$B$500, B258)&gt;3, " + " &amp; IFERROR(INDEX('SAÍDA DE VENDAS'!$H$6:$H$500 &amp; "x " &amp; 'SAÍDA DE VENDAS'!$G$6:$G$500, MATCH(B258, 'SAÍDA DE VENDAS'!$B$6:$B$500, 0)+3), ""), "")&amp; IF(COUNTIF('SAÍDA DE VENDAS'!$B$6:$B$500, B258)&gt;4, " + " &amp; IFERROR(INDEX('SAÍDA DE VENDAS'!$H$6:$H$500 &amp; "x " &amp; 'SAÍDA DE VENDAS'!$G$6:$G$500, MATCH(B258, 'SAÍDA DE VENDAS'!$B$6:$B$500, 0)+4), ""), "")&amp; IF(COUNTIF('SAÍDA DE VENDAS'!$B$6:$B$500, B258)&gt;5, " + " &amp; IFERROR(INDEX('SAÍDA DE VENDAS'!$H$6:$H$500 &amp; "x " &amp; 'SAÍDA DE VENDAS'!$G$6:$G$500, MATCH(B258, 'SAÍDA DE VENDAS'!$B$6:$B$500, 0)+5), ""), ""))</f>
        <v/>
      </c>
      <c r="G258" s="28">
        <f>IFERROR(VLOOKUP(B258,'SAÍDA DE VENDAS'!$B$6:$P$500,10,FALSE),"")</f>
        <v>0</v>
      </c>
      <c r="H258" s="28" t="str">
        <f>IF(OR(ISBLANK(B258),B258=""), "", IF(B258=B257, (VALUE(LEFT(H257,FIND("/",H257)-1))+1)&amp;"/"&amp;RIGHT(H257,LEN(H257)-FIND("/",H257)), "1/"&amp;IFERROR(VLOOKUP(B258,'SAÍDA DE VENDAS'!$B$6:$P$500,13,FALSE),"1")))</f>
        <v/>
      </c>
      <c r="I258" s="69" t="str">
        <f t="shared" si="6"/>
        <v/>
      </c>
      <c r="J258" s="33" t="str">
        <f>IFERROR(VLOOKUP(B258,'SAÍDA DE VENDAS'!$B$6:$P$500,15,FALSE),"")</f>
        <v/>
      </c>
      <c r="K258" s="28" t="str">
        <f t="shared" ca="1" si="7"/>
        <v/>
      </c>
      <c r="L258" s="28"/>
      <c r="M258" s="28"/>
    </row>
    <row r="259" spans="2:13" ht="15" customHeight="1" x14ac:dyDescent="0.3">
      <c r="B259" s="34" t="str">
        <f>IF(B258="","", IF(VALUE(LEFT(H258,FIND("/",H258)-1)) &lt; VALUE(RIGHT(H258,LEN(H258)-FIND("/",H258))), B258, IFERROR(INDEX('SAÍDA DE VENDAS'!$B$6:$B$500, MATCH(B258,'SAÍDA DE VENDAS'!$B$6:$B$500,0)+COUNTIF('SAÍDA DE VENDAS'!$B$6:$B$500, B258)),"")))</f>
        <v/>
      </c>
      <c r="C259" s="35">
        <f>IFERROR(VLOOKUP(B259,'SAÍDA DE VENDAS'!$B$6:$P$500,3,FALSE),"")</f>
        <v>0</v>
      </c>
      <c r="D259" s="34">
        <f>IFERROR(VLOOKUP(B259,'SAÍDA DE VENDAS'!$B$6:$P$500,4,FALSE),"")</f>
        <v>0</v>
      </c>
      <c r="E259" s="34" t="str">
        <f>IFERROR(VLOOKUP(B259,'SAÍDA DE VENDAS'!$B$6:$P$500,5,FALSE),"")</f>
        <v/>
      </c>
      <c r="F259" s="34" t="str">
        <f>IF(OR(ISBLANK(B259),B259=""), "", IFERROR(INDEX('SAÍDA DE VENDAS'!$H$6:$H$500 &amp; "x " &amp; 'SAÍDA DE VENDAS'!$G$6:$G$500, MATCH(B259, 'SAÍDA DE VENDAS'!$B$6:$B$500, 0)), "")&amp; IF(COUNTIF('SAÍDA DE VENDAS'!$B$6:$B$500, B259)&gt;1, " + " &amp; IFERROR(INDEX('SAÍDA DE VENDAS'!$H$6:$H$500 &amp; "x " &amp; 'SAÍDA DE VENDAS'!$G$6:$G$500, MATCH(B259, 'SAÍDA DE VENDAS'!$B$6:$B$500, 0)+1), ""), "")&amp; IF(COUNTIF('SAÍDA DE VENDAS'!$B$6:$B$500, B259)&gt;2, " + " &amp; IFERROR(INDEX('SAÍDA DE VENDAS'!$H$6:$H$500 &amp; "x " &amp; 'SAÍDA DE VENDAS'!$G$6:$G$500, MATCH(B259, 'SAÍDA DE VENDAS'!$B$6:$B$500, 0)+2), ""), "")&amp; IF(COUNTIF('SAÍDA DE VENDAS'!$B$6:$B$500, B259)&gt;3, " + " &amp; IFERROR(INDEX('SAÍDA DE VENDAS'!$H$6:$H$500 &amp; "x " &amp; 'SAÍDA DE VENDAS'!$G$6:$G$500, MATCH(B259, 'SAÍDA DE VENDAS'!$B$6:$B$500, 0)+3), ""), "")&amp; IF(COUNTIF('SAÍDA DE VENDAS'!$B$6:$B$500, B259)&gt;4, " + " &amp; IFERROR(INDEX('SAÍDA DE VENDAS'!$H$6:$H$500 &amp; "x " &amp; 'SAÍDA DE VENDAS'!$G$6:$G$500, MATCH(B259, 'SAÍDA DE VENDAS'!$B$6:$B$500, 0)+4), ""), "")&amp; IF(COUNTIF('SAÍDA DE VENDAS'!$B$6:$B$500, B259)&gt;5, " + " &amp; IFERROR(INDEX('SAÍDA DE VENDAS'!$H$6:$H$500 &amp; "x " &amp; 'SAÍDA DE VENDAS'!$G$6:$G$500, MATCH(B259, 'SAÍDA DE VENDAS'!$B$6:$B$500, 0)+5), ""), ""))</f>
        <v/>
      </c>
      <c r="G259" s="34">
        <f>IFERROR(VLOOKUP(B259,'SAÍDA DE VENDAS'!$B$6:$P$500,10,FALSE),"")</f>
        <v>0</v>
      </c>
      <c r="H259" s="34" t="str">
        <f>IF(OR(ISBLANK(B259),B259=""), "", IF(B259=B258, (VALUE(LEFT(H258,FIND("/",H258)-1))+1)&amp;"/"&amp;RIGHT(H258,LEN(H258)-FIND("/",H258)), "1/"&amp;IFERROR(VLOOKUP(B259,'SAÍDA DE VENDAS'!$B$6:$P$500,13,FALSE),"1")))</f>
        <v/>
      </c>
      <c r="I259" s="35" t="str">
        <f t="shared" si="6"/>
        <v/>
      </c>
      <c r="J259" s="39" t="str">
        <f>IFERROR(VLOOKUP(B259,'SAÍDA DE VENDAS'!$B$6:$P$500,15,FALSE),"")</f>
        <v/>
      </c>
      <c r="K259" s="34" t="str">
        <f t="shared" ca="1" si="7"/>
        <v/>
      </c>
      <c r="L259" s="34"/>
      <c r="M259" s="34"/>
    </row>
    <row r="260" spans="2:13" ht="15" customHeight="1" x14ac:dyDescent="0.3">
      <c r="B260" s="28" t="str">
        <f>IF(B259="","", IF(VALUE(LEFT(H259,FIND("/",H259)-1)) &lt; VALUE(RIGHT(H259,LEN(H259)-FIND("/",H259))), B259, IFERROR(INDEX('SAÍDA DE VENDAS'!$B$6:$B$500, MATCH(B259,'SAÍDA DE VENDAS'!$B$6:$B$500,0)+COUNTIF('SAÍDA DE VENDAS'!$B$6:$B$500, B259)),"")))</f>
        <v/>
      </c>
      <c r="C260" s="29">
        <f>IFERROR(VLOOKUP(B260,'SAÍDA DE VENDAS'!$B$6:$P$500,3,FALSE),"")</f>
        <v>0</v>
      </c>
      <c r="D260" s="28">
        <f>IFERROR(VLOOKUP(B260,'SAÍDA DE VENDAS'!$B$6:$P$500,4,FALSE),"")</f>
        <v>0</v>
      </c>
      <c r="E260" s="28" t="str">
        <f>IFERROR(VLOOKUP(B260,'SAÍDA DE VENDAS'!$B$6:$P$500,5,FALSE),"")</f>
        <v/>
      </c>
      <c r="F260" s="28" t="str">
        <f>IF(OR(ISBLANK(B260),B260=""), "", IFERROR(INDEX('SAÍDA DE VENDAS'!$H$6:$H$500 &amp; "x " &amp; 'SAÍDA DE VENDAS'!$G$6:$G$500, MATCH(B260, 'SAÍDA DE VENDAS'!$B$6:$B$500, 0)), "")&amp; IF(COUNTIF('SAÍDA DE VENDAS'!$B$6:$B$500, B260)&gt;1, " + " &amp; IFERROR(INDEX('SAÍDA DE VENDAS'!$H$6:$H$500 &amp; "x " &amp; 'SAÍDA DE VENDAS'!$G$6:$G$500, MATCH(B260, 'SAÍDA DE VENDAS'!$B$6:$B$500, 0)+1), ""), "")&amp; IF(COUNTIF('SAÍDA DE VENDAS'!$B$6:$B$500, B260)&gt;2, " + " &amp; IFERROR(INDEX('SAÍDA DE VENDAS'!$H$6:$H$500 &amp; "x " &amp; 'SAÍDA DE VENDAS'!$G$6:$G$500, MATCH(B260, 'SAÍDA DE VENDAS'!$B$6:$B$500, 0)+2), ""), "")&amp; IF(COUNTIF('SAÍDA DE VENDAS'!$B$6:$B$500, B260)&gt;3, " + " &amp; IFERROR(INDEX('SAÍDA DE VENDAS'!$H$6:$H$500 &amp; "x " &amp; 'SAÍDA DE VENDAS'!$G$6:$G$500, MATCH(B260, 'SAÍDA DE VENDAS'!$B$6:$B$500, 0)+3), ""), "")&amp; IF(COUNTIF('SAÍDA DE VENDAS'!$B$6:$B$500, B260)&gt;4, " + " &amp; IFERROR(INDEX('SAÍDA DE VENDAS'!$H$6:$H$500 &amp; "x " &amp; 'SAÍDA DE VENDAS'!$G$6:$G$500, MATCH(B260, 'SAÍDA DE VENDAS'!$B$6:$B$500, 0)+4), ""), "")&amp; IF(COUNTIF('SAÍDA DE VENDAS'!$B$6:$B$500, B260)&gt;5, " + " &amp; IFERROR(INDEX('SAÍDA DE VENDAS'!$H$6:$H$500 &amp; "x " &amp; 'SAÍDA DE VENDAS'!$G$6:$G$500, MATCH(B260, 'SAÍDA DE VENDAS'!$B$6:$B$500, 0)+5), ""), ""))</f>
        <v/>
      </c>
      <c r="G260" s="28">
        <f>IFERROR(VLOOKUP(B260,'SAÍDA DE VENDAS'!$B$6:$P$500,10,FALSE),"")</f>
        <v>0</v>
      </c>
      <c r="H260" s="28" t="str">
        <f>IF(OR(ISBLANK(B260),B260=""), "", IF(B260=B259, (VALUE(LEFT(H259,FIND("/",H259)-1))+1)&amp;"/"&amp;RIGHT(H259,LEN(H259)-FIND("/",H259)), "1/"&amp;IFERROR(VLOOKUP(B260,'SAÍDA DE VENDAS'!$B$6:$P$500,13,FALSE),"1")))</f>
        <v/>
      </c>
      <c r="I260" s="69" t="str">
        <f t="shared" si="6"/>
        <v/>
      </c>
      <c r="J260" s="33" t="str">
        <f>IFERROR(VLOOKUP(B260,'SAÍDA DE VENDAS'!$B$6:$P$500,15,FALSE),"")</f>
        <v/>
      </c>
      <c r="K260" s="28" t="str">
        <f t="shared" ca="1" si="7"/>
        <v/>
      </c>
      <c r="L260" s="28"/>
      <c r="M260" s="28"/>
    </row>
    <row r="261" spans="2:13" ht="15" customHeight="1" x14ac:dyDescent="0.3">
      <c r="B261" s="34" t="str">
        <f>IF(B260="","", IF(VALUE(LEFT(H260,FIND("/",H260)-1)) &lt; VALUE(RIGHT(H260,LEN(H260)-FIND("/",H260))), B260, IFERROR(INDEX('SAÍDA DE VENDAS'!$B$6:$B$500, MATCH(B260,'SAÍDA DE VENDAS'!$B$6:$B$500,0)+COUNTIF('SAÍDA DE VENDAS'!$B$6:$B$500, B260)),"")))</f>
        <v/>
      </c>
      <c r="C261" s="35">
        <f>IFERROR(VLOOKUP(B261,'SAÍDA DE VENDAS'!$B$6:$P$500,3,FALSE),"")</f>
        <v>0</v>
      </c>
      <c r="D261" s="34">
        <f>IFERROR(VLOOKUP(B261,'SAÍDA DE VENDAS'!$B$6:$P$500,4,FALSE),"")</f>
        <v>0</v>
      </c>
      <c r="E261" s="34" t="str">
        <f>IFERROR(VLOOKUP(B261,'SAÍDA DE VENDAS'!$B$6:$P$500,5,FALSE),"")</f>
        <v/>
      </c>
      <c r="F261" s="34" t="str">
        <f>IF(OR(ISBLANK(B261),B261=""), "", IFERROR(INDEX('SAÍDA DE VENDAS'!$H$6:$H$500 &amp; "x " &amp; 'SAÍDA DE VENDAS'!$G$6:$G$500, MATCH(B261, 'SAÍDA DE VENDAS'!$B$6:$B$500, 0)), "")&amp; IF(COUNTIF('SAÍDA DE VENDAS'!$B$6:$B$500, B261)&gt;1, " + " &amp; IFERROR(INDEX('SAÍDA DE VENDAS'!$H$6:$H$500 &amp; "x " &amp; 'SAÍDA DE VENDAS'!$G$6:$G$500, MATCH(B261, 'SAÍDA DE VENDAS'!$B$6:$B$500, 0)+1), ""), "")&amp; IF(COUNTIF('SAÍDA DE VENDAS'!$B$6:$B$500, B261)&gt;2, " + " &amp; IFERROR(INDEX('SAÍDA DE VENDAS'!$H$6:$H$500 &amp; "x " &amp; 'SAÍDA DE VENDAS'!$G$6:$G$500, MATCH(B261, 'SAÍDA DE VENDAS'!$B$6:$B$500, 0)+2), ""), "")&amp; IF(COUNTIF('SAÍDA DE VENDAS'!$B$6:$B$500, B261)&gt;3, " + " &amp; IFERROR(INDEX('SAÍDA DE VENDAS'!$H$6:$H$500 &amp; "x " &amp; 'SAÍDA DE VENDAS'!$G$6:$G$500, MATCH(B261, 'SAÍDA DE VENDAS'!$B$6:$B$500, 0)+3), ""), "")&amp; IF(COUNTIF('SAÍDA DE VENDAS'!$B$6:$B$500, B261)&gt;4, " + " &amp; IFERROR(INDEX('SAÍDA DE VENDAS'!$H$6:$H$500 &amp; "x " &amp; 'SAÍDA DE VENDAS'!$G$6:$G$500, MATCH(B261, 'SAÍDA DE VENDAS'!$B$6:$B$500, 0)+4), ""), "")&amp; IF(COUNTIF('SAÍDA DE VENDAS'!$B$6:$B$500, B261)&gt;5, " + " &amp; IFERROR(INDEX('SAÍDA DE VENDAS'!$H$6:$H$500 &amp; "x " &amp; 'SAÍDA DE VENDAS'!$G$6:$G$500, MATCH(B261, 'SAÍDA DE VENDAS'!$B$6:$B$500, 0)+5), ""), ""))</f>
        <v/>
      </c>
      <c r="G261" s="34">
        <f>IFERROR(VLOOKUP(B261,'SAÍDA DE VENDAS'!$B$6:$P$500,10,FALSE),"")</f>
        <v>0</v>
      </c>
      <c r="H261" s="34" t="str">
        <f>IF(OR(ISBLANK(B261),B261=""), "", IF(B261=B260, (VALUE(LEFT(H260,FIND("/",H260)-1))+1)&amp;"/"&amp;RIGHT(H260,LEN(H260)-FIND("/",H260)), "1/"&amp;IFERROR(VLOOKUP(B261,'SAÍDA DE VENDAS'!$B$6:$P$500,13,FALSE),"1")))</f>
        <v/>
      </c>
      <c r="I261" s="35" t="str">
        <f t="shared" si="6"/>
        <v/>
      </c>
      <c r="J261" s="39" t="str">
        <f>IFERROR(VLOOKUP(B261,'SAÍDA DE VENDAS'!$B$6:$P$500,15,FALSE),"")</f>
        <v/>
      </c>
      <c r="K261" s="34" t="str">
        <f t="shared" ca="1" si="7"/>
        <v/>
      </c>
      <c r="L261" s="34"/>
      <c r="M261" s="34"/>
    </row>
    <row r="262" spans="2:13" ht="15" customHeight="1" x14ac:dyDescent="0.3">
      <c r="B262" s="28" t="str">
        <f>IF(B261="","", IF(VALUE(LEFT(H261,FIND("/",H261)-1)) &lt; VALUE(RIGHT(H261,LEN(H261)-FIND("/",H261))), B261, IFERROR(INDEX('SAÍDA DE VENDAS'!$B$6:$B$500, MATCH(B261,'SAÍDA DE VENDAS'!$B$6:$B$500,0)+COUNTIF('SAÍDA DE VENDAS'!$B$6:$B$500, B261)),"")))</f>
        <v/>
      </c>
      <c r="C262" s="29">
        <f>IFERROR(VLOOKUP(B262,'SAÍDA DE VENDAS'!$B$6:$P$500,3,FALSE),"")</f>
        <v>0</v>
      </c>
      <c r="D262" s="28">
        <f>IFERROR(VLOOKUP(B262,'SAÍDA DE VENDAS'!$B$6:$P$500,4,FALSE),"")</f>
        <v>0</v>
      </c>
      <c r="E262" s="28" t="str">
        <f>IFERROR(VLOOKUP(B262,'SAÍDA DE VENDAS'!$B$6:$P$500,5,FALSE),"")</f>
        <v/>
      </c>
      <c r="F262" s="28" t="str">
        <f>IF(OR(ISBLANK(B262),B262=""), "", IFERROR(INDEX('SAÍDA DE VENDAS'!$H$6:$H$500 &amp; "x " &amp; 'SAÍDA DE VENDAS'!$G$6:$G$500, MATCH(B262, 'SAÍDA DE VENDAS'!$B$6:$B$500, 0)), "")&amp; IF(COUNTIF('SAÍDA DE VENDAS'!$B$6:$B$500, B262)&gt;1, " + " &amp; IFERROR(INDEX('SAÍDA DE VENDAS'!$H$6:$H$500 &amp; "x " &amp; 'SAÍDA DE VENDAS'!$G$6:$G$500, MATCH(B262, 'SAÍDA DE VENDAS'!$B$6:$B$500, 0)+1), ""), "")&amp; IF(COUNTIF('SAÍDA DE VENDAS'!$B$6:$B$500, B262)&gt;2, " + " &amp; IFERROR(INDEX('SAÍDA DE VENDAS'!$H$6:$H$500 &amp; "x " &amp; 'SAÍDA DE VENDAS'!$G$6:$G$500, MATCH(B262, 'SAÍDA DE VENDAS'!$B$6:$B$500, 0)+2), ""), "")&amp; IF(COUNTIF('SAÍDA DE VENDAS'!$B$6:$B$500, B262)&gt;3, " + " &amp; IFERROR(INDEX('SAÍDA DE VENDAS'!$H$6:$H$500 &amp; "x " &amp; 'SAÍDA DE VENDAS'!$G$6:$G$500, MATCH(B262, 'SAÍDA DE VENDAS'!$B$6:$B$500, 0)+3), ""), "")&amp; IF(COUNTIF('SAÍDA DE VENDAS'!$B$6:$B$500, B262)&gt;4, " + " &amp; IFERROR(INDEX('SAÍDA DE VENDAS'!$H$6:$H$500 &amp; "x " &amp; 'SAÍDA DE VENDAS'!$G$6:$G$500, MATCH(B262, 'SAÍDA DE VENDAS'!$B$6:$B$500, 0)+4), ""), "")&amp; IF(COUNTIF('SAÍDA DE VENDAS'!$B$6:$B$500, B262)&gt;5, " + " &amp; IFERROR(INDEX('SAÍDA DE VENDAS'!$H$6:$H$500 &amp; "x " &amp; 'SAÍDA DE VENDAS'!$G$6:$G$500, MATCH(B262, 'SAÍDA DE VENDAS'!$B$6:$B$500, 0)+5), ""), ""))</f>
        <v/>
      </c>
      <c r="G262" s="28">
        <f>IFERROR(VLOOKUP(B262,'SAÍDA DE VENDAS'!$B$6:$P$500,10,FALSE),"")</f>
        <v>0</v>
      </c>
      <c r="H262" s="28" t="str">
        <f>IF(OR(ISBLANK(B262),B262=""), "", IF(B262=B261, (VALUE(LEFT(H261,FIND("/",H261)-1))+1)&amp;"/"&amp;RIGHT(H261,LEN(H261)-FIND("/",H261)), "1/"&amp;IFERROR(VLOOKUP(B262,'SAÍDA DE VENDAS'!$B$6:$P$500,13,FALSE),"1")))</f>
        <v/>
      </c>
      <c r="I262" s="69" t="str">
        <f t="shared" ref="I262:I325" si="8">IF(OR(ISBLANK(B262), B262="", C262=""), "", C262 + (IFERROR(VALUE(LEFT(H262, FIND("/", H262)-1)), 1) * 30))</f>
        <v/>
      </c>
      <c r="J262" s="33" t="str">
        <f>IFERROR(VLOOKUP(B262,'SAÍDA DE VENDAS'!$B$6:$P$500,15,FALSE),"")</f>
        <v/>
      </c>
      <c r="K262" s="28" t="str">
        <f t="shared" ref="K262:K325" ca="1" si="9">IF(B262="","", IF(OR(G262="À Vista", L262&lt;&gt;""), "Pago", IF(AND(I262&lt;&gt;"", I262&lt;TODAY()), "Atrasado", "Pendente")))</f>
        <v/>
      </c>
      <c r="L262" s="28"/>
      <c r="M262" s="28"/>
    </row>
    <row r="263" spans="2:13" ht="15" customHeight="1" x14ac:dyDescent="0.3">
      <c r="B263" s="34" t="str">
        <f>IF(B262="","", IF(VALUE(LEFT(H262,FIND("/",H262)-1)) &lt; VALUE(RIGHT(H262,LEN(H262)-FIND("/",H262))), B262, IFERROR(INDEX('SAÍDA DE VENDAS'!$B$6:$B$500, MATCH(B262,'SAÍDA DE VENDAS'!$B$6:$B$500,0)+COUNTIF('SAÍDA DE VENDAS'!$B$6:$B$500, B262)),"")))</f>
        <v/>
      </c>
      <c r="C263" s="35">
        <f>IFERROR(VLOOKUP(B263,'SAÍDA DE VENDAS'!$B$6:$P$500,3,FALSE),"")</f>
        <v>0</v>
      </c>
      <c r="D263" s="34">
        <f>IFERROR(VLOOKUP(B263,'SAÍDA DE VENDAS'!$B$6:$P$500,4,FALSE),"")</f>
        <v>0</v>
      </c>
      <c r="E263" s="34" t="str">
        <f>IFERROR(VLOOKUP(B263,'SAÍDA DE VENDAS'!$B$6:$P$500,5,FALSE),"")</f>
        <v/>
      </c>
      <c r="F263" s="34" t="str">
        <f>IF(OR(ISBLANK(B263),B263=""), "", IFERROR(INDEX('SAÍDA DE VENDAS'!$H$6:$H$500 &amp; "x " &amp; 'SAÍDA DE VENDAS'!$G$6:$G$500, MATCH(B263, 'SAÍDA DE VENDAS'!$B$6:$B$500, 0)), "")&amp; IF(COUNTIF('SAÍDA DE VENDAS'!$B$6:$B$500, B263)&gt;1, " + " &amp; IFERROR(INDEX('SAÍDA DE VENDAS'!$H$6:$H$500 &amp; "x " &amp; 'SAÍDA DE VENDAS'!$G$6:$G$500, MATCH(B263, 'SAÍDA DE VENDAS'!$B$6:$B$500, 0)+1), ""), "")&amp; IF(COUNTIF('SAÍDA DE VENDAS'!$B$6:$B$500, B263)&gt;2, " + " &amp; IFERROR(INDEX('SAÍDA DE VENDAS'!$H$6:$H$500 &amp; "x " &amp; 'SAÍDA DE VENDAS'!$G$6:$G$500, MATCH(B263, 'SAÍDA DE VENDAS'!$B$6:$B$500, 0)+2), ""), "")&amp; IF(COUNTIF('SAÍDA DE VENDAS'!$B$6:$B$500, B263)&gt;3, " + " &amp; IFERROR(INDEX('SAÍDA DE VENDAS'!$H$6:$H$500 &amp; "x " &amp; 'SAÍDA DE VENDAS'!$G$6:$G$500, MATCH(B263, 'SAÍDA DE VENDAS'!$B$6:$B$500, 0)+3), ""), "")&amp; IF(COUNTIF('SAÍDA DE VENDAS'!$B$6:$B$500, B263)&gt;4, " + " &amp; IFERROR(INDEX('SAÍDA DE VENDAS'!$H$6:$H$500 &amp; "x " &amp; 'SAÍDA DE VENDAS'!$G$6:$G$500, MATCH(B263, 'SAÍDA DE VENDAS'!$B$6:$B$500, 0)+4), ""), "")&amp; IF(COUNTIF('SAÍDA DE VENDAS'!$B$6:$B$500, B263)&gt;5, " + " &amp; IFERROR(INDEX('SAÍDA DE VENDAS'!$H$6:$H$500 &amp; "x " &amp; 'SAÍDA DE VENDAS'!$G$6:$G$500, MATCH(B263, 'SAÍDA DE VENDAS'!$B$6:$B$500, 0)+5), ""), ""))</f>
        <v/>
      </c>
      <c r="G263" s="34">
        <f>IFERROR(VLOOKUP(B263,'SAÍDA DE VENDAS'!$B$6:$P$500,10,FALSE),"")</f>
        <v>0</v>
      </c>
      <c r="H263" s="34" t="str">
        <f>IF(OR(ISBLANK(B263),B263=""), "", IF(B263=B262, (VALUE(LEFT(H262,FIND("/",H262)-1))+1)&amp;"/"&amp;RIGHT(H262,LEN(H262)-FIND("/",H262)), "1/"&amp;IFERROR(VLOOKUP(B263,'SAÍDA DE VENDAS'!$B$6:$P$500,13,FALSE),"1")))</f>
        <v/>
      </c>
      <c r="I263" s="35" t="str">
        <f t="shared" si="8"/>
        <v/>
      </c>
      <c r="J263" s="39" t="str">
        <f>IFERROR(VLOOKUP(B263,'SAÍDA DE VENDAS'!$B$6:$P$500,15,FALSE),"")</f>
        <v/>
      </c>
      <c r="K263" s="34" t="str">
        <f t="shared" ca="1" si="9"/>
        <v/>
      </c>
      <c r="L263" s="34"/>
      <c r="M263" s="34"/>
    </row>
    <row r="264" spans="2:13" ht="15" customHeight="1" x14ac:dyDescent="0.3">
      <c r="B264" s="28" t="str">
        <f>IF(B263="","", IF(VALUE(LEFT(H263,FIND("/",H263)-1)) &lt; VALUE(RIGHT(H263,LEN(H263)-FIND("/",H263))), B263, IFERROR(INDEX('SAÍDA DE VENDAS'!$B$6:$B$500, MATCH(B263,'SAÍDA DE VENDAS'!$B$6:$B$500,0)+COUNTIF('SAÍDA DE VENDAS'!$B$6:$B$500, B263)),"")))</f>
        <v/>
      </c>
      <c r="C264" s="29">
        <f>IFERROR(VLOOKUP(B264,'SAÍDA DE VENDAS'!$B$6:$P$500,3,FALSE),"")</f>
        <v>0</v>
      </c>
      <c r="D264" s="28">
        <f>IFERROR(VLOOKUP(B264,'SAÍDA DE VENDAS'!$B$6:$P$500,4,FALSE),"")</f>
        <v>0</v>
      </c>
      <c r="E264" s="28" t="str">
        <f>IFERROR(VLOOKUP(B264,'SAÍDA DE VENDAS'!$B$6:$P$500,5,FALSE),"")</f>
        <v/>
      </c>
      <c r="F264" s="28" t="str">
        <f>IF(OR(ISBLANK(B264),B264=""), "", IFERROR(INDEX('SAÍDA DE VENDAS'!$H$6:$H$500 &amp; "x " &amp; 'SAÍDA DE VENDAS'!$G$6:$G$500, MATCH(B264, 'SAÍDA DE VENDAS'!$B$6:$B$500, 0)), "")&amp; IF(COUNTIF('SAÍDA DE VENDAS'!$B$6:$B$500, B264)&gt;1, " + " &amp; IFERROR(INDEX('SAÍDA DE VENDAS'!$H$6:$H$500 &amp; "x " &amp; 'SAÍDA DE VENDAS'!$G$6:$G$500, MATCH(B264, 'SAÍDA DE VENDAS'!$B$6:$B$500, 0)+1), ""), "")&amp; IF(COUNTIF('SAÍDA DE VENDAS'!$B$6:$B$500, B264)&gt;2, " + " &amp; IFERROR(INDEX('SAÍDA DE VENDAS'!$H$6:$H$500 &amp; "x " &amp; 'SAÍDA DE VENDAS'!$G$6:$G$500, MATCH(B264, 'SAÍDA DE VENDAS'!$B$6:$B$500, 0)+2), ""), "")&amp; IF(COUNTIF('SAÍDA DE VENDAS'!$B$6:$B$500, B264)&gt;3, " + " &amp; IFERROR(INDEX('SAÍDA DE VENDAS'!$H$6:$H$500 &amp; "x " &amp; 'SAÍDA DE VENDAS'!$G$6:$G$500, MATCH(B264, 'SAÍDA DE VENDAS'!$B$6:$B$500, 0)+3), ""), "")&amp; IF(COUNTIF('SAÍDA DE VENDAS'!$B$6:$B$500, B264)&gt;4, " + " &amp; IFERROR(INDEX('SAÍDA DE VENDAS'!$H$6:$H$500 &amp; "x " &amp; 'SAÍDA DE VENDAS'!$G$6:$G$500, MATCH(B264, 'SAÍDA DE VENDAS'!$B$6:$B$500, 0)+4), ""), "")&amp; IF(COUNTIF('SAÍDA DE VENDAS'!$B$6:$B$500, B264)&gt;5, " + " &amp; IFERROR(INDEX('SAÍDA DE VENDAS'!$H$6:$H$500 &amp; "x " &amp; 'SAÍDA DE VENDAS'!$G$6:$G$500, MATCH(B264, 'SAÍDA DE VENDAS'!$B$6:$B$500, 0)+5), ""), ""))</f>
        <v/>
      </c>
      <c r="G264" s="28">
        <f>IFERROR(VLOOKUP(B264,'SAÍDA DE VENDAS'!$B$6:$P$500,10,FALSE),"")</f>
        <v>0</v>
      </c>
      <c r="H264" s="28" t="str">
        <f>IF(OR(ISBLANK(B264),B264=""), "", IF(B264=B263, (VALUE(LEFT(H263,FIND("/",H263)-1))+1)&amp;"/"&amp;RIGHT(H263,LEN(H263)-FIND("/",H263)), "1/"&amp;IFERROR(VLOOKUP(B264,'SAÍDA DE VENDAS'!$B$6:$P$500,13,FALSE),"1")))</f>
        <v/>
      </c>
      <c r="I264" s="69" t="str">
        <f t="shared" si="8"/>
        <v/>
      </c>
      <c r="J264" s="33" t="str">
        <f>IFERROR(VLOOKUP(B264,'SAÍDA DE VENDAS'!$B$6:$P$500,15,FALSE),"")</f>
        <v/>
      </c>
      <c r="K264" s="28" t="str">
        <f t="shared" ca="1" si="9"/>
        <v/>
      </c>
      <c r="L264" s="28"/>
      <c r="M264" s="28"/>
    </row>
    <row r="265" spans="2:13" ht="15" customHeight="1" x14ac:dyDescent="0.3">
      <c r="B265" s="34" t="str">
        <f>IF(B264="","", IF(VALUE(LEFT(H264,FIND("/",H264)-1)) &lt; VALUE(RIGHT(H264,LEN(H264)-FIND("/",H264))), B264, IFERROR(INDEX('SAÍDA DE VENDAS'!$B$6:$B$500, MATCH(B264,'SAÍDA DE VENDAS'!$B$6:$B$500,0)+COUNTIF('SAÍDA DE VENDAS'!$B$6:$B$500, B264)),"")))</f>
        <v/>
      </c>
      <c r="C265" s="35">
        <f>IFERROR(VLOOKUP(B265,'SAÍDA DE VENDAS'!$B$6:$P$500,3,FALSE),"")</f>
        <v>0</v>
      </c>
      <c r="D265" s="34">
        <f>IFERROR(VLOOKUP(B265,'SAÍDA DE VENDAS'!$B$6:$P$500,4,FALSE),"")</f>
        <v>0</v>
      </c>
      <c r="E265" s="34" t="str">
        <f>IFERROR(VLOOKUP(B265,'SAÍDA DE VENDAS'!$B$6:$P$500,5,FALSE),"")</f>
        <v/>
      </c>
      <c r="F265" s="34" t="str">
        <f>IF(OR(ISBLANK(B265),B265=""), "", IFERROR(INDEX('SAÍDA DE VENDAS'!$H$6:$H$500 &amp; "x " &amp; 'SAÍDA DE VENDAS'!$G$6:$G$500, MATCH(B265, 'SAÍDA DE VENDAS'!$B$6:$B$500, 0)), "")&amp; IF(COUNTIF('SAÍDA DE VENDAS'!$B$6:$B$500, B265)&gt;1, " + " &amp; IFERROR(INDEX('SAÍDA DE VENDAS'!$H$6:$H$500 &amp; "x " &amp; 'SAÍDA DE VENDAS'!$G$6:$G$500, MATCH(B265, 'SAÍDA DE VENDAS'!$B$6:$B$500, 0)+1), ""), "")&amp; IF(COUNTIF('SAÍDA DE VENDAS'!$B$6:$B$500, B265)&gt;2, " + " &amp; IFERROR(INDEX('SAÍDA DE VENDAS'!$H$6:$H$500 &amp; "x " &amp; 'SAÍDA DE VENDAS'!$G$6:$G$500, MATCH(B265, 'SAÍDA DE VENDAS'!$B$6:$B$500, 0)+2), ""), "")&amp; IF(COUNTIF('SAÍDA DE VENDAS'!$B$6:$B$500, B265)&gt;3, " + " &amp; IFERROR(INDEX('SAÍDA DE VENDAS'!$H$6:$H$500 &amp; "x " &amp; 'SAÍDA DE VENDAS'!$G$6:$G$500, MATCH(B265, 'SAÍDA DE VENDAS'!$B$6:$B$500, 0)+3), ""), "")&amp; IF(COUNTIF('SAÍDA DE VENDAS'!$B$6:$B$500, B265)&gt;4, " + " &amp; IFERROR(INDEX('SAÍDA DE VENDAS'!$H$6:$H$500 &amp; "x " &amp; 'SAÍDA DE VENDAS'!$G$6:$G$500, MATCH(B265, 'SAÍDA DE VENDAS'!$B$6:$B$500, 0)+4), ""), "")&amp; IF(COUNTIF('SAÍDA DE VENDAS'!$B$6:$B$500, B265)&gt;5, " + " &amp; IFERROR(INDEX('SAÍDA DE VENDAS'!$H$6:$H$500 &amp; "x " &amp; 'SAÍDA DE VENDAS'!$G$6:$G$500, MATCH(B265, 'SAÍDA DE VENDAS'!$B$6:$B$500, 0)+5), ""), ""))</f>
        <v/>
      </c>
      <c r="G265" s="34">
        <f>IFERROR(VLOOKUP(B265,'SAÍDA DE VENDAS'!$B$6:$P$500,10,FALSE),"")</f>
        <v>0</v>
      </c>
      <c r="H265" s="34" t="str">
        <f>IF(OR(ISBLANK(B265),B265=""), "", IF(B265=B264, (VALUE(LEFT(H264,FIND("/",H264)-1))+1)&amp;"/"&amp;RIGHT(H264,LEN(H264)-FIND("/",H264)), "1/"&amp;IFERROR(VLOOKUP(B265,'SAÍDA DE VENDAS'!$B$6:$P$500,13,FALSE),"1")))</f>
        <v/>
      </c>
      <c r="I265" s="35" t="str">
        <f t="shared" si="8"/>
        <v/>
      </c>
      <c r="J265" s="39" t="str">
        <f>IFERROR(VLOOKUP(B265,'SAÍDA DE VENDAS'!$B$6:$P$500,15,FALSE),"")</f>
        <v/>
      </c>
      <c r="K265" s="34" t="str">
        <f t="shared" ca="1" si="9"/>
        <v/>
      </c>
      <c r="L265" s="34"/>
      <c r="M265" s="34"/>
    </row>
    <row r="266" spans="2:13" ht="15" customHeight="1" x14ac:dyDescent="0.3">
      <c r="B266" s="28" t="str">
        <f>IF(B265="","", IF(VALUE(LEFT(H265,FIND("/",H265)-1)) &lt; VALUE(RIGHT(H265,LEN(H265)-FIND("/",H265))), B265, IFERROR(INDEX('SAÍDA DE VENDAS'!$B$6:$B$500, MATCH(B265,'SAÍDA DE VENDAS'!$B$6:$B$500,0)+COUNTIF('SAÍDA DE VENDAS'!$B$6:$B$500, B265)),"")))</f>
        <v/>
      </c>
      <c r="C266" s="29">
        <f>IFERROR(VLOOKUP(B266,'SAÍDA DE VENDAS'!$B$6:$P$500,3,FALSE),"")</f>
        <v>0</v>
      </c>
      <c r="D266" s="28">
        <f>IFERROR(VLOOKUP(B266,'SAÍDA DE VENDAS'!$B$6:$P$500,4,FALSE),"")</f>
        <v>0</v>
      </c>
      <c r="E266" s="28" t="str">
        <f>IFERROR(VLOOKUP(B266,'SAÍDA DE VENDAS'!$B$6:$P$500,5,FALSE),"")</f>
        <v/>
      </c>
      <c r="F266" s="28" t="str">
        <f>IF(OR(ISBLANK(B266),B266=""), "", IFERROR(INDEX('SAÍDA DE VENDAS'!$H$6:$H$500 &amp; "x " &amp; 'SAÍDA DE VENDAS'!$G$6:$G$500, MATCH(B266, 'SAÍDA DE VENDAS'!$B$6:$B$500, 0)), "")&amp; IF(COUNTIF('SAÍDA DE VENDAS'!$B$6:$B$500, B266)&gt;1, " + " &amp; IFERROR(INDEX('SAÍDA DE VENDAS'!$H$6:$H$500 &amp; "x " &amp; 'SAÍDA DE VENDAS'!$G$6:$G$500, MATCH(B266, 'SAÍDA DE VENDAS'!$B$6:$B$500, 0)+1), ""), "")&amp; IF(COUNTIF('SAÍDA DE VENDAS'!$B$6:$B$500, B266)&gt;2, " + " &amp; IFERROR(INDEX('SAÍDA DE VENDAS'!$H$6:$H$500 &amp; "x " &amp; 'SAÍDA DE VENDAS'!$G$6:$G$500, MATCH(B266, 'SAÍDA DE VENDAS'!$B$6:$B$500, 0)+2), ""), "")&amp; IF(COUNTIF('SAÍDA DE VENDAS'!$B$6:$B$500, B266)&gt;3, " + " &amp; IFERROR(INDEX('SAÍDA DE VENDAS'!$H$6:$H$500 &amp; "x " &amp; 'SAÍDA DE VENDAS'!$G$6:$G$500, MATCH(B266, 'SAÍDA DE VENDAS'!$B$6:$B$500, 0)+3), ""), "")&amp; IF(COUNTIF('SAÍDA DE VENDAS'!$B$6:$B$500, B266)&gt;4, " + " &amp; IFERROR(INDEX('SAÍDA DE VENDAS'!$H$6:$H$500 &amp; "x " &amp; 'SAÍDA DE VENDAS'!$G$6:$G$500, MATCH(B266, 'SAÍDA DE VENDAS'!$B$6:$B$500, 0)+4), ""), "")&amp; IF(COUNTIF('SAÍDA DE VENDAS'!$B$6:$B$500, B266)&gt;5, " + " &amp; IFERROR(INDEX('SAÍDA DE VENDAS'!$H$6:$H$500 &amp; "x " &amp; 'SAÍDA DE VENDAS'!$G$6:$G$500, MATCH(B266, 'SAÍDA DE VENDAS'!$B$6:$B$500, 0)+5), ""), ""))</f>
        <v/>
      </c>
      <c r="G266" s="28">
        <f>IFERROR(VLOOKUP(B266,'SAÍDA DE VENDAS'!$B$6:$P$500,10,FALSE),"")</f>
        <v>0</v>
      </c>
      <c r="H266" s="28" t="str">
        <f>IF(OR(ISBLANK(B266),B266=""), "", IF(B266=B265, (VALUE(LEFT(H265,FIND("/",H265)-1))+1)&amp;"/"&amp;RIGHT(H265,LEN(H265)-FIND("/",H265)), "1/"&amp;IFERROR(VLOOKUP(B266,'SAÍDA DE VENDAS'!$B$6:$P$500,13,FALSE),"1")))</f>
        <v/>
      </c>
      <c r="I266" s="69" t="str">
        <f t="shared" si="8"/>
        <v/>
      </c>
      <c r="J266" s="33" t="str">
        <f>IFERROR(VLOOKUP(B266,'SAÍDA DE VENDAS'!$B$6:$P$500,15,FALSE),"")</f>
        <v/>
      </c>
      <c r="K266" s="28" t="str">
        <f t="shared" ca="1" si="9"/>
        <v/>
      </c>
      <c r="L266" s="28"/>
      <c r="M266" s="28"/>
    </row>
    <row r="267" spans="2:13" ht="15" customHeight="1" x14ac:dyDescent="0.3">
      <c r="B267" s="34" t="str">
        <f>IF(B266="","", IF(VALUE(LEFT(H266,FIND("/",H266)-1)) &lt; VALUE(RIGHT(H266,LEN(H266)-FIND("/",H266))), B266, IFERROR(INDEX('SAÍDA DE VENDAS'!$B$6:$B$500, MATCH(B266,'SAÍDA DE VENDAS'!$B$6:$B$500,0)+COUNTIF('SAÍDA DE VENDAS'!$B$6:$B$500, B266)),"")))</f>
        <v/>
      </c>
      <c r="C267" s="35">
        <f>IFERROR(VLOOKUP(B267,'SAÍDA DE VENDAS'!$B$6:$P$500,3,FALSE),"")</f>
        <v>0</v>
      </c>
      <c r="D267" s="34">
        <f>IFERROR(VLOOKUP(B267,'SAÍDA DE VENDAS'!$B$6:$P$500,4,FALSE),"")</f>
        <v>0</v>
      </c>
      <c r="E267" s="34" t="str">
        <f>IFERROR(VLOOKUP(B267,'SAÍDA DE VENDAS'!$B$6:$P$500,5,FALSE),"")</f>
        <v/>
      </c>
      <c r="F267" s="34" t="str">
        <f>IF(OR(ISBLANK(B267),B267=""), "", IFERROR(INDEX('SAÍDA DE VENDAS'!$H$6:$H$500 &amp; "x " &amp; 'SAÍDA DE VENDAS'!$G$6:$G$500, MATCH(B267, 'SAÍDA DE VENDAS'!$B$6:$B$500, 0)), "")&amp; IF(COUNTIF('SAÍDA DE VENDAS'!$B$6:$B$500, B267)&gt;1, " + " &amp; IFERROR(INDEX('SAÍDA DE VENDAS'!$H$6:$H$500 &amp; "x " &amp; 'SAÍDA DE VENDAS'!$G$6:$G$500, MATCH(B267, 'SAÍDA DE VENDAS'!$B$6:$B$500, 0)+1), ""), "")&amp; IF(COUNTIF('SAÍDA DE VENDAS'!$B$6:$B$500, B267)&gt;2, " + " &amp; IFERROR(INDEX('SAÍDA DE VENDAS'!$H$6:$H$500 &amp; "x " &amp; 'SAÍDA DE VENDAS'!$G$6:$G$500, MATCH(B267, 'SAÍDA DE VENDAS'!$B$6:$B$500, 0)+2), ""), "")&amp; IF(COUNTIF('SAÍDA DE VENDAS'!$B$6:$B$500, B267)&gt;3, " + " &amp; IFERROR(INDEX('SAÍDA DE VENDAS'!$H$6:$H$500 &amp; "x " &amp; 'SAÍDA DE VENDAS'!$G$6:$G$500, MATCH(B267, 'SAÍDA DE VENDAS'!$B$6:$B$500, 0)+3), ""), "")&amp; IF(COUNTIF('SAÍDA DE VENDAS'!$B$6:$B$500, B267)&gt;4, " + " &amp; IFERROR(INDEX('SAÍDA DE VENDAS'!$H$6:$H$500 &amp; "x " &amp; 'SAÍDA DE VENDAS'!$G$6:$G$500, MATCH(B267, 'SAÍDA DE VENDAS'!$B$6:$B$500, 0)+4), ""), "")&amp; IF(COUNTIF('SAÍDA DE VENDAS'!$B$6:$B$500, B267)&gt;5, " + " &amp; IFERROR(INDEX('SAÍDA DE VENDAS'!$H$6:$H$500 &amp; "x " &amp; 'SAÍDA DE VENDAS'!$G$6:$G$500, MATCH(B267, 'SAÍDA DE VENDAS'!$B$6:$B$500, 0)+5), ""), ""))</f>
        <v/>
      </c>
      <c r="G267" s="34">
        <f>IFERROR(VLOOKUP(B267,'SAÍDA DE VENDAS'!$B$6:$P$500,10,FALSE),"")</f>
        <v>0</v>
      </c>
      <c r="H267" s="34" t="str">
        <f>IF(OR(ISBLANK(B267),B267=""), "", IF(B267=B266, (VALUE(LEFT(H266,FIND("/",H266)-1))+1)&amp;"/"&amp;RIGHT(H266,LEN(H266)-FIND("/",H266)), "1/"&amp;IFERROR(VLOOKUP(B267,'SAÍDA DE VENDAS'!$B$6:$P$500,13,FALSE),"1")))</f>
        <v/>
      </c>
      <c r="I267" s="35" t="str">
        <f t="shared" si="8"/>
        <v/>
      </c>
      <c r="J267" s="39" t="str">
        <f>IFERROR(VLOOKUP(B267,'SAÍDA DE VENDAS'!$B$6:$P$500,15,FALSE),"")</f>
        <v/>
      </c>
      <c r="K267" s="34" t="str">
        <f t="shared" ca="1" si="9"/>
        <v/>
      </c>
      <c r="L267" s="34"/>
      <c r="M267" s="34"/>
    </row>
    <row r="268" spans="2:13" ht="15" customHeight="1" x14ac:dyDescent="0.3">
      <c r="B268" s="28" t="str">
        <f>IF(B267="","", IF(VALUE(LEFT(H267,FIND("/",H267)-1)) &lt; VALUE(RIGHT(H267,LEN(H267)-FIND("/",H267))), B267, IFERROR(INDEX('SAÍDA DE VENDAS'!$B$6:$B$500, MATCH(B267,'SAÍDA DE VENDAS'!$B$6:$B$500,0)+COUNTIF('SAÍDA DE VENDAS'!$B$6:$B$500, B267)),"")))</f>
        <v/>
      </c>
      <c r="C268" s="29">
        <f>IFERROR(VLOOKUP(B268,'SAÍDA DE VENDAS'!$B$6:$P$500,3,FALSE),"")</f>
        <v>0</v>
      </c>
      <c r="D268" s="28">
        <f>IFERROR(VLOOKUP(B268,'SAÍDA DE VENDAS'!$B$6:$P$500,4,FALSE),"")</f>
        <v>0</v>
      </c>
      <c r="E268" s="28" t="str">
        <f>IFERROR(VLOOKUP(B268,'SAÍDA DE VENDAS'!$B$6:$P$500,5,FALSE),"")</f>
        <v/>
      </c>
      <c r="F268" s="28" t="str">
        <f>IF(OR(ISBLANK(B268),B268=""), "", IFERROR(INDEX('SAÍDA DE VENDAS'!$H$6:$H$500 &amp; "x " &amp; 'SAÍDA DE VENDAS'!$G$6:$G$500, MATCH(B268, 'SAÍDA DE VENDAS'!$B$6:$B$500, 0)), "")&amp; IF(COUNTIF('SAÍDA DE VENDAS'!$B$6:$B$500, B268)&gt;1, " + " &amp; IFERROR(INDEX('SAÍDA DE VENDAS'!$H$6:$H$500 &amp; "x " &amp; 'SAÍDA DE VENDAS'!$G$6:$G$500, MATCH(B268, 'SAÍDA DE VENDAS'!$B$6:$B$500, 0)+1), ""), "")&amp; IF(COUNTIF('SAÍDA DE VENDAS'!$B$6:$B$500, B268)&gt;2, " + " &amp; IFERROR(INDEX('SAÍDA DE VENDAS'!$H$6:$H$500 &amp; "x " &amp; 'SAÍDA DE VENDAS'!$G$6:$G$500, MATCH(B268, 'SAÍDA DE VENDAS'!$B$6:$B$500, 0)+2), ""), "")&amp; IF(COUNTIF('SAÍDA DE VENDAS'!$B$6:$B$500, B268)&gt;3, " + " &amp; IFERROR(INDEX('SAÍDA DE VENDAS'!$H$6:$H$500 &amp; "x " &amp; 'SAÍDA DE VENDAS'!$G$6:$G$500, MATCH(B268, 'SAÍDA DE VENDAS'!$B$6:$B$500, 0)+3), ""), "")&amp; IF(COUNTIF('SAÍDA DE VENDAS'!$B$6:$B$500, B268)&gt;4, " + " &amp; IFERROR(INDEX('SAÍDA DE VENDAS'!$H$6:$H$500 &amp; "x " &amp; 'SAÍDA DE VENDAS'!$G$6:$G$500, MATCH(B268, 'SAÍDA DE VENDAS'!$B$6:$B$500, 0)+4), ""), "")&amp; IF(COUNTIF('SAÍDA DE VENDAS'!$B$6:$B$500, B268)&gt;5, " + " &amp; IFERROR(INDEX('SAÍDA DE VENDAS'!$H$6:$H$500 &amp; "x " &amp; 'SAÍDA DE VENDAS'!$G$6:$G$500, MATCH(B268, 'SAÍDA DE VENDAS'!$B$6:$B$500, 0)+5), ""), ""))</f>
        <v/>
      </c>
      <c r="G268" s="28">
        <f>IFERROR(VLOOKUP(B268,'SAÍDA DE VENDAS'!$B$6:$P$500,10,FALSE),"")</f>
        <v>0</v>
      </c>
      <c r="H268" s="28" t="str">
        <f>IF(OR(ISBLANK(B268),B268=""), "", IF(B268=B267, (VALUE(LEFT(H267,FIND("/",H267)-1))+1)&amp;"/"&amp;RIGHT(H267,LEN(H267)-FIND("/",H267)), "1/"&amp;IFERROR(VLOOKUP(B268,'SAÍDA DE VENDAS'!$B$6:$P$500,13,FALSE),"1")))</f>
        <v/>
      </c>
      <c r="I268" s="69" t="str">
        <f t="shared" si="8"/>
        <v/>
      </c>
      <c r="J268" s="33" t="str">
        <f>IFERROR(VLOOKUP(B268,'SAÍDA DE VENDAS'!$B$6:$P$500,15,FALSE),"")</f>
        <v/>
      </c>
      <c r="K268" s="28" t="str">
        <f t="shared" ca="1" si="9"/>
        <v/>
      </c>
      <c r="L268" s="28"/>
      <c r="M268" s="28"/>
    </row>
    <row r="269" spans="2:13" ht="15" customHeight="1" x14ac:dyDescent="0.3">
      <c r="B269" s="34" t="str">
        <f>IF(B268="","", IF(VALUE(LEFT(H268,FIND("/",H268)-1)) &lt; VALUE(RIGHT(H268,LEN(H268)-FIND("/",H268))), B268, IFERROR(INDEX('SAÍDA DE VENDAS'!$B$6:$B$500, MATCH(B268,'SAÍDA DE VENDAS'!$B$6:$B$500,0)+COUNTIF('SAÍDA DE VENDAS'!$B$6:$B$500, B268)),"")))</f>
        <v/>
      </c>
      <c r="C269" s="35">
        <f>IFERROR(VLOOKUP(B269,'SAÍDA DE VENDAS'!$B$6:$P$500,3,FALSE),"")</f>
        <v>0</v>
      </c>
      <c r="D269" s="34">
        <f>IFERROR(VLOOKUP(B269,'SAÍDA DE VENDAS'!$B$6:$P$500,4,FALSE),"")</f>
        <v>0</v>
      </c>
      <c r="E269" s="34" t="str">
        <f>IFERROR(VLOOKUP(B269,'SAÍDA DE VENDAS'!$B$6:$P$500,5,FALSE),"")</f>
        <v/>
      </c>
      <c r="F269" s="34" t="str">
        <f>IF(OR(ISBLANK(B269),B269=""), "", IFERROR(INDEX('SAÍDA DE VENDAS'!$H$6:$H$500 &amp; "x " &amp; 'SAÍDA DE VENDAS'!$G$6:$G$500, MATCH(B269, 'SAÍDA DE VENDAS'!$B$6:$B$500, 0)), "")&amp; IF(COUNTIF('SAÍDA DE VENDAS'!$B$6:$B$500, B269)&gt;1, " + " &amp; IFERROR(INDEX('SAÍDA DE VENDAS'!$H$6:$H$500 &amp; "x " &amp; 'SAÍDA DE VENDAS'!$G$6:$G$500, MATCH(B269, 'SAÍDA DE VENDAS'!$B$6:$B$500, 0)+1), ""), "")&amp; IF(COUNTIF('SAÍDA DE VENDAS'!$B$6:$B$500, B269)&gt;2, " + " &amp; IFERROR(INDEX('SAÍDA DE VENDAS'!$H$6:$H$500 &amp; "x " &amp; 'SAÍDA DE VENDAS'!$G$6:$G$500, MATCH(B269, 'SAÍDA DE VENDAS'!$B$6:$B$500, 0)+2), ""), "")&amp; IF(COUNTIF('SAÍDA DE VENDAS'!$B$6:$B$500, B269)&gt;3, " + " &amp; IFERROR(INDEX('SAÍDA DE VENDAS'!$H$6:$H$500 &amp; "x " &amp; 'SAÍDA DE VENDAS'!$G$6:$G$500, MATCH(B269, 'SAÍDA DE VENDAS'!$B$6:$B$500, 0)+3), ""), "")&amp; IF(COUNTIF('SAÍDA DE VENDAS'!$B$6:$B$500, B269)&gt;4, " + " &amp; IFERROR(INDEX('SAÍDA DE VENDAS'!$H$6:$H$500 &amp; "x " &amp; 'SAÍDA DE VENDAS'!$G$6:$G$500, MATCH(B269, 'SAÍDA DE VENDAS'!$B$6:$B$500, 0)+4), ""), "")&amp; IF(COUNTIF('SAÍDA DE VENDAS'!$B$6:$B$500, B269)&gt;5, " + " &amp; IFERROR(INDEX('SAÍDA DE VENDAS'!$H$6:$H$500 &amp; "x " &amp; 'SAÍDA DE VENDAS'!$G$6:$G$500, MATCH(B269, 'SAÍDA DE VENDAS'!$B$6:$B$500, 0)+5), ""), ""))</f>
        <v/>
      </c>
      <c r="G269" s="34">
        <f>IFERROR(VLOOKUP(B269,'SAÍDA DE VENDAS'!$B$6:$P$500,10,FALSE),"")</f>
        <v>0</v>
      </c>
      <c r="H269" s="34" t="str">
        <f>IF(OR(ISBLANK(B269),B269=""), "", IF(B269=B268, (VALUE(LEFT(H268,FIND("/",H268)-1))+1)&amp;"/"&amp;RIGHT(H268,LEN(H268)-FIND("/",H268)), "1/"&amp;IFERROR(VLOOKUP(B269,'SAÍDA DE VENDAS'!$B$6:$P$500,13,FALSE),"1")))</f>
        <v/>
      </c>
      <c r="I269" s="35" t="str">
        <f t="shared" si="8"/>
        <v/>
      </c>
      <c r="J269" s="39" t="str">
        <f>IFERROR(VLOOKUP(B269,'SAÍDA DE VENDAS'!$B$6:$P$500,15,FALSE),"")</f>
        <v/>
      </c>
      <c r="K269" s="34" t="str">
        <f t="shared" ca="1" si="9"/>
        <v/>
      </c>
      <c r="L269" s="34"/>
      <c r="M269" s="34"/>
    </row>
    <row r="270" spans="2:13" ht="15" customHeight="1" x14ac:dyDescent="0.3">
      <c r="B270" s="28" t="str">
        <f>IF(B269="","", IF(VALUE(LEFT(H269,FIND("/",H269)-1)) &lt; VALUE(RIGHT(H269,LEN(H269)-FIND("/",H269))), B269, IFERROR(INDEX('SAÍDA DE VENDAS'!$B$6:$B$500, MATCH(B269,'SAÍDA DE VENDAS'!$B$6:$B$500,0)+COUNTIF('SAÍDA DE VENDAS'!$B$6:$B$500, B269)),"")))</f>
        <v/>
      </c>
      <c r="C270" s="29">
        <f>IFERROR(VLOOKUP(B270,'SAÍDA DE VENDAS'!$B$6:$P$500,3,FALSE),"")</f>
        <v>0</v>
      </c>
      <c r="D270" s="28">
        <f>IFERROR(VLOOKUP(B270,'SAÍDA DE VENDAS'!$B$6:$P$500,4,FALSE),"")</f>
        <v>0</v>
      </c>
      <c r="E270" s="28" t="str">
        <f>IFERROR(VLOOKUP(B270,'SAÍDA DE VENDAS'!$B$6:$P$500,5,FALSE),"")</f>
        <v/>
      </c>
      <c r="F270" s="28" t="str">
        <f>IF(OR(ISBLANK(B270),B270=""), "", IFERROR(INDEX('SAÍDA DE VENDAS'!$H$6:$H$500 &amp; "x " &amp; 'SAÍDA DE VENDAS'!$G$6:$G$500, MATCH(B270, 'SAÍDA DE VENDAS'!$B$6:$B$500, 0)), "")&amp; IF(COUNTIF('SAÍDA DE VENDAS'!$B$6:$B$500, B270)&gt;1, " + " &amp; IFERROR(INDEX('SAÍDA DE VENDAS'!$H$6:$H$500 &amp; "x " &amp; 'SAÍDA DE VENDAS'!$G$6:$G$500, MATCH(B270, 'SAÍDA DE VENDAS'!$B$6:$B$500, 0)+1), ""), "")&amp; IF(COUNTIF('SAÍDA DE VENDAS'!$B$6:$B$500, B270)&gt;2, " + " &amp; IFERROR(INDEX('SAÍDA DE VENDAS'!$H$6:$H$500 &amp; "x " &amp; 'SAÍDA DE VENDAS'!$G$6:$G$500, MATCH(B270, 'SAÍDA DE VENDAS'!$B$6:$B$500, 0)+2), ""), "")&amp; IF(COUNTIF('SAÍDA DE VENDAS'!$B$6:$B$500, B270)&gt;3, " + " &amp; IFERROR(INDEX('SAÍDA DE VENDAS'!$H$6:$H$500 &amp; "x " &amp; 'SAÍDA DE VENDAS'!$G$6:$G$500, MATCH(B270, 'SAÍDA DE VENDAS'!$B$6:$B$500, 0)+3), ""), "")&amp; IF(COUNTIF('SAÍDA DE VENDAS'!$B$6:$B$500, B270)&gt;4, " + " &amp; IFERROR(INDEX('SAÍDA DE VENDAS'!$H$6:$H$500 &amp; "x " &amp; 'SAÍDA DE VENDAS'!$G$6:$G$500, MATCH(B270, 'SAÍDA DE VENDAS'!$B$6:$B$500, 0)+4), ""), "")&amp; IF(COUNTIF('SAÍDA DE VENDAS'!$B$6:$B$500, B270)&gt;5, " + " &amp; IFERROR(INDEX('SAÍDA DE VENDAS'!$H$6:$H$500 &amp; "x " &amp; 'SAÍDA DE VENDAS'!$G$6:$G$500, MATCH(B270, 'SAÍDA DE VENDAS'!$B$6:$B$500, 0)+5), ""), ""))</f>
        <v/>
      </c>
      <c r="G270" s="28">
        <f>IFERROR(VLOOKUP(B270,'SAÍDA DE VENDAS'!$B$6:$P$500,10,FALSE),"")</f>
        <v>0</v>
      </c>
      <c r="H270" s="28" t="str">
        <f>IF(OR(ISBLANK(B270),B270=""), "", IF(B270=B269, (VALUE(LEFT(H269,FIND("/",H269)-1))+1)&amp;"/"&amp;RIGHT(H269,LEN(H269)-FIND("/",H269)), "1/"&amp;IFERROR(VLOOKUP(B270,'SAÍDA DE VENDAS'!$B$6:$P$500,13,FALSE),"1")))</f>
        <v/>
      </c>
      <c r="I270" s="69" t="str">
        <f t="shared" si="8"/>
        <v/>
      </c>
      <c r="J270" s="33" t="str">
        <f>IFERROR(VLOOKUP(B270,'SAÍDA DE VENDAS'!$B$6:$P$500,15,FALSE),"")</f>
        <v/>
      </c>
      <c r="K270" s="28" t="str">
        <f t="shared" ca="1" si="9"/>
        <v/>
      </c>
      <c r="L270" s="28"/>
      <c r="M270" s="28"/>
    </row>
    <row r="271" spans="2:13" ht="15" customHeight="1" x14ac:dyDescent="0.3">
      <c r="B271" s="34" t="str">
        <f>IF(B270="","", IF(VALUE(LEFT(H270,FIND("/",H270)-1)) &lt; VALUE(RIGHT(H270,LEN(H270)-FIND("/",H270))), B270, IFERROR(INDEX('SAÍDA DE VENDAS'!$B$6:$B$500, MATCH(B270,'SAÍDA DE VENDAS'!$B$6:$B$500,0)+COUNTIF('SAÍDA DE VENDAS'!$B$6:$B$500, B270)),"")))</f>
        <v/>
      </c>
      <c r="C271" s="35">
        <f>IFERROR(VLOOKUP(B271,'SAÍDA DE VENDAS'!$B$6:$P$500,3,FALSE),"")</f>
        <v>0</v>
      </c>
      <c r="D271" s="34">
        <f>IFERROR(VLOOKUP(B271,'SAÍDA DE VENDAS'!$B$6:$P$500,4,FALSE),"")</f>
        <v>0</v>
      </c>
      <c r="E271" s="34" t="str">
        <f>IFERROR(VLOOKUP(B271,'SAÍDA DE VENDAS'!$B$6:$P$500,5,FALSE),"")</f>
        <v/>
      </c>
      <c r="F271" s="34" t="str">
        <f>IF(OR(ISBLANK(B271),B271=""), "", IFERROR(INDEX('SAÍDA DE VENDAS'!$H$6:$H$500 &amp; "x " &amp; 'SAÍDA DE VENDAS'!$G$6:$G$500, MATCH(B271, 'SAÍDA DE VENDAS'!$B$6:$B$500, 0)), "")&amp; IF(COUNTIF('SAÍDA DE VENDAS'!$B$6:$B$500, B271)&gt;1, " + " &amp; IFERROR(INDEX('SAÍDA DE VENDAS'!$H$6:$H$500 &amp; "x " &amp; 'SAÍDA DE VENDAS'!$G$6:$G$500, MATCH(B271, 'SAÍDA DE VENDAS'!$B$6:$B$500, 0)+1), ""), "")&amp; IF(COUNTIF('SAÍDA DE VENDAS'!$B$6:$B$500, B271)&gt;2, " + " &amp; IFERROR(INDEX('SAÍDA DE VENDAS'!$H$6:$H$500 &amp; "x " &amp; 'SAÍDA DE VENDAS'!$G$6:$G$500, MATCH(B271, 'SAÍDA DE VENDAS'!$B$6:$B$500, 0)+2), ""), "")&amp; IF(COUNTIF('SAÍDA DE VENDAS'!$B$6:$B$500, B271)&gt;3, " + " &amp; IFERROR(INDEX('SAÍDA DE VENDAS'!$H$6:$H$500 &amp; "x " &amp; 'SAÍDA DE VENDAS'!$G$6:$G$500, MATCH(B271, 'SAÍDA DE VENDAS'!$B$6:$B$500, 0)+3), ""), "")&amp; IF(COUNTIF('SAÍDA DE VENDAS'!$B$6:$B$500, B271)&gt;4, " + " &amp; IFERROR(INDEX('SAÍDA DE VENDAS'!$H$6:$H$500 &amp; "x " &amp; 'SAÍDA DE VENDAS'!$G$6:$G$500, MATCH(B271, 'SAÍDA DE VENDAS'!$B$6:$B$500, 0)+4), ""), "")&amp; IF(COUNTIF('SAÍDA DE VENDAS'!$B$6:$B$500, B271)&gt;5, " + " &amp; IFERROR(INDEX('SAÍDA DE VENDAS'!$H$6:$H$500 &amp; "x " &amp; 'SAÍDA DE VENDAS'!$G$6:$G$500, MATCH(B271, 'SAÍDA DE VENDAS'!$B$6:$B$500, 0)+5), ""), ""))</f>
        <v/>
      </c>
      <c r="G271" s="34">
        <f>IFERROR(VLOOKUP(B271,'SAÍDA DE VENDAS'!$B$6:$P$500,10,FALSE),"")</f>
        <v>0</v>
      </c>
      <c r="H271" s="34" t="str">
        <f>IF(OR(ISBLANK(B271),B271=""), "", IF(B271=B270, (VALUE(LEFT(H270,FIND("/",H270)-1))+1)&amp;"/"&amp;RIGHT(H270,LEN(H270)-FIND("/",H270)), "1/"&amp;IFERROR(VLOOKUP(B271,'SAÍDA DE VENDAS'!$B$6:$P$500,13,FALSE),"1")))</f>
        <v/>
      </c>
      <c r="I271" s="35" t="str">
        <f t="shared" si="8"/>
        <v/>
      </c>
      <c r="J271" s="39" t="str">
        <f>IFERROR(VLOOKUP(B271,'SAÍDA DE VENDAS'!$B$6:$P$500,15,FALSE),"")</f>
        <v/>
      </c>
      <c r="K271" s="34" t="str">
        <f t="shared" ca="1" si="9"/>
        <v/>
      </c>
      <c r="L271" s="34"/>
      <c r="M271" s="34"/>
    </row>
    <row r="272" spans="2:13" ht="15" customHeight="1" x14ac:dyDescent="0.3">
      <c r="B272" s="28" t="str">
        <f>IF(B271="","", IF(VALUE(LEFT(H271,FIND("/",H271)-1)) &lt; VALUE(RIGHT(H271,LEN(H271)-FIND("/",H271))), B271, IFERROR(INDEX('SAÍDA DE VENDAS'!$B$6:$B$500, MATCH(B271,'SAÍDA DE VENDAS'!$B$6:$B$500,0)+COUNTIF('SAÍDA DE VENDAS'!$B$6:$B$500, B271)),"")))</f>
        <v/>
      </c>
      <c r="C272" s="29">
        <f>IFERROR(VLOOKUP(B272,'SAÍDA DE VENDAS'!$B$6:$P$500,3,FALSE),"")</f>
        <v>0</v>
      </c>
      <c r="D272" s="28">
        <f>IFERROR(VLOOKUP(B272,'SAÍDA DE VENDAS'!$B$6:$P$500,4,FALSE),"")</f>
        <v>0</v>
      </c>
      <c r="E272" s="28" t="str">
        <f>IFERROR(VLOOKUP(B272,'SAÍDA DE VENDAS'!$B$6:$P$500,5,FALSE),"")</f>
        <v/>
      </c>
      <c r="F272" s="28" t="str">
        <f>IF(OR(ISBLANK(B272),B272=""), "", IFERROR(INDEX('SAÍDA DE VENDAS'!$H$6:$H$500 &amp; "x " &amp; 'SAÍDA DE VENDAS'!$G$6:$G$500, MATCH(B272, 'SAÍDA DE VENDAS'!$B$6:$B$500, 0)), "")&amp; IF(COUNTIF('SAÍDA DE VENDAS'!$B$6:$B$500, B272)&gt;1, " + " &amp; IFERROR(INDEX('SAÍDA DE VENDAS'!$H$6:$H$500 &amp; "x " &amp; 'SAÍDA DE VENDAS'!$G$6:$G$500, MATCH(B272, 'SAÍDA DE VENDAS'!$B$6:$B$500, 0)+1), ""), "")&amp; IF(COUNTIF('SAÍDA DE VENDAS'!$B$6:$B$500, B272)&gt;2, " + " &amp; IFERROR(INDEX('SAÍDA DE VENDAS'!$H$6:$H$500 &amp; "x " &amp; 'SAÍDA DE VENDAS'!$G$6:$G$500, MATCH(B272, 'SAÍDA DE VENDAS'!$B$6:$B$500, 0)+2), ""), "")&amp; IF(COUNTIF('SAÍDA DE VENDAS'!$B$6:$B$500, B272)&gt;3, " + " &amp; IFERROR(INDEX('SAÍDA DE VENDAS'!$H$6:$H$500 &amp; "x " &amp; 'SAÍDA DE VENDAS'!$G$6:$G$500, MATCH(B272, 'SAÍDA DE VENDAS'!$B$6:$B$500, 0)+3), ""), "")&amp; IF(COUNTIF('SAÍDA DE VENDAS'!$B$6:$B$500, B272)&gt;4, " + " &amp; IFERROR(INDEX('SAÍDA DE VENDAS'!$H$6:$H$500 &amp; "x " &amp; 'SAÍDA DE VENDAS'!$G$6:$G$500, MATCH(B272, 'SAÍDA DE VENDAS'!$B$6:$B$500, 0)+4), ""), "")&amp; IF(COUNTIF('SAÍDA DE VENDAS'!$B$6:$B$500, B272)&gt;5, " + " &amp; IFERROR(INDEX('SAÍDA DE VENDAS'!$H$6:$H$500 &amp; "x " &amp; 'SAÍDA DE VENDAS'!$G$6:$G$500, MATCH(B272, 'SAÍDA DE VENDAS'!$B$6:$B$500, 0)+5), ""), ""))</f>
        <v/>
      </c>
      <c r="G272" s="28">
        <f>IFERROR(VLOOKUP(B272,'SAÍDA DE VENDAS'!$B$6:$P$500,10,FALSE),"")</f>
        <v>0</v>
      </c>
      <c r="H272" s="28" t="str">
        <f>IF(OR(ISBLANK(B272),B272=""), "", IF(B272=B271, (VALUE(LEFT(H271,FIND("/",H271)-1))+1)&amp;"/"&amp;RIGHT(H271,LEN(H271)-FIND("/",H271)), "1/"&amp;IFERROR(VLOOKUP(B272,'SAÍDA DE VENDAS'!$B$6:$P$500,13,FALSE),"1")))</f>
        <v/>
      </c>
      <c r="I272" s="69" t="str">
        <f t="shared" si="8"/>
        <v/>
      </c>
      <c r="J272" s="33" t="str">
        <f>IFERROR(VLOOKUP(B272,'SAÍDA DE VENDAS'!$B$6:$P$500,15,FALSE),"")</f>
        <v/>
      </c>
      <c r="K272" s="28" t="str">
        <f t="shared" ca="1" si="9"/>
        <v/>
      </c>
      <c r="L272" s="28"/>
      <c r="M272" s="28"/>
    </row>
    <row r="273" spans="2:13" ht="15" customHeight="1" x14ac:dyDescent="0.3">
      <c r="B273" s="34" t="str">
        <f>IF(B272="","", IF(VALUE(LEFT(H272,FIND("/",H272)-1)) &lt; VALUE(RIGHT(H272,LEN(H272)-FIND("/",H272))), B272, IFERROR(INDEX('SAÍDA DE VENDAS'!$B$6:$B$500, MATCH(B272,'SAÍDA DE VENDAS'!$B$6:$B$500,0)+COUNTIF('SAÍDA DE VENDAS'!$B$6:$B$500, B272)),"")))</f>
        <v/>
      </c>
      <c r="C273" s="35">
        <f>IFERROR(VLOOKUP(B273,'SAÍDA DE VENDAS'!$B$6:$P$500,3,FALSE),"")</f>
        <v>0</v>
      </c>
      <c r="D273" s="34">
        <f>IFERROR(VLOOKUP(B273,'SAÍDA DE VENDAS'!$B$6:$P$500,4,FALSE),"")</f>
        <v>0</v>
      </c>
      <c r="E273" s="34" t="str">
        <f>IFERROR(VLOOKUP(B273,'SAÍDA DE VENDAS'!$B$6:$P$500,5,FALSE),"")</f>
        <v/>
      </c>
      <c r="F273" s="34" t="str">
        <f>IF(OR(ISBLANK(B273),B273=""), "", IFERROR(INDEX('SAÍDA DE VENDAS'!$H$6:$H$500 &amp; "x " &amp; 'SAÍDA DE VENDAS'!$G$6:$G$500, MATCH(B273, 'SAÍDA DE VENDAS'!$B$6:$B$500, 0)), "")&amp; IF(COUNTIF('SAÍDA DE VENDAS'!$B$6:$B$500, B273)&gt;1, " + " &amp; IFERROR(INDEX('SAÍDA DE VENDAS'!$H$6:$H$500 &amp; "x " &amp; 'SAÍDA DE VENDAS'!$G$6:$G$500, MATCH(B273, 'SAÍDA DE VENDAS'!$B$6:$B$500, 0)+1), ""), "")&amp; IF(COUNTIF('SAÍDA DE VENDAS'!$B$6:$B$500, B273)&gt;2, " + " &amp; IFERROR(INDEX('SAÍDA DE VENDAS'!$H$6:$H$500 &amp; "x " &amp; 'SAÍDA DE VENDAS'!$G$6:$G$500, MATCH(B273, 'SAÍDA DE VENDAS'!$B$6:$B$500, 0)+2), ""), "")&amp; IF(COUNTIF('SAÍDA DE VENDAS'!$B$6:$B$500, B273)&gt;3, " + " &amp; IFERROR(INDEX('SAÍDA DE VENDAS'!$H$6:$H$500 &amp; "x " &amp; 'SAÍDA DE VENDAS'!$G$6:$G$500, MATCH(B273, 'SAÍDA DE VENDAS'!$B$6:$B$500, 0)+3), ""), "")&amp; IF(COUNTIF('SAÍDA DE VENDAS'!$B$6:$B$500, B273)&gt;4, " + " &amp; IFERROR(INDEX('SAÍDA DE VENDAS'!$H$6:$H$500 &amp; "x " &amp; 'SAÍDA DE VENDAS'!$G$6:$G$500, MATCH(B273, 'SAÍDA DE VENDAS'!$B$6:$B$500, 0)+4), ""), "")&amp; IF(COUNTIF('SAÍDA DE VENDAS'!$B$6:$B$500, B273)&gt;5, " + " &amp; IFERROR(INDEX('SAÍDA DE VENDAS'!$H$6:$H$500 &amp; "x " &amp; 'SAÍDA DE VENDAS'!$G$6:$G$500, MATCH(B273, 'SAÍDA DE VENDAS'!$B$6:$B$500, 0)+5), ""), ""))</f>
        <v/>
      </c>
      <c r="G273" s="34">
        <f>IFERROR(VLOOKUP(B273,'SAÍDA DE VENDAS'!$B$6:$P$500,10,FALSE),"")</f>
        <v>0</v>
      </c>
      <c r="H273" s="34" t="str">
        <f>IF(OR(ISBLANK(B273),B273=""), "", IF(B273=B272, (VALUE(LEFT(H272,FIND("/",H272)-1))+1)&amp;"/"&amp;RIGHT(H272,LEN(H272)-FIND("/",H272)), "1/"&amp;IFERROR(VLOOKUP(B273,'SAÍDA DE VENDAS'!$B$6:$P$500,13,FALSE),"1")))</f>
        <v/>
      </c>
      <c r="I273" s="35" t="str">
        <f t="shared" si="8"/>
        <v/>
      </c>
      <c r="J273" s="39" t="str">
        <f>IFERROR(VLOOKUP(B273,'SAÍDA DE VENDAS'!$B$6:$P$500,15,FALSE),"")</f>
        <v/>
      </c>
      <c r="K273" s="34" t="str">
        <f t="shared" ca="1" si="9"/>
        <v/>
      </c>
      <c r="L273" s="34"/>
      <c r="M273" s="34"/>
    </row>
    <row r="274" spans="2:13" ht="15" customHeight="1" x14ac:dyDescent="0.3">
      <c r="B274" s="28" t="str">
        <f>IF(B273="","", IF(VALUE(LEFT(H273,FIND("/",H273)-1)) &lt; VALUE(RIGHT(H273,LEN(H273)-FIND("/",H273))), B273, IFERROR(INDEX('SAÍDA DE VENDAS'!$B$6:$B$500, MATCH(B273,'SAÍDA DE VENDAS'!$B$6:$B$500,0)+COUNTIF('SAÍDA DE VENDAS'!$B$6:$B$500, B273)),"")))</f>
        <v/>
      </c>
      <c r="C274" s="29">
        <f>IFERROR(VLOOKUP(B274,'SAÍDA DE VENDAS'!$B$6:$P$500,3,FALSE),"")</f>
        <v>0</v>
      </c>
      <c r="D274" s="28">
        <f>IFERROR(VLOOKUP(B274,'SAÍDA DE VENDAS'!$B$6:$P$500,4,FALSE),"")</f>
        <v>0</v>
      </c>
      <c r="E274" s="28" t="str">
        <f>IFERROR(VLOOKUP(B274,'SAÍDA DE VENDAS'!$B$6:$P$500,5,FALSE),"")</f>
        <v/>
      </c>
      <c r="F274" s="28" t="str">
        <f>IF(OR(ISBLANK(B274),B274=""), "", IFERROR(INDEX('SAÍDA DE VENDAS'!$H$6:$H$500 &amp; "x " &amp; 'SAÍDA DE VENDAS'!$G$6:$G$500, MATCH(B274, 'SAÍDA DE VENDAS'!$B$6:$B$500, 0)), "")&amp; IF(COUNTIF('SAÍDA DE VENDAS'!$B$6:$B$500, B274)&gt;1, " + " &amp; IFERROR(INDEX('SAÍDA DE VENDAS'!$H$6:$H$500 &amp; "x " &amp; 'SAÍDA DE VENDAS'!$G$6:$G$500, MATCH(B274, 'SAÍDA DE VENDAS'!$B$6:$B$500, 0)+1), ""), "")&amp; IF(COUNTIF('SAÍDA DE VENDAS'!$B$6:$B$500, B274)&gt;2, " + " &amp; IFERROR(INDEX('SAÍDA DE VENDAS'!$H$6:$H$500 &amp; "x " &amp; 'SAÍDA DE VENDAS'!$G$6:$G$500, MATCH(B274, 'SAÍDA DE VENDAS'!$B$6:$B$500, 0)+2), ""), "")&amp; IF(COUNTIF('SAÍDA DE VENDAS'!$B$6:$B$500, B274)&gt;3, " + " &amp; IFERROR(INDEX('SAÍDA DE VENDAS'!$H$6:$H$500 &amp; "x " &amp; 'SAÍDA DE VENDAS'!$G$6:$G$500, MATCH(B274, 'SAÍDA DE VENDAS'!$B$6:$B$500, 0)+3), ""), "")&amp; IF(COUNTIF('SAÍDA DE VENDAS'!$B$6:$B$500, B274)&gt;4, " + " &amp; IFERROR(INDEX('SAÍDA DE VENDAS'!$H$6:$H$500 &amp; "x " &amp; 'SAÍDA DE VENDAS'!$G$6:$G$500, MATCH(B274, 'SAÍDA DE VENDAS'!$B$6:$B$500, 0)+4), ""), "")&amp; IF(COUNTIF('SAÍDA DE VENDAS'!$B$6:$B$500, B274)&gt;5, " + " &amp; IFERROR(INDEX('SAÍDA DE VENDAS'!$H$6:$H$500 &amp; "x " &amp; 'SAÍDA DE VENDAS'!$G$6:$G$500, MATCH(B274, 'SAÍDA DE VENDAS'!$B$6:$B$500, 0)+5), ""), ""))</f>
        <v/>
      </c>
      <c r="G274" s="28">
        <f>IFERROR(VLOOKUP(B274,'SAÍDA DE VENDAS'!$B$6:$P$500,10,FALSE),"")</f>
        <v>0</v>
      </c>
      <c r="H274" s="28" t="str">
        <f>IF(OR(ISBLANK(B274),B274=""), "", IF(B274=B273, (VALUE(LEFT(H273,FIND("/",H273)-1))+1)&amp;"/"&amp;RIGHT(H273,LEN(H273)-FIND("/",H273)), "1/"&amp;IFERROR(VLOOKUP(B274,'SAÍDA DE VENDAS'!$B$6:$P$500,13,FALSE),"1")))</f>
        <v/>
      </c>
      <c r="I274" s="69" t="str">
        <f t="shared" si="8"/>
        <v/>
      </c>
      <c r="J274" s="33" t="str">
        <f>IFERROR(VLOOKUP(B274,'SAÍDA DE VENDAS'!$B$6:$P$500,15,FALSE),"")</f>
        <v/>
      </c>
      <c r="K274" s="28" t="str">
        <f t="shared" ca="1" si="9"/>
        <v/>
      </c>
      <c r="L274" s="28"/>
      <c r="M274" s="28"/>
    </row>
    <row r="275" spans="2:13" ht="15" customHeight="1" x14ac:dyDescent="0.3">
      <c r="B275" s="34" t="str">
        <f>IF(B274="","", IF(VALUE(LEFT(H274,FIND("/",H274)-1)) &lt; VALUE(RIGHT(H274,LEN(H274)-FIND("/",H274))), B274, IFERROR(INDEX('SAÍDA DE VENDAS'!$B$6:$B$500, MATCH(B274,'SAÍDA DE VENDAS'!$B$6:$B$500,0)+COUNTIF('SAÍDA DE VENDAS'!$B$6:$B$500, B274)),"")))</f>
        <v/>
      </c>
      <c r="C275" s="35">
        <f>IFERROR(VLOOKUP(B275,'SAÍDA DE VENDAS'!$B$6:$P$500,3,FALSE),"")</f>
        <v>0</v>
      </c>
      <c r="D275" s="34">
        <f>IFERROR(VLOOKUP(B275,'SAÍDA DE VENDAS'!$B$6:$P$500,4,FALSE),"")</f>
        <v>0</v>
      </c>
      <c r="E275" s="34" t="str">
        <f>IFERROR(VLOOKUP(B275,'SAÍDA DE VENDAS'!$B$6:$P$500,5,FALSE),"")</f>
        <v/>
      </c>
      <c r="F275" s="34" t="str">
        <f>IF(OR(ISBLANK(B275),B275=""), "", IFERROR(INDEX('SAÍDA DE VENDAS'!$H$6:$H$500 &amp; "x " &amp; 'SAÍDA DE VENDAS'!$G$6:$G$500, MATCH(B275, 'SAÍDA DE VENDAS'!$B$6:$B$500, 0)), "")&amp; IF(COUNTIF('SAÍDA DE VENDAS'!$B$6:$B$500, B275)&gt;1, " + " &amp; IFERROR(INDEX('SAÍDA DE VENDAS'!$H$6:$H$500 &amp; "x " &amp; 'SAÍDA DE VENDAS'!$G$6:$G$500, MATCH(B275, 'SAÍDA DE VENDAS'!$B$6:$B$500, 0)+1), ""), "")&amp; IF(COUNTIF('SAÍDA DE VENDAS'!$B$6:$B$500, B275)&gt;2, " + " &amp; IFERROR(INDEX('SAÍDA DE VENDAS'!$H$6:$H$500 &amp; "x " &amp; 'SAÍDA DE VENDAS'!$G$6:$G$500, MATCH(B275, 'SAÍDA DE VENDAS'!$B$6:$B$500, 0)+2), ""), "")&amp; IF(COUNTIF('SAÍDA DE VENDAS'!$B$6:$B$500, B275)&gt;3, " + " &amp; IFERROR(INDEX('SAÍDA DE VENDAS'!$H$6:$H$500 &amp; "x " &amp; 'SAÍDA DE VENDAS'!$G$6:$G$500, MATCH(B275, 'SAÍDA DE VENDAS'!$B$6:$B$500, 0)+3), ""), "")&amp; IF(COUNTIF('SAÍDA DE VENDAS'!$B$6:$B$500, B275)&gt;4, " + " &amp; IFERROR(INDEX('SAÍDA DE VENDAS'!$H$6:$H$500 &amp; "x " &amp; 'SAÍDA DE VENDAS'!$G$6:$G$500, MATCH(B275, 'SAÍDA DE VENDAS'!$B$6:$B$500, 0)+4), ""), "")&amp; IF(COUNTIF('SAÍDA DE VENDAS'!$B$6:$B$500, B275)&gt;5, " + " &amp; IFERROR(INDEX('SAÍDA DE VENDAS'!$H$6:$H$500 &amp; "x " &amp; 'SAÍDA DE VENDAS'!$G$6:$G$500, MATCH(B275, 'SAÍDA DE VENDAS'!$B$6:$B$500, 0)+5), ""), ""))</f>
        <v/>
      </c>
      <c r="G275" s="34">
        <f>IFERROR(VLOOKUP(B275,'SAÍDA DE VENDAS'!$B$6:$P$500,10,FALSE),"")</f>
        <v>0</v>
      </c>
      <c r="H275" s="34" t="str">
        <f>IF(OR(ISBLANK(B275),B275=""), "", IF(B275=B274, (VALUE(LEFT(H274,FIND("/",H274)-1))+1)&amp;"/"&amp;RIGHT(H274,LEN(H274)-FIND("/",H274)), "1/"&amp;IFERROR(VLOOKUP(B275,'SAÍDA DE VENDAS'!$B$6:$P$500,13,FALSE),"1")))</f>
        <v/>
      </c>
      <c r="I275" s="35" t="str">
        <f t="shared" si="8"/>
        <v/>
      </c>
      <c r="J275" s="39" t="str">
        <f>IFERROR(VLOOKUP(B275,'SAÍDA DE VENDAS'!$B$6:$P$500,15,FALSE),"")</f>
        <v/>
      </c>
      <c r="K275" s="34" t="str">
        <f t="shared" ca="1" si="9"/>
        <v/>
      </c>
      <c r="L275" s="34"/>
      <c r="M275" s="34"/>
    </row>
    <row r="276" spans="2:13" ht="15" customHeight="1" x14ac:dyDescent="0.3">
      <c r="B276" s="28" t="str">
        <f>IF(B275="","", IF(VALUE(LEFT(H275,FIND("/",H275)-1)) &lt; VALUE(RIGHT(H275,LEN(H275)-FIND("/",H275))), B275, IFERROR(INDEX('SAÍDA DE VENDAS'!$B$6:$B$500, MATCH(B275,'SAÍDA DE VENDAS'!$B$6:$B$500,0)+COUNTIF('SAÍDA DE VENDAS'!$B$6:$B$500, B275)),"")))</f>
        <v/>
      </c>
      <c r="C276" s="29">
        <f>IFERROR(VLOOKUP(B276,'SAÍDA DE VENDAS'!$B$6:$P$500,3,FALSE),"")</f>
        <v>0</v>
      </c>
      <c r="D276" s="28">
        <f>IFERROR(VLOOKUP(B276,'SAÍDA DE VENDAS'!$B$6:$P$500,4,FALSE),"")</f>
        <v>0</v>
      </c>
      <c r="E276" s="28" t="str">
        <f>IFERROR(VLOOKUP(B276,'SAÍDA DE VENDAS'!$B$6:$P$500,5,FALSE),"")</f>
        <v/>
      </c>
      <c r="F276" s="28" t="str">
        <f>IF(OR(ISBLANK(B276),B276=""), "", IFERROR(INDEX('SAÍDA DE VENDAS'!$H$6:$H$500 &amp; "x " &amp; 'SAÍDA DE VENDAS'!$G$6:$G$500, MATCH(B276, 'SAÍDA DE VENDAS'!$B$6:$B$500, 0)), "")&amp; IF(COUNTIF('SAÍDA DE VENDAS'!$B$6:$B$500, B276)&gt;1, " + " &amp; IFERROR(INDEX('SAÍDA DE VENDAS'!$H$6:$H$500 &amp; "x " &amp; 'SAÍDA DE VENDAS'!$G$6:$G$500, MATCH(B276, 'SAÍDA DE VENDAS'!$B$6:$B$500, 0)+1), ""), "")&amp; IF(COUNTIF('SAÍDA DE VENDAS'!$B$6:$B$500, B276)&gt;2, " + " &amp; IFERROR(INDEX('SAÍDA DE VENDAS'!$H$6:$H$500 &amp; "x " &amp; 'SAÍDA DE VENDAS'!$G$6:$G$500, MATCH(B276, 'SAÍDA DE VENDAS'!$B$6:$B$500, 0)+2), ""), "")&amp; IF(COUNTIF('SAÍDA DE VENDAS'!$B$6:$B$500, B276)&gt;3, " + " &amp; IFERROR(INDEX('SAÍDA DE VENDAS'!$H$6:$H$500 &amp; "x " &amp; 'SAÍDA DE VENDAS'!$G$6:$G$500, MATCH(B276, 'SAÍDA DE VENDAS'!$B$6:$B$500, 0)+3), ""), "")&amp; IF(COUNTIF('SAÍDA DE VENDAS'!$B$6:$B$500, B276)&gt;4, " + " &amp; IFERROR(INDEX('SAÍDA DE VENDAS'!$H$6:$H$500 &amp; "x " &amp; 'SAÍDA DE VENDAS'!$G$6:$G$500, MATCH(B276, 'SAÍDA DE VENDAS'!$B$6:$B$500, 0)+4), ""), "")&amp; IF(COUNTIF('SAÍDA DE VENDAS'!$B$6:$B$500, B276)&gt;5, " + " &amp; IFERROR(INDEX('SAÍDA DE VENDAS'!$H$6:$H$500 &amp; "x " &amp; 'SAÍDA DE VENDAS'!$G$6:$G$500, MATCH(B276, 'SAÍDA DE VENDAS'!$B$6:$B$500, 0)+5), ""), ""))</f>
        <v/>
      </c>
      <c r="G276" s="28">
        <f>IFERROR(VLOOKUP(B276,'SAÍDA DE VENDAS'!$B$6:$P$500,10,FALSE),"")</f>
        <v>0</v>
      </c>
      <c r="H276" s="28" t="str">
        <f>IF(OR(ISBLANK(B276),B276=""), "", IF(B276=B275, (VALUE(LEFT(H275,FIND("/",H275)-1))+1)&amp;"/"&amp;RIGHT(H275,LEN(H275)-FIND("/",H275)), "1/"&amp;IFERROR(VLOOKUP(B276,'SAÍDA DE VENDAS'!$B$6:$P$500,13,FALSE),"1")))</f>
        <v/>
      </c>
      <c r="I276" s="69" t="str">
        <f t="shared" si="8"/>
        <v/>
      </c>
      <c r="J276" s="33" t="str">
        <f>IFERROR(VLOOKUP(B276,'SAÍDA DE VENDAS'!$B$6:$P$500,15,FALSE),"")</f>
        <v/>
      </c>
      <c r="K276" s="28" t="str">
        <f t="shared" ca="1" si="9"/>
        <v/>
      </c>
      <c r="L276" s="28"/>
      <c r="M276" s="28"/>
    </row>
    <row r="277" spans="2:13" ht="15" customHeight="1" x14ac:dyDescent="0.3">
      <c r="B277" s="34" t="str">
        <f>IF(B276="","", IF(VALUE(LEFT(H276,FIND("/",H276)-1)) &lt; VALUE(RIGHT(H276,LEN(H276)-FIND("/",H276))), B276, IFERROR(INDEX('SAÍDA DE VENDAS'!$B$6:$B$500, MATCH(B276,'SAÍDA DE VENDAS'!$B$6:$B$500,0)+COUNTIF('SAÍDA DE VENDAS'!$B$6:$B$500, B276)),"")))</f>
        <v/>
      </c>
      <c r="C277" s="35">
        <f>IFERROR(VLOOKUP(B277,'SAÍDA DE VENDAS'!$B$6:$P$500,3,FALSE),"")</f>
        <v>0</v>
      </c>
      <c r="D277" s="34">
        <f>IFERROR(VLOOKUP(B277,'SAÍDA DE VENDAS'!$B$6:$P$500,4,FALSE),"")</f>
        <v>0</v>
      </c>
      <c r="E277" s="34" t="str">
        <f>IFERROR(VLOOKUP(B277,'SAÍDA DE VENDAS'!$B$6:$P$500,5,FALSE),"")</f>
        <v/>
      </c>
      <c r="F277" s="34" t="str">
        <f>IF(OR(ISBLANK(B277),B277=""), "", IFERROR(INDEX('SAÍDA DE VENDAS'!$H$6:$H$500 &amp; "x " &amp; 'SAÍDA DE VENDAS'!$G$6:$G$500, MATCH(B277, 'SAÍDA DE VENDAS'!$B$6:$B$500, 0)), "")&amp; IF(COUNTIF('SAÍDA DE VENDAS'!$B$6:$B$500, B277)&gt;1, " + " &amp; IFERROR(INDEX('SAÍDA DE VENDAS'!$H$6:$H$500 &amp; "x " &amp; 'SAÍDA DE VENDAS'!$G$6:$G$500, MATCH(B277, 'SAÍDA DE VENDAS'!$B$6:$B$500, 0)+1), ""), "")&amp; IF(COUNTIF('SAÍDA DE VENDAS'!$B$6:$B$500, B277)&gt;2, " + " &amp; IFERROR(INDEX('SAÍDA DE VENDAS'!$H$6:$H$500 &amp; "x " &amp; 'SAÍDA DE VENDAS'!$G$6:$G$500, MATCH(B277, 'SAÍDA DE VENDAS'!$B$6:$B$500, 0)+2), ""), "")&amp; IF(COUNTIF('SAÍDA DE VENDAS'!$B$6:$B$500, B277)&gt;3, " + " &amp; IFERROR(INDEX('SAÍDA DE VENDAS'!$H$6:$H$500 &amp; "x " &amp; 'SAÍDA DE VENDAS'!$G$6:$G$500, MATCH(B277, 'SAÍDA DE VENDAS'!$B$6:$B$500, 0)+3), ""), "")&amp; IF(COUNTIF('SAÍDA DE VENDAS'!$B$6:$B$500, B277)&gt;4, " + " &amp; IFERROR(INDEX('SAÍDA DE VENDAS'!$H$6:$H$500 &amp; "x " &amp; 'SAÍDA DE VENDAS'!$G$6:$G$500, MATCH(B277, 'SAÍDA DE VENDAS'!$B$6:$B$500, 0)+4), ""), "")&amp; IF(COUNTIF('SAÍDA DE VENDAS'!$B$6:$B$500, B277)&gt;5, " + " &amp; IFERROR(INDEX('SAÍDA DE VENDAS'!$H$6:$H$500 &amp; "x " &amp; 'SAÍDA DE VENDAS'!$G$6:$G$500, MATCH(B277, 'SAÍDA DE VENDAS'!$B$6:$B$500, 0)+5), ""), ""))</f>
        <v/>
      </c>
      <c r="G277" s="34">
        <f>IFERROR(VLOOKUP(B277,'SAÍDA DE VENDAS'!$B$6:$P$500,10,FALSE),"")</f>
        <v>0</v>
      </c>
      <c r="H277" s="34" t="str">
        <f>IF(OR(ISBLANK(B277),B277=""), "", IF(B277=B276, (VALUE(LEFT(H276,FIND("/",H276)-1))+1)&amp;"/"&amp;RIGHT(H276,LEN(H276)-FIND("/",H276)), "1/"&amp;IFERROR(VLOOKUP(B277,'SAÍDA DE VENDAS'!$B$6:$P$500,13,FALSE),"1")))</f>
        <v/>
      </c>
      <c r="I277" s="35" t="str">
        <f t="shared" si="8"/>
        <v/>
      </c>
      <c r="J277" s="39" t="str">
        <f>IFERROR(VLOOKUP(B277,'SAÍDA DE VENDAS'!$B$6:$P$500,15,FALSE),"")</f>
        <v/>
      </c>
      <c r="K277" s="34" t="str">
        <f t="shared" ca="1" si="9"/>
        <v/>
      </c>
      <c r="L277" s="34"/>
      <c r="M277" s="34"/>
    </row>
    <row r="278" spans="2:13" ht="15" customHeight="1" x14ac:dyDescent="0.3">
      <c r="B278" s="28" t="str">
        <f>IF(B277="","", IF(VALUE(LEFT(H277,FIND("/",H277)-1)) &lt; VALUE(RIGHT(H277,LEN(H277)-FIND("/",H277))), B277, IFERROR(INDEX('SAÍDA DE VENDAS'!$B$6:$B$500, MATCH(B277,'SAÍDA DE VENDAS'!$B$6:$B$500,0)+COUNTIF('SAÍDA DE VENDAS'!$B$6:$B$500, B277)),"")))</f>
        <v/>
      </c>
      <c r="C278" s="29">
        <f>IFERROR(VLOOKUP(B278,'SAÍDA DE VENDAS'!$B$6:$P$500,3,FALSE),"")</f>
        <v>0</v>
      </c>
      <c r="D278" s="28">
        <f>IFERROR(VLOOKUP(B278,'SAÍDA DE VENDAS'!$B$6:$P$500,4,FALSE),"")</f>
        <v>0</v>
      </c>
      <c r="E278" s="28" t="str">
        <f>IFERROR(VLOOKUP(B278,'SAÍDA DE VENDAS'!$B$6:$P$500,5,FALSE),"")</f>
        <v/>
      </c>
      <c r="F278" s="28" t="str">
        <f>IF(OR(ISBLANK(B278),B278=""), "", IFERROR(INDEX('SAÍDA DE VENDAS'!$H$6:$H$500 &amp; "x " &amp; 'SAÍDA DE VENDAS'!$G$6:$G$500, MATCH(B278, 'SAÍDA DE VENDAS'!$B$6:$B$500, 0)), "")&amp; IF(COUNTIF('SAÍDA DE VENDAS'!$B$6:$B$500, B278)&gt;1, " + " &amp; IFERROR(INDEX('SAÍDA DE VENDAS'!$H$6:$H$500 &amp; "x " &amp; 'SAÍDA DE VENDAS'!$G$6:$G$500, MATCH(B278, 'SAÍDA DE VENDAS'!$B$6:$B$500, 0)+1), ""), "")&amp; IF(COUNTIF('SAÍDA DE VENDAS'!$B$6:$B$500, B278)&gt;2, " + " &amp; IFERROR(INDEX('SAÍDA DE VENDAS'!$H$6:$H$500 &amp; "x " &amp; 'SAÍDA DE VENDAS'!$G$6:$G$500, MATCH(B278, 'SAÍDA DE VENDAS'!$B$6:$B$500, 0)+2), ""), "")&amp; IF(COUNTIF('SAÍDA DE VENDAS'!$B$6:$B$500, B278)&gt;3, " + " &amp; IFERROR(INDEX('SAÍDA DE VENDAS'!$H$6:$H$500 &amp; "x " &amp; 'SAÍDA DE VENDAS'!$G$6:$G$500, MATCH(B278, 'SAÍDA DE VENDAS'!$B$6:$B$500, 0)+3), ""), "")&amp; IF(COUNTIF('SAÍDA DE VENDAS'!$B$6:$B$500, B278)&gt;4, " + " &amp; IFERROR(INDEX('SAÍDA DE VENDAS'!$H$6:$H$500 &amp; "x " &amp; 'SAÍDA DE VENDAS'!$G$6:$G$500, MATCH(B278, 'SAÍDA DE VENDAS'!$B$6:$B$500, 0)+4), ""), "")&amp; IF(COUNTIF('SAÍDA DE VENDAS'!$B$6:$B$500, B278)&gt;5, " + " &amp; IFERROR(INDEX('SAÍDA DE VENDAS'!$H$6:$H$500 &amp; "x " &amp; 'SAÍDA DE VENDAS'!$G$6:$G$500, MATCH(B278, 'SAÍDA DE VENDAS'!$B$6:$B$500, 0)+5), ""), ""))</f>
        <v/>
      </c>
      <c r="G278" s="28">
        <f>IFERROR(VLOOKUP(B278,'SAÍDA DE VENDAS'!$B$6:$P$500,10,FALSE),"")</f>
        <v>0</v>
      </c>
      <c r="H278" s="28" t="str">
        <f>IF(OR(ISBLANK(B278),B278=""), "", IF(B278=B277, (VALUE(LEFT(H277,FIND("/",H277)-1))+1)&amp;"/"&amp;RIGHT(H277,LEN(H277)-FIND("/",H277)), "1/"&amp;IFERROR(VLOOKUP(B278,'SAÍDA DE VENDAS'!$B$6:$P$500,13,FALSE),"1")))</f>
        <v/>
      </c>
      <c r="I278" s="69" t="str">
        <f t="shared" si="8"/>
        <v/>
      </c>
      <c r="J278" s="33" t="str">
        <f>IFERROR(VLOOKUP(B278,'SAÍDA DE VENDAS'!$B$6:$P$500,15,FALSE),"")</f>
        <v/>
      </c>
      <c r="K278" s="28" t="str">
        <f t="shared" ca="1" si="9"/>
        <v/>
      </c>
      <c r="L278" s="28"/>
      <c r="M278" s="28"/>
    </row>
    <row r="279" spans="2:13" ht="15" customHeight="1" x14ac:dyDescent="0.3">
      <c r="B279" s="34" t="str">
        <f>IF(B278="","", IF(VALUE(LEFT(H278,FIND("/",H278)-1)) &lt; VALUE(RIGHT(H278,LEN(H278)-FIND("/",H278))), B278, IFERROR(INDEX('SAÍDA DE VENDAS'!$B$6:$B$500, MATCH(B278,'SAÍDA DE VENDAS'!$B$6:$B$500,0)+COUNTIF('SAÍDA DE VENDAS'!$B$6:$B$500, B278)),"")))</f>
        <v/>
      </c>
      <c r="C279" s="35">
        <f>IFERROR(VLOOKUP(B279,'SAÍDA DE VENDAS'!$B$6:$P$500,3,FALSE),"")</f>
        <v>0</v>
      </c>
      <c r="D279" s="34">
        <f>IFERROR(VLOOKUP(B279,'SAÍDA DE VENDAS'!$B$6:$P$500,4,FALSE),"")</f>
        <v>0</v>
      </c>
      <c r="E279" s="34" t="str">
        <f>IFERROR(VLOOKUP(B279,'SAÍDA DE VENDAS'!$B$6:$P$500,5,FALSE),"")</f>
        <v/>
      </c>
      <c r="F279" s="34" t="str">
        <f>IF(OR(ISBLANK(B279),B279=""), "", IFERROR(INDEX('SAÍDA DE VENDAS'!$H$6:$H$500 &amp; "x " &amp; 'SAÍDA DE VENDAS'!$G$6:$G$500, MATCH(B279, 'SAÍDA DE VENDAS'!$B$6:$B$500, 0)), "")&amp; IF(COUNTIF('SAÍDA DE VENDAS'!$B$6:$B$500, B279)&gt;1, " + " &amp; IFERROR(INDEX('SAÍDA DE VENDAS'!$H$6:$H$500 &amp; "x " &amp; 'SAÍDA DE VENDAS'!$G$6:$G$500, MATCH(B279, 'SAÍDA DE VENDAS'!$B$6:$B$500, 0)+1), ""), "")&amp; IF(COUNTIF('SAÍDA DE VENDAS'!$B$6:$B$500, B279)&gt;2, " + " &amp; IFERROR(INDEX('SAÍDA DE VENDAS'!$H$6:$H$500 &amp; "x " &amp; 'SAÍDA DE VENDAS'!$G$6:$G$500, MATCH(B279, 'SAÍDA DE VENDAS'!$B$6:$B$500, 0)+2), ""), "")&amp; IF(COUNTIF('SAÍDA DE VENDAS'!$B$6:$B$500, B279)&gt;3, " + " &amp; IFERROR(INDEX('SAÍDA DE VENDAS'!$H$6:$H$500 &amp; "x " &amp; 'SAÍDA DE VENDAS'!$G$6:$G$500, MATCH(B279, 'SAÍDA DE VENDAS'!$B$6:$B$500, 0)+3), ""), "")&amp; IF(COUNTIF('SAÍDA DE VENDAS'!$B$6:$B$500, B279)&gt;4, " + " &amp; IFERROR(INDEX('SAÍDA DE VENDAS'!$H$6:$H$500 &amp; "x " &amp; 'SAÍDA DE VENDAS'!$G$6:$G$500, MATCH(B279, 'SAÍDA DE VENDAS'!$B$6:$B$500, 0)+4), ""), "")&amp; IF(COUNTIF('SAÍDA DE VENDAS'!$B$6:$B$500, B279)&gt;5, " + " &amp; IFERROR(INDEX('SAÍDA DE VENDAS'!$H$6:$H$500 &amp; "x " &amp; 'SAÍDA DE VENDAS'!$G$6:$G$500, MATCH(B279, 'SAÍDA DE VENDAS'!$B$6:$B$500, 0)+5), ""), ""))</f>
        <v/>
      </c>
      <c r="G279" s="34">
        <f>IFERROR(VLOOKUP(B279,'SAÍDA DE VENDAS'!$B$6:$P$500,10,FALSE),"")</f>
        <v>0</v>
      </c>
      <c r="H279" s="34" t="str">
        <f>IF(OR(ISBLANK(B279),B279=""), "", IF(B279=B278, (VALUE(LEFT(H278,FIND("/",H278)-1))+1)&amp;"/"&amp;RIGHT(H278,LEN(H278)-FIND("/",H278)), "1/"&amp;IFERROR(VLOOKUP(B279,'SAÍDA DE VENDAS'!$B$6:$P$500,13,FALSE),"1")))</f>
        <v/>
      </c>
      <c r="I279" s="35" t="str">
        <f t="shared" si="8"/>
        <v/>
      </c>
      <c r="J279" s="39" t="str">
        <f>IFERROR(VLOOKUP(B279,'SAÍDA DE VENDAS'!$B$6:$P$500,15,FALSE),"")</f>
        <v/>
      </c>
      <c r="K279" s="34" t="str">
        <f t="shared" ca="1" si="9"/>
        <v/>
      </c>
      <c r="L279" s="34"/>
      <c r="M279" s="34"/>
    </row>
    <row r="280" spans="2:13" ht="15" customHeight="1" x14ac:dyDescent="0.3">
      <c r="B280" s="28" t="str">
        <f>IF(B279="","", IF(VALUE(LEFT(H279,FIND("/",H279)-1)) &lt; VALUE(RIGHT(H279,LEN(H279)-FIND("/",H279))), B279, IFERROR(INDEX('SAÍDA DE VENDAS'!$B$6:$B$500, MATCH(B279,'SAÍDA DE VENDAS'!$B$6:$B$500,0)+COUNTIF('SAÍDA DE VENDAS'!$B$6:$B$500, B279)),"")))</f>
        <v/>
      </c>
      <c r="C280" s="29">
        <f>IFERROR(VLOOKUP(B280,'SAÍDA DE VENDAS'!$B$6:$P$500,3,FALSE),"")</f>
        <v>0</v>
      </c>
      <c r="D280" s="28">
        <f>IFERROR(VLOOKUP(B280,'SAÍDA DE VENDAS'!$B$6:$P$500,4,FALSE),"")</f>
        <v>0</v>
      </c>
      <c r="E280" s="28" t="str">
        <f>IFERROR(VLOOKUP(B280,'SAÍDA DE VENDAS'!$B$6:$P$500,5,FALSE),"")</f>
        <v/>
      </c>
      <c r="F280" s="28" t="str">
        <f>IF(OR(ISBLANK(B280),B280=""), "", IFERROR(INDEX('SAÍDA DE VENDAS'!$H$6:$H$500 &amp; "x " &amp; 'SAÍDA DE VENDAS'!$G$6:$G$500, MATCH(B280, 'SAÍDA DE VENDAS'!$B$6:$B$500, 0)), "")&amp; IF(COUNTIF('SAÍDA DE VENDAS'!$B$6:$B$500, B280)&gt;1, " + " &amp; IFERROR(INDEX('SAÍDA DE VENDAS'!$H$6:$H$500 &amp; "x " &amp; 'SAÍDA DE VENDAS'!$G$6:$G$500, MATCH(B280, 'SAÍDA DE VENDAS'!$B$6:$B$500, 0)+1), ""), "")&amp; IF(COUNTIF('SAÍDA DE VENDAS'!$B$6:$B$500, B280)&gt;2, " + " &amp; IFERROR(INDEX('SAÍDA DE VENDAS'!$H$6:$H$500 &amp; "x " &amp; 'SAÍDA DE VENDAS'!$G$6:$G$500, MATCH(B280, 'SAÍDA DE VENDAS'!$B$6:$B$500, 0)+2), ""), "")&amp; IF(COUNTIF('SAÍDA DE VENDAS'!$B$6:$B$500, B280)&gt;3, " + " &amp; IFERROR(INDEX('SAÍDA DE VENDAS'!$H$6:$H$500 &amp; "x " &amp; 'SAÍDA DE VENDAS'!$G$6:$G$500, MATCH(B280, 'SAÍDA DE VENDAS'!$B$6:$B$500, 0)+3), ""), "")&amp; IF(COUNTIF('SAÍDA DE VENDAS'!$B$6:$B$500, B280)&gt;4, " + " &amp; IFERROR(INDEX('SAÍDA DE VENDAS'!$H$6:$H$500 &amp; "x " &amp; 'SAÍDA DE VENDAS'!$G$6:$G$500, MATCH(B280, 'SAÍDA DE VENDAS'!$B$6:$B$500, 0)+4), ""), "")&amp; IF(COUNTIF('SAÍDA DE VENDAS'!$B$6:$B$500, B280)&gt;5, " + " &amp; IFERROR(INDEX('SAÍDA DE VENDAS'!$H$6:$H$500 &amp; "x " &amp; 'SAÍDA DE VENDAS'!$G$6:$G$500, MATCH(B280, 'SAÍDA DE VENDAS'!$B$6:$B$500, 0)+5), ""), ""))</f>
        <v/>
      </c>
      <c r="G280" s="28">
        <f>IFERROR(VLOOKUP(B280,'SAÍDA DE VENDAS'!$B$6:$P$500,10,FALSE),"")</f>
        <v>0</v>
      </c>
      <c r="H280" s="28" t="str">
        <f>IF(OR(ISBLANK(B280),B280=""), "", IF(B280=B279, (VALUE(LEFT(H279,FIND("/",H279)-1))+1)&amp;"/"&amp;RIGHT(H279,LEN(H279)-FIND("/",H279)), "1/"&amp;IFERROR(VLOOKUP(B280,'SAÍDA DE VENDAS'!$B$6:$P$500,13,FALSE),"1")))</f>
        <v/>
      </c>
      <c r="I280" s="69" t="str">
        <f t="shared" si="8"/>
        <v/>
      </c>
      <c r="J280" s="33" t="str">
        <f>IFERROR(VLOOKUP(B280,'SAÍDA DE VENDAS'!$B$6:$P$500,15,FALSE),"")</f>
        <v/>
      </c>
      <c r="K280" s="28" t="str">
        <f t="shared" ca="1" si="9"/>
        <v/>
      </c>
      <c r="L280" s="28"/>
      <c r="M280" s="28"/>
    </row>
    <row r="281" spans="2:13" ht="15" customHeight="1" x14ac:dyDescent="0.3">
      <c r="B281" s="34" t="str">
        <f>IF(B280="","", IF(VALUE(LEFT(H280,FIND("/",H280)-1)) &lt; VALUE(RIGHT(H280,LEN(H280)-FIND("/",H280))), B280, IFERROR(INDEX('SAÍDA DE VENDAS'!$B$6:$B$500, MATCH(B280,'SAÍDA DE VENDAS'!$B$6:$B$500,0)+COUNTIF('SAÍDA DE VENDAS'!$B$6:$B$500, B280)),"")))</f>
        <v/>
      </c>
      <c r="C281" s="35">
        <f>IFERROR(VLOOKUP(B281,'SAÍDA DE VENDAS'!$B$6:$P$500,3,FALSE),"")</f>
        <v>0</v>
      </c>
      <c r="D281" s="34">
        <f>IFERROR(VLOOKUP(B281,'SAÍDA DE VENDAS'!$B$6:$P$500,4,FALSE),"")</f>
        <v>0</v>
      </c>
      <c r="E281" s="34" t="str">
        <f>IFERROR(VLOOKUP(B281,'SAÍDA DE VENDAS'!$B$6:$P$500,5,FALSE),"")</f>
        <v/>
      </c>
      <c r="F281" s="34" t="str">
        <f>IF(OR(ISBLANK(B281),B281=""), "", IFERROR(INDEX('SAÍDA DE VENDAS'!$H$6:$H$500 &amp; "x " &amp; 'SAÍDA DE VENDAS'!$G$6:$G$500, MATCH(B281, 'SAÍDA DE VENDAS'!$B$6:$B$500, 0)), "")&amp; IF(COUNTIF('SAÍDA DE VENDAS'!$B$6:$B$500, B281)&gt;1, " + " &amp; IFERROR(INDEX('SAÍDA DE VENDAS'!$H$6:$H$500 &amp; "x " &amp; 'SAÍDA DE VENDAS'!$G$6:$G$500, MATCH(B281, 'SAÍDA DE VENDAS'!$B$6:$B$500, 0)+1), ""), "")&amp; IF(COUNTIF('SAÍDA DE VENDAS'!$B$6:$B$500, B281)&gt;2, " + " &amp; IFERROR(INDEX('SAÍDA DE VENDAS'!$H$6:$H$500 &amp; "x " &amp; 'SAÍDA DE VENDAS'!$G$6:$G$500, MATCH(B281, 'SAÍDA DE VENDAS'!$B$6:$B$500, 0)+2), ""), "")&amp; IF(COUNTIF('SAÍDA DE VENDAS'!$B$6:$B$500, B281)&gt;3, " + " &amp; IFERROR(INDEX('SAÍDA DE VENDAS'!$H$6:$H$500 &amp; "x " &amp; 'SAÍDA DE VENDAS'!$G$6:$G$500, MATCH(B281, 'SAÍDA DE VENDAS'!$B$6:$B$500, 0)+3), ""), "")&amp; IF(COUNTIF('SAÍDA DE VENDAS'!$B$6:$B$500, B281)&gt;4, " + " &amp; IFERROR(INDEX('SAÍDA DE VENDAS'!$H$6:$H$500 &amp; "x " &amp; 'SAÍDA DE VENDAS'!$G$6:$G$500, MATCH(B281, 'SAÍDA DE VENDAS'!$B$6:$B$500, 0)+4), ""), "")&amp; IF(COUNTIF('SAÍDA DE VENDAS'!$B$6:$B$500, B281)&gt;5, " + " &amp; IFERROR(INDEX('SAÍDA DE VENDAS'!$H$6:$H$500 &amp; "x " &amp; 'SAÍDA DE VENDAS'!$G$6:$G$500, MATCH(B281, 'SAÍDA DE VENDAS'!$B$6:$B$500, 0)+5), ""), ""))</f>
        <v/>
      </c>
      <c r="G281" s="34">
        <f>IFERROR(VLOOKUP(B281,'SAÍDA DE VENDAS'!$B$6:$P$500,10,FALSE),"")</f>
        <v>0</v>
      </c>
      <c r="H281" s="34" t="str">
        <f>IF(OR(ISBLANK(B281),B281=""), "", IF(B281=B280, (VALUE(LEFT(H280,FIND("/",H280)-1))+1)&amp;"/"&amp;RIGHT(H280,LEN(H280)-FIND("/",H280)), "1/"&amp;IFERROR(VLOOKUP(B281,'SAÍDA DE VENDAS'!$B$6:$P$500,13,FALSE),"1")))</f>
        <v/>
      </c>
      <c r="I281" s="35" t="str">
        <f t="shared" si="8"/>
        <v/>
      </c>
      <c r="J281" s="39" t="str">
        <f>IFERROR(VLOOKUP(B281,'SAÍDA DE VENDAS'!$B$6:$P$500,15,FALSE),"")</f>
        <v/>
      </c>
      <c r="K281" s="34" t="str">
        <f t="shared" ca="1" si="9"/>
        <v/>
      </c>
      <c r="L281" s="34"/>
      <c r="M281" s="34"/>
    </row>
    <row r="282" spans="2:13" ht="15" customHeight="1" x14ac:dyDescent="0.3">
      <c r="B282" s="28" t="str">
        <f>IF(B281="","", IF(VALUE(LEFT(H281,FIND("/",H281)-1)) &lt; VALUE(RIGHT(H281,LEN(H281)-FIND("/",H281))), B281, IFERROR(INDEX('SAÍDA DE VENDAS'!$B$6:$B$500, MATCH(B281,'SAÍDA DE VENDAS'!$B$6:$B$500,0)+COUNTIF('SAÍDA DE VENDAS'!$B$6:$B$500, B281)),"")))</f>
        <v/>
      </c>
      <c r="C282" s="29">
        <f>IFERROR(VLOOKUP(B282,'SAÍDA DE VENDAS'!$B$6:$P$500,3,FALSE),"")</f>
        <v>0</v>
      </c>
      <c r="D282" s="28">
        <f>IFERROR(VLOOKUP(B282,'SAÍDA DE VENDAS'!$B$6:$P$500,4,FALSE),"")</f>
        <v>0</v>
      </c>
      <c r="E282" s="28" t="str">
        <f>IFERROR(VLOOKUP(B282,'SAÍDA DE VENDAS'!$B$6:$P$500,5,FALSE),"")</f>
        <v/>
      </c>
      <c r="F282" s="28" t="str">
        <f>IF(OR(ISBLANK(B282),B282=""), "", IFERROR(INDEX('SAÍDA DE VENDAS'!$H$6:$H$500 &amp; "x " &amp; 'SAÍDA DE VENDAS'!$G$6:$G$500, MATCH(B282, 'SAÍDA DE VENDAS'!$B$6:$B$500, 0)), "")&amp; IF(COUNTIF('SAÍDA DE VENDAS'!$B$6:$B$500, B282)&gt;1, " + " &amp; IFERROR(INDEX('SAÍDA DE VENDAS'!$H$6:$H$500 &amp; "x " &amp; 'SAÍDA DE VENDAS'!$G$6:$G$500, MATCH(B282, 'SAÍDA DE VENDAS'!$B$6:$B$500, 0)+1), ""), "")&amp; IF(COUNTIF('SAÍDA DE VENDAS'!$B$6:$B$500, B282)&gt;2, " + " &amp; IFERROR(INDEX('SAÍDA DE VENDAS'!$H$6:$H$500 &amp; "x " &amp; 'SAÍDA DE VENDAS'!$G$6:$G$500, MATCH(B282, 'SAÍDA DE VENDAS'!$B$6:$B$500, 0)+2), ""), "")&amp; IF(COUNTIF('SAÍDA DE VENDAS'!$B$6:$B$500, B282)&gt;3, " + " &amp; IFERROR(INDEX('SAÍDA DE VENDAS'!$H$6:$H$500 &amp; "x " &amp; 'SAÍDA DE VENDAS'!$G$6:$G$500, MATCH(B282, 'SAÍDA DE VENDAS'!$B$6:$B$500, 0)+3), ""), "")&amp; IF(COUNTIF('SAÍDA DE VENDAS'!$B$6:$B$500, B282)&gt;4, " + " &amp; IFERROR(INDEX('SAÍDA DE VENDAS'!$H$6:$H$500 &amp; "x " &amp; 'SAÍDA DE VENDAS'!$G$6:$G$500, MATCH(B282, 'SAÍDA DE VENDAS'!$B$6:$B$500, 0)+4), ""), "")&amp; IF(COUNTIF('SAÍDA DE VENDAS'!$B$6:$B$500, B282)&gt;5, " + " &amp; IFERROR(INDEX('SAÍDA DE VENDAS'!$H$6:$H$500 &amp; "x " &amp; 'SAÍDA DE VENDAS'!$G$6:$G$500, MATCH(B282, 'SAÍDA DE VENDAS'!$B$6:$B$500, 0)+5), ""), ""))</f>
        <v/>
      </c>
      <c r="G282" s="28">
        <f>IFERROR(VLOOKUP(B282,'SAÍDA DE VENDAS'!$B$6:$P$500,10,FALSE),"")</f>
        <v>0</v>
      </c>
      <c r="H282" s="28" t="str">
        <f>IF(OR(ISBLANK(B282),B282=""), "", IF(B282=B281, (VALUE(LEFT(H281,FIND("/",H281)-1))+1)&amp;"/"&amp;RIGHT(H281,LEN(H281)-FIND("/",H281)), "1/"&amp;IFERROR(VLOOKUP(B282,'SAÍDA DE VENDAS'!$B$6:$P$500,13,FALSE),"1")))</f>
        <v/>
      </c>
      <c r="I282" s="69" t="str">
        <f t="shared" si="8"/>
        <v/>
      </c>
      <c r="J282" s="33" t="str">
        <f>IFERROR(VLOOKUP(B282,'SAÍDA DE VENDAS'!$B$6:$P$500,15,FALSE),"")</f>
        <v/>
      </c>
      <c r="K282" s="28" t="str">
        <f t="shared" ca="1" si="9"/>
        <v/>
      </c>
      <c r="L282" s="28"/>
      <c r="M282" s="28"/>
    </row>
    <row r="283" spans="2:13" ht="15" customHeight="1" x14ac:dyDescent="0.3">
      <c r="B283" s="34" t="str">
        <f>IF(B282="","", IF(VALUE(LEFT(H282,FIND("/",H282)-1)) &lt; VALUE(RIGHT(H282,LEN(H282)-FIND("/",H282))), B282, IFERROR(INDEX('SAÍDA DE VENDAS'!$B$6:$B$500, MATCH(B282,'SAÍDA DE VENDAS'!$B$6:$B$500,0)+COUNTIF('SAÍDA DE VENDAS'!$B$6:$B$500, B282)),"")))</f>
        <v/>
      </c>
      <c r="C283" s="35">
        <f>IFERROR(VLOOKUP(B283,'SAÍDA DE VENDAS'!$B$6:$P$500,3,FALSE),"")</f>
        <v>0</v>
      </c>
      <c r="D283" s="34">
        <f>IFERROR(VLOOKUP(B283,'SAÍDA DE VENDAS'!$B$6:$P$500,4,FALSE),"")</f>
        <v>0</v>
      </c>
      <c r="E283" s="34" t="str">
        <f>IFERROR(VLOOKUP(B283,'SAÍDA DE VENDAS'!$B$6:$P$500,5,FALSE),"")</f>
        <v/>
      </c>
      <c r="F283" s="34" t="str">
        <f>IF(OR(ISBLANK(B283),B283=""), "", IFERROR(INDEX('SAÍDA DE VENDAS'!$H$6:$H$500 &amp; "x " &amp; 'SAÍDA DE VENDAS'!$G$6:$G$500, MATCH(B283, 'SAÍDA DE VENDAS'!$B$6:$B$500, 0)), "")&amp; IF(COUNTIF('SAÍDA DE VENDAS'!$B$6:$B$500, B283)&gt;1, " + " &amp; IFERROR(INDEX('SAÍDA DE VENDAS'!$H$6:$H$500 &amp; "x " &amp; 'SAÍDA DE VENDAS'!$G$6:$G$500, MATCH(B283, 'SAÍDA DE VENDAS'!$B$6:$B$500, 0)+1), ""), "")&amp; IF(COUNTIF('SAÍDA DE VENDAS'!$B$6:$B$500, B283)&gt;2, " + " &amp; IFERROR(INDEX('SAÍDA DE VENDAS'!$H$6:$H$500 &amp; "x " &amp; 'SAÍDA DE VENDAS'!$G$6:$G$500, MATCH(B283, 'SAÍDA DE VENDAS'!$B$6:$B$500, 0)+2), ""), "")&amp; IF(COUNTIF('SAÍDA DE VENDAS'!$B$6:$B$500, B283)&gt;3, " + " &amp; IFERROR(INDEX('SAÍDA DE VENDAS'!$H$6:$H$500 &amp; "x " &amp; 'SAÍDA DE VENDAS'!$G$6:$G$500, MATCH(B283, 'SAÍDA DE VENDAS'!$B$6:$B$500, 0)+3), ""), "")&amp; IF(COUNTIF('SAÍDA DE VENDAS'!$B$6:$B$500, B283)&gt;4, " + " &amp; IFERROR(INDEX('SAÍDA DE VENDAS'!$H$6:$H$500 &amp; "x " &amp; 'SAÍDA DE VENDAS'!$G$6:$G$500, MATCH(B283, 'SAÍDA DE VENDAS'!$B$6:$B$500, 0)+4), ""), "")&amp; IF(COUNTIF('SAÍDA DE VENDAS'!$B$6:$B$500, B283)&gt;5, " + " &amp; IFERROR(INDEX('SAÍDA DE VENDAS'!$H$6:$H$500 &amp; "x " &amp; 'SAÍDA DE VENDAS'!$G$6:$G$500, MATCH(B283, 'SAÍDA DE VENDAS'!$B$6:$B$500, 0)+5), ""), ""))</f>
        <v/>
      </c>
      <c r="G283" s="34">
        <f>IFERROR(VLOOKUP(B283,'SAÍDA DE VENDAS'!$B$6:$P$500,10,FALSE),"")</f>
        <v>0</v>
      </c>
      <c r="H283" s="34" t="str">
        <f>IF(OR(ISBLANK(B283),B283=""), "", IF(B283=B282, (VALUE(LEFT(H282,FIND("/",H282)-1))+1)&amp;"/"&amp;RIGHT(H282,LEN(H282)-FIND("/",H282)), "1/"&amp;IFERROR(VLOOKUP(B283,'SAÍDA DE VENDAS'!$B$6:$P$500,13,FALSE),"1")))</f>
        <v/>
      </c>
      <c r="I283" s="35" t="str">
        <f t="shared" si="8"/>
        <v/>
      </c>
      <c r="J283" s="39" t="str">
        <f>IFERROR(VLOOKUP(B283,'SAÍDA DE VENDAS'!$B$6:$P$500,15,FALSE),"")</f>
        <v/>
      </c>
      <c r="K283" s="34" t="str">
        <f t="shared" ca="1" si="9"/>
        <v/>
      </c>
      <c r="L283" s="34"/>
      <c r="M283" s="34"/>
    </row>
    <row r="284" spans="2:13" ht="15" customHeight="1" x14ac:dyDescent="0.3">
      <c r="B284" s="28" t="str">
        <f>IF(B283="","", IF(VALUE(LEFT(H283,FIND("/",H283)-1)) &lt; VALUE(RIGHT(H283,LEN(H283)-FIND("/",H283))), B283, IFERROR(INDEX('SAÍDA DE VENDAS'!$B$6:$B$500, MATCH(B283,'SAÍDA DE VENDAS'!$B$6:$B$500,0)+COUNTIF('SAÍDA DE VENDAS'!$B$6:$B$500, B283)),"")))</f>
        <v/>
      </c>
      <c r="C284" s="29">
        <f>IFERROR(VLOOKUP(B284,'SAÍDA DE VENDAS'!$B$6:$P$500,3,FALSE),"")</f>
        <v>0</v>
      </c>
      <c r="D284" s="28">
        <f>IFERROR(VLOOKUP(B284,'SAÍDA DE VENDAS'!$B$6:$P$500,4,FALSE),"")</f>
        <v>0</v>
      </c>
      <c r="E284" s="28" t="str">
        <f>IFERROR(VLOOKUP(B284,'SAÍDA DE VENDAS'!$B$6:$P$500,5,FALSE),"")</f>
        <v/>
      </c>
      <c r="F284" s="28" t="str">
        <f>IF(OR(ISBLANK(B284),B284=""), "", IFERROR(INDEX('SAÍDA DE VENDAS'!$H$6:$H$500 &amp; "x " &amp; 'SAÍDA DE VENDAS'!$G$6:$G$500, MATCH(B284, 'SAÍDA DE VENDAS'!$B$6:$B$500, 0)), "")&amp; IF(COUNTIF('SAÍDA DE VENDAS'!$B$6:$B$500, B284)&gt;1, " + " &amp; IFERROR(INDEX('SAÍDA DE VENDAS'!$H$6:$H$500 &amp; "x " &amp; 'SAÍDA DE VENDAS'!$G$6:$G$500, MATCH(B284, 'SAÍDA DE VENDAS'!$B$6:$B$500, 0)+1), ""), "")&amp; IF(COUNTIF('SAÍDA DE VENDAS'!$B$6:$B$500, B284)&gt;2, " + " &amp; IFERROR(INDEX('SAÍDA DE VENDAS'!$H$6:$H$500 &amp; "x " &amp; 'SAÍDA DE VENDAS'!$G$6:$G$500, MATCH(B284, 'SAÍDA DE VENDAS'!$B$6:$B$500, 0)+2), ""), "")&amp; IF(COUNTIF('SAÍDA DE VENDAS'!$B$6:$B$500, B284)&gt;3, " + " &amp; IFERROR(INDEX('SAÍDA DE VENDAS'!$H$6:$H$500 &amp; "x " &amp; 'SAÍDA DE VENDAS'!$G$6:$G$500, MATCH(B284, 'SAÍDA DE VENDAS'!$B$6:$B$500, 0)+3), ""), "")&amp; IF(COUNTIF('SAÍDA DE VENDAS'!$B$6:$B$500, B284)&gt;4, " + " &amp; IFERROR(INDEX('SAÍDA DE VENDAS'!$H$6:$H$500 &amp; "x " &amp; 'SAÍDA DE VENDAS'!$G$6:$G$500, MATCH(B284, 'SAÍDA DE VENDAS'!$B$6:$B$500, 0)+4), ""), "")&amp; IF(COUNTIF('SAÍDA DE VENDAS'!$B$6:$B$500, B284)&gt;5, " + " &amp; IFERROR(INDEX('SAÍDA DE VENDAS'!$H$6:$H$500 &amp; "x " &amp; 'SAÍDA DE VENDAS'!$G$6:$G$500, MATCH(B284, 'SAÍDA DE VENDAS'!$B$6:$B$500, 0)+5), ""), ""))</f>
        <v/>
      </c>
      <c r="G284" s="28">
        <f>IFERROR(VLOOKUP(B284,'SAÍDA DE VENDAS'!$B$6:$P$500,10,FALSE),"")</f>
        <v>0</v>
      </c>
      <c r="H284" s="28" t="str">
        <f>IF(OR(ISBLANK(B284),B284=""), "", IF(B284=B283, (VALUE(LEFT(H283,FIND("/",H283)-1))+1)&amp;"/"&amp;RIGHT(H283,LEN(H283)-FIND("/",H283)), "1/"&amp;IFERROR(VLOOKUP(B284,'SAÍDA DE VENDAS'!$B$6:$P$500,13,FALSE),"1")))</f>
        <v/>
      </c>
      <c r="I284" s="69" t="str">
        <f t="shared" si="8"/>
        <v/>
      </c>
      <c r="J284" s="33" t="str">
        <f>IFERROR(VLOOKUP(B284,'SAÍDA DE VENDAS'!$B$6:$P$500,15,FALSE),"")</f>
        <v/>
      </c>
      <c r="K284" s="28" t="str">
        <f t="shared" ca="1" si="9"/>
        <v/>
      </c>
      <c r="L284" s="28"/>
      <c r="M284" s="28"/>
    </row>
    <row r="285" spans="2:13" ht="15" customHeight="1" x14ac:dyDescent="0.3">
      <c r="B285" s="34" t="str">
        <f>IF(B284="","", IF(VALUE(LEFT(H284,FIND("/",H284)-1)) &lt; VALUE(RIGHT(H284,LEN(H284)-FIND("/",H284))), B284, IFERROR(INDEX('SAÍDA DE VENDAS'!$B$6:$B$500, MATCH(B284,'SAÍDA DE VENDAS'!$B$6:$B$500,0)+COUNTIF('SAÍDA DE VENDAS'!$B$6:$B$500, B284)),"")))</f>
        <v/>
      </c>
      <c r="C285" s="35">
        <f>IFERROR(VLOOKUP(B285,'SAÍDA DE VENDAS'!$B$6:$P$500,3,FALSE),"")</f>
        <v>0</v>
      </c>
      <c r="D285" s="34">
        <f>IFERROR(VLOOKUP(B285,'SAÍDA DE VENDAS'!$B$6:$P$500,4,FALSE),"")</f>
        <v>0</v>
      </c>
      <c r="E285" s="34" t="str">
        <f>IFERROR(VLOOKUP(B285,'SAÍDA DE VENDAS'!$B$6:$P$500,5,FALSE),"")</f>
        <v/>
      </c>
      <c r="F285" s="34" t="str">
        <f>IF(OR(ISBLANK(B285),B285=""), "", IFERROR(INDEX('SAÍDA DE VENDAS'!$H$6:$H$500 &amp; "x " &amp; 'SAÍDA DE VENDAS'!$G$6:$G$500, MATCH(B285, 'SAÍDA DE VENDAS'!$B$6:$B$500, 0)), "")&amp; IF(COUNTIF('SAÍDA DE VENDAS'!$B$6:$B$500, B285)&gt;1, " + " &amp; IFERROR(INDEX('SAÍDA DE VENDAS'!$H$6:$H$500 &amp; "x " &amp; 'SAÍDA DE VENDAS'!$G$6:$G$500, MATCH(B285, 'SAÍDA DE VENDAS'!$B$6:$B$500, 0)+1), ""), "")&amp; IF(COUNTIF('SAÍDA DE VENDAS'!$B$6:$B$500, B285)&gt;2, " + " &amp; IFERROR(INDEX('SAÍDA DE VENDAS'!$H$6:$H$500 &amp; "x " &amp; 'SAÍDA DE VENDAS'!$G$6:$G$500, MATCH(B285, 'SAÍDA DE VENDAS'!$B$6:$B$500, 0)+2), ""), "")&amp; IF(COUNTIF('SAÍDA DE VENDAS'!$B$6:$B$500, B285)&gt;3, " + " &amp; IFERROR(INDEX('SAÍDA DE VENDAS'!$H$6:$H$500 &amp; "x " &amp; 'SAÍDA DE VENDAS'!$G$6:$G$500, MATCH(B285, 'SAÍDA DE VENDAS'!$B$6:$B$500, 0)+3), ""), "")&amp; IF(COUNTIF('SAÍDA DE VENDAS'!$B$6:$B$500, B285)&gt;4, " + " &amp; IFERROR(INDEX('SAÍDA DE VENDAS'!$H$6:$H$500 &amp; "x " &amp; 'SAÍDA DE VENDAS'!$G$6:$G$500, MATCH(B285, 'SAÍDA DE VENDAS'!$B$6:$B$500, 0)+4), ""), "")&amp; IF(COUNTIF('SAÍDA DE VENDAS'!$B$6:$B$500, B285)&gt;5, " + " &amp; IFERROR(INDEX('SAÍDA DE VENDAS'!$H$6:$H$500 &amp; "x " &amp; 'SAÍDA DE VENDAS'!$G$6:$G$500, MATCH(B285, 'SAÍDA DE VENDAS'!$B$6:$B$500, 0)+5), ""), ""))</f>
        <v/>
      </c>
      <c r="G285" s="34">
        <f>IFERROR(VLOOKUP(B285,'SAÍDA DE VENDAS'!$B$6:$P$500,10,FALSE),"")</f>
        <v>0</v>
      </c>
      <c r="H285" s="34" t="str">
        <f>IF(OR(ISBLANK(B285),B285=""), "", IF(B285=B284, (VALUE(LEFT(H284,FIND("/",H284)-1))+1)&amp;"/"&amp;RIGHT(H284,LEN(H284)-FIND("/",H284)), "1/"&amp;IFERROR(VLOOKUP(B285,'SAÍDA DE VENDAS'!$B$6:$P$500,13,FALSE),"1")))</f>
        <v/>
      </c>
      <c r="I285" s="35" t="str">
        <f t="shared" si="8"/>
        <v/>
      </c>
      <c r="J285" s="39" t="str">
        <f>IFERROR(VLOOKUP(B285,'SAÍDA DE VENDAS'!$B$6:$P$500,15,FALSE),"")</f>
        <v/>
      </c>
      <c r="K285" s="34" t="str">
        <f t="shared" ca="1" si="9"/>
        <v/>
      </c>
      <c r="L285" s="34"/>
      <c r="M285" s="34"/>
    </row>
    <row r="286" spans="2:13" ht="15" customHeight="1" x14ac:dyDescent="0.3">
      <c r="B286" s="28" t="str">
        <f>IF(B285="","", IF(VALUE(LEFT(H285,FIND("/",H285)-1)) &lt; VALUE(RIGHT(H285,LEN(H285)-FIND("/",H285))), B285, IFERROR(INDEX('SAÍDA DE VENDAS'!$B$6:$B$500, MATCH(B285,'SAÍDA DE VENDAS'!$B$6:$B$500,0)+COUNTIF('SAÍDA DE VENDAS'!$B$6:$B$500, B285)),"")))</f>
        <v/>
      </c>
      <c r="C286" s="29">
        <f>IFERROR(VLOOKUP(B286,'SAÍDA DE VENDAS'!$B$6:$P$500,3,FALSE),"")</f>
        <v>0</v>
      </c>
      <c r="D286" s="28">
        <f>IFERROR(VLOOKUP(B286,'SAÍDA DE VENDAS'!$B$6:$P$500,4,FALSE),"")</f>
        <v>0</v>
      </c>
      <c r="E286" s="28" t="str">
        <f>IFERROR(VLOOKUP(B286,'SAÍDA DE VENDAS'!$B$6:$P$500,5,FALSE),"")</f>
        <v/>
      </c>
      <c r="F286" s="28" t="str">
        <f>IF(OR(ISBLANK(B286),B286=""), "", IFERROR(INDEX('SAÍDA DE VENDAS'!$H$6:$H$500 &amp; "x " &amp; 'SAÍDA DE VENDAS'!$G$6:$G$500, MATCH(B286, 'SAÍDA DE VENDAS'!$B$6:$B$500, 0)), "")&amp; IF(COUNTIF('SAÍDA DE VENDAS'!$B$6:$B$500, B286)&gt;1, " + " &amp; IFERROR(INDEX('SAÍDA DE VENDAS'!$H$6:$H$500 &amp; "x " &amp; 'SAÍDA DE VENDAS'!$G$6:$G$500, MATCH(B286, 'SAÍDA DE VENDAS'!$B$6:$B$500, 0)+1), ""), "")&amp; IF(COUNTIF('SAÍDA DE VENDAS'!$B$6:$B$500, B286)&gt;2, " + " &amp; IFERROR(INDEX('SAÍDA DE VENDAS'!$H$6:$H$500 &amp; "x " &amp; 'SAÍDA DE VENDAS'!$G$6:$G$500, MATCH(B286, 'SAÍDA DE VENDAS'!$B$6:$B$500, 0)+2), ""), "")&amp; IF(COUNTIF('SAÍDA DE VENDAS'!$B$6:$B$500, B286)&gt;3, " + " &amp; IFERROR(INDEX('SAÍDA DE VENDAS'!$H$6:$H$500 &amp; "x " &amp; 'SAÍDA DE VENDAS'!$G$6:$G$500, MATCH(B286, 'SAÍDA DE VENDAS'!$B$6:$B$500, 0)+3), ""), "")&amp; IF(COUNTIF('SAÍDA DE VENDAS'!$B$6:$B$500, B286)&gt;4, " + " &amp; IFERROR(INDEX('SAÍDA DE VENDAS'!$H$6:$H$500 &amp; "x " &amp; 'SAÍDA DE VENDAS'!$G$6:$G$500, MATCH(B286, 'SAÍDA DE VENDAS'!$B$6:$B$500, 0)+4), ""), "")&amp; IF(COUNTIF('SAÍDA DE VENDAS'!$B$6:$B$500, B286)&gt;5, " + " &amp; IFERROR(INDEX('SAÍDA DE VENDAS'!$H$6:$H$500 &amp; "x " &amp; 'SAÍDA DE VENDAS'!$G$6:$G$500, MATCH(B286, 'SAÍDA DE VENDAS'!$B$6:$B$500, 0)+5), ""), ""))</f>
        <v/>
      </c>
      <c r="G286" s="28">
        <f>IFERROR(VLOOKUP(B286,'SAÍDA DE VENDAS'!$B$6:$P$500,10,FALSE),"")</f>
        <v>0</v>
      </c>
      <c r="H286" s="28" t="str">
        <f>IF(OR(ISBLANK(B286),B286=""), "", IF(B286=B285, (VALUE(LEFT(H285,FIND("/",H285)-1))+1)&amp;"/"&amp;RIGHT(H285,LEN(H285)-FIND("/",H285)), "1/"&amp;IFERROR(VLOOKUP(B286,'SAÍDA DE VENDAS'!$B$6:$P$500,13,FALSE),"1")))</f>
        <v/>
      </c>
      <c r="I286" s="69" t="str">
        <f t="shared" si="8"/>
        <v/>
      </c>
      <c r="J286" s="33" t="str">
        <f>IFERROR(VLOOKUP(B286,'SAÍDA DE VENDAS'!$B$6:$P$500,15,FALSE),"")</f>
        <v/>
      </c>
      <c r="K286" s="28" t="str">
        <f t="shared" ca="1" si="9"/>
        <v/>
      </c>
      <c r="L286" s="28"/>
      <c r="M286" s="28"/>
    </row>
    <row r="287" spans="2:13" ht="15" customHeight="1" x14ac:dyDescent="0.3">
      <c r="B287" s="34" t="str">
        <f>IF(B286="","", IF(VALUE(LEFT(H286,FIND("/",H286)-1)) &lt; VALUE(RIGHT(H286,LEN(H286)-FIND("/",H286))), B286, IFERROR(INDEX('SAÍDA DE VENDAS'!$B$6:$B$500, MATCH(B286,'SAÍDA DE VENDAS'!$B$6:$B$500,0)+COUNTIF('SAÍDA DE VENDAS'!$B$6:$B$500, B286)),"")))</f>
        <v/>
      </c>
      <c r="C287" s="35">
        <f>IFERROR(VLOOKUP(B287,'SAÍDA DE VENDAS'!$B$6:$P$500,3,FALSE),"")</f>
        <v>0</v>
      </c>
      <c r="D287" s="34">
        <f>IFERROR(VLOOKUP(B287,'SAÍDA DE VENDAS'!$B$6:$P$500,4,FALSE),"")</f>
        <v>0</v>
      </c>
      <c r="E287" s="34" t="str">
        <f>IFERROR(VLOOKUP(B287,'SAÍDA DE VENDAS'!$B$6:$P$500,5,FALSE),"")</f>
        <v/>
      </c>
      <c r="F287" s="34" t="str">
        <f>IF(OR(ISBLANK(B287),B287=""), "", IFERROR(INDEX('SAÍDA DE VENDAS'!$H$6:$H$500 &amp; "x " &amp; 'SAÍDA DE VENDAS'!$G$6:$G$500, MATCH(B287, 'SAÍDA DE VENDAS'!$B$6:$B$500, 0)), "")&amp; IF(COUNTIF('SAÍDA DE VENDAS'!$B$6:$B$500, B287)&gt;1, " + " &amp; IFERROR(INDEX('SAÍDA DE VENDAS'!$H$6:$H$500 &amp; "x " &amp; 'SAÍDA DE VENDAS'!$G$6:$G$500, MATCH(B287, 'SAÍDA DE VENDAS'!$B$6:$B$500, 0)+1), ""), "")&amp; IF(COUNTIF('SAÍDA DE VENDAS'!$B$6:$B$500, B287)&gt;2, " + " &amp; IFERROR(INDEX('SAÍDA DE VENDAS'!$H$6:$H$500 &amp; "x " &amp; 'SAÍDA DE VENDAS'!$G$6:$G$500, MATCH(B287, 'SAÍDA DE VENDAS'!$B$6:$B$500, 0)+2), ""), "")&amp; IF(COUNTIF('SAÍDA DE VENDAS'!$B$6:$B$500, B287)&gt;3, " + " &amp; IFERROR(INDEX('SAÍDA DE VENDAS'!$H$6:$H$500 &amp; "x " &amp; 'SAÍDA DE VENDAS'!$G$6:$G$500, MATCH(B287, 'SAÍDA DE VENDAS'!$B$6:$B$500, 0)+3), ""), "")&amp; IF(COUNTIF('SAÍDA DE VENDAS'!$B$6:$B$500, B287)&gt;4, " + " &amp; IFERROR(INDEX('SAÍDA DE VENDAS'!$H$6:$H$500 &amp; "x " &amp; 'SAÍDA DE VENDAS'!$G$6:$G$500, MATCH(B287, 'SAÍDA DE VENDAS'!$B$6:$B$500, 0)+4), ""), "")&amp; IF(COUNTIF('SAÍDA DE VENDAS'!$B$6:$B$500, B287)&gt;5, " + " &amp; IFERROR(INDEX('SAÍDA DE VENDAS'!$H$6:$H$500 &amp; "x " &amp; 'SAÍDA DE VENDAS'!$G$6:$G$500, MATCH(B287, 'SAÍDA DE VENDAS'!$B$6:$B$500, 0)+5), ""), ""))</f>
        <v/>
      </c>
      <c r="G287" s="34">
        <f>IFERROR(VLOOKUP(B287,'SAÍDA DE VENDAS'!$B$6:$P$500,10,FALSE),"")</f>
        <v>0</v>
      </c>
      <c r="H287" s="34" t="str">
        <f>IF(OR(ISBLANK(B287),B287=""), "", IF(B287=B286, (VALUE(LEFT(H286,FIND("/",H286)-1))+1)&amp;"/"&amp;RIGHT(H286,LEN(H286)-FIND("/",H286)), "1/"&amp;IFERROR(VLOOKUP(B287,'SAÍDA DE VENDAS'!$B$6:$P$500,13,FALSE),"1")))</f>
        <v/>
      </c>
      <c r="I287" s="35" t="str">
        <f t="shared" si="8"/>
        <v/>
      </c>
      <c r="J287" s="39" t="str">
        <f>IFERROR(VLOOKUP(B287,'SAÍDA DE VENDAS'!$B$6:$P$500,15,FALSE),"")</f>
        <v/>
      </c>
      <c r="K287" s="34" t="str">
        <f t="shared" ca="1" si="9"/>
        <v/>
      </c>
      <c r="L287" s="34"/>
      <c r="M287" s="34"/>
    </row>
    <row r="288" spans="2:13" ht="15" customHeight="1" x14ac:dyDescent="0.3">
      <c r="B288" s="28" t="str">
        <f>IF(B287="","", IF(VALUE(LEFT(H287,FIND("/",H287)-1)) &lt; VALUE(RIGHT(H287,LEN(H287)-FIND("/",H287))), B287, IFERROR(INDEX('SAÍDA DE VENDAS'!$B$6:$B$500, MATCH(B287,'SAÍDA DE VENDAS'!$B$6:$B$500,0)+COUNTIF('SAÍDA DE VENDAS'!$B$6:$B$500, B287)),"")))</f>
        <v/>
      </c>
      <c r="C288" s="29">
        <f>IFERROR(VLOOKUP(B288,'SAÍDA DE VENDAS'!$B$6:$P$500,3,FALSE),"")</f>
        <v>0</v>
      </c>
      <c r="D288" s="28">
        <f>IFERROR(VLOOKUP(B288,'SAÍDA DE VENDAS'!$B$6:$P$500,4,FALSE),"")</f>
        <v>0</v>
      </c>
      <c r="E288" s="28" t="str">
        <f>IFERROR(VLOOKUP(B288,'SAÍDA DE VENDAS'!$B$6:$P$500,5,FALSE),"")</f>
        <v/>
      </c>
      <c r="F288" s="28" t="str">
        <f>IF(OR(ISBLANK(B288),B288=""), "", IFERROR(INDEX('SAÍDA DE VENDAS'!$H$6:$H$500 &amp; "x " &amp; 'SAÍDA DE VENDAS'!$G$6:$G$500, MATCH(B288, 'SAÍDA DE VENDAS'!$B$6:$B$500, 0)), "")&amp; IF(COUNTIF('SAÍDA DE VENDAS'!$B$6:$B$500, B288)&gt;1, " + " &amp; IFERROR(INDEX('SAÍDA DE VENDAS'!$H$6:$H$500 &amp; "x " &amp; 'SAÍDA DE VENDAS'!$G$6:$G$500, MATCH(B288, 'SAÍDA DE VENDAS'!$B$6:$B$500, 0)+1), ""), "")&amp; IF(COUNTIF('SAÍDA DE VENDAS'!$B$6:$B$500, B288)&gt;2, " + " &amp; IFERROR(INDEX('SAÍDA DE VENDAS'!$H$6:$H$500 &amp; "x " &amp; 'SAÍDA DE VENDAS'!$G$6:$G$500, MATCH(B288, 'SAÍDA DE VENDAS'!$B$6:$B$500, 0)+2), ""), "")&amp; IF(COUNTIF('SAÍDA DE VENDAS'!$B$6:$B$500, B288)&gt;3, " + " &amp; IFERROR(INDEX('SAÍDA DE VENDAS'!$H$6:$H$500 &amp; "x " &amp; 'SAÍDA DE VENDAS'!$G$6:$G$500, MATCH(B288, 'SAÍDA DE VENDAS'!$B$6:$B$500, 0)+3), ""), "")&amp; IF(COUNTIF('SAÍDA DE VENDAS'!$B$6:$B$500, B288)&gt;4, " + " &amp; IFERROR(INDEX('SAÍDA DE VENDAS'!$H$6:$H$500 &amp; "x " &amp; 'SAÍDA DE VENDAS'!$G$6:$G$500, MATCH(B288, 'SAÍDA DE VENDAS'!$B$6:$B$500, 0)+4), ""), "")&amp; IF(COUNTIF('SAÍDA DE VENDAS'!$B$6:$B$500, B288)&gt;5, " + " &amp; IFERROR(INDEX('SAÍDA DE VENDAS'!$H$6:$H$500 &amp; "x " &amp; 'SAÍDA DE VENDAS'!$G$6:$G$500, MATCH(B288, 'SAÍDA DE VENDAS'!$B$6:$B$500, 0)+5), ""), ""))</f>
        <v/>
      </c>
      <c r="G288" s="28">
        <f>IFERROR(VLOOKUP(B288,'SAÍDA DE VENDAS'!$B$6:$P$500,10,FALSE),"")</f>
        <v>0</v>
      </c>
      <c r="H288" s="28" t="str">
        <f>IF(OR(ISBLANK(B288),B288=""), "", IF(B288=B287, (VALUE(LEFT(H287,FIND("/",H287)-1))+1)&amp;"/"&amp;RIGHT(H287,LEN(H287)-FIND("/",H287)), "1/"&amp;IFERROR(VLOOKUP(B288,'SAÍDA DE VENDAS'!$B$6:$P$500,13,FALSE),"1")))</f>
        <v/>
      </c>
      <c r="I288" s="69" t="str">
        <f t="shared" si="8"/>
        <v/>
      </c>
      <c r="J288" s="33" t="str">
        <f>IFERROR(VLOOKUP(B288,'SAÍDA DE VENDAS'!$B$6:$P$500,15,FALSE),"")</f>
        <v/>
      </c>
      <c r="K288" s="28" t="str">
        <f t="shared" ca="1" si="9"/>
        <v/>
      </c>
      <c r="L288" s="28"/>
      <c r="M288" s="28"/>
    </row>
    <row r="289" spans="2:13" ht="15" customHeight="1" x14ac:dyDescent="0.3">
      <c r="B289" s="34" t="str">
        <f>IF(B288="","", IF(VALUE(LEFT(H288,FIND("/",H288)-1)) &lt; VALUE(RIGHT(H288,LEN(H288)-FIND("/",H288))), B288, IFERROR(INDEX('SAÍDA DE VENDAS'!$B$6:$B$500, MATCH(B288,'SAÍDA DE VENDAS'!$B$6:$B$500,0)+COUNTIF('SAÍDA DE VENDAS'!$B$6:$B$500, B288)),"")))</f>
        <v/>
      </c>
      <c r="C289" s="35">
        <f>IFERROR(VLOOKUP(B289,'SAÍDA DE VENDAS'!$B$6:$P$500,3,FALSE),"")</f>
        <v>0</v>
      </c>
      <c r="D289" s="34">
        <f>IFERROR(VLOOKUP(B289,'SAÍDA DE VENDAS'!$B$6:$P$500,4,FALSE),"")</f>
        <v>0</v>
      </c>
      <c r="E289" s="34" t="str">
        <f>IFERROR(VLOOKUP(B289,'SAÍDA DE VENDAS'!$B$6:$P$500,5,FALSE),"")</f>
        <v/>
      </c>
      <c r="F289" s="34" t="str">
        <f>IF(OR(ISBLANK(B289),B289=""), "", IFERROR(INDEX('SAÍDA DE VENDAS'!$H$6:$H$500 &amp; "x " &amp; 'SAÍDA DE VENDAS'!$G$6:$G$500, MATCH(B289, 'SAÍDA DE VENDAS'!$B$6:$B$500, 0)), "")&amp; IF(COUNTIF('SAÍDA DE VENDAS'!$B$6:$B$500, B289)&gt;1, " + " &amp; IFERROR(INDEX('SAÍDA DE VENDAS'!$H$6:$H$500 &amp; "x " &amp; 'SAÍDA DE VENDAS'!$G$6:$G$500, MATCH(B289, 'SAÍDA DE VENDAS'!$B$6:$B$500, 0)+1), ""), "")&amp; IF(COUNTIF('SAÍDA DE VENDAS'!$B$6:$B$500, B289)&gt;2, " + " &amp; IFERROR(INDEX('SAÍDA DE VENDAS'!$H$6:$H$500 &amp; "x " &amp; 'SAÍDA DE VENDAS'!$G$6:$G$500, MATCH(B289, 'SAÍDA DE VENDAS'!$B$6:$B$500, 0)+2), ""), "")&amp; IF(COUNTIF('SAÍDA DE VENDAS'!$B$6:$B$500, B289)&gt;3, " + " &amp; IFERROR(INDEX('SAÍDA DE VENDAS'!$H$6:$H$500 &amp; "x " &amp; 'SAÍDA DE VENDAS'!$G$6:$G$500, MATCH(B289, 'SAÍDA DE VENDAS'!$B$6:$B$500, 0)+3), ""), "")&amp; IF(COUNTIF('SAÍDA DE VENDAS'!$B$6:$B$500, B289)&gt;4, " + " &amp; IFERROR(INDEX('SAÍDA DE VENDAS'!$H$6:$H$500 &amp; "x " &amp; 'SAÍDA DE VENDAS'!$G$6:$G$500, MATCH(B289, 'SAÍDA DE VENDAS'!$B$6:$B$500, 0)+4), ""), "")&amp; IF(COUNTIF('SAÍDA DE VENDAS'!$B$6:$B$500, B289)&gt;5, " + " &amp; IFERROR(INDEX('SAÍDA DE VENDAS'!$H$6:$H$500 &amp; "x " &amp; 'SAÍDA DE VENDAS'!$G$6:$G$500, MATCH(B289, 'SAÍDA DE VENDAS'!$B$6:$B$500, 0)+5), ""), ""))</f>
        <v/>
      </c>
      <c r="G289" s="34">
        <f>IFERROR(VLOOKUP(B289,'SAÍDA DE VENDAS'!$B$6:$P$500,10,FALSE),"")</f>
        <v>0</v>
      </c>
      <c r="H289" s="34" t="str">
        <f>IF(OR(ISBLANK(B289),B289=""), "", IF(B289=B288, (VALUE(LEFT(H288,FIND("/",H288)-1))+1)&amp;"/"&amp;RIGHT(H288,LEN(H288)-FIND("/",H288)), "1/"&amp;IFERROR(VLOOKUP(B289,'SAÍDA DE VENDAS'!$B$6:$P$500,13,FALSE),"1")))</f>
        <v/>
      </c>
      <c r="I289" s="35" t="str">
        <f t="shared" si="8"/>
        <v/>
      </c>
      <c r="J289" s="39" t="str">
        <f>IFERROR(VLOOKUP(B289,'SAÍDA DE VENDAS'!$B$6:$P$500,15,FALSE),"")</f>
        <v/>
      </c>
      <c r="K289" s="34" t="str">
        <f t="shared" ca="1" si="9"/>
        <v/>
      </c>
      <c r="L289" s="34"/>
      <c r="M289" s="34"/>
    </row>
    <row r="290" spans="2:13" ht="15" customHeight="1" x14ac:dyDescent="0.3">
      <c r="B290" s="28" t="str">
        <f>IF(B289="","", IF(VALUE(LEFT(H289,FIND("/",H289)-1)) &lt; VALUE(RIGHT(H289,LEN(H289)-FIND("/",H289))), B289, IFERROR(INDEX('SAÍDA DE VENDAS'!$B$6:$B$500, MATCH(B289,'SAÍDA DE VENDAS'!$B$6:$B$500,0)+COUNTIF('SAÍDA DE VENDAS'!$B$6:$B$500, B289)),"")))</f>
        <v/>
      </c>
      <c r="C290" s="29">
        <f>IFERROR(VLOOKUP(B290,'SAÍDA DE VENDAS'!$B$6:$P$500,3,FALSE),"")</f>
        <v>0</v>
      </c>
      <c r="D290" s="28">
        <f>IFERROR(VLOOKUP(B290,'SAÍDA DE VENDAS'!$B$6:$P$500,4,FALSE),"")</f>
        <v>0</v>
      </c>
      <c r="E290" s="28" t="str">
        <f>IFERROR(VLOOKUP(B290,'SAÍDA DE VENDAS'!$B$6:$P$500,5,FALSE),"")</f>
        <v/>
      </c>
      <c r="F290" s="28" t="str">
        <f>IF(OR(ISBLANK(B290),B290=""), "", IFERROR(INDEX('SAÍDA DE VENDAS'!$H$6:$H$500 &amp; "x " &amp; 'SAÍDA DE VENDAS'!$G$6:$G$500, MATCH(B290, 'SAÍDA DE VENDAS'!$B$6:$B$500, 0)), "")&amp; IF(COUNTIF('SAÍDA DE VENDAS'!$B$6:$B$500, B290)&gt;1, " + " &amp; IFERROR(INDEX('SAÍDA DE VENDAS'!$H$6:$H$500 &amp; "x " &amp; 'SAÍDA DE VENDAS'!$G$6:$G$500, MATCH(B290, 'SAÍDA DE VENDAS'!$B$6:$B$500, 0)+1), ""), "")&amp; IF(COUNTIF('SAÍDA DE VENDAS'!$B$6:$B$500, B290)&gt;2, " + " &amp; IFERROR(INDEX('SAÍDA DE VENDAS'!$H$6:$H$500 &amp; "x " &amp; 'SAÍDA DE VENDAS'!$G$6:$G$500, MATCH(B290, 'SAÍDA DE VENDAS'!$B$6:$B$500, 0)+2), ""), "")&amp; IF(COUNTIF('SAÍDA DE VENDAS'!$B$6:$B$500, B290)&gt;3, " + " &amp; IFERROR(INDEX('SAÍDA DE VENDAS'!$H$6:$H$500 &amp; "x " &amp; 'SAÍDA DE VENDAS'!$G$6:$G$500, MATCH(B290, 'SAÍDA DE VENDAS'!$B$6:$B$500, 0)+3), ""), "")&amp; IF(COUNTIF('SAÍDA DE VENDAS'!$B$6:$B$500, B290)&gt;4, " + " &amp; IFERROR(INDEX('SAÍDA DE VENDAS'!$H$6:$H$500 &amp; "x " &amp; 'SAÍDA DE VENDAS'!$G$6:$G$500, MATCH(B290, 'SAÍDA DE VENDAS'!$B$6:$B$500, 0)+4), ""), "")&amp; IF(COUNTIF('SAÍDA DE VENDAS'!$B$6:$B$500, B290)&gt;5, " + " &amp; IFERROR(INDEX('SAÍDA DE VENDAS'!$H$6:$H$500 &amp; "x " &amp; 'SAÍDA DE VENDAS'!$G$6:$G$500, MATCH(B290, 'SAÍDA DE VENDAS'!$B$6:$B$500, 0)+5), ""), ""))</f>
        <v/>
      </c>
      <c r="G290" s="28">
        <f>IFERROR(VLOOKUP(B290,'SAÍDA DE VENDAS'!$B$6:$P$500,10,FALSE),"")</f>
        <v>0</v>
      </c>
      <c r="H290" s="28" t="str">
        <f>IF(OR(ISBLANK(B290),B290=""), "", IF(B290=B289, (VALUE(LEFT(H289,FIND("/",H289)-1))+1)&amp;"/"&amp;RIGHT(H289,LEN(H289)-FIND("/",H289)), "1/"&amp;IFERROR(VLOOKUP(B290,'SAÍDA DE VENDAS'!$B$6:$P$500,13,FALSE),"1")))</f>
        <v/>
      </c>
      <c r="I290" s="69" t="str">
        <f t="shared" si="8"/>
        <v/>
      </c>
      <c r="J290" s="33" t="str">
        <f>IFERROR(VLOOKUP(B290,'SAÍDA DE VENDAS'!$B$6:$P$500,15,FALSE),"")</f>
        <v/>
      </c>
      <c r="K290" s="28" t="str">
        <f t="shared" ca="1" si="9"/>
        <v/>
      </c>
      <c r="L290" s="28"/>
      <c r="M290" s="28"/>
    </row>
    <row r="291" spans="2:13" ht="15" customHeight="1" x14ac:dyDescent="0.3">
      <c r="B291" s="34" t="str">
        <f>IF(B290="","", IF(VALUE(LEFT(H290,FIND("/",H290)-1)) &lt; VALUE(RIGHT(H290,LEN(H290)-FIND("/",H290))), B290, IFERROR(INDEX('SAÍDA DE VENDAS'!$B$6:$B$500, MATCH(B290,'SAÍDA DE VENDAS'!$B$6:$B$500,0)+COUNTIF('SAÍDA DE VENDAS'!$B$6:$B$500, B290)),"")))</f>
        <v/>
      </c>
      <c r="C291" s="35">
        <f>IFERROR(VLOOKUP(B291,'SAÍDA DE VENDAS'!$B$6:$P$500,3,FALSE),"")</f>
        <v>0</v>
      </c>
      <c r="D291" s="34">
        <f>IFERROR(VLOOKUP(B291,'SAÍDA DE VENDAS'!$B$6:$P$500,4,FALSE),"")</f>
        <v>0</v>
      </c>
      <c r="E291" s="34" t="str">
        <f>IFERROR(VLOOKUP(B291,'SAÍDA DE VENDAS'!$B$6:$P$500,5,FALSE),"")</f>
        <v/>
      </c>
      <c r="F291" s="34" t="str">
        <f>IF(OR(ISBLANK(B291),B291=""), "", IFERROR(INDEX('SAÍDA DE VENDAS'!$H$6:$H$500 &amp; "x " &amp; 'SAÍDA DE VENDAS'!$G$6:$G$500, MATCH(B291, 'SAÍDA DE VENDAS'!$B$6:$B$500, 0)), "")&amp; IF(COUNTIF('SAÍDA DE VENDAS'!$B$6:$B$500, B291)&gt;1, " + " &amp; IFERROR(INDEX('SAÍDA DE VENDAS'!$H$6:$H$500 &amp; "x " &amp; 'SAÍDA DE VENDAS'!$G$6:$G$500, MATCH(B291, 'SAÍDA DE VENDAS'!$B$6:$B$500, 0)+1), ""), "")&amp; IF(COUNTIF('SAÍDA DE VENDAS'!$B$6:$B$500, B291)&gt;2, " + " &amp; IFERROR(INDEX('SAÍDA DE VENDAS'!$H$6:$H$500 &amp; "x " &amp; 'SAÍDA DE VENDAS'!$G$6:$G$500, MATCH(B291, 'SAÍDA DE VENDAS'!$B$6:$B$500, 0)+2), ""), "")&amp; IF(COUNTIF('SAÍDA DE VENDAS'!$B$6:$B$500, B291)&gt;3, " + " &amp; IFERROR(INDEX('SAÍDA DE VENDAS'!$H$6:$H$500 &amp; "x " &amp; 'SAÍDA DE VENDAS'!$G$6:$G$500, MATCH(B291, 'SAÍDA DE VENDAS'!$B$6:$B$500, 0)+3), ""), "")&amp; IF(COUNTIF('SAÍDA DE VENDAS'!$B$6:$B$500, B291)&gt;4, " + " &amp; IFERROR(INDEX('SAÍDA DE VENDAS'!$H$6:$H$500 &amp; "x " &amp; 'SAÍDA DE VENDAS'!$G$6:$G$500, MATCH(B291, 'SAÍDA DE VENDAS'!$B$6:$B$500, 0)+4), ""), "")&amp; IF(COUNTIF('SAÍDA DE VENDAS'!$B$6:$B$500, B291)&gt;5, " + " &amp; IFERROR(INDEX('SAÍDA DE VENDAS'!$H$6:$H$500 &amp; "x " &amp; 'SAÍDA DE VENDAS'!$G$6:$G$500, MATCH(B291, 'SAÍDA DE VENDAS'!$B$6:$B$500, 0)+5), ""), ""))</f>
        <v/>
      </c>
      <c r="G291" s="34">
        <f>IFERROR(VLOOKUP(B291,'SAÍDA DE VENDAS'!$B$6:$P$500,10,FALSE),"")</f>
        <v>0</v>
      </c>
      <c r="H291" s="34" t="str">
        <f>IF(OR(ISBLANK(B291),B291=""), "", IF(B291=B290, (VALUE(LEFT(H290,FIND("/",H290)-1))+1)&amp;"/"&amp;RIGHT(H290,LEN(H290)-FIND("/",H290)), "1/"&amp;IFERROR(VLOOKUP(B291,'SAÍDA DE VENDAS'!$B$6:$P$500,13,FALSE),"1")))</f>
        <v/>
      </c>
      <c r="I291" s="35" t="str">
        <f t="shared" si="8"/>
        <v/>
      </c>
      <c r="J291" s="39" t="str">
        <f>IFERROR(VLOOKUP(B291,'SAÍDA DE VENDAS'!$B$6:$P$500,15,FALSE),"")</f>
        <v/>
      </c>
      <c r="K291" s="34" t="str">
        <f t="shared" ca="1" si="9"/>
        <v/>
      </c>
      <c r="L291" s="34"/>
      <c r="M291" s="34"/>
    </row>
    <row r="292" spans="2:13" ht="15" customHeight="1" x14ac:dyDescent="0.3">
      <c r="B292" s="28" t="str">
        <f>IF(B291="","", IF(VALUE(LEFT(H291,FIND("/",H291)-1)) &lt; VALUE(RIGHT(H291,LEN(H291)-FIND("/",H291))), B291, IFERROR(INDEX('SAÍDA DE VENDAS'!$B$6:$B$500, MATCH(B291,'SAÍDA DE VENDAS'!$B$6:$B$500,0)+COUNTIF('SAÍDA DE VENDAS'!$B$6:$B$500, B291)),"")))</f>
        <v/>
      </c>
      <c r="C292" s="29">
        <f>IFERROR(VLOOKUP(B292,'SAÍDA DE VENDAS'!$B$6:$P$500,3,FALSE),"")</f>
        <v>0</v>
      </c>
      <c r="D292" s="28">
        <f>IFERROR(VLOOKUP(B292,'SAÍDA DE VENDAS'!$B$6:$P$500,4,FALSE),"")</f>
        <v>0</v>
      </c>
      <c r="E292" s="28" t="str">
        <f>IFERROR(VLOOKUP(B292,'SAÍDA DE VENDAS'!$B$6:$P$500,5,FALSE),"")</f>
        <v/>
      </c>
      <c r="F292" s="28" t="str">
        <f>IF(OR(ISBLANK(B292),B292=""), "", IFERROR(INDEX('SAÍDA DE VENDAS'!$H$6:$H$500 &amp; "x " &amp; 'SAÍDA DE VENDAS'!$G$6:$G$500, MATCH(B292, 'SAÍDA DE VENDAS'!$B$6:$B$500, 0)), "")&amp; IF(COUNTIF('SAÍDA DE VENDAS'!$B$6:$B$500, B292)&gt;1, " + " &amp; IFERROR(INDEX('SAÍDA DE VENDAS'!$H$6:$H$500 &amp; "x " &amp; 'SAÍDA DE VENDAS'!$G$6:$G$500, MATCH(B292, 'SAÍDA DE VENDAS'!$B$6:$B$500, 0)+1), ""), "")&amp; IF(COUNTIF('SAÍDA DE VENDAS'!$B$6:$B$500, B292)&gt;2, " + " &amp; IFERROR(INDEX('SAÍDA DE VENDAS'!$H$6:$H$500 &amp; "x " &amp; 'SAÍDA DE VENDAS'!$G$6:$G$500, MATCH(B292, 'SAÍDA DE VENDAS'!$B$6:$B$500, 0)+2), ""), "")&amp; IF(COUNTIF('SAÍDA DE VENDAS'!$B$6:$B$500, B292)&gt;3, " + " &amp; IFERROR(INDEX('SAÍDA DE VENDAS'!$H$6:$H$500 &amp; "x " &amp; 'SAÍDA DE VENDAS'!$G$6:$G$500, MATCH(B292, 'SAÍDA DE VENDAS'!$B$6:$B$500, 0)+3), ""), "")&amp; IF(COUNTIF('SAÍDA DE VENDAS'!$B$6:$B$500, B292)&gt;4, " + " &amp; IFERROR(INDEX('SAÍDA DE VENDAS'!$H$6:$H$500 &amp; "x " &amp; 'SAÍDA DE VENDAS'!$G$6:$G$500, MATCH(B292, 'SAÍDA DE VENDAS'!$B$6:$B$500, 0)+4), ""), "")&amp; IF(COUNTIF('SAÍDA DE VENDAS'!$B$6:$B$500, B292)&gt;5, " + " &amp; IFERROR(INDEX('SAÍDA DE VENDAS'!$H$6:$H$500 &amp; "x " &amp; 'SAÍDA DE VENDAS'!$G$6:$G$500, MATCH(B292, 'SAÍDA DE VENDAS'!$B$6:$B$500, 0)+5), ""), ""))</f>
        <v/>
      </c>
      <c r="G292" s="28">
        <f>IFERROR(VLOOKUP(B292,'SAÍDA DE VENDAS'!$B$6:$P$500,10,FALSE),"")</f>
        <v>0</v>
      </c>
      <c r="H292" s="28" t="str">
        <f>IF(OR(ISBLANK(B292),B292=""), "", IF(B292=B291, (VALUE(LEFT(H291,FIND("/",H291)-1))+1)&amp;"/"&amp;RIGHT(H291,LEN(H291)-FIND("/",H291)), "1/"&amp;IFERROR(VLOOKUP(B292,'SAÍDA DE VENDAS'!$B$6:$P$500,13,FALSE),"1")))</f>
        <v/>
      </c>
      <c r="I292" s="69" t="str">
        <f t="shared" si="8"/>
        <v/>
      </c>
      <c r="J292" s="33" t="str">
        <f>IFERROR(VLOOKUP(B292,'SAÍDA DE VENDAS'!$B$6:$P$500,15,FALSE),"")</f>
        <v/>
      </c>
      <c r="K292" s="28" t="str">
        <f t="shared" ca="1" si="9"/>
        <v/>
      </c>
      <c r="L292" s="28"/>
      <c r="M292" s="28"/>
    </row>
    <row r="293" spans="2:13" ht="15" customHeight="1" x14ac:dyDescent="0.3">
      <c r="B293" s="34" t="str">
        <f>IF(B292="","", IF(VALUE(LEFT(H292,FIND("/",H292)-1)) &lt; VALUE(RIGHT(H292,LEN(H292)-FIND("/",H292))), B292, IFERROR(INDEX('SAÍDA DE VENDAS'!$B$6:$B$500, MATCH(B292,'SAÍDA DE VENDAS'!$B$6:$B$500,0)+COUNTIF('SAÍDA DE VENDAS'!$B$6:$B$500, B292)),"")))</f>
        <v/>
      </c>
      <c r="C293" s="35">
        <f>IFERROR(VLOOKUP(B293,'SAÍDA DE VENDAS'!$B$6:$P$500,3,FALSE),"")</f>
        <v>0</v>
      </c>
      <c r="D293" s="34">
        <f>IFERROR(VLOOKUP(B293,'SAÍDA DE VENDAS'!$B$6:$P$500,4,FALSE),"")</f>
        <v>0</v>
      </c>
      <c r="E293" s="34" t="str">
        <f>IFERROR(VLOOKUP(B293,'SAÍDA DE VENDAS'!$B$6:$P$500,5,FALSE),"")</f>
        <v/>
      </c>
      <c r="F293" s="34" t="str">
        <f>IF(OR(ISBLANK(B293),B293=""), "", IFERROR(INDEX('SAÍDA DE VENDAS'!$H$6:$H$500 &amp; "x " &amp; 'SAÍDA DE VENDAS'!$G$6:$G$500, MATCH(B293, 'SAÍDA DE VENDAS'!$B$6:$B$500, 0)), "")&amp; IF(COUNTIF('SAÍDA DE VENDAS'!$B$6:$B$500, B293)&gt;1, " + " &amp; IFERROR(INDEX('SAÍDA DE VENDAS'!$H$6:$H$500 &amp; "x " &amp; 'SAÍDA DE VENDAS'!$G$6:$G$500, MATCH(B293, 'SAÍDA DE VENDAS'!$B$6:$B$500, 0)+1), ""), "")&amp; IF(COUNTIF('SAÍDA DE VENDAS'!$B$6:$B$500, B293)&gt;2, " + " &amp; IFERROR(INDEX('SAÍDA DE VENDAS'!$H$6:$H$500 &amp; "x " &amp; 'SAÍDA DE VENDAS'!$G$6:$G$500, MATCH(B293, 'SAÍDA DE VENDAS'!$B$6:$B$500, 0)+2), ""), "")&amp; IF(COUNTIF('SAÍDA DE VENDAS'!$B$6:$B$500, B293)&gt;3, " + " &amp; IFERROR(INDEX('SAÍDA DE VENDAS'!$H$6:$H$500 &amp; "x " &amp; 'SAÍDA DE VENDAS'!$G$6:$G$500, MATCH(B293, 'SAÍDA DE VENDAS'!$B$6:$B$500, 0)+3), ""), "")&amp; IF(COUNTIF('SAÍDA DE VENDAS'!$B$6:$B$500, B293)&gt;4, " + " &amp; IFERROR(INDEX('SAÍDA DE VENDAS'!$H$6:$H$500 &amp; "x " &amp; 'SAÍDA DE VENDAS'!$G$6:$G$500, MATCH(B293, 'SAÍDA DE VENDAS'!$B$6:$B$500, 0)+4), ""), "")&amp; IF(COUNTIF('SAÍDA DE VENDAS'!$B$6:$B$500, B293)&gt;5, " + " &amp; IFERROR(INDEX('SAÍDA DE VENDAS'!$H$6:$H$500 &amp; "x " &amp; 'SAÍDA DE VENDAS'!$G$6:$G$500, MATCH(B293, 'SAÍDA DE VENDAS'!$B$6:$B$500, 0)+5), ""), ""))</f>
        <v/>
      </c>
      <c r="G293" s="34">
        <f>IFERROR(VLOOKUP(B293,'SAÍDA DE VENDAS'!$B$6:$P$500,10,FALSE),"")</f>
        <v>0</v>
      </c>
      <c r="H293" s="34" t="str">
        <f>IF(OR(ISBLANK(B293),B293=""), "", IF(B293=B292, (VALUE(LEFT(H292,FIND("/",H292)-1))+1)&amp;"/"&amp;RIGHT(H292,LEN(H292)-FIND("/",H292)), "1/"&amp;IFERROR(VLOOKUP(B293,'SAÍDA DE VENDAS'!$B$6:$P$500,13,FALSE),"1")))</f>
        <v/>
      </c>
      <c r="I293" s="35" t="str">
        <f t="shared" si="8"/>
        <v/>
      </c>
      <c r="J293" s="39" t="str">
        <f>IFERROR(VLOOKUP(B293,'SAÍDA DE VENDAS'!$B$6:$P$500,15,FALSE),"")</f>
        <v/>
      </c>
      <c r="K293" s="34" t="str">
        <f t="shared" ca="1" si="9"/>
        <v/>
      </c>
      <c r="L293" s="34"/>
      <c r="M293" s="34"/>
    </row>
    <row r="294" spans="2:13" ht="15" customHeight="1" x14ac:dyDescent="0.3">
      <c r="B294" s="28" t="str">
        <f>IF(B293="","", IF(VALUE(LEFT(H293,FIND("/",H293)-1)) &lt; VALUE(RIGHT(H293,LEN(H293)-FIND("/",H293))), B293, IFERROR(INDEX('SAÍDA DE VENDAS'!$B$6:$B$500, MATCH(B293,'SAÍDA DE VENDAS'!$B$6:$B$500,0)+COUNTIF('SAÍDA DE VENDAS'!$B$6:$B$500, B293)),"")))</f>
        <v/>
      </c>
      <c r="C294" s="29">
        <f>IFERROR(VLOOKUP(B294,'SAÍDA DE VENDAS'!$B$6:$P$500,3,FALSE),"")</f>
        <v>0</v>
      </c>
      <c r="D294" s="28">
        <f>IFERROR(VLOOKUP(B294,'SAÍDA DE VENDAS'!$B$6:$P$500,4,FALSE),"")</f>
        <v>0</v>
      </c>
      <c r="E294" s="28" t="str">
        <f>IFERROR(VLOOKUP(B294,'SAÍDA DE VENDAS'!$B$6:$P$500,5,FALSE),"")</f>
        <v/>
      </c>
      <c r="F294" s="28" t="str">
        <f>IF(OR(ISBLANK(B294),B294=""), "", IFERROR(INDEX('SAÍDA DE VENDAS'!$H$6:$H$500 &amp; "x " &amp; 'SAÍDA DE VENDAS'!$G$6:$G$500, MATCH(B294, 'SAÍDA DE VENDAS'!$B$6:$B$500, 0)), "")&amp; IF(COUNTIF('SAÍDA DE VENDAS'!$B$6:$B$500, B294)&gt;1, " + " &amp; IFERROR(INDEX('SAÍDA DE VENDAS'!$H$6:$H$500 &amp; "x " &amp; 'SAÍDA DE VENDAS'!$G$6:$G$500, MATCH(B294, 'SAÍDA DE VENDAS'!$B$6:$B$500, 0)+1), ""), "")&amp; IF(COUNTIF('SAÍDA DE VENDAS'!$B$6:$B$500, B294)&gt;2, " + " &amp; IFERROR(INDEX('SAÍDA DE VENDAS'!$H$6:$H$500 &amp; "x " &amp; 'SAÍDA DE VENDAS'!$G$6:$G$500, MATCH(B294, 'SAÍDA DE VENDAS'!$B$6:$B$500, 0)+2), ""), "")&amp; IF(COUNTIF('SAÍDA DE VENDAS'!$B$6:$B$500, B294)&gt;3, " + " &amp; IFERROR(INDEX('SAÍDA DE VENDAS'!$H$6:$H$500 &amp; "x " &amp; 'SAÍDA DE VENDAS'!$G$6:$G$500, MATCH(B294, 'SAÍDA DE VENDAS'!$B$6:$B$500, 0)+3), ""), "")&amp; IF(COUNTIF('SAÍDA DE VENDAS'!$B$6:$B$500, B294)&gt;4, " + " &amp; IFERROR(INDEX('SAÍDA DE VENDAS'!$H$6:$H$500 &amp; "x " &amp; 'SAÍDA DE VENDAS'!$G$6:$G$500, MATCH(B294, 'SAÍDA DE VENDAS'!$B$6:$B$500, 0)+4), ""), "")&amp; IF(COUNTIF('SAÍDA DE VENDAS'!$B$6:$B$500, B294)&gt;5, " + " &amp; IFERROR(INDEX('SAÍDA DE VENDAS'!$H$6:$H$500 &amp; "x " &amp; 'SAÍDA DE VENDAS'!$G$6:$G$500, MATCH(B294, 'SAÍDA DE VENDAS'!$B$6:$B$500, 0)+5), ""), ""))</f>
        <v/>
      </c>
      <c r="G294" s="28">
        <f>IFERROR(VLOOKUP(B294,'SAÍDA DE VENDAS'!$B$6:$P$500,10,FALSE),"")</f>
        <v>0</v>
      </c>
      <c r="H294" s="28" t="str">
        <f>IF(OR(ISBLANK(B294),B294=""), "", IF(B294=B293, (VALUE(LEFT(H293,FIND("/",H293)-1))+1)&amp;"/"&amp;RIGHT(H293,LEN(H293)-FIND("/",H293)), "1/"&amp;IFERROR(VLOOKUP(B294,'SAÍDA DE VENDAS'!$B$6:$P$500,13,FALSE),"1")))</f>
        <v/>
      </c>
      <c r="I294" s="69" t="str">
        <f t="shared" si="8"/>
        <v/>
      </c>
      <c r="J294" s="33" t="str">
        <f>IFERROR(VLOOKUP(B294,'SAÍDA DE VENDAS'!$B$6:$P$500,15,FALSE),"")</f>
        <v/>
      </c>
      <c r="K294" s="28" t="str">
        <f t="shared" ca="1" si="9"/>
        <v/>
      </c>
      <c r="L294" s="28"/>
      <c r="M294" s="28"/>
    </row>
    <row r="295" spans="2:13" ht="15" customHeight="1" x14ac:dyDescent="0.3">
      <c r="B295" s="34" t="str">
        <f>IF(B294="","", IF(VALUE(LEFT(H294,FIND("/",H294)-1)) &lt; VALUE(RIGHT(H294,LEN(H294)-FIND("/",H294))), B294, IFERROR(INDEX('SAÍDA DE VENDAS'!$B$6:$B$500, MATCH(B294,'SAÍDA DE VENDAS'!$B$6:$B$500,0)+COUNTIF('SAÍDA DE VENDAS'!$B$6:$B$500, B294)),"")))</f>
        <v/>
      </c>
      <c r="C295" s="35">
        <f>IFERROR(VLOOKUP(B295,'SAÍDA DE VENDAS'!$B$6:$P$500,3,FALSE),"")</f>
        <v>0</v>
      </c>
      <c r="D295" s="34">
        <f>IFERROR(VLOOKUP(B295,'SAÍDA DE VENDAS'!$B$6:$P$500,4,FALSE),"")</f>
        <v>0</v>
      </c>
      <c r="E295" s="34" t="str">
        <f>IFERROR(VLOOKUP(B295,'SAÍDA DE VENDAS'!$B$6:$P$500,5,FALSE),"")</f>
        <v/>
      </c>
      <c r="F295" s="34" t="str">
        <f>IF(OR(ISBLANK(B295),B295=""), "", IFERROR(INDEX('SAÍDA DE VENDAS'!$H$6:$H$500 &amp; "x " &amp; 'SAÍDA DE VENDAS'!$G$6:$G$500, MATCH(B295, 'SAÍDA DE VENDAS'!$B$6:$B$500, 0)), "")&amp; IF(COUNTIF('SAÍDA DE VENDAS'!$B$6:$B$500, B295)&gt;1, " + " &amp; IFERROR(INDEX('SAÍDA DE VENDAS'!$H$6:$H$500 &amp; "x " &amp; 'SAÍDA DE VENDAS'!$G$6:$G$500, MATCH(B295, 'SAÍDA DE VENDAS'!$B$6:$B$500, 0)+1), ""), "")&amp; IF(COUNTIF('SAÍDA DE VENDAS'!$B$6:$B$500, B295)&gt;2, " + " &amp; IFERROR(INDEX('SAÍDA DE VENDAS'!$H$6:$H$500 &amp; "x " &amp; 'SAÍDA DE VENDAS'!$G$6:$G$500, MATCH(B295, 'SAÍDA DE VENDAS'!$B$6:$B$500, 0)+2), ""), "")&amp; IF(COUNTIF('SAÍDA DE VENDAS'!$B$6:$B$500, B295)&gt;3, " + " &amp; IFERROR(INDEX('SAÍDA DE VENDAS'!$H$6:$H$500 &amp; "x " &amp; 'SAÍDA DE VENDAS'!$G$6:$G$500, MATCH(B295, 'SAÍDA DE VENDAS'!$B$6:$B$500, 0)+3), ""), "")&amp; IF(COUNTIF('SAÍDA DE VENDAS'!$B$6:$B$500, B295)&gt;4, " + " &amp; IFERROR(INDEX('SAÍDA DE VENDAS'!$H$6:$H$500 &amp; "x " &amp; 'SAÍDA DE VENDAS'!$G$6:$G$500, MATCH(B295, 'SAÍDA DE VENDAS'!$B$6:$B$500, 0)+4), ""), "")&amp; IF(COUNTIF('SAÍDA DE VENDAS'!$B$6:$B$500, B295)&gt;5, " + " &amp; IFERROR(INDEX('SAÍDA DE VENDAS'!$H$6:$H$500 &amp; "x " &amp; 'SAÍDA DE VENDAS'!$G$6:$G$500, MATCH(B295, 'SAÍDA DE VENDAS'!$B$6:$B$500, 0)+5), ""), ""))</f>
        <v/>
      </c>
      <c r="G295" s="34">
        <f>IFERROR(VLOOKUP(B295,'SAÍDA DE VENDAS'!$B$6:$P$500,10,FALSE),"")</f>
        <v>0</v>
      </c>
      <c r="H295" s="34" t="str">
        <f>IF(OR(ISBLANK(B295),B295=""), "", IF(B295=B294, (VALUE(LEFT(H294,FIND("/",H294)-1))+1)&amp;"/"&amp;RIGHT(H294,LEN(H294)-FIND("/",H294)), "1/"&amp;IFERROR(VLOOKUP(B295,'SAÍDA DE VENDAS'!$B$6:$P$500,13,FALSE),"1")))</f>
        <v/>
      </c>
      <c r="I295" s="35" t="str">
        <f t="shared" si="8"/>
        <v/>
      </c>
      <c r="J295" s="39" t="str">
        <f>IFERROR(VLOOKUP(B295,'SAÍDA DE VENDAS'!$B$6:$P$500,15,FALSE),"")</f>
        <v/>
      </c>
      <c r="K295" s="34" t="str">
        <f t="shared" ca="1" si="9"/>
        <v/>
      </c>
      <c r="L295" s="34"/>
      <c r="M295" s="34"/>
    </row>
    <row r="296" spans="2:13" ht="15" customHeight="1" x14ac:dyDescent="0.3">
      <c r="B296" s="28" t="str">
        <f>IF(B295="","", IF(VALUE(LEFT(H295,FIND("/",H295)-1)) &lt; VALUE(RIGHT(H295,LEN(H295)-FIND("/",H295))), B295, IFERROR(INDEX('SAÍDA DE VENDAS'!$B$6:$B$500, MATCH(B295,'SAÍDA DE VENDAS'!$B$6:$B$500,0)+COUNTIF('SAÍDA DE VENDAS'!$B$6:$B$500, B295)),"")))</f>
        <v/>
      </c>
      <c r="C296" s="29">
        <f>IFERROR(VLOOKUP(B296,'SAÍDA DE VENDAS'!$B$6:$P$500,3,FALSE),"")</f>
        <v>0</v>
      </c>
      <c r="D296" s="28">
        <f>IFERROR(VLOOKUP(B296,'SAÍDA DE VENDAS'!$B$6:$P$500,4,FALSE),"")</f>
        <v>0</v>
      </c>
      <c r="E296" s="28" t="str">
        <f>IFERROR(VLOOKUP(B296,'SAÍDA DE VENDAS'!$B$6:$P$500,5,FALSE),"")</f>
        <v/>
      </c>
      <c r="F296" s="28" t="str">
        <f>IF(OR(ISBLANK(B296),B296=""), "", IFERROR(INDEX('SAÍDA DE VENDAS'!$H$6:$H$500 &amp; "x " &amp; 'SAÍDA DE VENDAS'!$G$6:$G$500, MATCH(B296, 'SAÍDA DE VENDAS'!$B$6:$B$500, 0)), "")&amp; IF(COUNTIF('SAÍDA DE VENDAS'!$B$6:$B$500, B296)&gt;1, " + " &amp; IFERROR(INDEX('SAÍDA DE VENDAS'!$H$6:$H$500 &amp; "x " &amp; 'SAÍDA DE VENDAS'!$G$6:$G$500, MATCH(B296, 'SAÍDA DE VENDAS'!$B$6:$B$500, 0)+1), ""), "")&amp; IF(COUNTIF('SAÍDA DE VENDAS'!$B$6:$B$500, B296)&gt;2, " + " &amp; IFERROR(INDEX('SAÍDA DE VENDAS'!$H$6:$H$500 &amp; "x " &amp; 'SAÍDA DE VENDAS'!$G$6:$G$500, MATCH(B296, 'SAÍDA DE VENDAS'!$B$6:$B$500, 0)+2), ""), "")&amp; IF(COUNTIF('SAÍDA DE VENDAS'!$B$6:$B$500, B296)&gt;3, " + " &amp; IFERROR(INDEX('SAÍDA DE VENDAS'!$H$6:$H$500 &amp; "x " &amp; 'SAÍDA DE VENDAS'!$G$6:$G$500, MATCH(B296, 'SAÍDA DE VENDAS'!$B$6:$B$500, 0)+3), ""), "")&amp; IF(COUNTIF('SAÍDA DE VENDAS'!$B$6:$B$500, B296)&gt;4, " + " &amp; IFERROR(INDEX('SAÍDA DE VENDAS'!$H$6:$H$500 &amp; "x " &amp; 'SAÍDA DE VENDAS'!$G$6:$G$500, MATCH(B296, 'SAÍDA DE VENDAS'!$B$6:$B$500, 0)+4), ""), "")&amp; IF(COUNTIF('SAÍDA DE VENDAS'!$B$6:$B$500, B296)&gt;5, " + " &amp; IFERROR(INDEX('SAÍDA DE VENDAS'!$H$6:$H$500 &amp; "x " &amp; 'SAÍDA DE VENDAS'!$G$6:$G$500, MATCH(B296, 'SAÍDA DE VENDAS'!$B$6:$B$500, 0)+5), ""), ""))</f>
        <v/>
      </c>
      <c r="G296" s="28">
        <f>IFERROR(VLOOKUP(B296,'SAÍDA DE VENDAS'!$B$6:$P$500,10,FALSE),"")</f>
        <v>0</v>
      </c>
      <c r="H296" s="28" t="str">
        <f>IF(OR(ISBLANK(B296),B296=""), "", IF(B296=B295, (VALUE(LEFT(H295,FIND("/",H295)-1))+1)&amp;"/"&amp;RIGHT(H295,LEN(H295)-FIND("/",H295)), "1/"&amp;IFERROR(VLOOKUP(B296,'SAÍDA DE VENDAS'!$B$6:$P$500,13,FALSE),"1")))</f>
        <v/>
      </c>
      <c r="I296" s="69" t="str">
        <f t="shared" si="8"/>
        <v/>
      </c>
      <c r="J296" s="33" t="str">
        <f>IFERROR(VLOOKUP(B296,'SAÍDA DE VENDAS'!$B$6:$P$500,15,FALSE),"")</f>
        <v/>
      </c>
      <c r="K296" s="28" t="str">
        <f t="shared" ca="1" si="9"/>
        <v/>
      </c>
      <c r="L296" s="28"/>
      <c r="M296" s="28"/>
    </row>
    <row r="297" spans="2:13" ht="15" customHeight="1" x14ac:dyDescent="0.3">
      <c r="B297" s="34" t="str">
        <f>IF(B296="","", IF(VALUE(LEFT(H296,FIND("/",H296)-1)) &lt; VALUE(RIGHT(H296,LEN(H296)-FIND("/",H296))), B296, IFERROR(INDEX('SAÍDA DE VENDAS'!$B$6:$B$500, MATCH(B296,'SAÍDA DE VENDAS'!$B$6:$B$500,0)+COUNTIF('SAÍDA DE VENDAS'!$B$6:$B$500, B296)),"")))</f>
        <v/>
      </c>
      <c r="C297" s="35">
        <f>IFERROR(VLOOKUP(B297,'SAÍDA DE VENDAS'!$B$6:$P$500,3,FALSE),"")</f>
        <v>0</v>
      </c>
      <c r="D297" s="34">
        <f>IFERROR(VLOOKUP(B297,'SAÍDA DE VENDAS'!$B$6:$P$500,4,FALSE),"")</f>
        <v>0</v>
      </c>
      <c r="E297" s="34" t="str">
        <f>IFERROR(VLOOKUP(B297,'SAÍDA DE VENDAS'!$B$6:$P$500,5,FALSE),"")</f>
        <v/>
      </c>
      <c r="F297" s="34" t="str">
        <f>IF(OR(ISBLANK(B297),B297=""), "", IFERROR(INDEX('SAÍDA DE VENDAS'!$H$6:$H$500 &amp; "x " &amp; 'SAÍDA DE VENDAS'!$G$6:$G$500, MATCH(B297, 'SAÍDA DE VENDAS'!$B$6:$B$500, 0)), "")&amp; IF(COUNTIF('SAÍDA DE VENDAS'!$B$6:$B$500, B297)&gt;1, " + " &amp; IFERROR(INDEX('SAÍDA DE VENDAS'!$H$6:$H$500 &amp; "x " &amp; 'SAÍDA DE VENDAS'!$G$6:$G$500, MATCH(B297, 'SAÍDA DE VENDAS'!$B$6:$B$500, 0)+1), ""), "")&amp; IF(COUNTIF('SAÍDA DE VENDAS'!$B$6:$B$500, B297)&gt;2, " + " &amp; IFERROR(INDEX('SAÍDA DE VENDAS'!$H$6:$H$500 &amp; "x " &amp; 'SAÍDA DE VENDAS'!$G$6:$G$500, MATCH(B297, 'SAÍDA DE VENDAS'!$B$6:$B$500, 0)+2), ""), "")&amp; IF(COUNTIF('SAÍDA DE VENDAS'!$B$6:$B$500, B297)&gt;3, " + " &amp; IFERROR(INDEX('SAÍDA DE VENDAS'!$H$6:$H$500 &amp; "x " &amp; 'SAÍDA DE VENDAS'!$G$6:$G$500, MATCH(B297, 'SAÍDA DE VENDAS'!$B$6:$B$500, 0)+3), ""), "")&amp; IF(COUNTIF('SAÍDA DE VENDAS'!$B$6:$B$500, B297)&gt;4, " + " &amp; IFERROR(INDEX('SAÍDA DE VENDAS'!$H$6:$H$500 &amp; "x " &amp; 'SAÍDA DE VENDAS'!$G$6:$G$500, MATCH(B297, 'SAÍDA DE VENDAS'!$B$6:$B$500, 0)+4), ""), "")&amp; IF(COUNTIF('SAÍDA DE VENDAS'!$B$6:$B$500, B297)&gt;5, " + " &amp; IFERROR(INDEX('SAÍDA DE VENDAS'!$H$6:$H$500 &amp; "x " &amp; 'SAÍDA DE VENDAS'!$G$6:$G$500, MATCH(B297, 'SAÍDA DE VENDAS'!$B$6:$B$500, 0)+5), ""), ""))</f>
        <v/>
      </c>
      <c r="G297" s="34">
        <f>IFERROR(VLOOKUP(B297,'SAÍDA DE VENDAS'!$B$6:$P$500,10,FALSE),"")</f>
        <v>0</v>
      </c>
      <c r="H297" s="34" t="str">
        <f>IF(OR(ISBLANK(B297),B297=""), "", IF(B297=B296, (VALUE(LEFT(H296,FIND("/",H296)-1))+1)&amp;"/"&amp;RIGHT(H296,LEN(H296)-FIND("/",H296)), "1/"&amp;IFERROR(VLOOKUP(B297,'SAÍDA DE VENDAS'!$B$6:$P$500,13,FALSE),"1")))</f>
        <v/>
      </c>
      <c r="I297" s="35" t="str">
        <f t="shared" si="8"/>
        <v/>
      </c>
      <c r="J297" s="39" t="str">
        <f>IFERROR(VLOOKUP(B297,'SAÍDA DE VENDAS'!$B$6:$P$500,15,FALSE),"")</f>
        <v/>
      </c>
      <c r="K297" s="34" t="str">
        <f t="shared" ca="1" si="9"/>
        <v/>
      </c>
      <c r="L297" s="34"/>
      <c r="M297" s="34"/>
    </row>
    <row r="298" spans="2:13" ht="15" customHeight="1" x14ac:dyDescent="0.3">
      <c r="B298" s="28" t="str">
        <f>IF(B297="","", IF(VALUE(LEFT(H297,FIND("/",H297)-1)) &lt; VALUE(RIGHT(H297,LEN(H297)-FIND("/",H297))), B297, IFERROR(INDEX('SAÍDA DE VENDAS'!$B$6:$B$500, MATCH(B297,'SAÍDA DE VENDAS'!$B$6:$B$500,0)+COUNTIF('SAÍDA DE VENDAS'!$B$6:$B$500, B297)),"")))</f>
        <v/>
      </c>
      <c r="C298" s="29">
        <f>IFERROR(VLOOKUP(B298,'SAÍDA DE VENDAS'!$B$6:$P$500,3,FALSE),"")</f>
        <v>0</v>
      </c>
      <c r="D298" s="28">
        <f>IFERROR(VLOOKUP(B298,'SAÍDA DE VENDAS'!$B$6:$P$500,4,FALSE),"")</f>
        <v>0</v>
      </c>
      <c r="E298" s="28" t="str">
        <f>IFERROR(VLOOKUP(B298,'SAÍDA DE VENDAS'!$B$6:$P$500,5,FALSE),"")</f>
        <v/>
      </c>
      <c r="F298" s="28" t="str">
        <f>IF(OR(ISBLANK(B298),B298=""), "", IFERROR(INDEX('SAÍDA DE VENDAS'!$H$6:$H$500 &amp; "x " &amp; 'SAÍDA DE VENDAS'!$G$6:$G$500, MATCH(B298, 'SAÍDA DE VENDAS'!$B$6:$B$500, 0)), "")&amp; IF(COUNTIF('SAÍDA DE VENDAS'!$B$6:$B$500, B298)&gt;1, " + " &amp; IFERROR(INDEX('SAÍDA DE VENDAS'!$H$6:$H$500 &amp; "x " &amp; 'SAÍDA DE VENDAS'!$G$6:$G$500, MATCH(B298, 'SAÍDA DE VENDAS'!$B$6:$B$500, 0)+1), ""), "")&amp; IF(COUNTIF('SAÍDA DE VENDAS'!$B$6:$B$500, B298)&gt;2, " + " &amp; IFERROR(INDEX('SAÍDA DE VENDAS'!$H$6:$H$500 &amp; "x " &amp; 'SAÍDA DE VENDAS'!$G$6:$G$500, MATCH(B298, 'SAÍDA DE VENDAS'!$B$6:$B$500, 0)+2), ""), "")&amp; IF(COUNTIF('SAÍDA DE VENDAS'!$B$6:$B$500, B298)&gt;3, " + " &amp; IFERROR(INDEX('SAÍDA DE VENDAS'!$H$6:$H$500 &amp; "x " &amp; 'SAÍDA DE VENDAS'!$G$6:$G$500, MATCH(B298, 'SAÍDA DE VENDAS'!$B$6:$B$500, 0)+3), ""), "")&amp; IF(COUNTIF('SAÍDA DE VENDAS'!$B$6:$B$500, B298)&gt;4, " + " &amp; IFERROR(INDEX('SAÍDA DE VENDAS'!$H$6:$H$500 &amp; "x " &amp; 'SAÍDA DE VENDAS'!$G$6:$G$500, MATCH(B298, 'SAÍDA DE VENDAS'!$B$6:$B$500, 0)+4), ""), "")&amp; IF(COUNTIF('SAÍDA DE VENDAS'!$B$6:$B$500, B298)&gt;5, " + " &amp; IFERROR(INDEX('SAÍDA DE VENDAS'!$H$6:$H$500 &amp; "x " &amp; 'SAÍDA DE VENDAS'!$G$6:$G$500, MATCH(B298, 'SAÍDA DE VENDAS'!$B$6:$B$500, 0)+5), ""), ""))</f>
        <v/>
      </c>
      <c r="G298" s="28">
        <f>IFERROR(VLOOKUP(B298,'SAÍDA DE VENDAS'!$B$6:$P$500,10,FALSE),"")</f>
        <v>0</v>
      </c>
      <c r="H298" s="28" t="str">
        <f>IF(OR(ISBLANK(B298),B298=""), "", IF(B298=B297, (VALUE(LEFT(H297,FIND("/",H297)-1))+1)&amp;"/"&amp;RIGHT(H297,LEN(H297)-FIND("/",H297)), "1/"&amp;IFERROR(VLOOKUP(B298,'SAÍDA DE VENDAS'!$B$6:$P$500,13,FALSE),"1")))</f>
        <v/>
      </c>
      <c r="I298" s="69" t="str">
        <f t="shared" si="8"/>
        <v/>
      </c>
      <c r="J298" s="33" t="str">
        <f>IFERROR(VLOOKUP(B298,'SAÍDA DE VENDAS'!$B$6:$P$500,15,FALSE),"")</f>
        <v/>
      </c>
      <c r="K298" s="28" t="str">
        <f t="shared" ca="1" si="9"/>
        <v/>
      </c>
      <c r="L298" s="28"/>
      <c r="M298" s="28"/>
    </row>
    <row r="299" spans="2:13" ht="15" customHeight="1" x14ac:dyDescent="0.3">
      <c r="B299" s="34" t="str">
        <f>IF(B298="","", IF(VALUE(LEFT(H298,FIND("/",H298)-1)) &lt; VALUE(RIGHT(H298,LEN(H298)-FIND("/",H298))), B298, IFERROR(INDEX('SAÍDA DE VENDAS'!$B$6:$B$500, MATCH(B298,'SAÍDA DE VENDAS'!$B$6:$B$500,0)+COUNTIF('SAÍDA DE VENDAS'!$B$6:$B$500, B298)),"")))</f>
        <v/>
      </c>
      <c r="C299" s="35">
        <f>IFERROR(VLOOKUP(B299,'SAÍDA DE VENDAS'!$B$6:$P$500,3,FALSE),"")</f>
        <v>0</v>
      </c>
      <c r="D299" s="34">
        <f>IFERROR(VLOOKUP(B299,'SAÍDA DE VENDAS'!$B$6:$P$500,4,FALSE),"")</f>
        <v>0</v>
      </c>
      <c r="E299" s="34" t="str">
        <f>IFERROR(VLOOKUP(B299,'SAÍDA DE VENDAS'!$B$6:$P$500,5,FALSE),"")</f>
        <v/>
      </c>
      <c r="F299" s="34" t="str">
        <f>IF(OR(ISBLANK(B299),B299=""), "", IFERROR(INDEX('SAÍDA DE VENDAS'!$H$6:$H$500 &amp; "x " &amp; 'SAÍDA DE VENDAS'!$G$6:$G$500, MATCH(B299, 'SAÍDA DE VENDAS'!$B$6:$B$500, 0)), "")&amp; IF(COUNTIF('SAÍDA DE VENDAS'!$B$6:$B$500, B299)&gt;1, " + " &amp; IFERROR(INDEX('SAÍDA DE VENDAS'!$H$6:$H$500 &amp; "x " &amp; 'SAÍDA DE VENDAS'!$G$6:$G$500, MATCH(B299, 'SAÍDA DE VENDAS'!$B$6:$B$500, 0)+1), ""), "")&amp; IF(COUNTIF('SAÍDA DE VENDAS'!$B$6:$B$500, B299)&gt;2, " + " &amp; IFERROR(INDEX('SAÍDA DE VENDAS'!$H$6:$H$500 &amp; "x " &amp; 'SAÍDA DE VENDAS'!$G$6:$G$500, MATCH(B299, 'SAÍDA DE VENDAS'!$B$6:$B$500, 0)+2), ""), "")&amp; IF(COUNTIF('SAÍDA DE VENDAS'!$B$6:$B$500, B299)&gt;3, " + " &amp; IFERROR(INDEX('SAÍDA DE VENDAS'!$H$6:$H$500 &amp; "x " &amp; 'SAÍDA DE VENDAS'!$G$6:$G$500, MATCH(B299, 'SAÍDA DE VENDAS'!$B$6:$B$500, 0)+3), ""), "")&amp; IF(COUNTIF('SAÍDA DE VENDAS'!$B$6:$B$500, B299)&gt;4, " + " &amp; IFERROR(INDEX('SAÍDA DE VENDAS'!$H$6:$H$500 &amp; "x " &amp; 'SAÍDA DE VENDAS'!$G$6:$G$500, MATCH(B299, 'SAÍDA DE VENDAS'!$B$6:$B$500, 0)+4), ""), "")&amp; IF(COUNTIF('SAÍDA DE VENDAS'!$B$6:$B$500, B299)&gt;5, " + " &amp; IFERROR(INDEX('SAÍDA DE VENDAS'!$H$6:$H$500 &amp; "x " &amp; 'SAÍDA DE VENDAS'!$G$6:$G$500, MATCH(B299, 'SAÍDA DE VENDAS'!$B$6:$B$500, 0)+5), ""), ""))</f>
        <v/>
      </c>
      <c r="G299" s="34">
        <f>IFERROR(VLOOKUP(B299,'SAÍDA DE VENDAS'!$B$6:$P$500,10,FALSE),"")</f>
        <v>0</v>
      </c>
      <c r="H299" s="34" t="str">
        <f>IF(OR(ISBLANK(B299),B299=""), "", IF(B299=B298, (VALUE(LEFT(H298,FIND("/",H298)-1))+1)&amp;"/"&amp;RIGHT(H298,LEN(H298)-FIND("/",H298)), "1/"&amp;IFERROR(VLOOKUP(B299,'SAÍDA DE VENDAS'!$B$6:$P$500,13,FALSE),"1")))</f>
        <v/>
      </c>
      <c r="I299" s="35" t="str">
        <f t="shared" si="8"/>
        <v/>
      </c>
      <c r="J299" s="39" t="str">
        <f>IFERROR(VLOOKUP(B299,'SAÍDA DE VENDAS'!$B$6:$P$500,15,FALSE),"")</f>
        <v/>
      </c>
      <c r="K299" s="34" t="str">
        <f t="shared" ca="1" si="9"/>
        <v/>
      </c>
      <c r="L299" s="34"/>
      <c r="M299" s="34"/>
    </row>
    <row r="300" spans="2:13" ht="15" customHeight="1" x14ac:dyDescent="0.3">
      <c r="B300" s="28" t="str">
        <f>IF(B299="","", IF(VALUE(LEFT(H299,FIND("/",H299)-1)) &lt; VALUE(RIGHT(H299,LEN(H299)-FIND("/",H299))), B299, IFERROR(INDEX('SAÍDA DE VENDAS'!$B$6:$B$500, MATCH(B299,'SAÍDA DE VENDAS'!$B$6:$B$500,0)+COUNTIF('SAÍDA DE VENDAS'!$B$6:$B$500, B299)),"")))</f>
        <v/>
      </c>
      <c r="C300" s="29">
        <f>IFERROR(VLOOKUP(B300,'SAÍDA DE VENDAS'!$B$6:$P$500,3,FALSE),"")</f>
        <v>0</v>
      </c>
      <c r="D300" s="28">
        <f>IFERROR(VLOOKUP(B300,'SAÍDA DE VENDAS'!$B$6:$P$500,4,FALSE),"")</f>
        <v>0</v>
      </c>
      <c r="E300" s="28" t="str">
        <f>IFERROR(VLOOKUP(B300,'SAÍDA DE VENDAS'!$B$6:$P$500,5,FALSE),"")</f>
        <v/>
      </c>
      <c r="F300" s="28" t="str">
        <f>IF(OR(ISBLANK(B300),B300=""), "", IFERROR(INDEX('SAÍDA DE VENDAS'!$H$6:$H$500 &amp; "x " &amp; 'SAÍDA DE VENDAS'!$G$6:$G$500, MATCH(B300, 'SAÍDA DE VENDAS'!$B$6:$B$500, 0)), "")&amp; IF(COUNTIF('SAÍDA DE VENDAS'!$B$6:$B$500, B300)&gt;1, " + " &amp; IFERROR(INDEX('SAÍDA DE VENDAS'!$H$6:$H$500 &amp; "x " &amp; 'SAÍDA DE VENDAS'!$G$6:$G$500, MATCH(B300, 'SAÍDA DE VENDAS'!$B$6:$B$500, 0)+1), ""), "")&amp; IF(COUNTIF('SAÍDA DE VENDAS'!$B$6:$B$500, B300)&gt;2, " + " &amp; IFERROR(INDEX('SAÍDA DE VENDAS'!$H$6:$H$500 &amp; "x " &amp; 'SAÍDA DE VENDAS'!$G$6:$G$500, MATCH(B300, 'SAÍDA DE VENDAS'!$B$6:$B$500, 0)+2), ""), "")&amp; IF(COUNTIF('SAÍDA DE VENDAS'!$B$6:$B$500, B300)&gt;3, " + " &amp; IFERROR(INDEX('SAÍDA DE VENDAS'!$H$6:$H$500 &amp; "x " &amp; 'SAÍDA DE VENDAS'!$G$6:$G$500, MATCH(B300, 'SAÍDA DE VENDAS'!$B$6:$B$500, 0)+3), ""), "")&amp; IF(COUNTIF('SAÍDA DE VENDAS'!$B$6:$B$500, B300)&gt;4, " + " &amp; IFERROR(INDEX('SAÍDA DE VENDAS'!$H$6:$H$500 &amp; "x " &amp; 'SAÍDA DE VENDAS'!$G$6:$G$500, MATCH(B300, 'SAÍDA DE VENDAS'!$B$6:$B$500, 0)+4), ""), "")&amp; IF(COUNTIF('SAÍDA DE VENDAS'!$B$6:$B$500, B300)&gt;5, " + " &amp; IFERROR(INDEX('SAÍDA DE VENDAS'!$H$6:$H$500 &amp; "x " &amp; 'SAÍDA DE VENDAS'!$G$6:$G$500, MATCH(B300, 'SAÍDA DE VENDAS'!$B$6:$B$500, 0)+5), ""), ""))</f>
        <v/>
      </c>
      <c r="G300" s="28">
        <f>IFERROR(VLOOKUP(B300,'SAÍDA DE VENDAS'!$B$6:$P$500,10,FALSE),"")</f>
        <v>0</v>
      </c>
      <c r="H300" s="28" t="str">
        <f>IF(OR(ISBLANK(B300),B300=""), "", IF(B300=B299, (VALUE(LEFT(H299,FIND("/",H299)-1))+1)&amp;"/"&amp;RIGHT(H299,LEN(H299)-FIND("/",H299)), "1/"&amp;IFERROR(VLOOKUP(B300,'SAÍDA DE VENDAS'!$B$6:$P$500,13,FALSE),"1")))</f>
        <v/>
      </c>
      <c r="I300" s="69" t="str">
        <f t="shared" si="8"/>
        <v/>
      </c>
      <c r="J300" s="33" t="str">
        <f>IFERROR(VLOOKUP(B300,'SAÍDA DE VENDAS'!$B$6:$P$500,15,FALSE),"")</f>
        <v/>
      </c>
      <c r="K300" s="28" t="str">
        <f t="shared" ca="1" si="9"/>
        <v/>
      </c>
      <c r="L300" s="28"/>
      <c r="M300" s="28"/>
    </row>
    <row r="301" spans="2:13" ht="15" customHeight="1" x14ac:dyDescent="0.3">
      <c r="B301" s="34" t="str">
        <f>IF(B300="","", IF(VALUE(LEFT(H300,FIND("/",H300)-1)) &lt; VALUE(RIGHT(H300,LEN(H300)-FIND("/",H300))), B300, IFERROR(INDEX('SAÍDA DE VENDAS'!$B$6:$B$500, MATCH(B300,'SAÍDA DE VENDAS'!$B$6:$B$500,0)+COUNTIF('SAÍDA DE VENDAS'!$B$6:$B$500, B300)),"")))</f>
        <v/>
      </c>
      <c r="C301" s="35">
        <f>IFERROR(VLOOKUP(B301,'SAÍDA DE VENDAS'!$B$6:$P$500,3,FALSE),"")</f>
        <v>0</v>
      </c>
      <c r="D301" s="34">
        <f>IFERROR(VLOOKUP(B301,'SAÍDA DE VENDAS'!$B$6:$P$500,4,FALSE),"")</f>
        <v>0</v>
      </c>
      <c r="E301" s="34" t="str">
        <f>IFERROR(VLOOKUP(B301,'SAÍDA DE VENDAS'!$B$6:$P$500,5,FALSE),"")</f>
        <v/>
      </c>
      <c r="F301" s="34" t="str">
        <f>IF(OR(ISBLANK(B301),B301=""), "", IFERROR(INDEX('SAÍDA DE VENDAS'!$H$6:$H$500 &amp; "x " &amp; 'SAÍDA DE VENDAS'!$G$6:$G$500, MATCH(B301, 'SAÍDA DE VENDAS'!$B$6:$B$500, 0)), "")&amp; IF(COUNTIF('SAÍDA DE VENDAS'!$B$6:$B$500, B301)&gt;1, " + " &amp; IFERROR(INDEX('SAÍDA DE VENDAS'!$H$6:$H$500 &amp; "x " &amp; 'SAÍDA DE VENDAS'!$G$6:$G$500, MATCH(B301, 'SAÍDA DE VENDAS'!$B$6:$B$500, 0)+1), ""), "")&amp; IF(COUNTIF('SAÍDA DE VENDAS'!$B$6:$B$500, B301)&gt;2, " + " &amp; IFERROR(INDEX('SAÍDA DE VENDAS'!$H$6:$H$500 &amp; "x " &amp; 'SAÍDA DE VENDAS'!$G$6:$G$500, MATCH(B301, 'SAÍDA DE VENDAS'!$B$6:$B$500, 0)+2), ""), "")&amp; IF(COUNTIF('SAÍDA DE VENDAS'!$B$6:$B$500, B301)&gt;3, " + " &amp; IFERROR(INDEX('SAÍDA DE VENDAS'!$H$6:$H$500 &amp; "x " &amp; 'SAÍDA DE VENDAS'!$G$6:$G$500, MATCH(B301, 'SAÍDA DE VENDAS'!$B$6:$B$500, 0)+3), ""), "")&amp; IF(COUNTIF('SAÍDA DE VENDAS'!$B$6:$B$500, B301)&gt;4, " + " &amp; IFERROR(INDEX('SAÍDA DE VENDAS'!$H$6:$H$500 &amp; "x " &amp; 'SAÍDA DE VENDAS'!$G$6:$G$500, MATCH(B301, 'SAÍDA DE VENDAS'!$B$6:$B$500, 0)+4), ""), "")&amp; IF(COUNTIF('SAÍDA DE VENDAS'!$B$6:$B$500, B301)&gt;5, " + " &amp; IFERROR(INDEX('SAÍDA DE VENDAS'!$H$6:$H$500 &amp; "x " &amp; 'SAÍDA DE VENDAS'!$G$6:$G$500, MATCH(B301, 'SAÍDA DE VENDAS'!$B$6:$B$500, 0)+5), ""), ""))</f>
        <v/>
      </c>
      <c r="G301" s="34">
        <f>IFERROR(VLOOKUP(B301,'SAÍDA DE VENDAS'!$B$6:$P$500,10,FALSE),"")</f>
        <v>0</v>
      </c>
      <c r="H301" s="34" t="str">
        <f>IF(OR(ISBLANK(B301),B301=""), "", IF(B301=B300, (VALUE(LEFT(H300,FIND("/",H300)-1))+1)&amp;"/"&amp;RIGHT(H300,LEN(H300)-FIND("/",H300)), "1/"&amp;IFERROR(VLOOKUP(B301,'SAÍDA DE VENDAS'!$B$6:$P$500,13,FALSE),"1")))</f>
        <v/>
      </c>
      <c r="I301" s="35" t="str">
        <f t="shared" si="8"/>
        <v/>
      </c>
      <c r="J301" s="39" t="str">
        <f>IFERROR(VLOOKUP(B301,'SAÍDA DE VENDAS'!$B$6:$P$500,15,FALSE),"")</f>
        <v/>
      </c>
      <c r="K301" s="34" t="str">
        <f t="shared" ca="1" si="9"/>
        <v/>
      </c>
      <c r="L301" s="34"/>
      <c r="M301" s="34"/>
    </row>
    <row r="302" spans="2:13" ht="15" customHeight="1" x14ac:dyDescent="0.3">
      <c r="B302" s="28" t="str">
        <f>IF(B301="","", IF(VALUE(LEFT(H301,FIND("/",H301)-1)) &lt; VALUE(RIGHT(H301,LEN(H301)-FIND("/",H301))), B301, IFERROR(INDEX('SAÍDA DE VENDAS'!$B$6:$B$500, MATCH(B301,'SAÍDA DE VENDAS'!$B$6:$B$500,0)+COUNTIF('SAÍDA DE VENDAS'!$B$6:$B$500, B301)),"")))</f>
        <v/>
      </c>
      <c r="C302" s="29">
        <f>IFERROR(VLOOKUP(B302,'SAÍDA DE VENDAS'!$B$6:$P$500,3,FALSE),"")</f>
        <v>0</v>
      </c>
      <c r="D302" s="28">
        <f>IFERROR(VLOOKUP(B302,'SAÍDA DE VENDAS'!$B$6:$P$500,4,FALSE),"")</f>
        <v>0</v>
      </c>
      <c r="E302" s="28" t="str">
        <f>IFERROR(VLOOKUP(B302,'SAÍDA DE VENDAS'!$B$6:$P$500,5,FALSE),"")</f>
        <v/>
      </c>
      <c r="F302" s="28" t="str">
        <f>IF(OR(ISBLANK(B302),B302=""), "", IFERROR(INDEX('SAÍDA DE VENDAS'!$H$6:$H$500 &amp; "x " &amp; 'SAÍDA DE VENDAS'!$G$6:$G$500, MATCH(B302, 'SAÍDA DE VENDAS'!$B$6:$B$500, 0)), "")&amp; IF(COUNTIF('SAÍDA DE VENDAS'!$B$6:$B$500, B302)&gt;1, " + " &amp; IFERROR(INDEX('SAÍDA DE VENDAS'!$H$6:$H$500 &amp; "x " &amp; 'SAÍDA DE VENDAS'!$G$6:$G$500, MATCH(B302, 'SAÍDA DE VENDAS'!$B$6:$B$500, 0)+1), ""), "")&amp; IF(COUNTIF('SAÍDA DE VENDAS'!$B$6:$B$500, B302)&gt;2, " + " &amp; IFERROR(INDEX('SAÍDA DE VENDAS'!$H$6:$H$500 &amp; "x " &amp; 'SAÍDA DE VENDAS'!$G$6:$G$500, MATCH(B302, 'SAÍDA DE VENDAS'!$B$6:$B$500, 0)+2), ""), "")&amp; IF(COUNTIF('SAÍDA DE VENDAS'!$B$6:$B$500, B302)&gt;3, " + " &amp; IFERROR(INDEX('SAÍDA DE VENDAS'!$H$6:$H$500 &amp; "x " &amp; 'SAÍDA DE VENDAS'!$G$6:$G$500, MATCH(B302, 'SAÍDA DE VENDAS'!$B$6:$B$500, 0)+3), ""), "")&amp; IF(COUNTIF('SAÍDA DE VENDAS'!$B$6:$B$500, B302)&gt;4, " + " &amp; IFERROR(INDEX('SAÍDA DE VENDAS'!$H$6:$H$500 &amp; "x " &amp; 'SAÍDA DE VENDAS'!$G$6:$G$500, MATCH(B302, 'SAÍDA DE VENDAS'!$B$6:$B$500, 0)+4), ""), "")&amp; IF(COUNTIF('SAÍDA DE VENDAS'!$B$6:$B$500, B302)&gt;5, " + " &amp; IFERROR(INDEX('SAÍDA DE VENDAS'!$H$6:$H$500 &amp; "x " &amp; 'SAÍDA DE VENDAS'!$G$6:$G$500, MATCH(B302, 'SAÍDA DE VENDAS'!$B$6:$B$500, 0)+5), ""), ""))</f>
        <v/>
      </c>
      <c r="G302" s="28">
        <f>IFERROR(VLOOKUP(B302,'SAÍDA DE VENDAS'!$B$6:$P$500,10,FALSE),"")</f>
        <v>0</v>
      </c>
      <c r="H302" s="28" t="str">
        <f>IF(OR(ISBLANK(B302),B302=""), "", IF(B302=B301, (VALUE(LEFT(H301,FIND("/",H301)-1))+1)&amp;"/"&amp;RIGHT(H301,LEN(H301)-FIND("/",H301)), "1/"&amp;IFERROR(VLOOKUP(B302,'SAÍDA DE VENDAS'!$B$6:$P$500,13,FALSE),"1")))</f>
        <v/>
      </c>
      <c r="I302" s="69" t="str">
        <f t="shared" si="8"/>
        <v/>
      </c>
      <c r="J302" s="33" t="str">
        <f>IFERROR(VLOOKUP(B302,'SAÍDA DE VENDAS'!$B$6:$P$500,15,FALSE),"")</f>
        <v/>
      </c>
      <c r="K302" s="28" t="str">
        <f t="shared" ca="1" si="9"/>
        <v/>
      </c>
      <c r="L302" s="28"/>
      <c r="M302" s="28"/>
    </row>
    <row r="303" spans="2:13" ht="15" customHeight="1" x14ac:dyDescent="0.3">
      <c r="B303" s="34" t="str">
        <f>IF(B302="","", IF(VALUE(LEFT(H302,FIND("/",H302)-1)) &lt; VALUE(RIGHT(H302,LEN(H302)-FIND("/",H302))), B302, IFERROR(INDEX('SAÍDA DE VENDAS'!$B$6:$B$500, MATCH(B302,'SAÍDA DE VENDAS'!$B$6:$B$500,0)+COUNTIF('SAÍDA DE VENDAS'!$B$6:$B$500, B302)),"")))</f>
        <v/>
      </c>
      <c r="C303" s="35">
        <f>IFERROR(VLOOKUP(B303,'SAÍDA DE VENDAS'!$B$6:$P$500,3,FALSE),"")</f>
        <v>0</v>
      </c>
      <c r="D303" s="34">
        <f>IFERROR(VLOOKUP(B303,'SAÍDA DE VENDAS'!$B$6:$P$500,4,FALSE),"")</f>
        <v>0</v>
      </c>
      <c r="E303" s="34" t="str">
        <f>IFERROR(VLOOKUP(B303,'SAÍDA DE VENDAS'!$B$6:$P$500,5,FALSE),"")</f>
        <v/>
      </c>
      <c r="F303" s="34" t="str">
        <f>IF(OR(ISBLANK(B303),B303=""), "", IFERROR(INDEX('SAÍDA DE VENDAS'!$H$6:$H$500 &amp; "x " &amp; 'SAÍDA DE VENDAS'!$G$6:$G$500, MATCH(B303, 'SAÍDA DE VENDAS'!$B$6:$B$500, 0)), "")&amp; IF(COUNTIF('SAÍDA DE VENDAS'!$B$6:$B$500, B303)&gt;1, " + " &amp; IFERROR(INDEX('SAÍDA DE VENDAS'!$H$6:$H$500 &amp; "x " &amp; 'SAÍDA DE VENDAS'!$G$6:$G$500, MATCH(B303, 'SAÍDA DE VENDAS'!$B$6:$B$500, 0)+1), ""), "")&amp; IF(COUNTIF('SAÍDA DE VENDAS'!$B$6:$B$500, B303)&gt;2, " + " &amp; IFERROR(INDEX('SAÍDA DE VENDAS'!$H$6:$H$500 &amp; "x " &amp; 'SAÍDA DE VENDAS'!$G$6:$G$500, MATCH(B303, 'SAÍDA DE VENDAS'!$B$6:$B$500, 0)+2), ""), "")&amp; IF(COUNTIF('SAÍDA DE VENDAS'!$B$6:$B$500, B303)&gt;3, " + " &amp; IFERROR(INDEX('SAÍDA DE VENDAS'!$H$6:$H$500 &amp; "x " &amp; 'SAÍDA DE VENDAS'!$G$6:$G$500, MATCH(B303, 'SAÍDA DE VENDAS'!$B$6:$B$500, 0)+3), ""), "")&amp; IF(COUNTIF('SAÍDA DE VENDAS'!$B$6:$B$500, B303)&gt;4, " + " &amp; IFERROR(INDEX('SAÍDA DE VENDAS'!$H$6:$H$500 &amp; "x " &amp; 'SAÍDA DE VENDAS'!$G$6:$G$500, MATCH(B303, 'SAÍDA DE VENDAS'!$B$6:$B$500, 0)+4), ""), "")&amp; IF(COUNTIF('SAÍDA DE VENDAS'!$B$6:$B$500, B303)&gt;5, " + " &amp; IFERROR(INDEX('SAÍDA DE VENDAS'!$H$6:$H$500 &amp; "x " &amp; 'SAÍDA DE VENDAS'!$G$6:$G$500, MATCH(B303, 'SAÍDA DE VENDAS'!$B$6:$B$500, 0)+5), ""), ""))</f>
        <v/>
      </c>
      <c r="G303" s="34">
        <f>IFERROR(VLOOKUP(B303,'SAÍDA DE VENDAS'!$B$6:$P$500,10,FALSE),"")</f>
        <v>0</v>
      </c>
      <c r="H303" s="34" t="str">
        <f>IF(OR(ISBLANK(B303),B303=""), "", IF(B303=B302, (VALUE(LEFT(H302,FIND("/",H302)-1))+1)&amp;"/"&amp;RIGHT(H302,LEN(H302)-FIND("/",H302)), "1/"&amp;IFERROR(VLOOKUP(B303,'SAÍDA DE VENDAS'!$B$6:$P$500,13,FALSE),"1")))</f>
        <v/>
      </c>
      <c r="I303" s="35" t="str">
        <f t="shared" si="8"/>
        <v/>
      </c>
      <c r="J303" s="39" t="str">
        <f>IFERROR(VLOOKUP(B303,'SAÍDA DE VENDAS'!$B$6:$P$500,15,FALSE),"")</f>
        <v/>
      </c>
      <c r="K303" s="34" t="str">
        <f t="shared" ca="1" si="9"/>
        <v/>
      </c>
      <c r="L303" s="34"/>
      <c r="M303" s="34"/>
    </row>
    <row r="304" spans="2:13" ht="15" customHeight="1" x14ac:dyDescent="0.3">
      <c r="B304" s="28" t="str">
        <f>IF(B303="","", IF(VALUE(LEFT(H303,FIND("/",H303)-1)) &lt; VALUE(RIGHT(H303,LEN(H303)-FIND("/",H303))), B303, IFERROR(INDEX('SAÍDA DE VENDAS'!$B$6:$B$500, MATCH(B303,'SAÍDA DE VENDAS'!$B$6:$B$500,0)+COUNTIF('SAÍDA DE VENDAS'!$B$6:$B$500, B303)),"")))</f>
        <v/>
      </c>
      <c r="C304" s="29">
        <f>IFERROR(VLOOKUP(B304,'SAÍDA DE VENDAS'!$B$6:$P$500,3,FALSE),"")</f>
        <v>0</v>
      </c>
      <c r="D304" s="28">
        <f>IFERROR(VLOOKUP(B304,'SAÍDA DE VENDAS'!$B$6:$P$500,4,FALSE),"")</f>
        <v>0</v>
      </c>
      <c r="E304" s="28" t="str">
        <f>IFERROR(VLOOKUP(B304,'SAÍDA DE VENDAS'!$B$6:$P$500,5,FALSE),"")</f>
        <v/>
      </c>
      <c r="F304" s="28" t="str">
        <f>IF(OR(ISBLANK(B304),B304=""), "", IFERROR(INDEX('SAÍDA DE VENDAS'!$H$6:$H$500 &amp; "x " &amp; 'SAÍDA DE VENDAS'!$G$6:$G$500, MATCH(B304, 'SAÍDA DE VENDAS'!$B$6:$B$500, 0)), "")&amp; IF(COUNTIF('SAÍDA DE VENDAS'!$B$6:$B$500, B304)&gt;1, " + " &amp; IFERROR(INDEX('SAÍDA DE VENDAS'!$H$6:$H$500 &amp; "x " &amp; 'SAÍDA DE VENDAS'!$G$6:$G$500, MATCH(B304, 'SAÍDA DE VENDAS'!$B$6:$B$500, 0)+1), ""), "")&amp; IF(COUNTIF('SAÍDA DE VENDAS'!$B$6:$B$500, B304)&gt;2, " + " &amp; IFERROR(INDEX('SAÍDA DE VENDAS'!$H$6:$H$500 &amp; "x " &amp; 'SAÍDA DE VENDAS'!$G$6:$G$500, MATCH(B304, 'SAÍDA DE VENDAS'!$B$6:$B$500, 0)+2), ""), "")&amp; IF(COUNTIF('SAÍDA DE VENDAS'!$B$6:$B$500, B304)&gt;3, " + " &amp; IFERROR(INDEX('SAÍDA DE VENDAS'!$H$6:$H$500 &amp; "x " &amp; 'SAÍDA DE VENDAS'!$G$6:$G$500, MATCH(B304, 'SAÍDA DE VENDAS'!$B$6:$B$500, 0)+3), ""), "")&amp; IF(COUNTIF('SAÍDA DE VENDAS'!$B$6:$B$500, B304)&gt;4, " + " &amp; IFERROR(INDEX('SAÍDA DE VENDAS'!$H$6:$H$500 &amp; "x " &amp; 'SAÍDA DE VENDAS'!$G$6:$G$500, MATCH(B304, 'SAÍDA DE VENDAS'!$B$6:$B$500, 0)+4), ""), "")&amp; IF(COUNTIF('SAÍDA DE VENDAS'!$B$6:$B$500, B304)&gt;5, " + " &amp; IFERROR(INDEX('SAÍDA DE VENDAS'!$H$6:$H$500 &amp; "x " &amp; 'SAÍDA DE VENDAS'!$G$6:$G$500, MATCH(B304, 'SAÍDA DE VENDAS'!$B$6:$B$500, 0)+5), ""), ""))</f>
        <v/>
      </c>
      <c r="G304" s="28">
        <f>IFERROR(VLOOKUP(B304,'SAÍDA DE VENDAS'!$B$6:$P$500,10,FALSE),"")</f>
        <v>0</v>
      </c>
      <c r="H304" s="28" t="str">
        <f>IF(OR(ISBLANK(B304),B304=""), "", IF(B304=B303, (VALUE(LEFT(H303,FIND("/",H303)-1))+1)&amp;"/"&amp;RIGHT(H303,LEN(H303)-FIND("/",H303)), "1/"&amp;IFERROR(VLOOKUP(B304,'SAÍDA DE VENDAS'!$B$6:$P$500,13,FALSE),"1")))</f>
        <v/>
      </c>
      <c r="I304" s="69" t="str">
        <f t="shared" si="8"/>
        <v/>
      </c>
      <c r="J304" s="33" t="str">
        <f>IFERROR(VLOOKUP(B304,'SAÍDA DE VENDAS'!$B$6:$P$500,15,FALSE),"")</f>
        <v/>
      </c>
      <c r="K304" s="28" t="str">
        <f t="shared" ca="1" si="9"/>
        <v/>
      </c>
      <c r="L304" s="28"/>
      <c r="M304" s="28"/>
    </row>
    <row r="305" spans="2:13" ht="15" customHeight="1" x14ac:dyDescent="0.3">
      <c r="B305" s="34" t="str">
        <f>IF(B304="","", IF(VALUE(LEFT(H304,FIND("/",H304)-1)) &lt; VALUE(RIGHT(H304,LEN(H304)-FIND("/",H304))), B304, IFERROR(INDEX('SAÍDA DE VENDAS'!$B$6:$B$500, MATCH(B304,'SAÍDA DE VENDAS'!$B$6:$B$500,0)+COUNTIF('SAÍDA DE VENDAS'!$B$6:$B$500, B304)),"")))</f>
        <v/>
      </c>
      <c r="C305" s="35">
        <f>IFERROR(VLOOKUP(B305,'SAÍDA DE VENDAS'!$B$6:$P$500,3,FALSE),"")</f>
        <v>0</v>
      </c>
      <c r="D305" s="34">
        <f>IFERROR(VLOOKUP(B305,'SAÍDA DE VENDAS'!$B$6:$P$500,4,FALSE),"")</f>
        <v>0</v>
      </c>
      <c r="E305" s="34" t="str">
        <f>IFERROR(VLOOKUP(B305,'SAÍDA DE VENDAS'!$B$6:$P$500,5,FALSE),"")</f>
        <v/>
      </c>
      <c r="F305" s="34" t="str">
        <f>IF(OR(ISBLANK(B305),B305=""), "", IFERROR(INDEX('SAÍDA DE VENDAS'!$H$6:$H$500 &amp; "x " &amp; 'SAÍDA DE VENDAS'!$G$6:$G$500, MATCH(B305, 'SAÍDA DE VENDAS'!$B$6:$B$500, 0)), "")&amp; IF(COUNTIF('SAÍDA DE VENDAS'!$B$6:$B$500, B305)&gt;1, " + " &amp; IFERROR(INDEX('SAÍDA DE VENDAS'!$H$6:$H$500 &amp; "x " &amp; 'SAÍDA DE VENDAS'!$G$6:$G$500, MATCH(B305, 'SAÍDA DE VENDAS'!$B$6:$B$500, 0)+1), ""), "")&amp; IF(COUNTIF('SAÍDA DE VENDAS'!$B$6:$B$500, B305)&gt;2, " + " &amp; IFERROR(INDEX('SAÍDA DE VENDAS'!$H$6:$H$500 &amp; "x " &amp; 'SAÍDA DE VENDAS'!$G$6:$G$500, MATCH(B305, 'SAÍDA DE VENDAS'!$B$6:$B$500, 0)+2), ""), "")&amp; IF(COUNTIF('SAÍDA DE VENDAS'!$B$6:$B$500, B305)&gt;3, " + " &amp; IFERROR(INDEX('SAÍDA DE VENDAS'!$H$6:$H$500 &amp; "x " &amp; 'SAÍDA DE VENDAS'!$G$6:$G$500, MATCH(B305, 'SAÍDA DE VENDAS'!$B$6:$B$500, 0)+3), ""), "")&amp; IF(COUNTIF('SAÍDA DE VENDAS'!$B$6:$B$500, B305)&gt;4, " + " &amp; IFERROR(INDEX('SAÍDA DE VENDAS'!$H$6:$H$500 &amp; "x " &amp; 'SAÍDA DE VENDAS'!$G$6:$G$500, MATCH(B305, 'SAÍDA DE VENDAS'!$B$6:$B$500, 0)+4), ""), "")&amp; IF(COUNTIF('SAÍDA DE VENDAS'!$B$6:$B$500, B305)&gt;5, " + " &amp; IFERROR(INDEX('SAÍDA DE VENDAS'!$H$6:$H$500 &amp; "x " &amp; 'SAÍDA DE VENDAS'!$G$6:$G$500, MATCH(B305, 'SAÍDA DE VENDAS'!$B$6:$B$500, 0)+5), ""), ""))</f>
        <v/>
      </c>
      <c r="G305" s="34">
        <f>IFERROR(VLOOKUP(B305,'SAÍDA DE VENDAS'!$B$6:$P$500,10,FALSE),"")</f>
        <v>0</v>
      </c>
      <c r="H305" s="34" t="str">
        <f>IF(OR(ISBLANK(B305),B305=""), "", IF(B305=B304, (VALUE(LEFT(H304,FIND("/",H304)-1))+1)&amp;"/"&amp;RIGHT(H304,LEN(H304)-FIND("/",H304)), "1/"&amp;IFERROR(VLOOKUP(B305,'SAÍDA DE VENDAS'!$B$6:$P$500,13,FALSE),"1")))</f>
        <v/>
      </c>
      <c r="I305" s="35" t="str">
        <f t="shared" si="8"/>
        <v/>
      </c>
      <c r="J305" s="39" t="str">
        <f>IFERROR(VLOOKUP(B305,'SAÍDA DE VENDAS'!$B$6:$P$500,15,FALSE),"")</f>
        <v/>
      </c>
      <c r="K305" s="34" t="str">
        <f t="shared" ca="1" si="9"/>
        <v/>
      </c>
      <c r="L305" s="34"/>
      <c r="M305" s="34"/>
    </row>
    <row r="306" spans="2:13" ht="15" customHeight="1" x14ac:dyDescent="0.3">
      <c r="B306" s="28" t="str">
        <f>IF(B305="","", IF(VALUE(LEFT(H305,FIND("/",H305)-1)) &lt; VALUE(RIGHT(H305,LEN(H305)-FIND("/",H305))), B305, IFERROR(INDEX('SAÍDA DE VENDAS'!$B$6:$B$500, MATCH(B305,'SAÍDA DE VENDAS'!$B$6:$B$500,0)+COUNTIF('SAÍDA DE VENDAS'!$B$6:$B$500, B305)),"")))</f>
        <v/>
      </c>
      <c r="C306" s="29">
        <f>IFERROR(VLOOKUP(B306,'SAÍDA DE VENDAS'!$B$6:$P$500,3,FALSE),"")</f>
        <v>0</v>
      </c>
      <c r="D306" s="28">
        <f>IFERROR(VLOOKUP(B306,'SAÍDA DE VENDAS'!$B$6:$P$500,4,FALSE),"")</f>
        <v>0</v>
      </c>
      <c r="E306" s="28" t="str">
        <f>IFERROR(VLOOKUP(B306,'SAÍDA DE VENDAS'!$B$6:$P$500,5,FALSE),"")</f>
        <v/>
      </c>
      <c r="F306" s="28" t="str">
        <f>IF(OR(ISBLANK(B306),B306=""), "", IFERROR(INDEX('SAÍDA DE VENDAS'!$H$6:$H$500 &amp; "x " &amp; 'SAÍDA DE VENDAS'!$G$6:$G$500, MATCH(B306, 'SAÍDA DE VENDAS'!$B$6:$B$500, 0)), "")&amp; IF(COUNTIF('SAÍDA DE VENDAS'!$B$6:$B$500, B306)&gt;1, " + " &amp; IFERROR(INDEX('SAÍDA DE VENDAS'!$H$6:$H$500 &amp; "x " &amp; 'SAÍDA DE VENDAS'!$G$6:$G$500, MATCH(B306, 'SAÍDA DE VENDAS'!$B$6:$B$500, 0)+1), ""), "")&amp; IF(COUNTIF('SAÍDA DE VENDAS'!$B$6:$B$500, B306)&gt;2, " + " &amp; IFERROR(INDEX('SAÍDA DE VENDAS'!$H$6:$H$500 &amp; "x " &amp; 'SAÍDA DE VENDAS'!$G$6:$G$500, MATCH(B306, 'SAÍDA DE VENDAS'!$B$6:$B$500, 0)+2), ""), "")&amp; IF(COUNTIF('SAÍDA DE VENDAS'!$B$6:$B$500, B306)&gt;3, " + " &amp; IFERROR(INDEX('SAÍDA DE VENDAS'!$H$6:$H$500 &amp; "x " &amp; 'SAÍDA DE VENDAS'!$G$6:$G$500, MATCH(B306, 'SAÍDA DE VENDAS'!$B$6:$B$500, 0)+3), ""), "")&amp; IF(COUNTIF('SAÍDA DE VENDAS'!$B$6:$B$500, B306)&gt;4, " + " &amp; IFERROR(INDEX('SAÍDA DE VENDAS'!$H$6:$H$500 &amp; "x " &amp; 'SAÍDA DE VENDAS'!$G$6:$G$500, MATCH(B306, 'SAÍDA DE VENDAS'!$B$6:$B$500, 0)+4), ""), "")&amp; IF(COUNTIF('SAÍDA DE VENDAS'!$B$6:$B$500, B306)&gt;5, " + " &amp; IFERROR(INDEX('SAÍDA DE VENDAS'!$H$6:$H$500 &amp; "x " &amp; 'SAÍDA DE VENDAS'!$G$6:$G$500, MATCH(B306, 'SAÍDA DE VENDAS'!$B$6:$B$500, 0)+5), ""), ""))</f>
        <v/>
      </c>
      <c r="G306" s="28">
        <f>IFERROR(VLOOKUP(B306,'SAÍDA DE VENDAS'!$B$6:$P$500,10,FALSE),"")</f>
        <v>0</v>
      </c>
      <c r="H306" s="28" t="str">
        <f>IF(OR(ISBLANK(B306),B306=""), "", IF(B306=B305, (VALUE(LEFT(H305,FIND("/",H305)-1))+1)&amp;"/"&amp;RIGHT(H305,LEN(H305)-FIND("/",H305)), "1/"&amp;IFERROR(VLOOKUP(B306,'SAÍDA DE VENDAS'!$B$6:$P$500,13,FALSE),"1")))</f>
        <v/>
      </c>
      <c r="I306" s="69" t="str">
        <f t="shared" si="8"/>
        <v/>
      </c>
      <c r="J306" s="33" t="str">
        <f>IFERROR(VLOOKUP(B306,'SAÍDA DE VENDAS'!$B$6:$P$500,15,FALSE),"")</f>
        <v/>
      </c>
      <c r="K306" s="28" t="str">
        <f t="shared" ca="1" si="9"/>
        <v/>
      </c>
      <c r="L306" s="28"/>
      <c r="M306" s="28"/>
    </row>
    <row r="307" spans="2:13" ht="15" customHeight="1" x14ac:dyDescent="0.3">
      <c r="B307" s="34" t="str">
        <f>IF(B306="","", IF(VALUE(LEFT(H306,FIND("/",H306)-1)) &lt; VALUE(RIGHT(H306,LEN(H306)-FIND("/",H306))), B306, IFERROR(INDEX('SAÍDA DE VENDAS'!$B$6:$B$500, MATCH(B306,'SAÍDA DE VENDAS'!$B$6:$B$500,0)+COUNTIF('SAÍDA DE VENDAS'!$B$6:$B$500, B306)),"")))</f>
        <v/>
      </c>
      <c r="C307" s="35">
        <f>IFERROR(VLOOKUP(B307,'SAÍDA DE VENDAS'!$B$6:$P$500,3,FALSE),"")</f>
        <v>0</v>
      </c>
      <c r="D307" s="34">
        <f>IFERROR(VLOOKUP(B307,'SAÍDA DE VENDAS'!$B$6:$P$500,4,FALSE),"")</f>
        <v>0</v>
      </c>
      <c r="E307" s="34" t="str">
        <f>IFERROR(VLOOKUP(B307,'SAÍDA DE VENDAS'!$B$6:$P$500,5,FALSE),"")</f>
        <v/>
      </c>
      <c r="F307" s="34" t="str">
        <f>IF(OR(ISBLANK(B307),B307=""), "", IFERROR(INDEX('SAÍDA DE VENDAS'!$H$6:$H$500 &amp; "x " &amp; 'SAÍDA DE VENDAS'!$G$6:$G$500, MATCH(B307, 'SAÍDA DE VENDAS'!$B$6:$B$500, 0)), "")&amp; IF(COUNTIF('SAÍDA DE VENDAS'!$B$6:$B$500, B307)&gt;1, " + " &amp; IFERROR(INDEX('SAÍDA DE VENDAS'!$H$6:$H$500 &amp; "x " &amp; 'SAÍDA DE VENDAS'!$G$6:$G$500, MATCH(B307, 'SAÍDA DE VENDAS'!$B$6:$B$500, 0)+1), ""), "")&amp; IF(COUNTIF('SAÍDA DE VENDAS'!$B$6:$B$500, B307)&gt;2, " + " &amp; IFERROR(INDEX('SAÍDA DE VENDAS'!$H$6:$H$500 &amp; "x " &amp; 'SAÍDA DE VENDAS'!$G$6:$G$500, MATCH(B307, 'SAÍDA DE VENDAS'!$B$6:$B$500, 0)+2), ""), "")&amp; IF(COUNTIF('SAÍDA DE VENDAS'!$B$6:$B$500, B307)&gt;3, " + " &amp; IFERROR(INDEX('SAÍDA DE VENDAS'!$H$6:$H$500 &amp; "x " &amp; 'SAÍDA DE VENDAS'!$G$6:$G$500, MATCH(B307, 'SAÍDA DE VENDAS'!$B$6:$B$500, 0)+3), ""), "")&amp; IF(COUNTIF('SAÍDA DE VENDAS'!$B$6:$B$500, B307)&gt;4, " + " &amp; IFERROR(INDEX('SAÍDA DE VENDAS'!$H$6:$H$500 &amp; "x " &amp; 'SAÍDA DE VENDAS'!$G$6:$G$500, MATCH(B307, 'SAÍDA DE VENDAS'!$B$6:$B$500, 0)+4), ""), "")&amp; IF(COUNTIF('SAÍDA DE VENDAS'!$B$6:$B$500, B307)&gt;5, " + " &amp; IFERROR(INDEX('SAÍDA DE VENDAS'!$H$6:$H$500 &amp; "x " &amp; 'SAÍDA DE VENDAS'!$G$6:$G$500, MATCH(B307, 'SAÍDA DE VENDAS'!$B$6:$B$500, 0)+5), ""), ""))</f>
        <v/>
      </c>
      <c r="G307" s="34">
        <f>IFERROR(VLOOKUP(B307,'SAÍDA DE VENDAS'!$B$6:$P$500,10,FALSE),"")</f>
        <v>0</v>
      </c>
      <c r="H307" s="34" t="str">
        <f>IF(OR(ISBLANK(B307),B307=""), "", IF(B307=B306, (VALUE(LEFT(H306,FIND("/",H306)-1))+1)&amp;"/"&amp;RIGHT(H306,LEN(H306)-FIND("/",H306)), "1/"&amp;IFERROR(VLOOKUP(B307,'SAÍDA DE VENDAS'!$B$6:$P$500,13,FALSE),"1")))</f>
        <v/>
      </c>
      <c r="I307" s="35" t="str">
        <f t="shared" si="8"/>
        <v/>
      </c>
      <c r="J307" s="39" t="str">
        <f>IFERROR(VLOOKUP(B307,'SAÍDA DE VENDAS'!$B$6:$P$500,15,FALSE),"")</f>
        <v/>
      </c>
      <c r="K307" s="34" t="str">
        <f t="shared" ca="1" si="9"/>
        <v/>
      </c>
      <c r="L307" s="34"/>
      <c r="M307" s="34"/>
    </row>
    <row r="308" spans="2:13" ht="15" customHeight="1" x14ac:dyDescent="0.3">
      <c r="B308" s="28" t="str">
        <f>IF(B307="","", IF(VALUE(LEFT(H307,FIND("/",H307)-1)) &lt; VALUE(RIGHT(H307,LEN(H307)-FIND("/",H307))), B307, IFERROR(INDEX('SAÍDA DE VENDAS'!$B$6:$B$500, MATCH(B307,'SAÍDA DE VENDAS'!$B$6:$B$500,0)+COUNTIF('SAÍDA DE VENDAS'!$B$6:$B$500, B307)),"")))</f>
        <v/>
      </c>
      <c r="C308" s="29">
        <f>IFERROR(VLOOKUP(B308,'SAÍDA DE VENDAS'!$B$6:$P$500,3,FALSE),"")</f>
        <v>0</v>
      </c>
      <c r="D308" s="28">
        <f>IFERROR(VLOOKUP(B308,'SAÍDA DE VENDAS'!$B$6:$P$500,4,FALSE),"")</f>
        <v>0</v>
      </c>
      <c r="E308" s="28" t="str">
        <f>IFERROR(VLOOKUP(B308,'SAÍDA DE VENDAS'!$B$6:$P$500,5,FALSE),"")</f>
        <v/>
      </c>
      <c r="F308" s="28" t="str">
        <f>IF(OR(ISBLANK(B308),B308=""), "", IFERROR(INDEX('SAÍDA DE VENDAS'!$H$6:$H$500 &amp; "x " &amp; 'SAÍDA DE VENDAS'!$G$6:$G$500, MATCH(B308, 'SAÍDA DE VENDAS'!$B$6:$B$500, 0)), "")&amp; IF(COUNTIF('SAÍDA DE VENDAS'!$B$6:$B$500, B308)&gt;1, " + " &amp; IFERROR(INDEX('SAÍDA DE VENDAS'!$H$6:$H$500 &amp; "x " &amp; 'SAÍDA DE VENDAS'!$G$6:$G$500, MATCH(B308, 'SAÍDA DE VENDAS'!$B$6:$B$500, 0)+1), ""), "")&amp; IF(COUNTIF('SAÍDA DE VENDAS'!$B$6:$B$500, B308)&gt;2, " + " &amp; IFERROR(INDEX('SAÍDA DE VENDAS'!$H$6:$H$500 &amp; "x " &amp; 'SAÍDA DE VENDAS'!$G$6:$G$500, MATCH(B308, 'SAÍDA DE VENDAS'!$B$6:$B$500, 0)+2), ""), "")&amp; IF(COUNTIF('SAÍDA DE VENDAS'!$B$6:$B$500, B308)&gt;3, " + " &amp; IFERROR(INDEX('SAÍDA DE VENDAS'!$H$6:$H$500 &amp; "x " &amp; 'SAÍDA DE VENDAS'!$G$6:$G$500, MATCH(B308, 'SAÍDA DE VENDAS'!$B$6:$B$500, 0)+3), ""), "")&amp; IF(COUNTIF('SAÍDA DE VENDAS'!$B$6:$B$500, B308)&gt;4, " + " &amp; IFERROR(INDEX('SAÍDA DE VENDAS'!$H$6:$H$500 &amp; "x " &amp; 'SAÍDA DE VENDAS'!$G$6:$G$500, MATCH(B308, 'SAÍDA DE VENDAS'!$B$6:$B$500, 0)+4), ""), "")&amp; IF(COUNTIF('SAÍDA DE VENDAS'!$B$6:$B$500, B308)&gt;5, " + " &amp; IFERROR(INDEX('SAÍDA DE VENDAS'!$H$6:$H$500 &amp; "x " &amp; 'SAÍDA DE VENDAS'!$G$6:$G$500, MATCH(B308, 'SAÍDA DE VENDAS'!$B$6:$B$500, 0)+5), ""), ""))</f>
        <v/>
      </c>
      <c r="G308" s="28">
        <f>IFERROR(VLOOKUP(B308,'SAÍDA DE VENDAS'!$B$6:$P$500,10,FALSE),"")</f>
        <v>0</v>
      </c>
      <c r="H308" s="28" t="str">
        <f>IF(OR(ISBLANK(B308),B308=""), "", IF(B308=B307, (VALUE(LEFT(H307,FIND("/",H307)-1))+1)&amp;"/"&amp;RIGHT(H307,LEN(H307)-FIND("/",H307)), "1/"&amp;IFERROR(VLOOKUP(B308,'SAÍDA DE VENDAS'!$B$6:$P$500,13,FALSE),"1")))</f>
        <v/>
      </c>
      <c r="I308" s="69" t="str">
        <f t="shared" si="8"/>
        <v/>
      </c>
      <c r="J308" s="33" t="str">
        <f>IFERROR(VLOOKUP(B308,'SAÍDA DE VENDAS'!$B$6:$P$500,15,FALSE),"")</f>
        <v/>
      </c>
      <c r="K308" s="28" t="str">
        <f t="shared" ca="1" si="9"/>
        <v/>
      </c>
      <c r="L308" s="28"/>
      <c r="M308" s="28"/>
    </row>
    <row r="309" spans="2:13" ht="15" customHeight="1" x14ac:dyDescent="0.3">
      <c r="B309" s="34" t="str">
        <f>IF(B308="","", IF(VALUE(LEFT(H308,FIND("/",H308)-1)) &lt; VALUE(RIGHT(H308,LEN(H308)-FIND("/",H308))), B308, IFERROR(INDEX('SAÍDA DE VENDAS'!$B$6:$B$500, MATCH(B308,'SAÍDA DE VENDAS'!$B$6:$B$500,0)+COUNTIF('SAÍDA DE VENDAS'!$B$6:$B$500, B308)),"")))</f>
        <v/>
      </c>
      <c r="C309" s="35">
        <f>IFERROR(VLOOKUP(B309,'SAÍDA DE VENDAS'!$B$6:$P$500,3,FALSE),"")</f>
        <v>0</v>
      </c>
      <c r="D309" s="34">
        <f>IFERROR(VLOOKUP(B309,'SAÍDA DE VENDAS'!$B$6:$P$500,4,FALSE),"")</f>
        <v>0</v>
      </c>
      <c r="E309" s="34" t="str">
        <f>IFERROR(VLOOKUP(B309,'SAÍDA DE VENDAS'!$B$6:$P$500,5,FALSE),"")</f>
        <v/>
      </c>
      <c r="F309" s="34" t="str">
        <f>IF(OR(ISBLANK(B309),B309=""), "", IFERROR(INDEX('SAÍDA DE VENDAS'!$H$6:$H$500 &amp; "x " &amp; 'SAÍDA DE VENDAS'!$G$6:$G$500, MATCH(B309, 'SAÍDA DE VENDAS'!$B$6:$B$500, 0)), "")&amp; IF(COUNTIF('SAÍDA DE VENDAS'!$B$6:$B$500, B309)&gt;1, " + " &amp; IFERROR(INDEX('SAÍDA DE VENDAS'!$H$6:$H$500 &amp; "x " &amp; 'SAÍDA DE VENDAS'!$G$6:$G$500, MATCH(B309, 'SAÍDA DE VENDAS'!$B$6:$B$500, 0)+1), ""), "")&amp; IF(COUNTIF('SAÍDA DE VENDAS'!$B$6:$B$500, B309)&gt;2, " + " &amp; IFERROR(INDEX('SAÍDA DE VENDAS'!$H$6:$H$500 &amp; "x " &amp; 'SAÍDA DE VENDAS'!$G$6:$G$500, MATCH(B309, 'SAÍDA DE VENDAS'!$B$6:$B$500, 0)+2), ""), "")&amp; IF(COUNTIF('SAÍDA DE VENDAS'!$B$6:$B$500, B309)&gt;3, " + " &amp; IFERROR(INDEX('SAÍDA DE VENDAS'!$H$6:$H$500 &amp; "x " &amp; 'SAÍDA DE VENDAS'!$G$6:$G$500, MATCH(B309, 'SAÍDA DE VENDAS'!$B$6:$B$500, 0)+3), ""), "")&amp; IF(COUNTIF('SAÍDA DE VENDAS'!$B$6:$B$500, B309)&gt;4, " + " &amp; IFERROR(INDEX('SAÍDA DE VENDAS'!$H$6:$H$500 &amp; "x " &amp; 'SAÍDA DE VENDAS'!$G$6:$G$500, MATCH(B309, 'SAÍDA DE VENDAS'!$B$6:$B$500, 0)+4), ""), "")&amp; IF(COUNTIF('SAÍDA DE VENDAS'!$B$6:$B$500, B309)&gt;5, " + " &amp; IFERROR(INDEX('SAÍDA DE VENDAS'!$H$6:$H$500 &amp; "x " &amp; 'SAÍDA DE VENDAS'!$G$6:$G$500, MATCH(B309, 'SAÍDA DE VENDAS'!$B$6:$B$500, 0)+5), ""), ""))</f>
        <v/>
      </c>
      <c r="G309" s="34">
        <f>IFERROR(VLOOKUP(B309,'SAÍDA DE VENDAS'!$B$6:$P$500,10,FALSE),"")</f>
        <v>0</v>
      </c>
      <c r="H309" s="34" t="str">
        <f>IF(OR(ISBLANK(B309),B309=""), "", IF(B309=B308, (VALUE(LEFT(H308,FIND("/",H308)-1))+1)&amp;"/"&amp;RIGHT(H308,LEN(H308)-FIND("/",H308)), "1/"&amp;IFERROR(VLOOKUP(B309,'SAÍDA DE VENDAS'!$B$6:$P$500,13,FALSE),"1")))</f>
        <v/>
      </c>
      <c r="I309" s="35" t="str">
        <f t="shared" si="8"/>
        <v/>
      </c>
      <c r="J309" s="39" t="str">
        <f>IFERROR(VLOOKUP(B309,'SAÍDA DE VENDAS'!$B$6:$P$500,15,FALSE),"")</f>
        <v/>
      </c>
      <c r="K309" s="34" t="str">
        <f t="shared" ca="1" si="9"/>
        <v/>
      </c>
      <c r="L309" s="34"/>
      <c r="M309" s="34"/>
    </row>
    <row r="310" spans="2:13" ht="15" customHeight="1" x14ac:dyDescent="0.3">
      <c r="B310" s="28" t="str">
        <f>IF(B309="","", IF(VALUE(LEFT(H309,FIND("/",H309)-1)) &lt; VALUE(RIGHT(H309,LEN(H309)-FIND("/",H309))), B309, IFERROR(INDEX('SAÍDA DE VENDAS'!$B$6:$B$500, MATCH(B309,'SAÍDA DE VENDAS'!$B$6:$B$500,0)+COUNTIF('SAÍDA DE VENDAS'!$B$6:$B$500, B309)),"")))</f>
        <v/>
      </c>
      <c r="C310" s="29">
        <f>IFERROR(VLOOKUP(B310,'SAÍDA DE VENDAS'!$B$6:$P$500,3,FALSE),"")</f>
        <v>0</v>
      </c>
      <c r="D310" s="28">
        <f>IFERROR(VLOOKUP(B310,'SAÍDA DE VENDAS'!$B$6:$P$500,4,FALSE),"")</f>
        <v>0</v>
      </c>
      <c r="E310" s="28" t="str">
        <f>IFERROR(VLOOKUP(B310,'SAÍDA DE VENDAS'!$B$6:$P$500,5,FALSE),"")</f>
        <v/>
      </c>
      <c r="F310" s="28" t="str">
        <f>IF(OR(ISBLANK(B310),B310=""), "", IFERROR(INDEX('SAÍDA DE VENDAS'!$H$6:$H$500 &amp; "x " &amp; 'SAÍDA DE VENDAS'!$G$6:$G$500, MATCH(B310, 'SAÍDA DE VENDAS'!$B$6:$B$500, 0)), "")&amp; IF(COUNTIF('SAÍDA DE VENDAS'!$B$6:$B$500, B310)&gt;1, " + " &amp; IFERROR(INDEX('SAÍDA DE VENDAS'!$H$6:$H$500 &amp; "x " &amp; 'SAÍDA DE VENDAS'!$G$6:$G$500, MATCH(B310, 'SAÍDA DE VENDAS'!$B$6:$B$500, 0)+1), ""), "")&amp; IF(COUNTIF('SAÍDA DE VENDAS'!$B$6:$B$500, B310)&gt;2, " + " &amp; IFERROR(INDEX('SAÍDA DE VENDAS'!$H$6:$H$500 &amp; "x " &amp; 'SAÍDA DE VENDAS'!$G$6:$G$500, MATCH(B310, 'SAÍDA DE VENDAS'!$B$6:$B$500, 0)+2), ""), "")&amp; IF(COUNTIF('SAÍDA DE VENDAS'!$B$6:$B$500, B310)&gt;3, " + " &amp; IFERROR(INDEX('SAÍDA DE VENDAS'!$H$6:$H$500 &amp; "x " &amp; 'SAÍDA DE VENDAS'!$G$6:$G$500, MATCH(B310, 'SAÍDA DE VENDAS'!$B$6:$B$500, 0)+3), ""), "")&amp; IF(COUNTIF('SAÍDA DE VENDAS'!$B$6:$B$500, B310)&gt;4, " + " &amp; IFERROR(INDEX('SAÍDA DE VENDAS'!$H$6:$H$500 &amp; "x " &amp; 'SAÍDA DE VENDAS'!$G$6:$G$500, MATCH(B310, 'SAÍDA DE VENDAS'!$B$6:$B$500, 0)+4), ""), "")&amp; IF(COUNTIF('SAÍDA DE VENDAS'!$B$6:$B$500, B310)&gt;5, " + " &amp; IFERROR(INDEX('SAÍDA DE VENDAS'!$H$6:$H$500 &amp; "x " &amp; 'SAÍDA DE VENDAS'!$G$6:$G$500, MATCH(B310, 'SAÍDA DE VENDAS'!$B$6:$B$500, 0)+5), ""), ""))</f>
        <v/>
      </c>
      <c r="G310" s="28">
        <f>IFERROR(VLOOKUP(B310,'SAÍDA DE VENDAS'!$B$6:$P$500,10,FALSE),"")</f>
        <v>0</v>
      </c>
      <c r="H310" s="28" t="str">
        <f>IF(OR(ISBLANK(B310),B310=""), "", IF(B310=B309, (VALUE(LEFT(H309,FIND("/",H309)-1))+1)&amp;"/"&amp;RIGHT(H309,LEN(H309)-FIND("/",H309)), "1/"&amp;IFERROR(VLOOKUP(B310,'SAÍDA DE VENDAS'!$B$6:$P$500,13,FALSE),"1")))</f>
        <v/>
      </c>
      <c r="I310" s="69" t="str">
        <f t="shared" si="8"/>
        <v/>
      </c>
      <c r="J310" s="33" t="str">
        <f>IFERROR(VLOOKUP(B310,'SAÍDA DE VENDAS'!$B$6:$P$500,15,FALSE),"")</f>
        <v/>
      </c>
      <c r="K310" s="28" t="str">
        <f t="shared" ca="1" si="9"/>
        <v/>
      </c>
      <c r="L310" s="28"/>
      <c r="M310" s="28"/>
    </row>
    <row r="311" spans="2:13" ht="15" customHeight="1" x14ac:dyDescent="0.3">
      <c r="B311" s="34" t="str">
        <f>IF(B310="","", IF(VALUE(LEFT(H310,FIND("/",H310)-1)) &lt; VALUE(RIGHT(H310,LEN(H310)-FIND("/",H310))), B310, IFERROR(INDEX('SAÍDA DE VENDAS'!$B$6:$B$500, MATCH(B310,'SAÍDA DE VENDAS'!$B$6:$B$500,0)+COUNTIF('SAÍDA DE VENDAS'!$B$6:$B$500, B310)),"")))</f>
        <v/>
      </c>
      <c r="C311" s="35">
        <f>IFERROR(VLOOKUP(B311,'SAÍDA DE VENDAS'!$B$6:$P$500,3,FALSE),"")</f>
        <v>0</v>
      </c>
      <c r="D311" s="34">
        <f>IFERROR(VLOOKUP(B311,'SAÍDA DE VENDAS'!$B$6:$P$500,4,FALSE),"")</f>
        <v>0</v>
      </c>
      <c r="E311" s="34" t="str">
        <f>IFERROR(VLOOKUP(B311,'SAÍDA DE VENDAS'!$B$6:$P$500,5,FALSE),"")</f>
        <v/>
      </c>
      <c r="F311" s="34" t="str">
        <f>IF(OR(ISBLANK(B311),B311=""), "", IFERROR(INDEX('SAÍDA DE VENDAS'!$H$6:$H$500 &amp; "x " &amp; 'SAÍDA DE VENDAS'!$G$6:$G$500, MATCH(B311, 'SAÍDA DE VENDAS'!$B$6:$B$500, 0)), "")&amp; IF(COUNTIF('SAÍDA DE VENDAS'!$B$6:$B$500, B311)&gt;1, " + " &amp; IFERROR(INDEX('SAÍDA DE VENDAS'!$H$6:$H$500 &amp; "x " &amp; 'SAÍDA DE VENDAS'!$G$6:$G$500, MATCH(B311, 'SAÍDA DE VENDAS'!$B$6:$B$500, 0)+1), ""), "")&amp; IF(COUNTIF('SAÍDA DE VENDAS'!$B$6:$B$500, B311)&gt;2, " + " &amp; IFERROR(INDEX('SAÍDA DE VENDAS'!$H$6:$H$500 &amp; "x " &amp; 'SAÍDA DE VENDAS'!$G$6:$G$500, MATCH(B311, 'SAÍDA DE VENDAS'!$B$6:$B$500, 0)+2), ""), "")&amp; IF(COUNTIF('SAÍDA DE VENDAS'!$B$6:$B$500, B311)&gt;3, " + " &amp; IFERROR(INDEX('SAÍDA DE VENDAS'!$H$6:$H$500 &amp; "x " &amp; 'SAÍDA DE VENDAS'!$G$6:$G$500, MATCH(B311, 'SAÍDA DE VENDAS'!$B$6:$B$500, 0)+3), ""), "")&amp; IF(COUNTIF('SAÍDA DE VENDAS'!$B$6:$B$500, B311)&gt;4, " + " &amp; IFERROR(INDEX('SAÍDA DE VENDAS'!$H$6:$H$500 &amp; "x " &amp; 'SAÍDA DE VENDAS'!$G$6:$G$500, MATCH(B311, 'SAÍDA DE VENDAS'!$B$6:$B$500, 0)+4), ""), "")&amp; IF(COUNTIF('SAÍDA DE VENDAS'!$B$6:$B$500, B311)&gt;5, " + " &amp; IFERROR(INDEX('SAÍDA DE VENDAS'!$H$6:$H$500 &amp; "x " &amp; 'SAÍDA DE VENDAS'!$G$6:$G$500, MATCH(B311, 'SAÍDA DE VENDAS'!$B$6:$B$500, 0)+5), ""), ""))</f>
        <v/>
      </c>
      <c r="G311" s="34">
        <f>IFERROR(VLOOKUP(B311,'SAÍDA DE VENDAS'!$B$6:$P$500,10,FALSE),"")</f>
        <v>0</v>
      </c>
      <c r="H311" s="34" t="str">
        <f>IF(OR(ISBLANK(B311),B311=""), "", IF(B311=B310, (VALUE(LEFT(H310,FIND("/",H310)-1))+1)&amp;"/"&amp;RIGHT(H310,LEN(H310)-FIND("/",H310)), "1/"&amp;IFERROR(VLOOKUP(B311,'SAÍDA DE VENDAS'!$B$6:$P$500,13,FALSE),"1")))</f>
        <v/>
      </c>
      <c r="I311" s="35" t="str">
        <f t="shared" si="8"/>
        <v/>
      </c>
      <c r="J311" s="39" t="str">
        <f>IFERROR(VLOOKUP(B311,'SAÍDA DE VENDAS'!$B$6:$P$500,15,FALSE),"")</f>
        <v/>
      </c>
      <c r="K311" s="34" t="str">
        <f t="shared" ca="1" si="9"/>
        <v/>
      </c>
      <c r="L311" s="34"/>
      <c r="M311" s="34"/>
    </row>
    <row r="312" spans="2:13" ht="15" customHeight="1" x14ac:dyDescent="0.3">
      <c r="B312" s="28" t="str">
        <f>IF(B311="","", IF(VALUE(LEFT(H311,FIND("/",H311)-1)) &lt; VALUE(RIGHT(H311,LEN(H311)-FIND("/",H311))), B311, IFERROR(INDEX('SAÍDA DE VENDAS'!$B$6:$B$500, MATCH(B311,'SAÍDA DE VENDAS'!$B$6:$B$500,0)+COUNTIF('SAÍDA DE VENDAS'!$B$6:$B$500, B311)),"")))</f>
        <v/>
      </c>
      <c r="C312" s="29">
        <f>IFERROR(VLOOKUP(B312,'SAÍDA DE VENDAS'!$B$6:$P$500,3,FALSE),"")</f>
        <v>0</v>
      </c>
      <c r="D312" s="28">
        <f>IFERROR(VLOOKUP(B312,'SAÍDA DE VENDAS'!$B$6:$P$500,4,FALSE),"")</f>
        <v>0</v>
      </c>
      <c r="E312" s="28" t="str">
        <f>IFERROR(VLOOKUP(B312,'SAÍDA DE VENDAS'!$B$6:$P$500,5,FALSE),"")</f>
        <v/>
      </c>
      <c r="F312" s="28" t="str">
        <f>IF(OR(ISBLANK(B312),B312=""), "", IFERROR(INDEX('SAÍDA DE VENDAS'!$H$6:$H$500 &amp; "x " &amp; 'SAÍDA DE VENDAS'!$G$6:$G$500, MATCH(B312, 'SAÍDA DE VENDAS'!$B$6:$B$500, 0)), "")&amp; IF(COUNTIF('SAÍDA DE VENDAS'!$B$6:$B$500, B312)&gt;1, " + " &amp; IFERROR(INDEX('SAÍDA DE VENDAS'!$H$6:$H$500 &amp; "x " &amp; 'SAÍDA DE VENDAS'!$G$6:$G$500, MATCH(B312, 'SAÍDA DE VENDAS'!$B$6:$B$500, 0)+1), ""), "")&amp; IF(COUNTIF('SAÍDA DE VENDAS'!$B$6:$B$500, B312)&gt;2, " + " &amp; IFERROR(INDEX('SAÍDA DE VENDAS'!$H$6:$H$500 &amp; "x " &amp; 'SAÍDA DE VENDAS'!$G$6:$G$500, MATCH(B312, 'SAÍDA DE VENDAS'!$B$6:$B$500, 0)+2), ""), "")&amp; IF(COUNTIF('SAÍDA DE VENDAS'!$B$6:$B$500, B312)&gt;3, " + " &amp; IFERROR(INDEX('SAÍDA DE VENDAS'!$H$6:$H$500 &amp; "x " &amp; 'SAÍDA DE VENDAS'!$G$6:$G$500, MATCH(B312, 'SAÍDA DE VENDAS'!$B$6:$B$500, 0)+3), ""), "")&amp; IF(COUNTIF('SAÍDA DE VENDAS'!$B$6:$B$500, B312)&gt;4, " + " &amp; IFERROR(INDEX('SAÍDA DE VENDAS'!$H$6:$H$500 &amp; "x " &amp; 'SAÍDA DE VENDAS'!$G$6:$G$500, MATCH(B312, 'SAÍDA DE VENDAS'!$B$6:$B$500, 0)+4), ""), "")&amp; IF(COUNTIF('SAÍDA DE VENDAS'!$B$6:$B$500, B312)&gt;5, " + " &amp; IFERROR(INDEX('SAÍDA DE VENDAS'!$H$6:$H$500 &amp; "x " &amp; 'SAÍDA DE VENDAS'!$G$6:$G$500, MATCH(B312, 'SAÍDA DE VENDAS'!$B$6:$B$500, 0)+5), ""), ""))</f>
        <v/>
      </c>
      <c r="G312" s="28">
        <f>IFERROR(VLOOKUP(B312,'SAÍDA DE VENDAS'!$B$6:$P$500,10,FALSE),"")</f>
        <v>0</v>
      </c>
      <c r="H312" s="28" t="str">
        <f>IF(OR(ISBLANK(B312),B312=""), "", IF(B312=B311, (VALUE(LEFT(H311,FIND("/",H311)-1))+1)&amp;"/"&amp;RIGHT(H311,LEN(H311)-FIND("/",H311)), "1/"&amp;IFERROR(VLOOKUP(B312,'SAÍDA DE VENDAS'!$B$6:$P$500,13,FALSE),"1")))</f>
        <v/>
      </c>
      <c r="I312" s="69" t="str">
        <f t="shared" si="8"/>
        <v/>
      </c>
      <c r="J312" s="33" t="str">
        <f>IFERROR(VLOOKUP(B312,'SAÍDA DE VENDAS'!$B$6:$P$500,15,FALSE),"")</f>
        <v/>
      </c>
      <c r="K312" s="28" t="str">
        <f t="shared" ca="1" si="9"/>
        <v/>
      </c>
      <c r="L312" s="28"/>
      <c r="M312" s="28"/>
    </row>
    <row r="313" spans="2:13" ht="15" customHeight="1" x14ac:dyDescent="0.3">
      <c r="B313" s="34" t="str">
        <f>IF(B312="","", IF(VALUE(LEFT(H312,FIND("/",H312)-1)) &lt; VALUE(RIGHT(H312,LEN(H312)-FIND("/",H312))), B312, IFERROR(INDEX('SAÍDA DE VENDAS'!$B$6:$B$500, MATCH(B312,'SAÍDA DE VENDAS'!$B$6:$B$500,0)+COUNTIF('SAÍDA DE VENDAS'!$B$6:$B$500, B312)),"")))</f>
        <v/>
      </c>
      <c r="C313" s="35">
        <f>IFERROR(VLOOKUP(B313,'SAÍDA DE VENDAS'!$B$6:$P$500,3,FALSE),"")</f>
        <v>0</v>
      </c>
      <c r="D313" s="34">
        <f>IFERROR(VLOOKUP(B313,'SAÍDA DE VENDAS'!$B$6:$P$500,4,FALSE),"")</f>
        <v>0</v>
      </c>
      <c r="E313" s="34" t="str">
        <f>IFERROR(VLOOKUP(B313,'SAÍDA DE VENDAS'!$B$6:$P$500,5,FALSE),"")</f>
        <v/>
      </c>
      <c r="F313" s="34" t="str">
        <f>IF(OR(ISBLANK(B313),B313=""), "", IFERROR(INDEX('SAÍDA DE VENDAS'!$H$6:$H$500 &amp; "x " &amp; 'SAÍDA DE VENDAS'!$G$6:$G$500, MATCH(B313, 'SAÍDA DE VENDAS'!$B$6:$B$500, 0)), "")&amp; IF(COUNTIF('SAÍDA DE VENDAS'!$B$6:$B$500, B313)&gt;1, " + " &amp; IFERROR(INDEX('SAÍDA DE VENDAS'!$H$6:$H$500 &amp; "x " &amp; 'SAÍDA DE VENDAS'!$G$6:$G$500, MATCH(B313, 'SAÍDA DE VENDAS'!$B$6:$B$500, 0)+1), ""), "")&amp; IF(COUNTIF('SAÍDA DE VENDAS'!$B$6:$B$500, B313)&gt;2, " + " &amp; IFERROR(INDEX('SAÍDA DE VENDAS'!$H$6:$H$500 &amp; "x " &amp; 'SAÍDA DE VENDAS'!$G$6:$G$500, MATCH(B313, 'SAÍDA DE VENDAS'!$B$6:$B$500, 0)+2), ""), "")&amp; IF(COUNTIF('SAÍDA DE VENDAS'!$B$6:$B$500, B313)&gt;3, " + " &amp; IFERROR(INDEX('SAÍDA DE VENDAS'!$H$6:$H$500 &amp; "x " &amp; 'SAÍDA DE VENDAS'!$G$6:$G$500, MATCH(B313, 'SAÍDA DE VENDAS'!$B$6:$B$500, 0)+3), ""), "")&amp; IF(COUNTIF('SAÍDA DE VENDAS'!$B$6:$B$500, B313)&gt;4, " + " &amp; IFERROR(INDEX('SAÍDA DE VENDAS'!$H$6:$H$500 &amp; "x " &amp; 'SAÍDA DE VENDAS'!$G$6:$G$500, MATCH(B313, 'SAÍDA DE VENDAS'!$B$6:$B$500, 0)+4), ""), "")&amp; IF(COUNTIF('SAÍDA DE VENDAS'!$B$6:$B$500, B313)&gt;5, " + " &amp; IFERROR(INDEX('SAÍDA DE VENDAS'!$H$6:$H$500 &amp; "x " &amp; 'SAÍDA DE VENDAS'!$G$6:$G$500, MATCH(B313, 'SAÍDA DE VENDAS'!$B$6:$B$500, 0)+5), ""), ""))</f>
        <v/>
      </c>
      <c r="G313" s="34">
        <f>IFERROR(VLOOKUP(B313,'SAÍDA DE VENDAS'!$B$6:$P$500,10,FALSE),"")</f>
        <v>0</v>
      </c>
      <c r="H313" s="34" t="str">
        <f>IF(OR(ISBLANK(B313),B313=""), "", IF(B313=B312, (VALUE(LEFT(H312,FIND("/",H312)-1))+1)&amp;"/"&amp;RIGHT(H312,LEN(H312)-FIND("/",H312)), "1/"&amp;IFERROR(VLOOKUP(B313,'SAÍDA DE VENDAS'!$B$6:$P$500,13,FALSE),"1")))</f>
        <v/>
      </c>
      <c r="I313" s="35" t="str">
        <f t="shared" si="8"/>
        <v/>
      </c>
      <c r="J313" s="39" t="str">
        <f>IFERROR(VLOOKUP(B313,'SAÍDA DE VENDAS'!$B$6:$P$500,15,FALSE),"")</f>
        <v/>
      </c>
      <c r="K313" s="34" t="str">
        <f t="shared" ca="1" si="9"/>
        <v/>
      </c>
      <c r="L313" s="34"/>
      <c r="M313" s="34"/>
    </row>
    <row r="314" spans="2:13" ht="15" customHeight="1" x14ac:dyDescent="0.3">
      <c r="B314" s="28" t="str">
        <f>IF(B313="","", IF(VALUE(LEFT(H313,FIND("/",H313)-1)) &lt; VALUE(RIGHT(H313,LEN(H313)-FIND("/",H313))), B313, IFERROR(INDEX('SAÍDA DE VENDAS'!$B$6:$B$500, MATCH(B313,'SAÍDA DE VENDAS'!$B$6:$B$500,0)+COUNTIF('SAÍDA DE VENDAS'!$B$6:$B$500, B313)),"")))</f>
        <v/>
      </c>
      <c r="C314" s="29">
        <f>IFERROR(VLOOKUP(B314,'SAÍDA DE VENDAS'!$B$6:$P$500,3,FALSE),"")</f>
        <v>0</v>
      </c>
      <c r="D314" s="28">
        <f>IFERROR(VLOOKUP(B314,'SAÍDA DE VENDAS'!$B$6:$P$500,4,FALSE),"")</f>
        <v>0</v>
      </c>
      <c r="E314" s="28" t="str">
        <f>IFERROR(VLOOKUP(B314,'SAÍDA DE VENDAS'!$B$6:$P$500,5,FALSE),"")</f>
        <v/>
      </c>
      <c r="F314" s="28" t="str">
        <f>IF(OR(ISBLANK(B314),B314=""), "", IFERROR(INDEX('SAÍDA DE VENDAS'!$H$6:$H$500 &amp; "x " &amp; 'SAÍDA DE VENDAS'!$G$6:$G$500, MATCH(B314, 'SAÍDA DE VENDAS'!$B$6:$B$500, 0)), "")&amp; IF(COUNTIF('SAÍDA DE VENDAS'!$B$6:$B$500, B314)&gt;1, " + " &amp; IFERROR(INDEX('SAÍDA DE VENDAS'!$H$6:$H$500 &amp; "x " &amp; 'SAÍDA DE VENDAS'!$G$6:$G$500, MATCH(B314, 'SAÍDA DE VENDAS'!$B$6:$B$500, 0)+1), ""), "")&amp; IF(COUNTIF('SAÍDA DE VENDAS'!$B$6:$B$500, B314)&gt;2, " + " &amp; IFERROR(INDEX('SAÍDA DE VENDAS'!$H$6:$H$500 &amp; "x " &amp; 'SAÍDA DE VENDAS'!$G$6:$G$500, MATCH(B314, 'SAÍDA DE VENDAS'!$B$6:$B$500, 0)+2), ""), "")&amp; IF(COUNTIF('SAÍDA DE VENDAS'!$B$6:$B$500, B314)&gt;3, " + " &amp; IFERROR(INDEX('SAÍDA DE VENDAS'!$H$6:$H$500 &amp; "x " &amp; 'SAÍDA DE VENDAS'!$G$6:$G$500, MATCH(B314, 'SAÍDA DE VENDAS'!$B$6:$B$500, 0)+3), ""), "")&amp; IF(COUNTIF('SAÍDA DE VENDAS'!$B$6:$B$500, B314)&gt;4, " + " &amp; IFERROR(INDEX('SAÍDA DE VENDAS'!$H$6:$H$500 &amp; "x " &amp; 'SAÍDA DE VENDAS'!$G$6:$G$500, MATCH(B314, 'SAÍDA DE VENDAS'!$B$6:$B$500, 0)+4), ""), "")&amp; IF(COUNTIF('SAÍDA DE VENDAS'!$B$6:$B$500, B314)&gt;5, " + " &amp; IFERROR(INDEX('SAÍDA DE VENDAS'!$H$6:$H$500 &amp; "x " &amp; 'SAÍDA DE VENDAS'!$G$6:$G$500, MATCH(B314, 'SAÍDA DE VENDAS'!$B$6:$B$500, 0)+5), ""), ""))</f>
        <v/>
      </c>
      <c r="G314" s="28">
        <f>IFERROR(VLOOKUP(B314,'SAÍDA DE VENDAS'!$B$6:$P$500,10,FALSE),"")</f>
        <v>0</v>
      </c>
      <c r="H314" s="28" t="str">
        <f>IF(OR(ISBLANK(B314),B314=""), "", IF(B314=B313, (VALUE(LEFT(H313,FIND("/",H313)-1))+1)&amp;"/"&amp;RIGHT(H313,LEN(H313)-FIND("/",H313)), "1/"&amp;IFERROR(VLOOKUP(B314,'SAÍDA DE VENDAS'!$B$6:$P$500,13,FALSE),"1")))</f>
        <v/>
      </c>
      <c r="I314" s="69" t="str">
        <f t="shared" si="8"/>
        <v/>
      </c>
      <c r="J314" s="33" t="str">
        <f>IFERROR(VLOOKUP(B314,'SAÍDA DE VENDAS'!$B$6:$P$500,15,FALSE),"")</f>
        <v/>
      </c>
      <c r="K314" s="28" t="str">
        <f t="shared" ca="1" si="9"/>
        <v/>
      </c>
      <c r="L314" s="28"/>
      <c r="M314" s="28"/>
    </row>
    <row r="315" spans="2:13" ht="15" customHeight="1" x14ac:dyDescent="0.3">
      <c r="B315" s="34" t="str">
        <f>IF(B314="","", IF(VALUE(LEFT(H314,FIND("/",H314)-1)) &lt; VALUE(RIGHT(H314,LEN(H314)-FIND("/",H314))), B314, IFERROR(INDEX('SAÍDA DE VENDAS'!$B$6:$B$500, MATCH(B314,'SAÍDA DE VENDAS'!$B$6:$B$500,0)+COUNTIF('SAÍDA DE VENDAS'!$B$6:$B$500, B314)),"")))</f>
        <v/>
      </c>
      <c r="C315" s="35">
        <f>IFERROR(VLOOKUP(B315,'SAÍDA DE VENDAS'!$B$6:$P$500,3,FALSE),"")</f>
        <v>0</v>
      </c>
      <c r="D315" s="34">
        <f>IFERROR(VLOOKUP(B315,'SAÍDA DE VENDAS'!$B$6:$P$500,4,FALSE),"")</f>
        <v>0</v>
      </c>
      <c r="E315" s="34" t="str">
        <f>IFERROR(VLOOKUP(B315,'SAÍDA DE VENDAS'!$B$6:$P$500,5,FALSE),"")</f>
        <v/>
      </c>
      <c r="F315" s="34" t="str">
        <f>IF(OR(ISBLANK(B315),B315=""), "", IFERROR(INDEX('SAÍDA DE VENDAS'!$H$6:$H$500 &amp; "x " &amp; 'SAÍDA DE VENDAS'!$G$6:$G$500, MATCH(B315, 'SAÍDA DE VENDAS'!$B$6:$B$500, 0)), "")&amp; IF(COUNTIF('SAÍDA DE VENDAS'!$B$6:$B$500, B315)&gt;1, " + " &amp; IFERROR(INDEX('SAÍDA DE VENDAS'!$H$6:$H$500 &amp; "x " &amp; 'SAÍDA DE VENDAS'!$G$6:$G$500, MATCH(B315, 'SAÍDA DE VENDAS'!$B$6:$B$500, 0)+1), ""), "")&amp; IF(COUNTIF('SAÍDA DE VENDAS'!$B$6:$B$500, B315)&gt;2, " + " &amp; IFERROR(INDEX('SAÍDA DE VENDAS'!$H$6:$H$500 &amp; "x " &amp; 'SAÍDA DE VENDAS'!$G$6:$G$500, MATCH(B315, 'SAÍDA DE VENDAS'!$B$6:$B$500, 0)+2), ""), "")&amp; IF(COUNTIF('SAÍDA DE VENDAS'!$B$6:$B$500, B315)&gt;3, " + " &amp; IFERROR(INDEX('SAÍDA DE VENDAS'!$H$6:$H$500 &amp; "x " &amp; 'SAÍDA DE VENDAS'!$G$6:$G$500, MATCH(B315, 'SAÍDA DE VENDAS'!$B$6:$B$500, 0)+3), ""), "")&amp; IF(COUNTIF('SAÍDA DE VENDAS'!$B$6:$B$500, B315)&gt;4, " + " &amp; IFERROR(INDEX('SAÍDA DE VENDAS'!$H$6:$H$500 &amp; "x " &amp; 'SAÍDA DE VENDAS'!$G$6:$G$500, MATCH(B315, 'SAÍDA DE VENDAS'!$B$6:$B$500, 0)+4), ""), "")&amp; IF(COUNTIF('SAÍDA DE VENDAS'!$B$6:$B$500, B315)&gt;5, " + " &amp; IFERROR(INDEX('SAÍDA DE VENDAS'!$H$6:$H$500 &amp; "x " &amp; 'SAÍDA DE VENDAS'!$G$6:$G$500, MATCH(B315, 'SAÍDA DE VENDAS'!$B$6:$B$500, 0)+5), ""), ""))</f>
        <v/>
      </c>
      <c r="G315" s="34">
        <f>IFERROR(VLOOKUP(B315,'SAÍDA DE VENDAS'!$B$6:$P$500,10,FALSE),"")</f>
        <v>0</v>
      </c>
      <c r="H315" s="34" t="str">
        <f>IF(OR(ISBLANK(B315),B315=""), "", IF(B315=B314, (VALUE(LEFT(H314,FIND("/",H314)-1))+1)&amp;"/"&amp;RIGHT(H314,LEN(H314)-FIND("/",H314)), "1/"&amp;IFERROR(VLOOKUP(B315,'SAÍDA DE VENDAS'!$B$6:$P$500,13,FALSE),"1")))</f>
        <v/>
      </c>
      <c r="I315" s="35" t="str">
        <f t="shared" si="8"/>
        <v/>
      </c>
      <c r="J315" s="39" t="str">
        <f>IFERROR(VLOOKUP(B315,'SAÍDA DE VENDAS'!$B$6:$P$500,15,FALSE),"")</f>
        <v/>
      </c>
      <c r="K315" s="34" t="str">
        <f t="shared" ca="1" si="9"/>
        <v/>
      </c>
      <c r="L315" s="34"/>
      <c r="M315" s="34"/>
    </row>
    <row r="316" spans="2:13" ht="15" customHeight="1" x14ac:dyDescent="0.3">
      <c r="B316" s="28" t="str">
        <f>IF(B315="","", IF(VALUE(LEFT(H315,FIND("/",H315)-1)) &lt; VALUE(RIGHT(H315,LEN(H315)-FIND("/",H315))), B315, IFERROR(INDEX('SAÍDA DE VENDAS'!$B$6:$B$500, MATCH(B315,'SAÍDA DE VENDAS'!$B$6:$B$500,0)+COUNTIF('SAÍDA DE VENDAS'!$B$6:$B$500, B315)),"")))</f>
        <v/>
      </c>
      <c r="C316" s="29">
        <f>IFERROR(VLOOKUP(B316,'SAÍDA DE VENDAS'!$B$6:$P$500,3,FALSE),"")</f>
        <v>0</v>
      </c>
      <c r="D316" s="28">
        <f>IFERROR(VLOOKUP(B316,'SAÍDA DE VENDAS'!$B$6:$P$500,4,FALSE),"")</f>
        <v>0</v>
      </c>
      <c r="E316" s="28" t="str">
        <f>IFERROR(VLOOKUP(B316,'SAÍDA DE VENDAS'!$B$6:$P$500,5,FALSE),"")</f>
        <v/>
      </c>
      <c r="F316" s="28" t="str">
        <f>IF(OR(ISBLANK(B316),B316=""), "", IFERROR(INDEX('SAÍDA DE VENDAS'!$H$6:$H$500 &amp; "x " &amp; 'SAÍDA DE VENDAS'!$G$6:$G$500, MATCH(B316, 'SAÍDA DE VENDAS'!$B$6:$B$500, 0)), "")&amp; IF(COUNTIF('SAÍDA DE VENDAS'!$B$6:$B$500, B316)&gt;1, " + " &amp; IFERROR(INDEX('SAÍDA DE VENDAS'!$H$6:$H$500 &amp; "x " &amp; 'SAÍDA DE VENDAS'!$G$6:$G$500, MATCH(B316, 'SAÍDA DE VENDAS'!$B$6:$B$500, 0)+1), ""), "")&amp; IF(COUNTIF('SAÍDA DE VENDAS'!$B$6:$B$500, B316)&gt;2, " + " &amp; IFERROR(INDEX('SAÍDA DE VENDAS'!$H$6:$H$500 &amp; "x " &amp; 'SAÍDA DE VENDAS'!$G$6:$G$500, MATCH(B316, 'SAÍDA DE VENDAS'!$B$6:$B$500, 0)+2), ""), "")&amp; IF(COUNTIF('SAÍDA DE VENDAS'!$B$6:$B$500, B316)&gt;3, " + " &amp; IFERROR(INDEX('SAÍDA DE VENDAS'!$H$6:$H$500 &amp; "x " &amp; 'SAÍDA DE VENDAS'!$G$6:$G$500, MATCH(B316, 'SAÍDA DE VENDAS'!$B$6:$B$500, 0)+3), ""), "")&amp; IF(COUNTIF('SAÍDA DE VENDAS'!$B$6:$B$500, B316)&gt;4, " + " &amp; IFERROR(INDEX('SAÍDA DE VENDAS'!$H$6:$H$500 &amp; "x " &amp; 'SAÍDA DE VENDAS'!$G$6:$G$500, MATCH(B316, 'SAÍDA DE VENDAS'!$B$6:$B$500, 0)+4), ""), "")&amp; IF(COUNTIF('SAÍDA DE VENDAS'!$B$6:$B$500, B316)&gt;5, " + " &amp; IFERROR(INDEX('SAÍDA DE VENDAS'!$H$6:$H$500 &amp; "x " &amp; 'SAÍDA DE VENDAS'!$G$6:$G$500, MATCH(B316, 'SAÍDA DE VENDAS'!$B$6:$B$500, 0)+5), ""), ""))</f>
        <v/>
      </c>
      <c r="G316" s="28">
        <f>IFERROR(VLOOKUP(B316,'SAÍDA DE VENDAS'!$B$6:$P$500,10,FALSE),"")</f>
        <v>0</v>
      </c>
      <c r="H316" s="28" t="str">
        <f>IF(OR(ISBLANK(B316),B316=""), "", IF(B316=B315, (VALUE(LEFT(H315,FIND("/",H315)-1))+1)&amp;"/"&amp;RIGHT(H315,LEN(H315)-FIND("/",H315)), "1/"&amp;IFERROR(VLOOKUP(B316,'SAÍDA DE VENDAS'!$B$6:$P$500,13,FALSE),"1")))</f>
        <v/>
      </c>
      <c r="I316" s="69" t="str">
        <f t="shared" si="8"/>
        <v/>
      </c>
      <c r="J316" s="33" t="str">
        <f>IFERROR(VLOOKUP(B316,'SAÍDA DE VENDAS'!$B$6:$P$500,15,FALSE),"")</f>
        <v/>
      </c>
      <c r="K316" s="28" t="str">
        <f t="shared" ca="1" si="9"/>
        <v/>
      </c>
      <c r="L316" s="28"/>
      <c r="M316" s="28"/>
    </row>
    <row r="317" spans="2:13" ht="15" customHeight="1" x14ac:dyDescent="0.3">
      <c r="B317" s="34" t="str">
        <f>IF(B316="","", IF(VALUE(LEFT(H316,FIND("/",H316)-1)) &lt; VALUE(RIGHT(H316,LEN(H316)-FIND("/",H316))), B316, IFERROR(INDEX('SAÍDA DE VENDAS'!$B$6:$B$500, MATCH(B316,'SAÍDA DE VENDAS'!$B$6:$B$500,0)+COUNTIF('SAÍDA DE VENDAS'!$B$6:$B$500, B316)),"")))</f>
        <v/>
      </c>
      <c r="C317" s="35">
        <f>IFERROR(VLOOKUP(B317,'SAÍDA DE VENDAS'!$B$6:$P$500,3,FALSE),"")</f>
        <v>0</v>
      </c>
      <c r="D317" s="34">
        <f>IFERROR(VLOOKUP(B317,'SAÍDA DE VENDAS'!$B$6:$P$500,4,FALSE),"")</f>
        <v>0</v>
      </c>
      <c r="E317" s="34" t="str">
        <f>IFERROR(VLOOKUP(B317,'SAÍDA DE VENDAS'!$B$6:$P$500,5,FALSE),"")</f>
        <v/>
      </c>
      <c r="F317" s="34" t="str">
        <f>IF(OR(ISBLANK(B317),B317=""), "", IFERROR(INDEX('SAÍDA DE VENDAS'!$H$6:$H$500 &amp; "x " &amp; 'SAÍDA DE VENDAS'!$G$6:$G$500, MATCH(B317, 'SAÍDA DE VENDAS'!$B$6:$B$500, 0)), "")&amp; IF(COUNTIF('SAÍDA DE VENDAS'!$B$6:$B$500, B317)&gt;1, " + " &amp; IFERROR(INDEX('SAÍDA DE VENDAS'!$H$6:$H$500 &amp; "x " &amp; 'SAÍDA DE VENDAS'!$G$6:$G$500, MATCH(B317, 'SAÍDA DE VENDAS'!$B$6:$B$500, 0)+1), ""), "")&amp; IF(COUNTIF('SAÍDA DE VENDAS'!$B$6:$B$500, B317)&gt;2, " + " &amp; IFERROR(INDEX('SAÍDA DE VENDAS'!$H$6:$H$500 &amp; "x " &amp; 'SAÍDA DE VENDAS'!$G$6:$G$500, MATCH(B317, 'SAÍDA DE VENDAS'!$B$6:$B$500, 0)+2), ""), "")&amp; IF(COUNTIF('SAÍDA DE VENDAS'!$B$6:$B$500, B317)&gt;3, " + " &amp; IFERROR(INDEX('SAÍDA DE VENDAS'!$H$6:$H$500 &amp; "x " &amp; 'SAÍDA DE VENDAS'!$G$6:$G$500, MATCH(B317, 'SAÍDA DE VENDAS'!$B$6:$B$500, 0)+3), ""), "")&amp; IF(COUNTIF('SAÍDA DE VENDAS'!$B$6:$B$500, B317)&gt;4, " + " &amp; IFERROR(INDEX('SAÍDA DE VENDAS'!$H$6:$H$500 &amp; "x " &amp; 'SAÍDA DE VENDAS'!$G$6:$G$500, MATCH(B317, 'SAÍDA DE VENDAS'!$B$6:$B$500, 0)+4), ""), "")&amp; IF(COUNTIF('SAÍDA DE VENDAS'!$B$6:$B$500, B317)&gt;5, " + " &amp; IFERROR(INDEX('SAÍDA DE VENDAS'!$H$6:$H$500 &amp; "x " &amp; 'SAÍDA DE VENDAS'!$G$6:$G$500, MATCH(B317, 'SAÍDA DE VENDAS'!$B$6:$B$500, 0)+5), ""), ""))</f>
        <v/>
      </c>
      <c r="G317" s="34">
        <f>IFERROR(VLOOKUP(B317,'SAÍDA DE VENDAS'!$B$6:$P$500,10,FALSE),"")</f>
        <v>0</v>
      </c>
      <c r="H317" s="34" t="str">
        <f>IF(OR(ISBLANK(B317),B317=""), "", IF(B317=B316, (VALUE(LEFT(H316,FIND("/",H316)-1))+1)&amp;"/"&amp;RIGHT(H316,LEN(H316)-FIND("/",H316)), "1/"&amp;IFERROR(VLOOKUP(B317,'SAÍDA DE VENDAS'!$B$6:$P$500,13,FALSE),"1")))</f>
        <v/>
      </c>
      <c r="I317" s="35" t="str">
        <f t="shared" si="8"/>
        <v/>
      </c>
      <c r="J317" s="39" t="str">
        <f>IFERROR(VLOOKUP(B317,'SAÍDA DE VENDAS'!$B$6:$P$500,15,FALSE),"")</f>
        <v/>
      </c>
      <c r="K317" s="34" t="str">
        <f t="shared" ca="1" si="9"/>
        <v/>
      </c>
      <c r="L317" s="34"/>
      <c r="M317" s="34"/>
    </row>
    <row r="318" spans="2:13" ht="15" customHeight="1" x14ac:dyDescent="0.3">
      <c r="B318" s="28" t="str">
        <f>IF(B317="","", IF(VALUE(LEFT(H317,FIND("/",H317)-1)) &lt; VALUE(RIGHT(H317,LEN(H317)-FIND("/",H317))), B317, IFERROR(INDEX('SAÍDA DE VENDAS'!$B$6:$B$500, MATCH(B317,'SAÍDA DE VENDAS'!$B$6:$B$500,0)+COUNTIF('SAÍDA DE VENDAS'!$B$6:$B$500, B317)),"")))</f>
        <v/>
      </c>
      <c r="C318" s="29">
        <f>IFERROR(VLOOKUP(B318,'SAÍDA DE VENDAS'!$B$6:$P$500,3,FALSE),"")</f>
        <v>0</v>
      </c>
      <c r="D318" s="28">
        <f>IFERROR(VLOOKUP(B318,'SAÍDA DE VENDAS'!$B$6:$P$500,4,FALSE),"")</f>
        <v>0</v>
      </c>
      <c r="E318" s="28" t="str">
        <f>IFERROR(VLOOKUP(B318,'SAÍDA DE VENDAS'!$B$6:$P$500,5,FALSE),"")</f>
        <v/>
      </c>
      <c r="F318" s="28" t="str">
        <f>IF(OR(ISBLANK(B318),B318=""), "", IFERROR(INDEX('SAÍDA DE VENDAS'!$H$6:$H$500 &amp; "x " &amp; 'SAÍDA DE VENDAS'!$G$6:$G$500, MATCH(B318, 'SAÍDA DE VENDAS'!$B$6:$B$500, 0)), "")&amp; IF(COUNTIF('SAÍDA DE VENDAS'!$B$6:$B$500, B318)&gt;1, " + " &amp; IFERROR(INDEX('SAÍDA DE VENDAS'!$H$6:$H$500 &amp; "x " &amp; 'SAÍDA DE VENDAS'!$G$6:$G$500, MATCH(B318, 'SAÍDA DE VENDAS'!$B$6:$B$500, 0)+1), ""), "")&amp; IF(COUNTIF('SAÍDA DE VENDAS'!$B$6:$B$500, B318)&gt;2, " + " &amp; IFERROR(INDEX('SAÍDA DE VENDAS'!$H$6:$H$500 &amp; "x " &amp; 'SAÍDA DE VENDAS'!$G$6:$G$500, MATCH(B318, 'SAÍDA DE VENDAS'!$B$6:$B$500, 0)+2), ""), "")&amp; IF(COUNTIF('SAÍDA DE VENDAS'!$B$6:$B$500, B318)&gt;3, " + " &amp; IFERROR(INDEX('SAÍDA DE VENDAS'!$H$6:$H$500 &amp; "x " &amp; 'SAÍDA DE VENDAS'!$G$6:$G$500, MATCH(B318, 'SAÍDA DE VENDAS'!$B$6:$B$500, 0)+3), ""), "")&amp; IF(COUNTIF('SAÍDA DE VENDAS'!$B$6:$B$500, B318)&gt;4, " + " &amp; IFERROR(INDEX('SAÍDA DE VENDAS'!$H$6:$H$500 &amp; "x " &amp; 'SAÍDA DE VENDAS'!$G$6:$G$500, MATCH(B318, 'SAÍDA DE VENDAS'!$B$6:$B$500, 0)+4), ""), "")&amp; IF(COUNTIF('SAÍDA DE VENDAS'!$B$6:$B$500, B318)&gt;5, " + " &amp; IFERROR(INDEX('SAÍDA DE VENDAS'!$H$6:$H$500 &amp; "x " &amp; 'SAÍDA DE VENDAS'!$G$6:$G$500, MATCH(B318, 'SAÍDA DE VENDAS'!$B$6:$B$500, 0)+5), ""), ""))</f>
        <v/>
      </c>
      <c r="G318" s="28">
        <f>IFERROR(VLOOKUP(B318,'SAÍDA DE VENDAS'!$B$6:$P$500,10,FALSE),"")</f>
        <v>0</v>
      </c>
      <c r="H318" s="28" t="str">
        <f>IF(OR(ISBLANK(B318),B318=""), "", IF(B318=B317, (VALUE(LEFT(H317,FIND("/",H317)-1))+1)&amp;"/"&amp;RIGHT(H317,LEN(H317)-FIND("/",H317)), "1/"&amp;IFERROR(VLOOKUP(B318,'SAÍDA DE VENDAS'!$B$6:$P$500,13,FALSE),"1")))</f>
        <v/>
      </c>
      <c r="I318" s="69" t="str">
        <f t="shared" si="8"/>
        <v/>
      </c>
      <c r="J318" s="33" t="str">
        <f>IFERROR(VLOOKUP(B318,'SAÍDA DE VENDAS'!$B$6:$P$500,15,FALSE),"")</f>
        <v/>
      </c>
      <c r="K318" s="28" t="str">
        <f t="shared" ca="1" si="9"/>
        <v/>
      </c>
      <c r="L318" s="28"/>
      <c r="M318" s="28"/>
    </row>
    <row r="319" spans="2:13" ht="15" customHeight="1" x14ac:dyDescent="0.3">
      <c r="B319" s="34" t="str">
        <f>IF(B318="","", IF(VALUE(LEFT(H318,FIND("/",H318)-1)) &lt; VALUE(RIGHT(H318,LEN(H318)-FIND("/",H318))), B318, IFERROR(INDEX('SAÍDA DE VENDAS'!$B$6:$B$500, MATCH(B318,'SAÍDA DE VENDAS'!$B$6:$B$500,0)+COUNTIF('SAÍDA DE VENDAS'!$B$6:$B$500, B318)),"")))</f>
        <v/>
      </c>
      <c r="C319" s="35">
        <f>IFERROR(VLOOKUP(B319,'SAÍDA DE VENDAS'!$B$6:$P$500,3,FALSE),"")</f>
        <v>0</v>
      </c>
      <c r="D319" s="34">
        <f>IFERROR(VLOOKUP(B319,'SAÍDA DE VENDAS'!$B$6:$P$500,4,FALSE),"")</f>
        <v>0</v>
      </c>
      <c r="E319" s="34" t="str">
        <f>IFERROR(VLOOKUP(B319,'SAÍDA DE VENDAS'!$B$6:$P$500,5,FALSE),"")</f>
        <v/>
      </c>
      <c r="F319" s="34" t="str">
        <f>IF(OR(ISBLANK(B319),B319=""), "", IFERROR(INDEX('SAÍDA DE VENDAS'!$H$6:$H$500 &amp; "x " &amp; 'SAÍDA DE VENDAS'!$G$6:$G$500, MATCH(B319, 'SAÍDA DE VENDAS'!$B$6:$B$500, 0)), "")&amp; IF(COUNTIF('SAÍDA DE VENDAS'!$B$6:$B$500, B319)&gt;1, " + " &amp; IFERROR(INDEX('SAÍDA DE VENDAS'!$H$6:$H$500 &amp; "x " &amp; 'SAÍDA DE VENDAS'!$G$6:$G$500, MATCH(B319, 'SAÍDA DE VENDAS'!$B$6:$B$500, 0)+1), ""), "")&amp; IF(COUNTIF('SAÍDA DE VENDAS'!$B$6:$B$500, B319)&gt;2, " + " &amp; IFERROR(INDEX('SAÍDA DE VENDAS'!$H$6:$H$500 &amp; "x " &amp; 'SAÍDA DE VENDAS'!$G$6:$G$500, MATCH(B319, 'SAÍDA DE VENDAS'!$B$6:$B$500, 0)+2), ""), "")&amp; IF(COUNTIF('SAÍDA DE VENDAS'!$B$6:$B$500, B319)&gt;3, " + " &amp; IFERROR(INDEX('SAÍDA DE VENDAS'!$H$6:$H$500 &amp; "x " &amp; 'SAÍDA DE VENDAS'!$G$6:$G$500, MATCH(B319, 'SAÍDA DE VENDAS'!$B$6:$B$500, 0)+3), ""), "")&amp; IF(COUNTIF('SAÍDA DE VENDAS'!$B$6:$B$500, B319)&gt;4, " + " &amp; IFERROR(INDEX('SAÍDA DE VENDAS'!$H$6:$H$500 &amp; "x " &amp; 'SAÍDA DE VENDAS'!$G$6:$G$500, MATCH(B319, 'SAÍDA DE VENDAS'!$B$6:$B$500, 0)+4), ""), "")&amp; IF(COUNTIF('SAÍDA DE VENDAS'!$B$6:$B$500, B319)&gt;5, " + " &amp; IFERROR(INDEX('SAÍDA DE VENDAS'!$H$6:$H$500 &amp; "x " &amp; 'SAÍDA DE VENDAS'!$G$6:$G$500, MATCH(B319, 'SAÍDA DE VENDAS'!$B$6:$B$500, 0)+5), ""), ""))</f>
        <v/>
      </c>
      <c r="G319" s="34">
        <f>IFERROR(VLOOKUP(B319,'SAÍDA DE VENDAS'!$B$6:$P$500,10,FALSE),"")</f>
        <v>0</v>
      </c>
      <c r="H319" s="34" t="str">
        <f>IF(OR(ISBLANK(B319),B319=""), "", IF(B319=B318, (VALUE(LEFT(H318,FIND("/",H318)-1))+1)&amp;"/"&amp;RIGHT(H318,LEN(H318)-FIND("/",H318)), "1/"&amp;IFERROR(VLOOKUP(B319,'SAÍDA DE VENDAS'!$B$6:$P$500,13,FALSE),"1")))</f>
        <v/>
      </c>
      <c r="I319" s="35" t="str">
        <f t="shared" si="8"/>
        <v/>
      </c>
      <c r="J319" s="39" t="str">
        <f>IFERROR(VLOOKUP(B319,'SAÍDA DE VENDAS'!$B$6:$P$500,15,FALSE),"")</f>
        <v/>
      </c>
      <c r="K319" s="34" t="str">
        <f t="shared" ca="1" si="9"/>
        <v/>
      </c>
      <c r="L319" s="34"/>
      <c r="M319" s="34"/>
    </row>
    <row r="320" spans="2:13" ht="15" customHeight="1" x14ac:dyDescent="0.3">
      <c r="B320" s="28" t="str">
        <f>IF(B319="","", IF(VALUE(LEFT(H319,FIND("/",H319)-1)) &lt; VALUE(RIGHT(H319,LEN(H319)-FIND("/",H319))), B319, IFERROR(INDEX('SAÍDA DE VENDAS'!$B$6:$B$500, MATCH(B319,'SAÍDA DE VENDAS'!$B$6:$B$500,0)+COUNTIF('SAÍDA DE VENDAS'!$B$6:$B$500, B319)),"")))</f>
        <v/>
      </c>
      <c r="C320" s="29">
        <f>IFERROR(VLOOKUP(B320,'SAÍDA DE VENDAS'!$B$6:$P$500,3,FALSE),"")</f>
        <v>0</v>
      </c>
      <c r="D320" s="28">
        <f>IFERROR(VLOOKUP(B320,'SAÍDA DE VENDAS'!$B$6:$P$500,4,FALSE),"")</f>
        <v>0</v>
      </c>
      <c r="E320" s="28" t="str">
        <f>IFERROR(VLOOKUP(B320,'SAÍDA DE VENDAS'!$B$6:$P$500,5,FALSE),"")</f>
        <v/>
      </c>
      <c r="F320" s="28" t="str">
        <f>IF(OR(ISBLANK(B320),B320=""), "", IFERROR(INDEX('SAÍDA DE VENDAS'!$H$6:$H$500 &amp; "x " &amp; 'SAÍDA DE VENDAS'!$G$6:$G$500, MATCH(B320, 'SAÍDA DE VENDAS'!$B$6:$B$500, 0)), "")&amp; IF(COUNTIF('SAÍDA DE VENDAS'!$B$6:$B$500, B320)&gt;1, " + " &amp; IFERROR(INDEX('SAÍDA DE VENDAS'!$H$6:$H$500 &amp; "x " &amp; 'SAÍDA DE VENDAS'!$G$6:$G$500, MATCH(B320, 'SAÍDA DE VENDAS'!$B$6:$B$500, 0)+1), ""), "")&amp; IF(COUNTIF('SAÍDA DE VENDAS'!$B$6:$B$500, B320)&gt;2, " + " &amp; IFERROR(INDEX('SAÍDA DE VENDAS'!$H$6:$H$500 &amp; "x " &amp; 'SAÍDA DE VENDAS'!$G$6:$G$500, MATCH(B320, 'SAÍDA DE VENDAS'!$B$6:$B$500, 0)+2), ""), "")&amp; IF(COUNTIF('SAÍDA DE VENDAS'!$B$6:$B$500, B320)&gt;3, " + " &amp; IFERROR(INDEX('SAÍDA DE VENDAS'!$H$6:$H$500 &amp; "x " &amp; 'SAÍDA DE VENDAS'!$G$6:$G$500, MATCH(B320, 'SAÍDA DE VENDAS'!$B$6:$B$500, 0)+3), ""), "")&amp; IF(COUNTIF('SAÍDA DE VENDAS'!$B$6:$B$500, B320)&gt;4, " + " &amp; IFERROR(INDEX('SAÍDA DE VENDAS'!$H$6:$H$500 &amp; "x " &amp; 'SAÍDA DE VENDAS'!$G$6:$G$500, MATCH(B320, 'SAÍDA DE VENDAS'!$B$6:$B$500, 0)+4), ""), "")&amp; IF(COUNTIF('SAÍDA DE VENDAS'!$B$6:$B$500, B320)&gt;5, " + " &amp; IFERROR(INDEX('SAÍDA DE VENDAS'!$H$6:$H$500 &amp; "x " &amp; 'SAÍDA DE VENDAS'!$G$6:$G$500, MATCH(B320, 'SAÍDA DE VENDAS'!$B$6:$B$500, 0)+5), ""), ""))</f>
        <v/>
      </c>
      <c r="G320" s="28">
        <f>IFERROR(VLOOKUP(B320,'SAÍDA DE VENDAS'!$B$6:$P$500,10,FALSE),"")</f>
        <v>0</v>
      </c>
      <c r="H320" s="28" t="str">
        <f>IF(OR(ISBLANK(B320),B320=""), "", IF(B320=B319, (VALUE(LEFT(H319,FIND("/",H319)-1))+1)&amp;"/"&amp;RIGHT(H319,LEN(H319)-FIND("/",H319)), "1/"&amp;IFERROR(VLOOKUP(B320,'SAÍDA DE VENDAS'!$B$6:$P$500,13,FALSE),"1")))</f>
        <v/>
      </c>
      <c r="I320" s="69" t="str">
        <f t="shared" si="8"/>
        <v/>
      </c>
      <c r="J320" s="33" t="str">
        <f>IFERROR(VLOOKUP(B320,'SAÍDA DE VENDAS'!$B$6:$P$500,15,FALSE),"")</f>
        <v/>
      </c>
      <c r="K320" s="28" t="str">
        <f t="shared" ca="1" si="9"/>
        <v/>
      </c>
      <c r="L320" s="28"/>
      <c r="M320" s="28"/>
    </row>
    <row r="321" spans="2:13" ht="15" customHeight="1" x14ac:dyDescent="0.3">
      <c r="B321" s="34" t="str">
        <f>IF(B320="","", IF(VALUE(LEFT(H320,FIND("/",H320)-1)) &lt; VALUE(RIGHT(H320,LEN(H320)-FIND("/",H320))), B320, IFERROR(INDEX('SAÍDA DE VENDAS'!$B$6:$B$500, MATCH(B320,'SAÍDA DE VENDAS'!$B$6:$B$500,0)+COUNTIF('SAÍDA DE VENDAS'!$B$6:$B$500, B320)),"")))</f>
        <v/>
      </c>
      <c r="C321" s="35">
        <f>IFERROR(VLOOKUP(B321,'SAÍDA DE VENDAS'!$B$6:$P$500,3,FALSE),"")</f>
        <v>0</v>
      </c>
      <c r="D321" s="34">
        <f>IFERROR(VLOOKUP(B321,'SAÍDA DE VENDAS'!$B$6:$P$500,4,FALSE),"")</f>
        <v>0</v>
      </c>
      <c r="E321" s="34" t="str">
        <f>IFERROR(VLOOKUP(B321,'SAÍDA DE VENDAS'!$B$6:$P$500,5,FALSE),"")</f>
        <v/>
      </c>
      <c r="F321" s="34" t="str">
        <f>IF(OR(ISBLANK(B321),B321=""), "", IFERROR(INDEX('SAÍDA DE VENDAS'!$H$6:$H$500 &amp; "x " &amp; 'SAÍDA DE VENDAS'!$G$6:$G$500, MATCH(B321, 'SAÍDA DE VENDAS'!$B$6:$B$500, 0)), "")&amp; IF(COUNTIF('SAÍDA DE VENDAS'!$B$6:$B$500, B321)&gt;1, " + " &amp; IFERROR(INDEX('SAÍDA DE VENDAS'!$H$6:$H$500 &amp; "x " &amp; 'SAÍDA DE VENDAS'!$G$6:$G$500, MATCH(B321, 'SAÍDA DE VENDAS'!$B$6:$B$500, 0)+1), ""), "")&amp; IF(COUNTIF('SAÍDA DE VENDAS'!$B$6:$B$500, B321)&gt;2, " + " &amp; IFERROR(INDEX('SAÍDA DE VENDAS'!$H$6:$H$500 &amp; "x " &amp; 'SAÍDA DE VENDAS'!$G$6:$G$500, MATCH(B321, 'SAÍDA DE VENDAS'!$B$6:$B$500, 0)+2), ""), "")&amp; IF(COUNTIF('SAÍDA DE VENDAS'!$B$6:$B$500, B321)&gt;3, " + " &amp; IFERROR(INDEX('SAÍDA DE VENDAS'!$H$6:$H$500 &amp; "x " &amp; 'SAÍDA DE VENDAS'!$G$6:$G$500, MATCH(B321, 'SAÍDA DE VENDAS'!$B$6:$B$500, 0)+3), ""), "")&amp; IF(COUNTIF('SAÍDA DE VENDAS'!$B$6:$B$500, B321)&gt;4, " + " &amp; IFERROR(INDEX('SAÍDA DE VENDAS'!$H$6:$H$500 &amp; "x " &amp; 'SAÍDA DE VENDAS'!$G$6:$G$500, MATCH(B321, 'SAÍDA DE VENDAS'!$B$6:$B$500, 0)+4), ""), "")&amp; IF(COUNTIF('SAÍDA DE VENDAS'!$B$6:$B$500, B321)&gt;5, " + " &amp; IFERROR(INDEX('SAÍDA DE VENDAS'!$H$6:$H$500 &amp; "x " &amp; 'SAÍDA DE VENDAS'!$G$6:$G$500, MATCH(B321, 'SAÍDA DE VENDAS'!$B$6:$B$500, 0)+5), ""), ""))</f>
        <v/>
      </c>
      <c r="G321" s="34">
        <f>IFERROR(VLOOKUP(B321,'SAÍDA DE VENDAS'!$B$6:$P$500,10,FALSE),"")</f>
        <v>0</v>
      </c>
      <c r="H321" s="34" t="str">
        <f>IF(OR(ISBLANK(B321),B321=""), "", IF(B321=B320, (VALUE(LEFT(H320,FIND("/",H320)-1))+1)&amp;"/"&amp;RIGHT(H320,LEN(H320)-FIND("/",H320)), "1/"&amp;IFERROR(VLOOKUP(B321,'SAÍDA DE VENDAS'!$B$6:$P$500,13,FALSE),"1")))</f>
        <v/>
      </c>
      <c r="I321" s="35" t="str">
        <f t="shared" si="8"/>
        <v/>
      </c>
      <c r="J321" s="39" t="str">
        <f>IFERROR(VLOOKUP(B321,'SAÍDA DE VENDAS'!$B$6:$P$500,15,FALSE),"")</f>
        <v/>
      </c>
      <c r="K321" s="34" t="str">
        <f t="shared" ca="1" si="9"/>
        <v/>
      </c>
      <c r="L321" s="34"/>
      <c r="M321" s="34"/>
    </row>
    <row r="322" spans="2:13" ht="15" customHeight="1" x14ac:dyDescent="0.3">
      <c r="B322" s="28" t="str">
        <f>IF(B321="","", IF(VALUE(LEFT(H321,FIND("/",H321)-1)) &lt; VALUE(RIGHT(H321,LEN(H321)-FIND("/",H321))), B321, IFERROR(INDEX('SAÍDA DE VENDAS'!$B$6:$B$500, MATCH(B321,'SAÍDA DE VENDAS'!$B$6:$B$500,0)+COUNTIF('SAÍDA DE VENDAS'!$B$6:$B$500, B321)),"")))</f>
        <v/>
      </c>
      <c r="C322" s="29">
        <f>IFERROR(VLOOKUP(B322,'SAÍDA DE VENDAS'!$B$6:$P$500,3,FALSE),"")</f>
        <v>0</v>
      </c>
      <c r="D322" s="28">
        <f>IFERROR(VLOOKUP(B322,'SAÍDA DE VENDAS'!$B$6:$P$500,4,FALSE),"")</f>
        <v>0</v>
      </c>
      <c r="E322" s="28" t="str">
        <f>IFERROR(VLOOKUP(B322,'SAÍDA DE VENDAS'!$B$6:$P$500,5,FALSE),"")</f>
        <v/>
      </c>
      <c r="F322" s="28" t="str">
        <f>IF(OR(ISBLANK(B322),B322=""), "", IFERROR(INDEX('SAÍDA DE VENDAS'!$H$6:$H$500 &amp; "x " &amp; 'SAÍDA DE VENDAS'!$G$6:$G$500, MATCH(B322, 'SAÍDA DE VENDAS'!$B$6:$B$500, 0)), "")&amp; IF(COUNTIF('SAÍDA DE VENDAS'!$B$6:$B$500, B322)&gt;1, " + " &amp; IFERROR(INDEX('SAÍDA DE VENDAS'!$H$6:$H$500 &amp; "x " &amp; 'SAÍDA DE VENDAS'!$G$6:$G$500, MATCH(B322, 'SAÍDA DE VENDAS'!$B$6:$B$500, 0)+1), ""), "")&amp; IF(COUNTIF('SAÍDA DE VENDAS'!$B$6:$B$500, B322)&gt;2, " + " &amp; IFERROR(INDEX('SAÍDA DE VENDAS'!$H$6:$H$500 &amp; "x " &amp; 'SAÍDA DE VENDAS'!$G$6:$G$500, MATCH(B322, 'SAÍDA DE VENDAS'!$B$6:$B$500, 0)+2), ""), "")&amp; IF(COUNTIF('SAÍDA DE VENDAS'!$B$6:$B$500, B322)&gt;3, " + " &amp; IFERROR(INDEX('SAÍDA DE VENDAS'!$H$6:$H$500 &amp; "x " &amp; 'SAÍDA DE VENDAS'!$G$6:$G$500, MATCH(B322, 'SAÍDA DE VENDAS'!$B$6:$B$500, 0)+3), ""), "")&amp; IF(COUNTIF('SAÍDA DE VENDAS'!$B$6:$B$500, B322)&gt;4, " + " &amp; IFERROR(INDEX('SAÍDA DE VENDAS'!$H$6:$H$500 &amp; "x " &amp; 'SAÍDA DE VENDAS'!$G$6:$G$500, MATCH(B322, 'SAÍDA DE VENDAS'!$B$6:$B$500, 0)+4), ""), "")&amp; IF(COUNTIF('SAÍDA DE VENDAS'!$B$6:$B$500, B322)&gt;5, " + " &amp; IFERROR(INDEX('SAÍDA DE VENDAS'!$H$6:$H$500 &amp; "x " &amp; 'SAÍDA DE VENDAS'!$G$6:$G$500, MATCH(B322, 'SAÍDA DE VENDAS'!$B$6:$B$500, 0)+5), ""), ""))</f>
        <v/>
      </c>
      <c r="G322" s="28">
        <f>IFERROR(VLOOKUP(B322,'SAÍDA DE VENDAS'!$B$6:$P$500,10,FALSE),"")</f>
        <v>0</v>
      </c>
      <c r="H322" s="28" t="str">
        <f>IF(OR(ISBLANK(B322),B322=""), "", IF(B322=B321, (VALUE(LEFT(H321,FIND("/",H321)-1))+1)&amp;"/"&amp;RIGHT(H321,LEN(H321)-FIND("/",H321)), "1/"&amp;IFERROR(VLOOKUP(B322,'SAÍDA DE VENDAS'!$B$6:$P$500,13,FALSE),"1")))</f>
        <v/>
      </c>
      <c r="I322" s="69" t="str">
        <f t="shared" si="8"/>
        <v/>
      </c>
      <c r="J322" s="33" t="str">
        <f>IFERROR(VLOOKUP(B322,'SAÍDA DE VENDAS'!$B$6:$P$500,15,FALSE),"")</f>
        <v/>
      </c>
      <c r="K322" s="28" t="str">
        <f t="shared" ca="1" si="9"/>
        <v/>
      </c>
      <c r="L322" s="28"/>
      <c r="M322" s="28"/>
    </row>
    <row r="323" spans="2:13" ht="15" customHeight="1" x14ac:dyDescent="0.3">
      <c r="B323" s="34" t="str">
        <f>IF(B322="","", IF(VALUE(LEFT(H322,FIND("/",H322)-1)) &lt; VALUE(RIGHT(H322,LEN(H322)-FIND("/",H322))), B322, IFERROR(INDEX('SAÍDA DE VENDAS'!$B$6:$B$500, MATCH(B322,'SAÍDA DE VENDAS'!$B$6:$B$500,0)+COUNTIF('SAÍDA DE VENDAS'!$B$6:$B$500, B322)),"")))</f>
        <v/>
      </c>
      <c r="C323" s="35">
        <f>IFERROR(VLOOKUP(B323,'SAÍDA DE VENDAS'!$B$6:$P$500,3,FALSE),"")</f>
        <v>0</v>
      </c>
      <c r="D323" s="34">
        <f>IFERROR(VLOOKUP(B323,'SAÍDA DE VENDAS'!$B$6:$P$500,4,FALSE),"")</f>
        <v>0</v>
      </c>
      <c r="E323" s="34" t="str">
        <f>IFERROR(VLOOKUP(B323,'SAÍDA DE VENDAS'!$B$6:$P$500,5,FALSE),"")</f>
        <v/>
      </c>
      <c r="F323" s="34" t="str">
        <f>IF(OR(ISBLANK(B323),B323=""), "", IFERROR(INDEX('SAÍDA DE VENDAS'!$H$6:$H$500 &amp; "x " &amp; 'SAÍDA DE VENDAS'!$G$6:$G$500, MATCH(B323, 'SAÍDA DE VENDAS'!$B$6:$B$500, 0)), "")&amp; IF(COUNTIF('SAÍDA DE VENDAS'!$B$6:$B$500, B323)&gt;1, " + " &amp; IFERROR(INDEX('SAÍDA DE VENDAS'!$H$6:$H$500 &amp; "x " &amp; 'SAÍDA DE VENDAS'!$G$6:$G$500, MATCH(B323, 'SAÍDA DE VENDAS'!$B$6:$B$500, 0)+1), ""), "")&amp; IF(COUNTIF('SAÍDA DE VENDAS'!$B$6:$B$500, B323)&gt;2, " + " &amp; IFERROR(INDEX('SAÍDA DE VENDAS'!$H$6:$H$500 &amp; "x " &amp; 'SAÍDA DE VENDAS'!$G$6:$G$500, MATCH(B323, 'SAÍDA DE VENDAS'!$B$6:$B$500, 0)+2), ""), "")&amp; IF(COUNTIF('SAÍDA DE VENDAS'!$B$6:$B$500, B323)&gt;3, " + " &amp; IFERROR(INDEX('SAÍDA DE VENDAS'!$H$6:$H$500 &amp; "x " &amp; 'SAÍDA DE VENDAS'!$G$6:$G$500, MATCH(B323, 'SAÍDA DE VENDAS'!$B$6:$B$500, 0)+3), ""), "")&amp; IF(COUNTIF('SAÍDA DE VENDAS'!$B$6:$B$500, B323)&gt;4, " + " &amp; IFERROR(INDEX('SAÍDA DE VENDAS'!$H$6:$H$500 &amp; "x " &amp; 'SAÍDA DE VENDAS'!$G$6:$G$500, MATCH(B323, 'SAÍDA DE VENDAS'!$B$6:$B$500, 0)+4), ""), "")&amp; IF(COUNTIF('SAÍDA DE VENDAS'!$B$6:$B$500, B323)&gt;5, " + " &amp; IFERROR(INDEX('SAÍDA DE VENDAS'!$H$6:$H$500 &amp; "x " &amp; 'SAÍDA DE VENDAS'!$G$6:$G$500, MATCH(B323, 'SAÍDA DE VENDAS'!$B$6:$B$500, 0)+5), ""), ""))</f>
        <v/>
      </c>
      <c r="G323" s="34">
        <f>IFERROR(VLOOKUP(B323,'SAÍDA DE VENDAS'!$B$6:$P$500,10,FALSE),"")</f>
        <v>0</v>
      </c>
      <c r="H323" s="34" t="str">
        <f>IF(OR(ISBLANK(B323),B323=""), "", IF(B323=B322, (VALUE(LEFT(H322,FIND("/",H322)-1))+1)&amp;"/"&amp;RIGHT(H322,LEN(H322)-FIND("/",H322)), "1/"&amp;IFERROR(VLOOKUP(B323,'SAÍDA DE VENDAS'!$B$6:$P$500,13,FALSE),"1")))</f>
        <v/>
      </c>
      <c r="I323" s="35" t="str">
        <f t="shared" si="8"/>
        <v/>
      </c>
      <c r="J323" s="39" t="str">
        <f>IFERROR(VLOOKUP(B323,'SAÍDA DE VENDAS'!$B$6:$P$500,15,FALSE),"")</f>
        <v/>
      </c>
      <c r="K323" s="34" t="str">
        <f t="shared" ca="1" si="9"/>
        <v/>
      </c>
      <c r="L323" s="34"/>
      <c r="M323" s="34"/>
    </row>
    <row r="324" spans="2:13" ht="15" customHeight="1" x14ac:dyDescent="0.3">
      <c r="B324" s="28" t="str">
        <f>IF(B323="","", IF(VALUE(LEFT(H323,FIND("/",H323)-1)) &lt; VALUE(RIGHT(H323,LEN(H323)-FIND("/",H323))), B323, IFERROR(INDEX('SAÍDA DE VENDAS'!$B$6:$B$500, MATCH(B323,'SAÍDA DE VENDAS'!$B$6:$B$500,0)+COUNTIF('SAÍDA DE VENDAS'!$B$6:$B$500, B323)),"")))</f>
        <v/>
      </c>
      <c r="C324" s="29">
        <f>IFERROR(VLOOKUP(B324,'SAÍDA DE VENDAS'!$B$6:$P$500,3,FALSE),"")</f>
        <v>0</v>
      </c>
      <c r="D324" s="28">
        <f>IFERROR(VLOOKUP(B324,'SAÍDA DE VENDAS'!$B$6:$P$500,4,FALSE),"")</f>
        <v>0</v>
      </c>
      <c r="E324" s="28" t="str">
        <f>IFERROR(VLOOKUP(B324,'SAÍDA DE VENDAS'!$B$6:$P$500,5,FALSE),"")</f>
        <v/>
      </c>
      <c r="F324" s="28" t="str">
        <f>IF(OR(ISBLANK(B324),B324=""), "", IFERROR(INDEX('SAÍDA DE VENDAS'!$H$6:$H$500 &amp; "x " &amp; 'SAÍDA DE VENDAS'!$G$6:$G$500, MATCH(B324, 'SAÍDA DE VENDAS'!$B$6:$B$500, 0)), "")&amp; IF(COUNTIF('SAÍDA DE VENDAS'!$B$6:$B$500, B324)&gt;1, " + " &amp; IFERROR(INDEX('SAÍDA DE VENDAS'!$H$6:$H$500 &amp; "x " &amp; 'SAÍDA DE VENDAS'!$G$6:$G$500, MATCH(B324, 'SAÍDA DE VENDAS'!$B$6:$B$500, 0)+1), ""), "")&amp; IF(COUNTIF('SAÍDA DE VENDAS'!$B$6:$B$500, B324)&gt;2, " + " &amp; IFERROR(INDEX('SAÍDA DE VENDAS'!$H$6:$H$500 &amp; "x " &amp; 'SAÍDA DE VENDAS'!$G$6:$G$500, MATCH(B324, 'SAÍDA DE VENDAS'!$B$6:$B$500, 0)+2), ""), "")&amp; IF(COUNTIF('SAÍDA DE VENDAS'!$B$6:$B$500, B324)&gt;3, " + " &amp; IFERROR(INDEX('SAÍDA DE VENDAS'!$H$6:$H$500 &amp; "x " &amp; 'SAÍDA DE VENDAS'!$G$6:$G$500, MATCH(B324, 'SAÍDA DE VENDAS'!$B$6:$B$500, 0)+3), ""), "")&amp; IF(COUNTIF('SAÍDA DE VENDAS'!$B$6:$B$500, B324)&gt;4, " + " &amp; IFERROR(INDEX('SAÍDA DE VENDAS'!$H$6:$H$500 &amp; "x " &amp; 'SAÍDA DE VENDAS'!$G$6:$G$500, MATCH(B324, 'SAÍDA DE VENDAS'!$B$6:$B$500, 0)+4), ""), "")&amp; IF(COUNTIF('SAÍDA DE VENDAS'!$B$6:$B$500, B324)&gt;5, " + " &amp; IFERROR(INDEX('SAÍDA DE VENDAS'!$H$6:$H$500 &amp; "x " &amp; 'SAÍDA DE VENDAS'!$G$6:$G$500, MATCH(B324, 'SAÍDA DE VENDAS'!$B$6:$B$500, 0)+5), ""), ""))</f>
        <v/>
      </c>
      <c r="G324" s="28">
        <f>IFERROR(VLOOKUP(B324,'SAÍDA DE VENDAS'!$B$6:$P$500,10,FALSE),"")</f>
        <v>0</v>
      </c>
      <c r="H324" s="28" t="str">
        <f>IF(OR(ISBLANK(B324),B324=""), "", IF(B324=B323, (VALUE(LEFT(H323,FIND("/",H323)-1))+1)&amp;"/"&amp;RIGHT(H323,LEN(H323)-FIND("/",H323)), "1/"&amp;IFERROR(VLOOKUP(B324,'SAÍDA DE VENDAS'!$B$6:$P$500,13,FALSE),"1")))</f>
        <v/>
      </c>
      <c r="I324" s="69" t="str">
        <f t="shared" si="8"/>
        <v/>
      </c>
      <c r="J324" s="33" t="str">
        <f>IFERROR(VLOOKUP(B324,'SAÍDA DE VENDAS'!$B$6:$P$500,15,FALSE),"")</f>
        <v/>
      </c>
      <c r="K324" s="28" t="str">
        <f t="shared" ca="1" si="9"/>
        <v/>
      </c>
      <c r="L324" s="28"/>
      <c r="M324" s="28"/>
    </row>
    <row r="325" spans="2:13" ht="15" customHeight="1" x14ac:dyDescent="0.3">
      <c r="B325" s="34" t="str">
        <f>IF(B324="","", IF(VALUE(LEFT(H324,FIND("/",H324)-1)) &lt; VALUE(RIGHT(H324,LEN(H324)-FIND("/",H324))), B324, IFERROR(INDEX('SAÍDA DE VENDAS'!$B$6:$B$500, MATCH(B324,'SAÍDA DE VENDAS'!$B$6:$B$500,0)+COUNTIF('SAÍDA DE VENDAS'!$B$6:$B$500, B324)),"")))</f>
        <v/>
      </c>
      <c r="C325" s="35">
        <f>IFERROR(VLOOKUP(B325,'SAÍDA DE VENDAS'!$B$6:$P$500,3,FALSE),"")</f>
        <v>0</v>
      </c>
      <c r="D325" s="34">
        <f>IFERROR(VLOOKUP(B325,'SAÍDA DE VENDAS'!$B$6:$P$500,4,FALSE),"")</f>
        <v>0</v>
      </c>
      <c r="E325" s="34" t="str">
        <f>IFERROR(VLOOKUP(B325,'SAÍDA DE VENDAS'!$B$6:$P$500,5,FALSE),"")</f>
        <v/>
      </c>
      <c r="F325" s="34" t="str">
        <f>IF(OR(ISBLANK(B325),B325=""), "", IFERROR(INDEX('SAÍDA DE VENDAS'!$H$6:$H$500 &amp; "x " &amp; 'SAÍDA DE VENDAS'!$G$6:$G$500, MATCH(B325, 'SAÍDA DE VENDAS'!$B$6:$B$500, 0)), "")&amp; IF(COUNTIF('SAÍDA DE VENDAS'!$B$6:$B$500, B325)&gt;1, " + " &amp; IFERROR(INDEX('SAÍDA DE VENDAS'!$H$6:$H$500 &amp; "x " &amp; 'SAÍDA DE VENDAS'!$G$6:$G$500, MATCH(B325, 'SAÍDA DE VENDAS'!$B$6:$B$500, 0)+1), ""), "")&amp; IF(COUNTIF('SAÍDA DE VENDAS'!$B$6:$B$500, B325)&gt;2, " + " &amp; IFERROR(INDEX('SAÍDA DE VENDAS'!$H$6:$H$500 &amp; "x " &amp; 'SAÍDA DE VENDAS'!$G$6:$G$500, MATCH(B325, 'SAÍDA DE VENDAS'!$B$6:$B$500, 0)+2), ""), "")&amp; IF(COUNTIF('SAÍDA DE VENDAS'!$B$6:$B$500, B325)&gt;3, " + " &amp; IFERROR(INDEX('SAÍDA DE VENDAS'!$H$6:$H$500 &amp; "x " &amp; 'SAÍDA DE VENDAS'!$G$6:$G$500, MATCH(B325, 'SAÍDA DE VENDAS'!$B$6:$B$500, 0)+3), ""), "")&amp; IF(COUNTIF('SAÍDA DE VENDAS'!$B$6:$B$500, B325)&gt;4, " + " &amp; IFERROR(INDEX('SAÍDA DE VENDAS'!$H$6:$H$500 &amp; "x " &amp; 'SAÍDA DE VENDAS'!$G$6:$G$500, MATCH(B325, 'SAÍDA DE VENDAS'!$B$6:$B$500, 0)+4), ""), "")&amp; IF(COUNTIF('SAÍDA DE VENDAS'!$B$6:$B$500, B325)&gt;5, " + " &amp; IFERROR(INDEX('SAÍDA DE VENDAS'!$H$6:$H$500 &amp; "x " &amp; 'SAÍDA DE VENDAS'!$G$6:$G$500, MATCH(B325, 'SAÍDA DE VENDAS'!$B$6:$B$500, 0)+5), ""), ""))</f>
        <v/>
      </c>
      <c r="G325" s="34">
        <f>IFERROR(VLOOKUP(B325,'SAÍDA DE VENDAS'!$B$6:$P$500,10,FALSE),"")</f>
        <v>0</v>
      </c>
      <c r="H325" s="34" t="str">
        <f>IF(OR(ISBLANK(B325),B325=""), "", IF(B325=B324, (VALUE(LEFT(H324,FIND("/",H324)-1))+1)&amp;"/"&amp;RIGHT(H324,LEN(H324)-FIND("/",H324)), "1/"&amp;IFERROR(VLOOKUP(B325,'SAÍDA DE VENDAS'!$B$6:$P$500,13,FALSE),"1")))</f>
        <v/>
      </c>
      <c r="I325" s="35" t="str">
        <f t="shared" si="8"/>
        <v/>
      </c>
      <c r="J325" s="39" t="str">
        <f>IFERROR(VLOOKUP(B325,'SAÍDA DE VENDAS'!$B$6:$P$500,15,FALSE),"")</f>
        <v/>
      </c>
      <c r="K325" s="34" t="str">
        <f t="shared" ca="1" si="9"/>
        <v/>
      </c>
      <c r="L325" s="34"/>
      <c r="M325" s="34"/>
    </row>
    <row r="326" spans="2:13" ht="15" customHeight="1" x14ac:dyDescent="0.3">
      <c r="B326" s="28" t="str">
        <f>IF(B325="","", IF(VALUE(LEFT(H325,FIND("/",H325)-1)) &lt; VALUE(RIGHT(H325,LEN(H325)-FIND("/",H325))), B325, IFERROR(INDEX('SAÍDA DE VENDAS'!$B$6:$B$500, MATCH(B325,'SAÍDA DE VENDAS'!$B$6:$B$500,0)+COUNTIF('SAÍDA DE VENDAS'!$B$6:$B$500, B325)),"")))</f>
        <v/>
      </c>
      <c r="C326" s="29">
        <f>IFERROR(VLOOKUP(B326,'SAÍDA DE VENDAS'!$B$6:$P$500,3,FALSE),"")</f>
        <v>0</v>
      </c>
      <c r="D326" s="28">
        <f>IFERROR(VLOOKUP(B326,'SAÍDA DE VENDAS'!$B$6:$P$500,4,FALSE),"")</f>
        <v>0</v>
      </c>
      <c r="E326" s="28" t="str">
        <f>IFERROR(VLOOKUP(B326,'SAÍDA DE VENDAS'!$B$6:$P$500,5,FALSE),"")</f>
        <v/>
      </c>
      <c r="F326" s="28" t="str">
        <f>IF(OR(ISBLANK(B326),B326=""), "", IFERROR(INDEX('SAÍDA DE VENDAS'!$H$6:$H$500 &amp; "x " &amp; 'SAÍDA DE VENDAS'!$G$6:$G$500, MATCH(B326, 'SAÍDA DE VENDAS'!$B$6:$B$500, 0)), "")&amp; IF(COUNTIF('SAÍDA DE VENDAS'!$B$6:$B$500, B326)&gt;1, " + " &amp; IFERROR(INDEX('SAÍDA DE VENDAS'!$H$6:$H$500 &amp; "x " &amp; 'SAÍDA DE VENDAS'!$G$6:$G$500, MATCH(B326, 'SAÍDA DE VENDAS'!$B$6:$B$500, 0)+1), ""), "")&amp; IF(COUNTIF('SAÍDA DE VENDAS'!$B$6:$B$500, B326)&gt;2, " + " &amp; IFERROR(INDEX('SAÍDA DE VENDAS'!$H$6:$H$500 &amp; "x " &amp; 'SAÍDA DE VENDAS'!$G$6:$G$500, MATCH(B326, 'SAÍDA DE VENDAS'!$B$6:$B$500, 0)+2), ""), "")&amp; IF(COUNTIF('SAÍDA DE VENDAS'!$B$6:$B$500, B326)&gt;3, " + " &amp; IFERROR(INDEX('SAÍDA DE VENDAS'!$H$6:$H$500 &amp; "x " &amp; 'SAÍDA DE VENDAS'!$G$6:$G$500, MATCH(B326, 'SAÍDA DE VENDAS'!$B$6:$B$500, 0)+3), ""), "")&amp; IF(COUNTIF('SAÍDA DE VENDAS'!$B$6:$B$500, B326)&gt;4, " + " &amp; IFERROR(INDEX('SAÍDA DE VENDAS'!$H$6:$H$500 &amp; "x " &amp; 'SAÍDA DE VENDAS'!$G$6:$G$500, MATCH(B326, 'SAÍDA DE VENDAS'!$B$6:$B$500, 0)+4), ""), "")&amp; IF(COUNTIF('SAÍDA DE VENDAS'!$B$6:$B$500, B326)&gt;5, " + " &amp; IFERROR(INDEX('SAÍDA DE VENDAS'!$H$6:$H$500 &amp; "x " &amp; 'SAÍDA DE VENDAS'!$G$6:$G$500, MATCH(B326, 'SAÍDA DE VENDAS'!$B$6:$B$500, 0)+5), ""), ""))</f>
        <v/>
      </c>
      <c r="G326" s="28">
        <f>IFERROR(VLOOKUP(B326,'SAÍDA DE VENDAS'!$B$6:$P$500,10,FALSE),"")</f>
        <v>0</v>
      </c>
      <c r="H326" s="28" t="str">
        <f>IF(OR(ISBLANK(B326),B326=""), "", IF(B326=B325, (VALUE(LEFT(H325,FIND("/",H325)-1))+1)&amp;"/"&amp;RIGHT(H325,LEN(H325)-FIND("/",H325)), "1/"&amp;IFERROR(VLOOKUP(B326,'SAÍDA DE VENDAS'!$B$6:$P$500,13,FALSE),"1")))</f>
        <v/>
      </c>
      <c r="I326" s="69" t="str">
        <f t="shared" ref="I326:I389" si="10">IF(OR(ISBLANK(B326), B326="", C326=""), "", C326 + (IFERROR(VALUE(LEFT(H326, FIND("/", H326)-1)), 1) * 30))</f>
        <v/>
      </c>
      <c r="J326" s="33" t="str">
        <f>IFERROR(VLOOKUP(B326,'SAÍDA DE VENDAS'!$B$6:$P$500,15,FALSE),"")</f>
        <v/>
      </c>
      <c r="K326" s="28" t="str">
        <f t="shared" ref="K326:K389" ca="1" si="11">IF(B326="","", IF(OR(G326="À Vista", L326&lt;&gt;""), "Pago", IF(AND(I326&lt;&gt;"", I326&lt;TODAY()), "Atrasado", "Pendente")))</f>
        <v/>
      </c>
      <c r="L326" s="28"/>
      <c r="M326" s="28"/>
    </row>
    <row r="327" spans="2:13" ht="15" customHeight="1" x14ac:dyDescent="0.3">
      <c r="B327" s="34" t="str">
        <f>IF(B326="","", IF(VALUE(LEFT(H326,FIND("/",H326)-1)) &lt; VALUE(RIGHT(H326,LEN(H326)-FIND("/",H326))), B326, IFERROR(INDEX('SAÍDA DE VENDAS'!$B$6:$B$500, MATCH(B326,'SAÍDA DE VENDAS'!$B$6:$B$500,0)+COUNTIF('SAÍDA DE VENDAS'!$B$6:$B$500, B326)),"")))</f>
        <v/>
      </c>
      <c r="C327" s="35">
        <f>IFERROR(VLOOKUP(B327,'SAÍDA DE VENDAS'!$B$6:$P$500,3,FALSE),"")</f>
        <v>0</v>
      </c>
      <c r="D327" s="34">
        <f>IFERROR(VLOOKUP(B327,'SAÍDA DE VENDAS'!$B$6:$P$500,4,FALSE),"")</f>
        <v>0</v>
      </c>
      <c r="E327" s="34" t="str">
        <f>IFERROR(VLOOKUP(B327,'SAÍDA DE VENDAS'!$B$6:$P$500,5,FALSE),"")</f>
        <v/>
      </c>
      <c r="F327" s="34" t="str">
        <f>IF(OR(ISBLANK(B327),B327=""), "", IFERROR(INDEX('SAÍDA DE VENDAS'!$H$6:$H$500 &amp; "x " &amp; 'SAÍDA DE VENDAS'!$G$6:$G$500, MATCH(B327, 'SAÍDA DE VENDAS'!$B$6:$B$500, 0)), "")&amp; IF(COUNTIF('SAÍDA DE VENDAS'!$B$6:$B$500, B327)&gt;1, " + " &amp; IFERROR(INDEX('SAÍDA DE VENDAS'!$H$6:$H$500 &amp; "x " &amp; 'SAÍDA DE VENDAS'!$G$6:$G$500, MATCH(B327, 'SAÍDA DE VENDAS'!$B$6:$B$500, 0)+1), ""), "")&amp; IF(COUNTIF('SAÍDA DE VENDAS'!$B$6:$B$500, B327)&gt;2, " + " &amp; IFERROR(INDEX('SAÍDA DE VENDAS'!$H$6:$H$500 &amp; "x " &amp; 'SAÍDA DE VENDAS'!$G$6:$G$500, MATCH(B327, 'SAÍDA DE VENDAS'!$B$6:$B$500, 0)+2), ""), "")&amp; IF(COUNTIF('SAÍDA DE VENDAS'!$B$6:$B$500, B327)&gt;3, " + " &amp; IFERROR(INDEX('SAÍDA DE VENDAS'!$H$6:$H$500 &amp; "x " &amp; 'SAÍDA DE VENDAS'!$G$6:$G$500, MATCH(B327, 'SAÍDA DE VENDAS'!$B$6:$B$500, 0)+3), ""), "")&amp; IF(COUNTIF('SAÍDA DE VENDAS'!$B$6:$B$500, B327)&gt;4, " + " &amp; IFERROR(INDEX('SAÍDA DE VENDAS'!$H$6:$H$500 &amp; "x " &amp; 'SAÍDA DE VENDAS'!$G$6:$G$500, MATCH(B327, 'SAÍDA DE VENDAS'!$B$6:$B$500, 0)+4), ""), "")&amp; IF(COUNTIF('SAÍDA DE VENDAS'!$B$6:$B$500, B327)&gt;5, " + " &amp; IFERROR(INDEX('SAÍDA DE VENDAS'!$H$6:$H$500 &amp; "x " &amp; 'SAÍDA DE VENDAS'!$G$6:$G$500, MATCH(B327, 'SAÍDA DE VENDAS'!$B$6:$B$500, 0)+5), ""), ""))</f>
        <v/>
      </c>
      <c r="G327" s="34">
        <f>IFERROR(VLOOKUP(B327,'SAÍDA DE VENDAS'!$B$6:$P$500,10,FALSE),"")</f>
        <v>0</v>
      </c>
      <c r="H327" s="34" t="str">
        <f>IF(OR(ISBLANK(B327),B327=""), "", IF(B327=B326, (VALUE(LEFT(H326,FIND("/",H326)-1))+1)&amp;"/"&amp;RIGHT(H326,LEN(H326)-FIND("/",H326)), "1/"&amp;IFERROR(VLOOKUP(B327,'SAÍDA DE VENDAS'!$B$6:$P$500,13,FALSE),"1")))</f>
        <v/>
      </c>
      <c r="I327" s="35" t="str">
        <f t="shared" si="10"/>
        <v/>
      </c>
      <c r="J327" s="39" t="str">
        <f>IFERROR(VLOOKUP(B327,'SAÍDA DE VENDAS'!$B$6:$P$500,15,FALSE),"")</f>
        <v/>
      </c>
      <c r="K327" s="34" t="str">
        <f t="shared" ca="1" si="11"/>
        <v/>
      </c>
      <c r="L327" s="34"/>
      <c r="M327" s="34"/>
    </row>
    <row r="328" spans="2:13" ht="15" customHeight="1" x14ac:dyDescent="0.3">
      <c r="B328" s="28" t="str">
        <f>IF(B327="","", IF(VALUE(LEFT(H327,FIND("/",H327)-1)) &lt; VALUE(RIGHT(H327,LEN(H327)-FIND("/",H327))), B327, IFERROR(INDEX('SAÍDA DE VENDAS'!$B$6:$B$500, MATCH(B327,'SAÍDA DE VENDAS'!$B$6:$B$500,0)+COUNTIF('SAÍDA DE VENDAS'!$B$6:$B$500, B327)),"")))</f>
        <v/>
      </c>
      <c r="C328" s="29">
        <f>IFERROR(VLOOKUP(B328,'SAÍDA DE VENDAS'!$B$6:$P$500,3,FALSE),"")</f>
        <v>0</v>
      </c>
      <c r="D328" s="28">
        <f>IFERROR(VLOOKUP(B328,'SAÍDA DE VENDAS'!$B$6:$P$500,4,FALSE),"")</f>
        <v>0</v>
      </c>
      <c r="E328" s="28" t="str">
        <f>IFERROR(VLOOKUP(B328,'SAÍDA DE VENDAS'!$B$6:$P$500,5,FALSE),"")</f>
        <v/>
      </c>
      <c r="F328" s="28" t="str">
        <f>IF(OR(ISBLANK(B328),B328=""), "", IFERROR(INDEX('SAÍDA DE VENDAS'!$H$6:$H$500 &amp; "x " &amp; 'SAÍDA DE VENDAS'!$G$6:$G$500, MATCH(B328, 'SAÍDA DE VENDAS'!$B$6:$B$500, 0)), "")&amp; IF(COUNTIF('SAÍDA DE VENDAS'!$B$6:$B$500, B328)&gt;1, " + " &amp; IFERROR(INDEX('SAÍDA DE VENDAS'!$H$6:$H$500 &amp; "x " &amp; 'SAÍDA DE VENDAS'!$G$6:$G$500, MATCH(B328, 'SAÍDA DE VENDAS'!$B$6:$B$500, 0)+1), ""), "")&amp; IF(COUNTIF('SAÍDA DE VENDAS'!$B$6:$B$500, B328)&gt;2, " + " &amp; IFERROR(INDEX('SAÍDA DE VENDAS'!$H$6:$H$500 &amp; "x " &amp; 'SAÍDA DE VENDAS'!$G$6:$G$500, MATCH(B328, 'SAÍDA DE VENDAS'!$B$6:$B$500, 0)+2), ""), "")&amp; IF(COUNTIF('SAÍDA DE VENDAS'!$B$6:$B$500, B328)&gt;3, " + " &amp; IFERROR(INDEX('SAÍDA DE VENDAS'!$H$6:$H$500 &amp; "x " &amp; 'SAÍDA DE VENDAS'!$G$6:$G$500, MATCH(B328, 'SAÍDA DE VENDAS'!$B$6:$B$500, 0)+3), ""), "")&amp; IF(COUNTIF('SAÍDA DE VENDAS'!$B$6:$B$500, B328)&gt;4, " + " &amp; IFERROR(INDEX('SAÍDA DE VENDAS'!$H$6:$H$500 &amp; "x " &amp; 'SAÍDA DE VENDAS'!$G$6:$G$500, MATCH(B328, 'SAÍDA DE VENDAS'!$B$6:$B$500, 0)+4), ""), "")&amp; IF(COUNTIF('SAÍDA DE VENDAS'!$B$6:$B$500, B328)&gt;5, " + " &amp; IFERROR(INDEX('SAÍDA DE VENDAS'!$H$6:$H$500 &amp; "x " &amp; 'SAÍDA DE VENDAS'!$G$6:$G$500, MATCH(B328, 'SAÍDA DE VENDAS'!$B$6:$B$500, 0)+5), ""), ""))</f>
        <v/>
      </c>
      <c r="G328" s="28">
        <f>IFERROR(VLOOKUP(B328,'SAÍDA DE VENDAS'!$B$6:$P$500,10,FALSE),"")</f>
        <v>0</v>
      </c>
      <c r="H328" s="28" t="str">
        <f>IF(OR(ISBLANK(B328),B328=""), "", IF(B328=B327, (VALUE(LEFT(H327,FIND("/",H327)-1))+1)&amp;"/"&amp;RIGHT(H327,LEN(H327)-FIND("/",H327)), "1/"&amp;IFERROR(VLOOKUP(B328,'SAÍDA DE VENDAS'!$B$6:$P$500,13,FALSE),"1")))</f>
        <v/>
      </c>
      <c r="I328" s="69" t="str">
        <f t="shared" si="10"/>
        <v/>
      </c>
      <c r="J328" s="33" t="str">
        <f>IFERROR(VLOOKUP(B328,'SAÍDA DE VENDAS'!$B$6:$P$500,15,FALSE),"")</f>
        <v/>
      </c>
      <c r="K328" s="28" t="str">
        <f t="shared" ca="1" si="11"/>
        <v/>
      </c>
      <c r="L328" s="28"/>
      <c r="M328" s="28"/>
    </row>
    <row r="329" spans="2:13" ht="15" customHeight="1" x14ac:dyDescent="0.3">
      <c r="B329" s="34" t="str">
        <f>IF(B328="","", IF(VALUE(LEFT(H328,FIND("/",H328)-1)) &lt; VALUE(RIGHT(H328,LEN(H328)-FIND("/",H328))), B328, IFERROR(INDEX('SAÍDA DE VENDAS'!$B$6:$B$500, MATCH(B328,'SAÍDA DE VENDAS'!$B$6:$B$500,0)+COUNTIF('SAÍDA DE VENDAS'!$B$6:$B$500, B328)),"")))</f>
        <v/>
      </c>
      <c r="C329" s="35">
        <f>IFERROR(VLOOKUP(B329,'SAÍDA DE VENDAS'!$B$6:$P$500,3,FALSE),"")</f>
        <v>0</v>
      </c>
      <c r="D329" s="34">
        <f>IFERROR(VLOOKUP(B329,'SAÍDA DE VENDAS'!$B$6:$P$500,4,FALSE),"")</f>
        <v>0</v>
      </c>
      <c r="E329" s="34" t="str">
        <f>IFERROR(VLOOKUP(B329,'SAÍDA DE VENDAS'!$B$6:$P$500,5,FALSE),"")</f>
        <v/>
      </c>
      <c r="F329" s="34" t="str">
        <f>IF(OR(ISBLANK(B329),B329=""), "", IFERROR(INDEX('SAÍDA DE VENDAS'!$H$6:$H$500 &amp; "x " &amp; 'SAÍDA DE VENDAS'!$G$6:$G$500, MATCH(B329, 'SAÍDA DE VENDAS'!$B$6:$B$500, 0)), "")&amp; IF(COUNTIF('SAÍDA DE VENDAS'!$B$6:$B$500, B329)&gt;1, " + " &amp; IFERROR(INDEX('SAÍDA DE VENDAS'!$H$6:$H$500 &amp; "x " &amp; 'SAÍDA DE VENDAS'!$G$6:$G$500, MATCH(B329, 'SAÍDA DE VENDAS'!$B$6:$B$500, 0)+1), ""), "")&amp; IF(COUNTIF('SAÍDA DE VENDAS'!$B$6:$B$500, B329)&gt;2, " + " &amp; IFERROR(INDEX('SAÍDA DE VENDAS'!$H$6:$H$500 &amp; "x " &amp; 'SAÍDA DE VENDAS'!$G$6:$G$500, MATCH(B329, 'SAÍDA DE VENDAS'!$B$6:$B$500, 0)+2), ""), "")&amp; IF(COUNTIF('SAÍDA DE VENDAS'!$B$6:$B$500, B329)&gt;3, " + " &amp; IFERROR(INDEX('SAÍDA DE VENDAS'!$H$6:$H$500 &amp; "x " &amp; 'SAÍDA DE VENDAS'!$G$6:$G$500, MATCH(B329, 'SAÍDA DE VENDAS'!$B$6:$B$500, 0)+3), ""), "")&amp; IF(COUNTIF('SAÍDA DE VENDAS'!$B$6:$B$500, B329)&gt;4, " + " &amp; IFERROR(INDEX('SAÍDA DE VENDAS'!$H$6:$H$500 &amp; "x " &amp; 'SAÍDA DE VENDAS'!$G$6:$G$500, MATCH(B329, 'SAÍDA DE VENDAS'!$B$6:$B$500, 0)+4), ""), "")&amp; IF(COUNTIF('SAÍDA DE VENDAS'!$B$6:$B$500, B329)&gt;5, " + " &amp; IFERROR(INDEX('SAÍDA DE VENDAS'!$H$6:$H$500 &amp; "x " &amp; 'SAÍDA DE VENDAS'!$G$6:$G$500, MATCH(B329, 'SAÍDA DE VENDAS'!$B$6:$B$500, 0)+5), ""), ""))</f>
        <v/>
      </c>
      <c r="G329" s="34">
        <f>IFERROR(VLOOKUP(B329,'SAÍDA DE VENDAS'!$B$6:$P$500,10,FALSE),"")</f>
        <v>0</v>
      </c>
      <c r="H329" s="34" t="str">
        <f>IF(OR(ISBLANK(B329),B329=""), "", IF(B329=B328, (VALUE(LEFT(H328,FIND("/",H328)-1))+1)&amp;"/"&amp;RIGHT(H328,LEN(H328)-FIND("/",H328)), "1/"&amp;IFERROR(VLOOKUP(B329,'SAÍDA DE VENDAS'!$B$6:$P$500,13,FALSE),"1")))</f>
        <v/>
      </c>
      <c r="I329" s="35" t="str">
        <f t="shared" si="10"/>
        <v/>
      </c>
      <c r="J329" s="39" t="str">
        <f>IFERROR(VLOOKUP(B329,'SAÍDA DE VENDAS'!$B$6:$P$500,15,FALSE),"")</f>
        <v/>
      </c>
      <c r="K329" s="34" t="str">
        <f t="shared" ca="1" si="11"/>
        <v/>
      </c>
      <c r="L329" s="34"/>
      <c r="M329" s="34"/>
    </row>
    <row r="330" spans="2:13" ht="15" customHeight="1" x14ac:dyDescent="0.3">
      <c r="B330" s="28" t="str">
        <f>IF(B329="","", IF(VALUE(LEFT(H329,FIND("/",H329)-1)) &lt; VALUE(RIGHT(H329,LEN(H329)-FIND("/",H329))), B329, IFERROR(INDEX('SAÍDA DE VENDAS'!$B$6:$B$500, MATCH(B329,'SAÍDA DE VENDAS'!$B$6:$B$500,0)+COUNTIF('SAÍDA DE VENDAS'!$B$6:$B$500, B329)),"")))</f>
        <v/>
      </c>
      <c r="C330" s="29">
        <f>IFERROR(VLOOKUP(B330,'SAÍDA DE VENDAS'!$B$6:$P$500,3,FALSE),"")</f>
        <v>0</v>
      </c>
      <c r="D330" s="28">
        <f>IFERROR(VLOOKUP(B330,'SAÍDA DE VENDAS'!$B$6:$P$500,4,FALSE),"")</f>
        <v>0</v>
      </c>
      <c r="E330" s="28" t="str">
        <f>IFERROR(VLOOKUP(B330,'SAÍDA DE VENDAS'!$B$6:$P$500,5,FALSE),"")</f>
        <v/>
      </c>
      <c r="F330" s="28" t="str">
        <f>IF(OR(ISBLANK(B330),B330=""), "", IFERROR(INDEX('SAÍDA DE VENDAS'!$H$6:$H$500 &amp; "x " &amp; 'SAÍDA DE VENDAS'!$G$6:$G$500, MATCH(B330, 'SAÍDA DE VENDAS'!$B$6:$B$500, 0)), "")&amp; IF(COUNTIF('SAÍDA DE VENDAS'!$B$6:$B$500, B330)&gt;1, " + " &amp; IFERROR(INDEX('SAÍDA DE VENDAS'!$H$6:$H$500 &amp; "x " &amp; 'SAÍDA DE VENDAS'!$G$6:$G$500, MATCH(B330, 'SAÍDA DE VENDAS'!$B$6:$B$500, 0)+1), ""), "")&amp; IF(COUNTIF('SAÍDA DE VENDAS'!$B$6:$B$500, B330)&gt;2, " + " &amp; IFERROR(INDEX('SAÍDA DE VENDAS'!$H$6:$H$500 &amp; "x " &amp; 'SAÍDA DE VENDAS'!$G$6:$G$500, MATCH(B330, 'SAÍDA DE VENDAS'!$B$6:$B$500, 0)+2), ""), "")&amp; IF(COUNTIF('SAÍDA DE VENDAS'!$B$6:$B$500, B330)&gt;3, " + " &amp; IFERROR(INDEX('SAÍDA DE VENDAS'!$H$6:$H$500 &amp; "x " &amp; 'SAÍDA DE VENDAS'!$G$6:$G$500, MATCH(B330, 'SAÍDA DE VENDAS'!$B$6:$B$500, 0)+3), ""), "")&amp; IF(COUNTIF('SAÍDA DE VENDAS'!$B$6:$B$500, B330)&gt;4, " + " &amp; IFERROR(INDEX('SAÍDA DE VENDAS'!$H$6:$H$500 &amp; "x " &amp; 'SAÍDA DE VENDAS'!$G$6:$G$500, MATCH(B330, 'SAÍDA DE VENDAS'!$B$6:$B$500, 0)+4), ""), "")&amp; IF(COUNTIF('SAÍDA DE VENDAS'!$B$6:$B$500, B330)&gt;5, " + " &amp; IFERROR(INDEX('SAÍDA DE VENDAS'!$H$6:$H$500 &amp; "x " &amp; 'SAÍDA DE VENDAS'!$G$6:$G$500, MATCH(B330, 'SAÍDA DE VENDAS'!$B$6:$B$500, 0)+5), ""), ""))</f>
        <v/>
      </c>
      <c r="G330" s="28">
        <f>IFERROR(VLOOKUP(B330,'SAÍDA DE VENDAS'!$B$6:$P$500,10,FALSE),"")</f>
        <v>0</v>
      </c>
      <c r="H330" s="28" t="str">
        <f>IF(OR(ISBLANK(B330),B330=""), "", IF(B330=B329, (VALUE(LEFT(H329,FIND("/",H329)-1))+1)&amp;"/"&amp;RIGHT(H329,LEN(H329)-FIND("/",H329)), "1/"&amp;IFERROR(VLOOKUP(B330,'SAÍDA DE VENDAS'!$B$6:$P$500,13,FALSE),"1")))</f>
        <v/>
      </c>
      <c r="I330" s="69" t="str">
        <f t="shared" si="10"/>
        <v/>
      </c>
      <c r="J330" s="33" t="str">
        <f>IFERROR(VLOOKUP(B330,'SAÍDA DE VENDAS'!$B$6:$P$500,15,FALSE),"")</f>
        <v/>
      </c>
      <c r="K330" s="28" t="str">
        <f t="shared" ca="1" si="11"/>
        <v/>
      </c>
      <c r="L330" s="28"/>
      <c r="M330" s="28"/>
    </row>
    <row r="331" spans="2:13" ht="15" customHeight="1" x14ac:dyDescent="0.3">
      <c r="B331" s="34" t="str">
        <f>IF(B330="","", IF(VALUE(LEFT(H330,FIND("/",H330)-1)) &lt; VALUE(RIGHT(H330,LEN(H330)-FIND("/",H330))), B330, IFERROR(INDEX('SAÍDA DE VENDAS'!$B$6:$B$500, MATCH(B330,'SAÍDA DE VENDAS'!$B$6:$B$500,0)+COUNTIF('SAÍDA DE VENDAS'!$B$6:$B$500, B330)),"")))</f>
        <v/>
      </c>
      <c r="C331" s="35">
        <f>IFERROR(VLOOKUP(B331,'SAÍDA DE VENDAS'!$B$6:$P$500,3,FALSE),"")</f>
        <v>0</v>
      </c>
      <c r="D331" s="34">
        <f>IFERROR(VLOOKUP(B331,'SAÍDA DE VENDAS'!$B$6:$P$500,4,FALSE),"")</f>
        <v>0</v>
      </c>
      <c r="E331" s="34" t="str">
        <f>IFERROR(VLOOKUP(B331,'SAÍDA DE VENDAS'!$B$6:$P$500,5,FALSE),"")</f>
        <v/>
      </c>
      <c r="F331" s="34" t="str">
        <f>IF(OR(ISBLANK(B331),B331=""), "", IFERROR(INDEX('SAÍDA DE VENDAS'!$H$6:$H$500 &amp; "x " &amp; 'SAÍDA DE VENDAS'!$G$6:$G$500, MATCH(B331, 'SAÍDA DE VENDAS'!$B$6:$B$500, 0)), "")&amp; IF(COUNTIF('SAÍDA DE VENDAS'!$B$6:$B$500, B331)&gt;1, " + " &amp; IFERROR(INDEX('SAÍDA DE VENDAS'!$H$6:$H$500 &amp; "x " &amp; 'SAÍDA DE VENDAS'!$G$6:$G$500, MATCH(B331, 'SAÍDA DE VENDAS'!$B$6:$B$500, 0)+1), ""), "")&amp; IF(COUNTIF('SAÍDA DE VENDAS'!$B$6:$B$500, B331)&gt;2, " + " &amp; IFERROR(INDEX('SAÍDA DE VENDAS'!$H$6:$H$500 &amp; "x " &amp; 'SAÍDA DE VENDAS'!$G$6:$G$500, MATCH(B331, 'SAÍDA DE VENDAS'!$B$6:$B$500, 0)+2), ""), "")&amp; IF(COUNTIF('SAÍDA DE VENDAS'!$B$6:$B$500, B331)&gt;3, " + " &amp; IFERROR(INDEX('SAÍDA DE VENDAS'!$H$6:$H$500 &amp; "x " &amp; 'SAÍDA DE VENDAS'!$G$6:$G$500, MATCH(B331, 'SAÍDA DE VENDAS'!$B$6:$B$500, 0)+3), ""), "")&amp; IF(COUNTIF('SAÍDA DE VENDAS'!$B$6:$B$500, B331)&gt;4, " + " &amp; IFERROR(INDEX('SAÍDA DE VENDAS'!$H$6:$H$500 &amp; "x " &amp; 'SAÍDA DE VENDAS'!$G$6:$G$500, MATCH(B331, 'SAÍDA DE VENDAS'!$B$6:$B$500, 0)+4), ""), "")&amp; IF(COUNTIF('SAÍDA DE VENDAS'!$B$6:$B$500, B331)&gt;5, " + " &amp; IFERROR(INDEX('SAÍDA DE VENDAS'!$H$6:$H$500 &amp; "x " &amp; 'SAÍDA DE VENDAS'!$G$6:$G$500, MATCH(B331, 'SAÍDA DE VENDAS'!$B$6:$B$500, 0)+5), ""), ""))</f>
        <v/>
      </c>
      <c r="G331" s="34">
        <f>IFERROR(VLOOKUP(B331,'SAÍDA DE VENDAS'!$B$6:$P$500,10,FALSE),"")</f>
        <v>0</v>
      </c>
      <c r="H331" s="34" t="str">
        <f>IF(OR(ISBLANK(B331),B331=""), "", IF(B331=B330, (VALUE(LEFT(H330,FIND("/",H330)-1))+1)&amp;"/"&amp;RIGHT(H330,LEN(H330)-FIND("/",H330)), "1/"&amp;IFERROR(VLOOKUP(B331,'SAÍDA DE VENDAS'!$B$6:$P$500,13,FALSE),"1")))</f>
        <v/>
      </c>
      <c r="I331" s="35" t="str">
        <f t="shared" si="10"/>
        <v/>
      </c>
      <c r="J331" s="39" t="str">
        <f>IFERROR(VLOOKUP(B331,'SAÍDA DE VENDAS'!$B$6:$P$500,15,FALSE),"")</f>
        <v/>
      </c>
      <c r="K331" s="34" t="str">
        <f t="shared" ca="1" si="11"/>
        <v/>
      </c>
      <c r="L331" s="34"/>
      <c r="M331" s="34"/>
    </row>
    <row r="332" spans="2:13" ht="15" customHeight="1" x14ac:dyDescent="0.3">
      <c r="B332" s="28" t="str">
        <f>IF(B331="","", IF(VALUE(LEFT(H331,FIND("/",H331)-1)) &lt; VALUE(RIGHT(H331,LEN(H331)-FIND("/",H331))), B331, IFERROR(INDEX('SAÍDA DE VENDAS'!$B$6:$B$500, MATCH(B331,'SAÍDA DE VENDAS'!$B$6:$B$500,0)+COUNTIF('SAÍDA DE VENDAS'!$B$6:$B$500, B331)),"")))</f>
        <v/>
      </c>
      <c r="C332" s="29">
        <f>IFERROR(VLOOKUP(B332,'SAÍDA DE VENDAS'!$B$6:$P$500,3,FALSE),"")</f>
        <v>0</v>
      </c>
      <c r="D332" s="28">
        <f>IFERROR(VLOOKUP(B332,'SAÍDA DE VENDAS'!$B$6:$P$500,4,FALSE),"")</f>
        <v>0</v>
      </c>
      <c r="E332" s="28" t="str">
        <f>IFERROR(VLOOKUP(B332,'SAÍDA DE VENDAS'!$B$6:$P$500,5,FALSE),"")</f>
        <v/>
      </c>
      <c r="F332" s="28" t="str">
        <f>IF(OR(ISBLANK(B332),B332=""), "", IFERROR(INDEX('SAÍDA DE VENDAS'!$H$6:$H$500 &amp; "x " &amp; 'SAÍDA DE VENDAS'!$G$6:$G$500, MATCH(B332, 'SAÍDA DE VENDAS'!$B$6:$B$500, 0)), "")&amp; IF(COUNTIF('SAÍDA DE VENDAS'!$B$6:$B$500, B332)&gt;1, " + " &amp; IFERROR(INDEX('SAÍDA DE VENDAS'!$H$6:$H$500 &amp; "x " &amp; 'SAÍDA DE VENDAS'!$G$6:$G$500, MATCH(B332, 'SAÍDA DE VENDAS'!$B$6:$B$500, 0)+1), ""), "")&amp; IF(COUNTIF('SAÍDA DE VENDAS'!$B$6:$B$500, B332)&gt;2, " + " &amp; IFERROR(INDEX('SAÍDA DE VENDAS'!$H$6:$H$500 &amp; "x " &amp; 'SAÍDA DE VENDAS'!$G$6:$G$500, MATCH(B332, 'SAÍDA DE VENDAS'!$B$6:$B$500, 0)+2), ""), "")&amp; IF(COUNTIF('SAÍDA DE VENDAS'!$B$6:$B$500, B332)&gt;3, " + " &amp; IFERROR(INDEX('SAÍDA DE VENDAS'!$H$6:$H$500 &amp; "x " &amp; 'SAÍDA DE VENDAS'!$G$6:$G$500, MATCH(B332, 'SAÍDA DE VENDAS'!$B$6:$B$500, 0)+3), ""), "")&amp; IF(COUNTIF('SAÍDA DE VENDAS'!$B$6:$B$500, B332)&gt;4, " + " &amp; IFERROR(INDEX('SAÍDA DE VENDAS'!$H$6:$H$500 &amp; "x " &amp; 'SAÍDA DE VENDAS'!$G$6:$G$500, MATCH(B332, 'SAÍDA DE VENDAS'!$B$6:$B$500, 0)+4), ""), "")&amp; IF(COUNTIF('SAÍDA DE VENDAS'!$B$6:$B$500, B332)&gt;5, " + " &amp; IFERROR(INDEX('SAÍDA DE VENDAS'!$H$6:$H$500 &amp; "x " &amp; 'SAÍDA DE VENDAS'!$G$6:$G$500, MATCH(B332, 'SAÍDA DE VENDAS'!$B$6:$B$500, 0)+5), ""), ""))</f>
        <v/>
      </c>
      <c r="G332" s="28">
        <f>IFERROR(VLOOKUP(B332,'SAÍDA DE VENDAS'!$B$6:$P$500,10,FALSE),"")</f>
        <v>0</v>
      </c>
      <c r="H332" s="28" t="str">
        <f>IF(OR(ISBLANK(B332),B332=""), "", IF(B332=B331, (VALUE(LEFT(H331,FIND("/",H331)-1))+1)&amp;"/"&amp;RIGHT(H331,LEN(H331)-FIND("/",H331)), "1/"&amp;IFERROR(VLOOKUP(B332,'SAÍDA DE VENDAS'!$B$6:$P$500,13,FALSE),"1")))</f>
        <v/>
      </c>
      <c r="I332" s="69" t="str">
        <f t="shared" si="10"/>
        <v/>
      </c>
      <c r="J332" s="33" t="str">
        <f>IFERROR(VLOOKUP(B332,'SAÍDA DE VENDAS'!$B$6:$P$500,15,FALSE),"")</f>
        <v/>
      </c>
      <c r="K332" s="28" t="str">
        <f t="shared" ca="1" si="11"/>
        <v/>
      </c>
      <c r="L332" s="28"/>
      <c r="M332" s="28"/>
    </row>
    <row r="333" spans="2:13" ht="15" customHeight="1" x14ac:dyDescent="0.3">
      <c r="B333" s="34" t="str">
        <f>IF(B332="","", IF(VALUE(LEFT(H332,FIND("/",H332)-1)) &lt; VALUE(RIGHT(H332,LEN(H332)-FIND("/",H332))), B332, IFERROR(INDEX('SAÍDA DE VENDAS'!$B$6:$B$500, MATCH(B332,'SAÍDA DE VENDAS'!$B$6:$B$500,0)+COUNTIF('SAÍDA DE VENDAS'!$B$6:$B$500, B332)),"")))</f>
        <v/>
      </c>
      <c r="C333" s="35">
        <f>IFERROR(VLOOKUP(B333,'SAÍDA DE VENDAS'!$B$6:$P$500,3,FALSE),"")</f>
        <v>0</v>
      </c>
      <c r="D333" s="34">
        <f>IFERROR(VLOOKUP(B333,'SAÍDA DE VENDAS'!$B$6:$P$500,4,FALSE),"")</f>
        <v>0</v>
      </c>
      <c r="E333" s="34" t="str">
        <f>IFERROR(VLOOKUP(B333,'SAÍDA DE VENDAS'!$B$6:$P$500,5,FALSE),"")</f>
        <v/>
      </c>
      <c r="F333" s="34" t="str">
        <f>IF(OR(ISBLANK(B333),B333=""), "", IFERROR(INDEX('SAÍDA DE VENDAS'!$H$6:$H$500 &amp; "x " &amp; 'SAÍDA DE VENDAS'!$G$6:$G$500, MATCH(B333, 'SAÍDA DE VENDAS'!$B$6:$B$500, 0)), "")&amp; IF(COUNTIF('SAÍDA DE VENDAS'!$B$6:$B$500, B333)&gt;1, " + " &amp; IFERROR(INDEX('SAÍDA DE VENDAS'!$H$6:$H$500 &amp; "x " &amp; 'SAÍDA DE VENDAS'!$G$6:$G$500, MATCH(B333, 'SAÍDA DE VENDAS'!$B$6:$B$500, 0)+1), ""), "")&amp; IF(COUNTIF('SAÍDA DE VENDAS'!$B$6:$B$500, B333)&gt;2, " + " &amp; IFERROR(INDEX('SAÍDA DE VENDAS'!$H$6:$H$500 &amp; "x " &amp; 'SAÍDA DE VENDAS'!$G$6:$G$500, MATCH(B333, 'SAÍDA DE VENDAS'!$B$6:$B$500, 0)+2), ""), "")&amp; IF(COUNTIF('SAÍDA DE VENDAS'!$B$6:$B$500, B333)&gt;3, " + " &amp; IFERROR(INDEX('SAÍDA DE VENDAS'!$H$6:$H$500 &amp; "x " &amp; 'SAÍDA DE VENDAS'!$G$6:$G$500, MATCH(B333, 'SAÍDA DE VENDAS'!$B$6:$B$500, 0)+3), ""), "")&amp; IF(COUNTIF('SAÍDA DE VENDAS'!$B$6:$B$500, B333)&gt;4, " + " &amp; IFERROR(INDEX('SAÍDA DE VENDAS'!$H$6:$H$500 &amp; "x " &amp; 'SAÍDA DE VENDAS'!$G$6:$G$500, MATCH(B333, 'SAÍDA DE VENDAS'!$B$6:$B$500, 0)+4), ""), "")&amp; IF(COUNTIF('SAÍDA DE VENDAS'!$B$6:$B$500, B333)&gt;5, " + " &amp; IFERROR(INDEX('SAÍDA DE VENDAS'!$H$6:$H$500 &amp; "x " &amp; 'SAÍDA DE VENDAS'!$G$6:$G$500, MATCH(B333, 'SAÍDA DE VENDAS'!$B$6:$B$500, 0)+5), ""), ""))</f>
        <v/>
      </c>
      <c r="G333" s="34">
        <f>IFERROR(VLOOKUP(B333,'SAÍDA DE VENDAS'!$B$6:$P$500,10,FALSE),"")</f>
        <v>0</v>
      </c>
      <c r="H333" s="34" t="str">
        <f>IF(OR(ISBLANK(B333),B333=""), "", IF(B333=B332, (VALUE(LEFT(H332,FIND("/",H332)-1))+1)&amp;"/"&amp;RIGHT(H332,LEN(H332)-FIND("/",H332)), "1/"&amp;IFERROR(VLOOKUP(B333,'SAÍDA DE VENDAS'!$B$6:$P$500,13,FALSE),"1")))</f>
        <v/>
      </c>
      <c r="I333" s="35" t="str">
        <f t="shared" si="10"/>
        <v/>
      </c>
      <c r="J333" s="39" t="str">
        <f>IFERROR(VLOOKUP(B333,'SAÍDA DE VENDAS'!$B$6:$P$500,15,FALSE),"")</f>
        <v/>
      </c>
      <c r="K333" s="34" t="str">
        <f t="shared" ca="1" si="11"/>
        <v/>
      </c>
      <c r="L333" s="34"/>
      <c r="M333" s="34"/>
    </row>
    <row r="334" spans="2:13" ht="15" customHeight="1" x14ac:dyDescent="0.3">
      <c r="B334" s="28" t="str">
        <f>IF(B333="","", IF(VALUE(LEFT(H333,FIND("/",H333)-1)) &lt; VALUE(RIGHT(H333,LEN(H333)-FIND("/",H333))), B333, IFERROR(INDEX('SAÍDA DE VENDAS'!$B$6:$B$500, MATCH(B333,'SAÍDA DE VENDAS'!$B$6:$B$500,0)+COUNTIF('SAÍDA DE VENDAS'!$B$6:$B$500, B333)),"")))</f>
        <v/>
      </c>
      <c r="C334" s="29">
        <f>IFERROR(VLOOKUP(B334,'SAÍDA DE VENDAS'!$B$6:$P$500,3,FALSE),"")</f>
        <v>0</v>
      </c>
      <c r="D334" s="28">
        <f>IFERROR(VLOOKUP(B334,'SAÍDA DE VENDAS'!$B$6:$P$500,4,FALSE),"")</f>
        <v>0</v>
      </c>
      <c r="E334" s="28" t="str">
        <f>IFERROR(VLOOKUP(B334,'SAÍDA DE VENDAS'!$B$6:$P$500,5,FALSE),"")</f>
        <v/>
      </c>
      <c r="F334" s="28" t="str">
        <f>IF(OR(ISBLANK(B334),B334=""), "", IFERROR(INDEX('SAÍDA DE VENDAS'!$H$6:$H$500 &amp; "x " &amp; 'SAÍDA DE VENDAS'!$G$6:$G$500, MATCH(B334, 'SAÍDA DE VENDAS'!$B$6:$B$500, 0)), "")&amp; IF(COUNTIF('SAÍDA DE VENDAS'!$B$6:$B$500, B334)&gt;1, " + " &amp; IFERROR(INDEX('SAÍDA DE VENDAS'!$H$6:$H$500 &amp; "x " &amp; 'SAÍDA DE VENDAS'!$G$6:$G$500, MATCH(B334, 'SAÍDA DE VENDAS'!$B$6:$B$500, 0)+1), ""), "")&amp; IF(COUNTIF('SAÍDA DE VENDAS'!$B$6:$B$500, B334)&gt;2, " + " &amp; IFERROR(INDEX('SAÍDA DE VENDAS'!$H$6:$H$500 &amp; "x " &amp; 'SAÍDA DE VENDAS'!$G$6:$G$500, MATCH(B334, 'SAÍDA DE VENDAS'!$B$6:$B$500, 0)+2), ""), "")&amp; IF(COUNTIF('SAÍDA DE VENDAS'!$B$6:$B$500, B334)&gt;3, " + " &amp; IFERROR(INDEX('SAÍDA DE VENDAS'!$H$6:$H$500 &amp; "x " &amp; 'SAÍDA DE VENDAS'!$G$6:$G$500, MATCH(B334, 'SAÍDA DE VENDAS'!$B$6:$B$500, 0)+3), ""), "")&amp; IF(COUNTIF('SAÍDA DE VENDAS'!$B$6:$B$500, B334)&gt;4, " + " &amp; IFERROR(INDEX('SAÍDA DE VENDAS'!$H$6:$H$500 &amp; "x " &amp; 'SAÍDA DE VENDAS'!$G$6:$G$500, MATCH(B334, 'SAÍDA DE VENDAS'!$B$6:$B$500, 0)+4), ""), "")&amp; IF(COUNTIF('SAÍDA DE VENDAS'!$B$6:$B$500, B334)&gt;5, " + " &amp; IFERROR(INDEX('SAÍDA DE VENDAS'!$H$6:$H$500 &amp; "x " &amp; 'SAÍDA DE VENDAS'!$G$6:$G$500, MATCH(B334, 'SAÍDA DE VENDAS'!$B$6:$B$500, 0)+5), ""), ""))</f>
        <v/>
      </c>
      <c r="G334" s="28">
        <f>IFERROR(VLOOKUP(B334,'SAÍDA DE VENDAS'!$B$6:$P$500,10,FALSE),"")</f>
        <v>0</v>
      </c>
      <c r="H334" s="28" t="str">
        <f>IF(OR(ISBLANK(B334),B334=""), "", IF(B334=B333, (VALUE(LEFT(H333,FIND("/",H333)-1))+1)&amp;"/"&amp;RIGHT(H333,LEN(H333)-FIND("/",H333)), "1/"&amp;IFERROR(VLOOKUP(B334,'SAÍDA DE VENDAS'!$B$6:$P$500,13,FALSE),"1")))</f>
        <v/>
      </c>
      <c r="I334" s="69" t="str">
        <f t="shared" si="10"/>
        <v/>
      </c>
      <c r="J334" s="33" t="str">
        <f>IFERROR(VLOOKUP(B334,'SAÍDA DE VENDAS'!$B$6:$P$500,15,FALSE),"")</f>
        <v/>
      </c>
      <c r="K334" s="28" t="str">
        <f t="shared" ca="1" si="11"/>
        <v/>
      </c>
      <c r="L334" s="28"/>
      <c r="M334" s="28"/>
    </row>
    <row r="335" spans="2:13" ht="15" customHeight="1" x14ac:dyDescent="0.3">
      <c r="B335" s="34" t="str">
        <f>IF(B334="","", IF(VALUE(LEFT(H334,FIND("/",H334)-1)) &lt; VALUE(RIGHT(H334,LEN(H334)-FIND("/",H334))), B334, IFERROR(INDEX('SAÍDA DE VENDAS'!$B$6:$B$500, MATCH(B334,'SAÍDA DE VENDAS'!$B$6:$B$500,0)+COUNTIF('SAÍDA DE VENDAS'!$B$6:$B$500, B334)),"")))</f>
        <v/>
      </c>
      <c r="C335" s="35">
        <f>IFERROR(VLOOKUP(B335,'SAÍDA DE VENDAS'!$B$6:$P$500,3,FALSE),"")</f>
        <v>0</v>
      </c>
      <c r="D335" s="34">
        <f>IFERROR(VLOOKUP(B335,'SAÍDA DE VENDAS'!$B$6:$P$500,4,FALSE),"")</f>
        <v>0</v>
      </c>
      <c r="E335" s="34" t="str">
        <f>IFERROR(VLOOKUP(B335,'SAÍDA DE VENDAS'!$B$6:$P$500,5,FALSE),"")</f>
        <v/>
      </c>
      <c r="F335" s="34" t="str">
        <f>IF(OR(ISBLANK(B335),B335=""), "", IFERROR(INDEX('SAÍDA DE VENDAS'!$H$6:$H$500 &amp; "x " &amp; 'SAÍDA DE VENDAS'!$G$6:$G$500, MATCH(B335, 'SAÍDA DE VENDAS'!$B$6:$B$500, 0)), "")&amp; IF(COUNTIF('SAÍDA DE VENDAS'!$B$6:$B$500, B335)&gt;1, " + " &amp; IFERROR(INDEX('SAÍDA DE VENDAS'!$H$6:$H$500 &amp; "x " &amp; 'SAÍDA DE VENDAS'!$G$6:$G$500, MATCH(B335, 'SAÍDA DE VENDAS'!$B$6:$B$500, 0)+1), ""), "")&amp; IF(COUNTIF('SAÍDA DE VENDAS'!$B$6:$B$500, B335)&gt;2, " + " &amp; IFERROR(INDEX('SAÍDA DE VENDAS'!$H$6:$H$500 &amp; "x " &amp; 'SAÍDA DE VENDAS'!$G$6:$G$500, MATCH(B335, 'SAÍDA DE VENDAS'!$B$6:$B$500, 0)+2), ""), "")&amp; IF(COUNTIF('SAÍDA DE VENDAS'!$B$6:$B$500, B335)&gt;3, " + " &amp; IFERROR(INDEX('SAÍDA DE VENDAS'!$H$6:$H$500 &amp; "x " &amp; 'SAÍDA DE VENDAS'!$G$6:$G$500, MATCH(B335, 'SAÍDA DE VENDAS'!$B$6:$B$500, 0)+3), ""), "")&amp; IF(COUNTIF('SAÍDA DE VENDAS'!$B$6:$B$500, B335)&gt;4, " + " &amp; IFERROR(INDEX('SAÍDA DE VENDAS'!$H$6:$H$500 &amp; "x " &amp; 'SAÍDA DE VENDAS'!$G$6:$G$500, MATCH(B335, 'SAÍDA DE VENDAS'!$B$6:$B$500, 0)+4), ""), "")&amp; IF(COUNTIF('SAÍDA DE VENDAS'!$B$6:$B$500, B335)&gt;5, " + " &amp; IFERROR(INDEX('SAÍDA DE VENDAS'!$H$6:$H$500 &amp; "x " &amp; 'SAÍDA DE VENDAS'!$G$6:$G$500, MATCH(B335, 'SAÍDA DE VENDAS'!$B$6:$B$500, 0)+5), ""), ""))</f>
        <v/>
      </c>
      <c r="G335" s="34">
        <f>IFERROR(VLOOKUP(B335,'SAÍDA DE VENDAS'!$B$6:$P$500,10,FALSE),"")</f>
        <v>0</v>
      </c>
      <c r="H335" s="34" t="str">
        <f>IF(OR(ISBLANK(B335),B335=""), "", IF(B335=B334, (VALUE(LEFT(H334,FIND("/",H334)-1))+1)&amp;"/"&amp;RIGHT(H334,LEN(H334)-FIND("/",H334)), "1/"&amp;IFERROR(VLOOKUP(B335,'SAÍDA DE VENDAS'!$B$6:$P$500,13,FALSE),"1")))</f>
        <v/>
      </c>
      <c r="I335" s="35" t="str">
        <f t="shared" si="10"/>
        <v/>
      </c>
      <c r="J335" s="39" t="str">
        <f>IFERROR(VLOOKUP(B335,'SAÍDA DE VENDAS'!$B$6:$P$500,15,FALSE),"")</f>
        <v/>
      </c>
      <c r="K335" s="34" t="str">
        <f t="shared" ca="1" si="11"/>
        <v/>
      </c>
      <c r="L335" s="34"/>
      <c r="M335" s="34"/>
    </row>
    <row r="336" spans="2:13" ht="15" customHeight="1" x14ac:dyDescent="0.3">
      <c r="B336" s="28" t="str">
        <f>IF(B335="","", IF(VALUE(LEFT(H335,FIND("/",H335)-1)) &lt; VALUE(RIGHT(H335,LEN(H335)-FIND("/",H335))), B335, IFERROR(INDEX('SAÍDA DE VENDAS'!$B$6:$B$500, MATCH(B335,'SAÍDA DE VENDAS'!$B$6:$B$500,0)+COUNTIF('SAÍDA DE VENDAS'!$B$6:$B$500, B335)),"")))</f>
        <v/>
      </c>
      <c r="C336" s="29">
        <f>IFERROR(VLOOKUP(B336,'SAÍDA DE VENDAS'!$B$6:$P$500,3,FALSE),"")</f>
        <v>0</v>
      </c>
      <c r="D336" s="28">
        <f>IFERROR(VLOOKUP(B336,'SAÍDA DE VENDAS'!$B$6:$P$500,4,FALSE),"")</f>
        <v>0</v>
      </c>
      <c r="E336" s="28" t="str">
        <f>IFERROR(VLOOKUP(B336,'SAÍDA DE VENDAS'!$B$6:$P$500,5,FALSE),"")</f>
        <v/>
      </c>
      <c r="F336" s="28" t="str">
        <f>IF(OR(ISBLANK(B336),B336=""), "", IFERROR(INDEX('SAÍDA DE VENDAS'!$H$6:$H$500 &amp; "x " &amp; 'SAÍDA DE VENDAS'!$G$6:$G$500, MATCH(B336, 'SAÍDA DE VENDAS'!$B$6:$B$500, 0)), "")&amp; IF(COUNTIF('SAÍDA DE VENDAS'!$B$6:$B$500, B336)&gt;1, " + " &amp; IFERROR(INDEX('SAÍDA DE VENDAS'!$H$6:$H$500 &amp; "x " &amp; 'SAÍDA DE VENDAS'!$G$6:$G$500, MATCH(B336, 'SAÍDA DE VENDAS'!$B$6:$B$500, 0)+1), ""), "")&amp; IF(COUNTIF('SAÍDA DE VENDAS'!$B$6:$B$500, B336)&gt;2, " + " &amp; IFERROR(INDEX('SAÍDA DE VENDAS'!$H$6:$H$500 &amp; "x " &amp; 'SAÍDA DE VENDAS'!$G$6:$G$500, MATCH(B336, 'SAÍDA DE VENDAS'!$B$6:$B$500, 0)+2), ""), "")&amp; IF(COUNTIF('SAÍDA DE VENDAS'!$B$6:$B$500, B336)&gt;3, " + " &amp; IFERROR(INDEX('SAÍDA DE VENDAS'!$H$6:$H$500 &amp; "x " &amp; 'SAÍDA DE VENDAS'!$G$6:$G$500, MATCH(B336, 'SAÍDA DE VENDAS'!$B$6:$B$500, 0)+3), ""), "")&amp; IF(COUNTIF('SAÍDA DE VENDAS'!$B$6:$B$500, B336)&gt;4, " + " &amp; IFERROR(INDEX('SAÍDA DE VENDAS'!$H$6:$H$500 &amp; "x " &amp; 'SAÍDA DE VENDAS'!$G$6:$G$500, MATCH(B336, 'SAÍDA DE VENDAS'!$B$6:$B$500, 0)+4), ""), "")&amp; IF(COUNTIF('SAÍDA DE VENDAS'!$B$6:$B$500, B336)&gt;5, " + " &amp; IFERROR(INDEX('SAÍDA DE VENDAS'!$H$6:$H$500 &amp; "x " &amp; 'SAÍDA DE VENDAS'!$G$6:$G$500, MATCH(B336, 'SAÍDA DE VENDAS'!$B$6:$B$500, 0)+5), ""), ""))</f>
        <v/>
      </c>
      <c r="G336" s="28">
        <f>IFERROR(VLOOKUP(B336,'SAÍDA DE VENDAS'!$B$6:$P$500,10,FALSE),"")</f>
        <v>0</v>
      </c>
      <c r="H336" s="28" t="str">
        <f>IF(OR(ISBLANK(B336),B336=""), "", IF(B336=B335, (VALUE(LEFT(H335,FIND("/",H335)-1))+1)&amp;"/"&amp;RIGHT(H335,LEN(H335)-FIND("/",H335)), "1/"&amp;IFERROR(VLOOKUP(B336,'SAÍDA DE VENDAS'!$B$6:$P$500,13,FALSE),"1")))</f>
        <v/>
      </c>
      <c r="I336" s="69" t="str">
        <f t="shared" si="10"/>
        <v/>
      </c>
      <c r="J336" s="33" t="str">
        <f>IFERROR(VLOOKUP(B336,'SAÍDA DE VENDAS'!$B$6:$P$500,15,FALSE),"")</f>
        <v/>
      </c>
      <c r="K336" s="28" t="str">
        <f t="shared" ca="1" si="11"/>
        <v/>
      </c>
      <c r="L336" s="28"/>
      <c r="M336" s="28"/>
    </row>
    <row r="337" spans="2:13" ht="15" customHeight="1" x14ac:dyDescent="0.3">
      <c r="B337" s="34" t="str">
        <f>IF(B336="","", IF(VALUE(LEFT(H336,FIND("/",H336)-1)) &lt; VALUE(RIGHT(H336,LEN(H336)-FIND("/",H336))), B336, IFERROR(INDEX('SAÍDA DE VENDAS'!$B$6:$B$500, MATCH(B336,'SAÍDA DE VENDAS'!$B$6:$B$500,0)+COUNTIF('SAÍDA DE VENDAS'!$B$6:$B$500, B336)),"")))</f>
        <v/>
      </c>
      <c r="C337" s="35">
        <f>IFERROR(VLOOKUP(B337,'SAÍDA DE VENDAS'!$B$6:$P$500,3,FALSE),"")</f>
        <v>0</v>
      </c>
      <c r="D337" s="34">
        <f>IFERROR(VLOOKUP(B337,'SAÍDA DE VENDAS'!$B$6:$P$500,4,FALSE),"")</f>
        <v>0</v>
      </c>
      <c r="E337" s="34" t="str">
        <f>IFERROR(VLOOKUP(B337,'SAÍDA DE VENDAS'!$B$6:$P$500,5,FALSE),"")</f>
        <v/>
      </c>
      <c r="F337" s="34" t="str">
        <f>IF(OR(ISBLANK(B337),B337=""), "", IFERROR(INDEX('SAÍDA DE VENDAS'!$H$6:$H$500 &amp; "x " &amp; 'SAÍDA DE VENDAS'!$G$6:$G$500, MATCH(B337, 'SAÍDA DE VENDAS'!$B$6:$B$500, 0)), "")&amp; IF(COUNTIF('SAÍDA DE VENDAS'!$B$6:$B$500, B337)&gt;1, " + " &amp; IFERROR(INDEX('SAÍDA DE VENDAS'!$H$6:$H$500 &amp; "x " &amp; 'SAÍDA DE VENDAS'!$G$6:$G$500, MATCH(B337, 'SAÍDA DE VENDAS'!$B$6:$B$500, 0)+1), ""), "")&amp; IF(COUNTIF('SAÍDA DE VENDAS'!$B$6:$B$500, B337)&gt;2, " + " &amp; IFERROR(INDEX('SAÍDA DE VENDAS'!$H$6:$H$500 &amp; "x " &amp; 'SAÍDA DE VENDAS'!$G$6:$G$500, MATCH(B337, 'SAÍDA DE VENDAS'!$B$6:$B$500, 0)+2), ""), "")&amp; IF(COUNTIF('SAÍDA DE VENDAS'!$B$6:$B$500, B337)&gt;3, " + " &amp; IFERROR(INDEX('SAÍDA DE VENDAS'!$H$6:$H$500 &amp; "x " &amp; 'SAÍDA DE VENDAS'!$G$6:$G$500, MATCH(B337, 'SAÍDA DE VENDAS'!$B$6:$B$500, 0)+3), ""), "")&amp; IF(COUNTIF('SAÍDA DE VENDAS'!$B$6:$B$500, B337)&gt;4, " + " &amp; IFERROR(INDEX('SAÍDA DE VENDAS'!$H$6:$H$500 &amp; "x " &amp; 'SAÍDA DE VENDAS'!$G$6:$G$500, MATCH(B337, 'SAÍDA DE VENDAS'!$B$6:$B$500, 0)+4), ""), "")&amp; IF(COUNTIF('SAÍDA DE VENDAS'!$B$6:$B$500, B337)&gt;5, " + " &amp; IFERROR(INDEX('SAÍDA DE VENDAS'!$H$6:$H$500 &amp; "x " &amp; 'SAÍDA DE VENDAS'!$G$6:$G$500, MATCH(B337, 'SAÍDA DE VENDAS'!$B$6:$B$500, 0)+5), ""), ""))</f>
        <v/>
      </c>
      <c r="G337" s="34">
        <f>IFERROR(VLOOKUP(B337,'SAÍDA DE VENDAS'!$B$6:$P$500,10,FALSE),"")</f>
        <v>0</v>
      </c>
      <c r="H337" s="34" t="str">
        <f>IF(OR(ISBLANK(B337),B337=""), "", IF(B337=B336, (VALUE(LEFT(H336,FIND("/",H336)-1))+1)&amp;"/"&amp;RIGHT(H336,LEN(H336)-FIND("/",H336)), "1/"&amp;IFERROR(VLOOKUP(B337,'SAÍDA DE VENDAS'!$B$6:$P$500,13,FALSE),"1")))</f>
        <v/>
      </c>
      <c r="I337" s="35" t="str">
        <f t="shared" si="10"/>
        <v/>
      </c>
      <c r="J337" s="39" t="str">
        <f>IFERROR(VLOOKUP(B337,'SAÍDA DE VENDAS'!$B$6:$P$500,15,FALSE),"")</f>
        <v/>
      </c>
      <c r="K337" s="34" t="str">
        <f t="shared" ca="1" si="11"/>
        <v/>
      </c>
      <c r="L337" s="34"/>
      <c r="M337" s="34"/>
    </row>
    <row r="338" spans="2:13" ht="15" customHeight="1" x14ac:dyDescent="0.3">
      <c r="B338" s="28" t="str">
        <f>IF(B337="","", IF(VALUE(LEFT(H337,FIND("/",H337)-1)) &lt; VALUE(RIGHT(H337,LEN(H337)-FIND("/",H337))), B337, IFERROR(INDEX('SAÍDA DE VENDAS'!$B$6:$B$500, MATCH(B337,'SAÍDA DE VENDAS'!$B$6:$B$500,0)+COUNTIF('SAÍDA DE VENDAS'!$B$6:$B$500, B337)),"")))</f>
        <v/>
      </c>
      <c r="C338" s="29">
        <f>IFERROR(VLOOKUP(B338,'SAÍDA DE VENDAS'!$B$6:$P$500,3,FALSE),"")</f>
        <v>0</v>
      </c>
      <c r="D338" s="28">
        <f>IFERROR(VLOOKUP(B338,'SAÍDA DE VENDAS'!$B$6:$P$500,4,FALSE),"")</f>
        <v>0</v>
      </c>
      <c r="E338" s="28" t="str">
        <f>IFERROR(VLOOKUP(B338,'SAÍDA DE VENDAS'!$B$6:$P$500,5,FALSE),"")</f>
        <v/>
      </c>
      <c r="F338" s="28" t="str">
        <f>IF(OR(ISBLANK(B338),B338=""), "", IFERROR(INDEX('SAÍDA DE VENDAS'!$H$6:$H$500 &amp; "x " &amp; 'SAÍDA DE VENDAS'!$G$6:$G$500, MATCH(B338, 'SAÍDA DE VENDAS'!$B$6:$B$500, 0)), "")&amp; IF(COUNTIF('SAÍDA DE VENDAS'!$B$6:$B$500, B338)&gt;1, " + " &amp; IFERROR(INDEX('SAÍDA DE VENDAS'!$H$6:$H$500 &amp; "x " &amp; 'SAÍDA DE VENDAS'!$G$6:$G$500, MATCH(B338, 'SAÍDA DE VENDAS'!$B$6:$B$500, 0)+1), ""), "")&amp; IF(COUNTIF('SAÍDA DE VENDAS'!$B$6:$B$500, B338)&gt;2, " + " &amp; IFERROR(INDEX('SAÍDA DE VENDAS'!$H$6:$H$500 &amp; "x " &amp; 'SAÍDA DE VENDAS'!$G$6:$G$500, MATCH(B338, 'SAÍDA DE VENDAS'!$B$6:$B$500, 0)+2), ""), "")&amp; IF(COUNTIF('SAÍDA DE VENDAS'!$B$6:$B$500, B338)&gt;3, " + " &amp; IFERROR(INDEX('SAÍDA DE VENDAS'!$H$6:$H$500 &amp; "x " &amp; 'SAÍDA DE VENDAS'!$G$6:$G$500, MATCH(B338, 'SAÍDA DE VENDAS'!$B$6:$B$500, 0)+3), ""), "")&amp; IF(COUNTIF('SAÍDA DE VENDAS'!$B$6:$B$500, B338)&gt;4, " + " &amp; IFERROR(INDEX('SAÍDA DE VENDAS'!$H$6:$H$500 &amp; "x " &amp; 'SAÍDA DE VENDAS'!$G$6:$G$500, MATCH(B338, 'SAÍDA DE VENDAS'!$B$6:$B$500, 0)+4), ""), "")&amp; IF(COUNTIF('SAÍDA DE VENDAS'!$B$6:$B$500, B338)&gt;5, " + " &amp; IFERROR(INDEX('SAÍDA DE VENDAS'!$H$6:$H$500 &amp; "x " &amp; 'SAÍDA DE VENDAS'!$G$6:$G$500, MATCH(B338, 'SAÍDA DE VENDAS'!$B$6:$B$500, 0)+5), ""), ""))</f>
        <v/>
      </c>
      <c r="G338" s="28">
        <f>IFERROR(VLOOKUP(B338,'SAÍDA DE VENDAS'!$B$6:$P$500,10,FALSE),"")</f>
        <v>0</v>
      </c>
      <c r="H338" s="28" t="str">
        <f>IF(OR(ISBLANK(B338),B338=""), "", IF(B338=B337, (VALUE(LEFT(H337,FIND("/",H337)-1))+1)&amp;"/"&amp;RIGHT(H337,LEN(H337)-FIND("/",H337)), "1/"&amp;IFERROR(VLOOKUP(B338,'SAÍDA DE VENDAS'!$B$6:$P$500,13,FALSE),"1")))</f>
        <v/>
      </c>
      <c r="I338" s="69" t="str">
        <f t="shared" si="10"/>
        <v/>
      </c>
      <c r="J338" s="33" t="str">
        <f>IFERROR(VLOOKUP(B338,'SAÍDA DE VENDAS'!$B$6:$P$500,15,FALSE),"")</f>
        <v/>
      </c>
      <c r="K338" s="28" t="str">
        <f t="shared" ca="1" si="11"/>
        <v/>
      </c>
      <c r="L338" s="28"/>
      <c r="M338" s="28"/>
    </row>
    <row r="339" spans="2:13" ht="15" customHeight="1" x14ac:dyDescent="0.3">
      <c r="B339" s="34" t="str">
        <f>IF(B338="","", IF(VALUE(LEFT(H338,FIND("/",H338)-1)) &lt; VALUE(RIGHT(H338,LEN(H338)-FIND("/",H338))), B338, IFERROR(INDEX('SAÍDA DE VENDAS'!$B$6:$B$500, MATCH(B338,'SAÍDA DE VENDAS'!$B$6:$B$500,0)+COUNTIF('SAÍDA DE VENDAS'!$B$6:$B$500, B338)),"")))</f>
        <v/>
      </c>
      <c r="C339" s="35">
        <f>IFERROR(VLOOKUP(B339,'SAÍDA DE VENDAS'!$B$6:$P$500,3,FALSE),"")</f>
        <v>0</v>
      </c>
      <c r="D339" s="34">
        <f>IFERROR(VLOOKUP(B339,'SAÍDA DE VENDAS'!$B$6:$P$500,4,FALSE),"")</f>
        <v>0</v>
      </c>
      <c r="E339" s="34" t="str">
        <f>IFERROR(VLOOKUP(B339,'SAÍDA DE VENDAS'!$B$6:$P$500,5,FALSE),"")</f>
        <v/>
      </c>
      <c r="F339" s="34" t="str">
        <f>IF(OR(ISBLANK(B339),B339=""), "", IFERROR(INDEX('SAÍDA DE VENDAS'!$H$6:$H$500 &amp; "x " &amp; 'SAÍDA DE VENDAS'!$G$6:$G$500, MATCH(B339, 'SAÍDA DE VENDAS'!$B$6:$B$500, 0)), "")&amp; IF(COUNTIF('SAÍDA DE VENDAS'!$B$6:$B$500, B339)&gt;1, " + " &amp; IFERROR(INDEX('SAÍDA DE VENDAS'!$H$6:$H$500 &amp; "x " &amp; 'SAÍDA DE VENDAS'!$G$6:$G$500, MATCH(B339, 'SAÍDA DE VENDAS'!$B$6:$B$500, 0)+1), ""), "")&amp; IF(COUNTIF('SAÍDA DE VENDAS'!$B$6:$B$500, B339)&gt;2, " + " &amp; IFERROR(INDEX('SAÍDA DE VENDAS'!$H$6:$H$500 &amp; "x " &amp; 'SAÍDA DE VENDAS'!$G$6:$G$500, MATCH(B339, 'SAÍDA DE VENDAS'!$B$6:$B$500, 0)+2), ""), "")&amp; IF(COUNTIF('SAÍDA DE VENDAS'!$B$6:$B$500, B339)&gt;3, " + " &amp; IFERROR(INDEX('SAÍDA DE VENDAS'!$H$6:$H$500 &amp; "x " &amp; 'SAÍDA DE VENDAS'!$G$6:$G$500, MATCH(B339, 'SAÍDA DE VENDAS'!$B$6:$B$500, 0)+3), ""), "")&amp; IF(COUNTIF('SAÍDA DE VENDAS'!$B$6:$B$500, B339)&gt;4, " + " &amp; IFERROR(INDEX('SAÍDA DE VENDAS'!$H$6:$H$500 &amp; "x " &amp; 'SAÍDA DE VENDAS'!$G$6:$G$500, MATCH(B339, 'SAÍDA DE VENDAS'!$B$6:$B$500, 0)+4), ""), "")&amp; IF(COUNTIF('SAÍDA DE VENDAS'!$B$6:$B$500, B339)&gt;5, " + " &amp; IFERROR(INDEX('SAÍDA DE VENDAS'!$H$6:$H$500 &amp; "x " &amp; 'SAÍDA DE VENDAS'!$G$6:$G$500, MATCH(B339, 'SAÍDA DE VENDAS'!$B$6:$B$500, 0)+5), ""), ""))</f>
        <v/>
      </c>
      <c r="G339" s="34">
        <f>IFERROR(VLOOKUP(B339,'SAÍDA DE VENDAS'!$B$6:$P$500,10,FALSE),"")</f>
        <v>0</v>
      </c>
      <c r="H339" s="34" t="str">
        <f>IF(OR(ISBLANK(B339),B339=""), "", IF(B339=B338, (VALUE(LEFT(H338,FIND("/",H338)-1))+1)&amp;"/"&amp;RIGHT(H338,LEN(H338)-FIND("/",H338)), "1/"&amp;IFERROR(VLOOKUP(B339,'SAÍDA DE VENDAS'!$B$6:$P$500,13,FALSE),"1")))</f>
        <v/>
      </c>
      <c r="I339" s="35" t="str">
        <f t="shared" si="10"/>
        <v/>
      </c>
      <c r="J339" s="39" t="str">
        <f>IFERROR(VLOOKUP(B339,'SAÍDA DE VENDAS'!$B$6:$P$500,15,FALSE),"")</f>
        <v/>
      </c>
      <c r="K339" s="34" t="str">
        <f t="shared" ca="1" si="11"/>
        <v/>
      </c>
      <c r="L339" s="34"/>
      <c r="M339" s="34"/>
    </row>
    <row r="340" spans="2:13" ht="15" customHeight="1" x14ac:dyDescent="0.3">
      <c r="B340" s="28" t="str">
        <f>IF(B339="","", IF(VALUE(LEFT(H339,FIND("/",H339)-1)) &lt; VALUE(RIGHT(H339,LEN(H339)-FIND("/",H339))), B339, IFERROR(INDEX('SAÍDA DE VENDAS'!$B$6:$B$500, MATCH(B339,'SAÍDA DE VENDAS'!$B$6:$B$500,0)+COUNTIF('SAÍDA DE VENDAS'!$B$6:$B$500, B339)),"")))</f>
        <v/>
      </c>
      <c r="C340" s="29">
        <f>IFERROR(VLOOKUP(B340,'SAÍDA DE VENDAS'!$B$6:$P$500,3,FALSE),"")</f>
        <v>0</v>
      </c>
      <c r="D340" s="28">
        <f>IFERROR(VLOOKUP(B340,'SAÍDA DE VENDAS'!$B$6:$P$500,4,FALSE),"")</f>
        <v>0</v>
      </c>
      <c r="E340" s="28" t="str">
        <f>IFERROR(VLOOKUP(B340,'SAÍDA DE VENDAS'!$B$6:$P$500,5,FALSE),"")</f>
        <v/>
      </c>
      <c r="F340" s="28" t="str">
        <f>IF(OR(ISBLANK(B340),B340=""), "", IFERROR(INDEX('SAÍDA DE VENDAS'!$H$6:$H$500 &amp; "x " &amp; 'SAÍDA DE VENDAS'!$G$6:$G$500, MATCH(B340, 'SAÍDA DE VENDAS'!$B$6:$B$500, 0)), "")&amp; IF(COUNTIF('SAÍDA DE VENDAS'!$B$6:$B$500, B340)&gt;1, " + " &amp; IFERROR(INDEX('SAÍDA DE VENDAS'!$H$6:$H$500 &amp; "x " &amp; 'SAÍDA DE VENDAS'!$G$6:$G$500, MATCH(B340, 'SAÍDA DE VENDAS'!$B$6:$B$500, 0)+1), ""), "")&amp; IF(COUNTIF('SAÍDA DE VENDAS'!$B$6:$B$500, B340)&gt;2, " + " &amp; IFERROR(INDEX('SAÍDA DE VENDAS'!$H$6:$H$500 &amp; "x " &amp; 'SAÍDA DE VENDAS'!$G$6:$G$500, MATCH(B340, 'SAÍDA DE VENDAS'!$B$6:$B$500, 0)+2), ""), "")&amp; IF(COUNTIF('SAÍDA DE VENDAS'!$B$6:$B$500, B340)&gt;3, " + " &amp; IFERROR(INDEX('SAÍDA DE VENDAS'!$H$6:$H$500 &amp; "x " &amp; 'SAÍDA DE VENDAS'!$G$6:$G$500, MATCH(B340, 'SAÍDA DE VENDAS'!$B$6:$B$500, 0)+3), ""), "")&amp; IF(COUNTIF('SAÍDA DE VENDAS'!$B$6:$B$500, B340)&gt;4, " + " &amp; IFERROR(INDEX('SAÍDA DE VENDAS'!$H$6:$H$500 &amp; "x " &amp; 'SAÍDA DE VENDAS'!$G$6:$G$500, MATCH(B340, 'SAÍDA DE VENDAS'!$B$6:$B$500, 0)+4), ""), "")&amp; IF(COUNTIF('SAÍDA DE VENDAS'!$B$6:$B$500, B340)&gt;5, " + " &amp; IFERROR(INDEX('SAÍDA DE VENDAS'!$H$6:$H$500 &amp; "x " &amp; 'SAÍDA DE VENDAS'!$G$6:$G$500, MATCH(B340, 'SAÍDA DE VENDAS'!$B$6:$B$500, 0)+5), ""), ""))</f>
        <v/>
      </c>
      <c r="G340" s="28">
        <f>IFERROR(VLOOKUP(B340,'SAÍDA DE VENDAS'!$B$6:$P$500,10,FALSE),"")</f>
        <v>0</v>
      </c>
      <c r="H340" s="28" t="str">
        <f>IF(OR(ISBLANK(B340),B340=""), "", IF(B340=B339, (VALUE(LEFT(H339,FIND("/",H339)-1))+1)&amp;"/"&amp;RIGHT(H339,LEN(H339)-FIND("/",H339)), "1/"&amp;IFERROR(VLOOKUP(B340,'SAÍDA DE VENDAS'!$B$6:$P$500,13,FALSE),"1")))</f>
        <v/>
      </c>
      <c r="I340" s="69" t="str">
        <f t="shared" si="10"/>
        <v/>
      </c>
      <c r="J340" s="33" t="str">
        <f>IFERROR(VLOOKUP(B340,'SAÍDA DE VENDAS'!$B$6:$P$500,15,FALSE),"")</f>
        <v/>
      </c>
      <c r="K340" s="28" t="str">
        <f t="shared" ca="1" si="11"/>
        <v/>
      </c>
      <c r="L340" s="28"/>
      <c r="M340" s="28"/>
    </row>
    <row r="341" spans="2:13" ht="15" customHeight="1" x14ac:dyDescent="0.3">
      <c r="B341" s="34" t="str">
        <f>IF(B340="","", IF(VALUE(LEFT(H340,FIND("/",H340)-1)) &lt; VALUE(RIGHT(H340,LEN(H340)-FIND("/",H340))), B340, IFERROR(INDEX('SAÍDA DE VENDAS'!$B$6:$B$500, MATCH(B340,'SAÍDA DE VENDAS'!$B$6:$B$500,0)+COUNTIF('SAÍDA DE VENDAS'!$B$6:$B$500, B340)),"")))</f>
        <v/>
      </c>
      <c r="C341" s="35">
        <f>IFERROR(VLOOKUP(B341,'SAÍDA DE VENDAS'!$B$6:$P$500,3,FALSE),"")</f>
        <v>0</v>
      </c>
      <c r="D341" s="34">
        <f>IFERROR(VLOOKUP(B341,'SAÍDA DE VENDAS'!$B$6:$P$500,4,FALSE),"")</f>
        <v>0</v>
      </c>
      <c r="E341" s="34" t="str">
        <f>IFERROR(VLOOKUP(B341,'SAÍDA DE VENDAS'!$B$6:$P$500,5,FALSE),"")</f>
        <v/>
      </c>
      <c r="F341" s="34" t="str">
        <f>IF(OR(ISBLANK(B341),B341=""), "", IFERROR(INDEX('SAÍDA DE VENDAS'!$H$6:$H$500 &amp; "x " &amp; 'SAÍDA DE VENDAS'!$G$6:$G$500, MATCH(B341, 'SAÍDA DE VENDAS'!$B$6:$B$500, 0)), "")&amp; IF(COUNTIF('SAÍDA DE VENDAS'!$B$6:$B$500, B341)&gt;1, " + " &amp; IFERROR(INDEX('SAÍDA DE VENDAS'!$H$6:$H$500 &amp; "x " &amp; 'SAÍDA DE VENDAS'!$G$6:$G$500, MATCH(B341, 'SAÍDA DE VENDAS'!$B$6:$B$500, 0)+1), ""), "")&amp; IF(COUNTIF('SAÍDA DE VENDAS'!$B$6:$B$500, B341)&gt;2, " + " &amp; IFERROR(INDEX('SAÍDA DE VENDAS'!$H$6:$H$500 &amp; "x " &amp; 'SAÍDA DE VENDAS'!$G$6:$G$500, MATCH(B341, 'SAÍDA DE VENDAS'!$B$6:$B$500, 0)+2), ""), "")&amp; IF(COUNTIF('SAÍDA DE VENDAS'!$B$6:$B$500, B341)&gt;3, " + " &amp; IFERROR(INDEX('SAÍDA DE VENDAS'!$H$6:$H$500 &amp; "x " &amp; 'SAÍDA DE VENDAS'!$G$6:$G$500, MATCH(B341, 'SAÍDA DE VENDAS'!$B$6:$B$500, 0)+3), ""), "")&amp; IF(COUNTIF('SAÍDA DE VENDAS'!$B$6:$B$500, B341)&gt;4, " + " &amp; IFERROR(INDEX('SAÍDA DE VENDAS'!$H$6:$H$500 &amp; "x " &amp; 'SAÍDA DE VENDAS'!$G$6:$G$500, MATCH(B341, 'SAÍDA DE VENDAS'!$B$6:$B$500, 0)+4), ""), "")&amp; IF(COUNTIF('SAÍDA DE VENDAS'!$B$6:$B$500, B341)&gt;5, " + " &amp; IFERROR(INDEX('SAÍDA DE VENDAS'!$H$6:$H$500 &amp; "x " &amp; 'SAÍDA DE VENDAS'!$G$6:$G$500, MATCH(B341, 'SAÍDA DE VENDAS'!$B$6:$B$500, 0)+5), ""), ""))</f>
        <v/>
      </c>
      <c r="G341" s="34">
        <f>IFERROR(VLOOKUP(B341,'SAÍDA DE VENDAS'!$B$6:$P$500,10,FALSE),"")</f>
        <v>0</v>
      </c>
      <c r="H341" s="34" t="str">
        <f>IF(OR(ISBLANK(B341),B341=""), "", IF(B341=B340, (VALUE(LEFT(H340,FIND("/",H340)-1))+1)&amp;"/"&amp;RIGHT(H340,LEN(H340)-FIND("/",H340)), "1/"&amp;IFERROR(VLOOKUP(B341,'SAÍDA DE VENDAS'!$B$6:$P$500,13,FALSE),"1")))</f>
        <v/>
      </c>
      <c r="I341" s="35" t="str">
        <f t="shared" si="10"/>
        <v/>
      </c>
      <c r="J341" s="39" t="str">
        <f>IFERROR(VLOOKUP(B341,'SAÍDA DE VENDAS'!$B$6:$P$500,15,FALSE),"")</f>
        <v/>
      </c>
      <c r="K341" s="34" t="str">
        <f t="shared" ca="1" si="11"/>
        <v/>
      </c>
      <c r="L341" s="34"/>
      <c r="M341" s="34"/>
    </row>
    <row r="342" spans="2:13" ht="15" customHeight="1" x14ac:dyDescent="0.3">
      <c r="B342" s="28" t="str">
        <f>IF(B341="","", IF(VALUE(LEFT(H341,FIND("/",H341)-1)) &lt; VALUE(RIGHT(H341,LEN(H341)-FIND("/",H341))), B341, IFERROR(INDEX('SAÍDA DE VENDAS'!$B$6:$B$500, MATCH(B341,'SAÍDA DE VENDAS'!$B$6:$B$500,0)+COUNTIF('SAÍDA DE VENDAS'!$B$6:$B$500, B341)),"")))</f>
        <v/>
      </c>
      <c r="C342" s="29">
        <f>IFERROR(VLOOKUP(B342,'SAÍDA DE VENDAS'!$B$6:$P$500,3,FALSE),"")</f>
        <v>0</v>
      </c>
      <c r="D342" s="28">
        <f>IFERROR(VLOOKUP(B342,'SAÍDA DE VENDAS'!$B$6:$P$500,4,FALSE),"")</f>
        <v>0</v>
      </c>
      <c r="E342" s="28" t="str">
        <f>IFERROR(VLOOKUP(B342,'SAÍDA DE VENDAS'!$B$6:$P$500,5,FALSE),"")</f>
        <v/>
      </c>
      <c r="F342" s="28" t="str">
        <f>IF(OR(ISBLANK(B342),B342=""), "", IFERROR(INDEX('SAÍDA DE VENDAS'!$H$6:$H$500 &amp; "x " &amp; 'SAÍDA DE VENDAS'!$G$6:$G$500, MATCH(B342, 'SAÍDA DE VENDAS'!$B$6:$B$500, 0)), "")&amp; IF(COUNTIF('SAÍDA DE VENDAS'!$B$6:$B$500, B342)&gt;1, " + " &amp; IFERROR(INDEX('SAÍDA DE VENDAS'!$H$6:$H$500 &amp; "x " &amp; 'SAÍDA DE VENDAS'!$G$6:$G$500, MATCH(B342, 'SAÍDA DE VENDAS'!$B$6:$B$500, 0)+1), ""), "")&amp; IF(COUNTIF('SAÍDA DE VENDAS'!$B$6:$B$500, B342)&gt;2, " + " &amp; IFERROR(INDEX('SAÍDA DE VENDAS'!$H$6:$H$500 &amp; "x " &amp; 'SAÍDA DE VENDAS'!$G$6:$G$500, MATCH(B342, 'SAÍDA DE VENDAS'!$B$6:$B$500, 0)+2), ""), "")&amp; IF(COUNTIF('SAÍDA DE VENDAS'!$B$6:$B$500, B342)&gt;3, " + " &amp; IFERROR(INDEX('SAÍDA DE VENDAS'!$H$6:$H$500 &amp; "x " &amp; 'SAÍDA DE VENDAS'!$G$6:$G$500, MATCH(B342, 'SAÍDA DE VENDAS'!$B$6:$B$500, 0)+3), ""), "")&amp; IF(COUNTIF('SAÍDA DE VENDAS'!$B$6:$B$500, B342)&gt;4, " + " &amp; IFERROR(INDEX('SAÍDA DE VENDAS'!$H$6:$H$500 &amp; "x " &amp; 'SAÍDA DE VENDAS'!$G$6:$G$500, MATCH(B342, 'SAÍDA DE VENDAS'!$B$6:$B$500, 0)+4), ""), "")&amp; IF(COUNTIF('SAÍDA DE VENDAS'!$B$6:$B$500, B342)&gt;5, " + " &amp; IFERROR(INDEX('SAÍDA DE VENDAS'!$H$6:$H$500 &amp; "x " &amp; 'SAÍDA DE VENDAS'!$G$6:$G$500, MATCH(B342, 'SAÍDA DE VENDAS'!$B$6:$B$500, 0)+5), ""), ""))</f>
        <v/>
      </c>
      <c r="G342" s="28">
        <f>IFERROR(VLOOKUP(B342,'SAÍDA DE VENDAS'!$B$6:$P$500,10,FALSE),"")</f>
        <v>0</v>
      </c>
      <c r="H342" s="28" t="str">
        <f>IF(OR(ISBLANK(B342),B342=""), "", IF(B342=B341, (VALUE(LEFT(H341,FIND("/",H341)-1))+1)&amp;"/"&amp;RIGHT(H341,LEN(H341)-FIND("/",H341)), "1/"&amp;IFERROR(VLOOKUP(B342,'SAÍDA DE VENDAS'!$B$6:$P$500,13,FALSE),"1")))</f>
        <v/>
      </c>
      <c r="I342" s="69" t="str">
        <f t="shared" si="10"/>
        <v/>
      </c>
      <c r="J342" s="33" t="str">
        <f>IFERROR(VLOOKUP(B342,'SAÍDA DE VENDAS'!$B$6:$P$500,15,FALSE),"")</f>
        <v/>
      </c>
      <c r="K342" s="28" t="str">
        <f t="shared" ca="1" si="11"/>
        <v/>
      </c>
      <c r="L342" s="28"/>
      <c r="M342" s="28"/>
    </row>
    <row r="343" spans="2:13" ht="15" customHeight="1" x14ac:dyDescent="0.3">
      <c r="B343" s="34" t="str">
        <f>IF(B342="","", IF(VALUE(LEFT(H342,FIND("/",H342)-1)) &lt; VALUE(RIGHT(H342,LEN(H342)-FIND("/",H342))), B342, IFERROR(INDEX('SAÍDA DE VENDAS'!$B$6:$B$500, MATCH(B342,'SAÍDA DE VENDAS'!$B$6:$B$500,0)+COUNTIF('SAÍDA DE VENDAS'!$B$6:$B$500, B342)),"")))</f>
        <v/>
      </c>
      <c r="C343" s="35">
        <f>IFERROR(VLOOKUP(B343,'SAÍDA DE VENDAS'!$B$6:$P$500,3,FALSE),"")</f>
        <v>0</v>
      </c>
      <c r="D343" s="34">
        <f>IFERROR(VLOOKUP(B343,'SAÍDA DE VENDAS'!$B$6:$P$500,4,FALSE),"")</f>
        <v>0</v>
      </c>
      <c r="E343" s="34" t="str">
        <f>IFERROR(VLOOKUP(B343,'SAÍDA DE VENDAS'!$B$6:$P$500,5,FALSE),"")</f>
        <v/>
      </c>
      <c r="F343" s="34" t="str">
        <f>IF(OR(ISBLANK(B343),B343=""), "", IFERROR(INDEX('SAÍDA DE VENDAS'!$H$6:$H$500 &amp; "x " &amp; 'SAÍDA DE VENDAS'!$G$6:$G$500, MATCH(B343, 'SAÍDA DE VENDAS'!$B$6:$B$500, 0)), "")&amp; IF(COUNTIF('SAÍDA DE VENDAS'!$B$6:$B$500, B343)&gt;1, " + " &amp; IFERROR(INDEX('SAÍDA DE VENDAS'!$H$6:$H$500 &amp; "x " &amp; 'SAÍDA DE VENDAS'!$G$6:$G$500, MATCH(B343, 'SAÍDA DE VENDAS'!$B$6:$B$500, 0)+1), ""), "")&amp; IF(COUNTIF('SAÍDA DE VENDAS'!$B$6:$B$500, B343)&gt;2, " + " &amp; IFERROR(INDEX('SAÍDA DE VENDAS'!$H$6:$H$500 &amp; "x " &amp; 'SAÍDA DE VENDAS'!$G$6:$G$500, MATCH(B343, 'SAÍDA DE VENDAS'!$B$6:$B$500, 0)+2), ""), "")&amp; IF(COUNTIF('SAÍDA DE VENDAS'!$B$6:$B$500, B343)&gt;3, " + " &amp; IFERROR(INDEX('SAÍDA DE VENDAS'!$H$6:$H$500 &amp; "x " &amp; 'SAÍDA DE VENDAS'!$G$6:$G$500, MATCH(B343, 'SAÍDA DE VENDAS'!$B$6:$B$500, 0)+3), ""), "")&amp; IF(COUNTIF('SAÍDA DE VENDAS'!$B$6:$B$500, B343)&gt;4, " + " &amp; IFERROR(INDEX('SAÍDA DE VENDAS'!$H$6:$H$500 &amp; "x " &amp; 'SAÍDA DE VENDAS'!$G$6:$G$500, MATCH(B343, 'SAÍDA DE VENDAS'!$B$6:$B$500, 0)+4), ""), "")&amp; IF(COUNTIF('SAÍDA DE VENDAS'!$B$6:$B$500, B343)&gt;5, " + " &amp; IFERROR(INDEX('SAÍDA DE VENDAS'!$H$6:$H$500 &amp; "x " &amp; 'SAÍDA DE VENDAS'!$G$6:$G$500, MATCH(B343, 'SAÍDA DE VENDAS'!$B$6:$B$500, 0)+5), ""), ""))</f>
        <v/>
      </c>
      <c r="G343" s="34">
        <f>IFERROR(VLOOKUP(B343,'SAÍDA DE VENDAS'!$B$6:$P$500,10,FALSE),"")</f>
        <v>0</v>
      </c>
      <c r="H343" s="34" t="str">
        <f>IF(OR(ISBLANK(B343),B343=""), "", IF(B343=B342, (VALUE(LEFT(H342,FIND("/",H342)-1))+1)&amp;"/"&amp;RIGHT(H342,LEN(H342)-FIND("/",H342)), "1/"&amp;IFERROR(VLOOKUP(B343,'SAÍDA DE VENDAS'!$B$6:$P$500,13,FALSE),"1")))</f>
        <v/>
      </c>
      <c r="I343" s="35" t="str">
        <f t="shared" si="10"/>
        <v/>
      </c>
      <c r="J343" s="39" t="str">
        <f>IFERROR(VLOOKUP(B343,'SAÍDA DE VENDAS'!$B$6:$P$500,15,FALSE),"")</f>
        <v/>
      </c>
      <c r="K343" s="34" t="str">
        <f t="shared" ca="1" si="11"/>
        <v/>
      </c>
      <c r="L343" s="34"/>
      <c r="M343" s="34"/>
    </row>
    <row r="344" spans="2:13" ht="15" customHeight="1" x14ac:dyDescent="0.3">
      <c r="B344" s="28" t="str">
        <f>IF(B343="","", IF(VALUE(LEFT(H343,FIND("/",H343)-1)) &lt; VALUE(RIGHT(H343,LEN(H343)-FIND("/",H343))), B343, IFERROR(INDEX('SAÍDA DE VENDAS'!$B$6:$B$500, MATCH(B343,'SAÍDA DE VENDAS'!$B$6:$B$500,0)+COUNTIF('SAÍDA DE VENDAS'!$B$6:$B$500, B343)),"")))</f>
        <v/>
      </c>
      <c r="C344" s="29">
        <f>IFERROR(VLOOKUP(B344,'SAÍDA DE VENDAS'!$B$6:$P$500,3,FALSE),"")</f>
        <v>0</v>
      </c>
      <c r="D344" s="28">
        <f>IFERROR(VLOOKUP(B344,'SAÍDA DE VENDAS'!$B$6:$P$500,4,FALSE),"")</f>
        <v>0</v>
      </c>
      <c r="E344" s="28" t="str">
        <f>IFERROR(VLOOKUP(B344,'SAÍDA DE VENDAS'!$B$6:$P$500,5,FALSE),"")</f>
        <v/>
      </c>
      <c r="F344" s="28" t="str">
        <f>IF(OR(ISBLANK(B344),B344=""), "", IFERROR(INDEX('SAÍDA DE VENDAS'!$H$6:$H$500 &amp; "x " &amp; 'SAÍDA DE VENDAS'!$G$6:$G$500, MATCH(B344, 'SAÍDA DE VENDAS'!$B$6:$B$500, 0)), "")&amp; IF(COUNTIF('SAÍDA DE VENDAS'!$B$6:$B$500, B344)&gt;1, " + " &amp; IFERROR(INDEX('SAÍDA DE VENDAS'!$H$6:$H$500 &amp; "x " &amp; 'SAÍDA DE VENDAS'!$G$6:$G$500, MATCH(B344, 'SAÍDA DE VENDAS'!$B$6:$B$500, 0)+1), ""), "")&amp; IF(COUNTIF('SAÍDA DE VENDAS'!$B$6:$B$500, B344)&gt;2, " + " &amp; IFERROR(INDEX('SAÍDA DE VENDAS'!$H$6:$H$500 &amp; "x " &amp; 'SAÍDA DE VENDAS'!$G$6:$G$500, MATCH(B344, 'SAÍDA DE VENDAS'!$B$6:$B$500, 0)+2), ""), "")&amp; IF(COUNTIF('SAÍDA DE VENDAS'!$B$6:$B$500, B344)&gt;3, " + " &amp; IFERROR(INDEX('SAÍDA DE VENDAS'!$H$6:$H$500 &amp; "x " &amp; 'SAÍDA DE VENDAS'!$G$6:$G$500, MATCH(B344, 'SAÍDA DE VENDAS'!$B$6:$B$500, 0)+3), ""), "")&amp; IF(COUNTIF('SAÍDA DE VENDAS'!$B$6:$B$500, B344)&gt;4, " + " &amp; IFERROR(INDEX('SAÍDA DE VENDAS'!$H$6:$H$500 &amp; "x " &amp; 'SAÍDA DE VENDAS'!$G$6:$G$500, MATCH(B344, 'SAÍDA DE VENDAS'!$B$6:$B$500, 0)+4), ""), "")&amp; IF(COUNTIF('SAÍDA DE VENDAS'!$B$6:$B$500, B344)&gt;5, " + " &amp; IFERROR(INDEX('SAÍDA DE VENDAS'!$H$6:$H$500 &amp; "x " &amp; 'SAÍDA DE VENDAS'!$G$6:$G$500, MATCH(B344, 'SAÍDA DE VENDAS'!$B$6:$B$500, 0)+5), ""), ""))</f>
        <v/>
      </c>
      <c r="G344" s="28">
        <f>IFERROR(VLOOKUP(B344,'SAÍDA DE VENDAS'!$B$6:$P$500,10,FALSE),"")</f>
        <v>0</v>
      </c>
      <c r="H344" s="28" t="str">
        <f>IF(OR(ISBLANK(B344),B344=""), "", IF(B344=B343, (VALUE(LEFT(H343,FIND("/",H343)-1))+1)&amp;"/"&amp;RIGHT(H343,LEN(H343)-FIND("/",H343)), "1/"&amp;IFERROR(VLOOKUP(B344,'SAÍDA DE VENDAS'!$B$6:$P$500,13,FALSE),"1")))</f>
        <v/>
      </c>
      <c r="I344" s="69" t="str">
        <f t="shared" si="10"/>
        <v/>
      </c>
      <c r="J344" s="33" t="str">
        <f>IFERROR(VLOOKUP(B344,'SAÍDA DE VENDAS'!$B$6:$P$500,15,FALSE),"")</f>
        <v/>
      </c>
      <c r="K344" s="28" t="str">
        <f t="shared" ca="1" si="11"/>
        <v/>
      </c>
      <c r="L344" s="28"/>
      <c r="M344" s="28"/>
    </row>
    <row r="345" spans="2:13" ht="15" customHeight="1" x14ac:dyDescent="0.3">
      <c r="B345" s="34" t="str">
        <f>IF(B344="","", IF(VALUE(LEFT(H344,FIND("/",H344)-1)) &lt; VALUE(RIGHT(H344,LEN(H344)-FIND("/",H344))), B344, IFERROR(INDEX('SAÍDA DE VENDAS'!$B$6:$B$500, MATCH(B344,'SAÍDA DE VENDAS'!$B$6:$B$500,0)+COUNTIF('SAÍDA DE VENDAS'!$B$6:$B$500, B344)),"")))</f>
        <v/>
      </c>
      <c r="C345" s="35">
        <f>IFERROR(VLOOKUP(B345,'SAÍDA DE VENDAS'!$B$6:$P$500,3,FALSE),"")</f>
        <v>0</v>
      </c>
      <c r="D345" s="34">
        <f>IFERROR(VLOOKUP(B345,'SAÍDA DE VENDAS'!$B$6:$P$500,4,FALSE),"")</f>
        <v>0</v>
      </c>
      <c r="E345" s="34" t="str">
        <f>IFERROR(VLOOKUP(B345,'SAÍDA DE VENDAS'!$B$6:$P$500,5,FALSE),"")</f>
        <v/>
      </c>
      <c r="F345" s="34" t="str">
        <f>IF(OR(ISBLANK(B345),B345=""), "", IFERROR(INDEX('SAÍDA DE VENDAS'!$H$6:$H$500 &amp; "x " &amp; 'SAÍDA DE VENDAS'!$G$6:$G$500, MATCH(B345, 'SAÍDA DE VENDAS'!$B$6:$B$500, 0)), "")&amp; IF(COUNTIF('SAÍDA DE VENDAS'!$B$6:$B$500, B345)&gt;1, " + " &amp; IFERROR(INDEX('SAÍDA DE VENDAS'!$H$6:$H$500 &amp; "x " &amp; 'SAÍDA DE VENDAS'!$G$6:$G$500, MATCH(B345, 'SAÍDA DE VENDAS'!$B$6:$B$500, 0)+1), ""), "")&amp; IF(COUNTIF('SAÍDA DE VENDAS'!$B$6:$B$500, B345)&gt;2, " + " &amp; IFERROR(INDEX('SAÍDA DE VENDAS'!$H$6:$H$500 &amp; "x " &amp; 'SAÍDA DE VENDAS'!$G$6:$G$500, MATCH(B345, 'SAÍDA DE VENDAS'!$B$6:$B$500, 0)+2), ""), "")&amp; IF(COUNTIF('SAÍDA DE VENDAS'!$B$6:$B$500, B345)&gt;3, " + " &amp; IFERROR(INDEX('SAÍDA DE VENDAS'!$H$6:$H$500 &amp; "x " &amp; 'SAÍDA DE VENDAS'!$G$6:$G$500, MATCH(B345, 'SAÍDA DE VENDAS'!$B$6:$B$500, 0)+3), ""), "")&amp; IF(COUNTIF('SAÍDA DE VENDAS'!$B$6:$B$500, B345)&gt;4, " + " &amp; IFERROR(INDEX('SAÍDA DE VENDAS'!$H$6:$H$500 &amp; "x " &amp; 'SAÍDA DE VENDAS'!$G$6:$G$500, MATCH(B345, 'SAÍDA DE VENDAS'!$B$6:$B$500, 0)+4), ""), "")&amp; IF(COUNTIF('SAÍDA DE VENDAS'!$B$6:$B$500, B345)&gt;5, " + " &amp; IFERROR(INDEX('SAÍDA DE VENDAS'!$H$6:$H$500 &amp; "x " &amp; 'SAÍDA DE VENDAS'!$G$6:$G$500, MATCH(B345, 'SAÍDA DE VENDAS'!$B$6:$B$500, 0)+5), ""), ""))</f>
        <v/>
      </c>
      <c r="G345" s="34">
        <f>IFERROR(VLOOKUP(B345,'SAÍDA DE VENDAS'!$B$6:$P$500,10,FALSE),"")</f>
        <v>0</v>
      </c>
      <c r="H345" s="34" t="str">
        <f>IF(OR(ISBLANK(B345),B345=""), "", IF(B345=B344, (VALUE(LEFT(H344,FIND("/",H344)-1))+1)&amp;"/"&amp;RIGHT(H344,LEN(H344)-FIND("/",H344)), "1/"&amp;IFERROR(VLOOKUP(B345,'SAÍDA DE VENDAS'!$B$6:$P$500,13,FALSE),"1")))</f>
        <v/>
      </c>
      <c r="I345" s="35" t="str">
        <f t="shared" si="10"/>
        <v/>
      </c>
      <c r="J345" s="39" t="str">
        <f>IFERROR(VLOOKUP(B345,'SAÍDA DE VENDAS'!$B$6:$P$500,15,FALSE),"")</f>
        <v/>
      </c>
      <c r="K345" s="34" t="str">
        <f t="shared" ca="1" si="11"/>
        <v/>
      </c>
      <c r="L345" s="34"/>
      <c r="M345" s="34"/>
    </row>
    <row r="346" spans="2:13" ht="15" customHeight="1" x14ac:dyDescent="0.3">
      <c r="B346" s="28" t="str">
        <f>IF(B345="","", IF(VALUE(LEFT(H345,FIND("/",H345)-1)) &lt; VALUE(RIGHT(H345,LEN(H345)-FIND("/",H345))), B345, IFERROR(INDEX('SAÍDA DE VENDAS'!$B$6:$B$500, MATCH(B345,'SAÍDA DE VENDAS'!$B$6:$B$500,0)+COUNTIF('SAÍDA DE VENDAS'!$B$6:$B$500, B345)),"")))</f>
        <v/>
      </c>
      <c r="C346" s="29">
        <f>IFERROR(VLOOKUP(B346,'SAÍDA DE VENDAS'!$B$6:$P$500,3,FALSE),"")</f>
        <v>0</v>
      </c>
      <c r="D346" s="28">
        <f>IFERROR(VLOOKUP(B346,'SAÍDA DE VENDAS'!$B$6:$P$500,4,FALSE),"")</f>
        <v>0</v>
      </c>
      <c r="E346" s="28" t="str">
        <f>IFERROR(VLOOKUP(B346,'SAÍDA DE VENDAS'!$B$6:$P$500,5,FALSE),"")</f>
        <v/>
      </c>
      <c r="F346" s="28" t="str">
        <f>IF(OR(ISBLANK(B346),B346=""), "", IFERROR(INDEX('SAÍDA DE VENDAS'!$H$6:$H$500 &amp; "x " &amp; 'SAÍDA DE VENDAS'!$G$6:$G$500, MATCH(B346, 'SAÍDA DE VENDAS'!$B$6:$B$500, 0)), "")&amp; IF(COUNTIF('SAÍDA DE VENDAS'!$B$6:$B$500, B346)&gt;1, " + " &amp; IFERROR(INDEX('SAÍDA DE VENDAS'!$H$6:$H$500 &amp; "x " &amp; 'SAÍDA DE VENDAS'!$G$6:$G$500, MATCH(B346, 'SAÍDA DE VENDAS'!$B$6:$B$500, 0)+1), ""), "")&amp; IF(COUNTIF('SAÍDA DE VENDAS'!$B$6:$B$500, B346)&gt;2, " + " &amp; IFERROR(INDEX('SAÍDA DE VENDAS'!$H$6:$H$500 &amp; "x " &amp; 'SAÍDA DE VENDAS'!$G$6:$G$500, MATCH(B346, 'SAÍDA DE VENDAS'!$B$6:$B$500, 0)+2), ""), "")&amp; IF(COUNTIF('SAÍDA DE VENDAS'!$B$6:$B$500, B346)&gt;3, " + " &amp; IFERROR(INDEX('SAÍDA DE VENDAS'!$H$6:$H$500 &amp; "x " &amp; 'SAÍDA DE VENDAS'!$G$6:$G$500, MATCH(B346, 'SAÍDA DE VENDAS'!$B$6:$B$500, 0)+3), ""), "")&amp; IF(COUNTIF('SAÍDA DE VENDAS'!$B$6:$B$500, B346)&gt;4, " + " &amp; IFERROR(INDEX('SAÍDA DE VENDAS'!$H$6:$H$500 &amp; "x " &amp; 'SAÍDA DE VENDAS'!$G$6:$G$500, MATCH(B346, 'SAÍDA DE VENDAS'!$B$6:$B$500, 0)+4), ""), "")&amp; IF(COUNTIF('SAÍDA DE VENDAS'!$B$6:$B$500, B346)&gt;5, " + " &amp; IFERROR(INDEX('SAÍDA DE VENDAS'!$H$6:$H$500 &amp; "x " &amp; 'SAÍDA DE VENDAS'!$G$6:$G$500, MATCH(B346, 'SAÍDA DE VENDAS'!$B$6:$B$500, 0)+5), ""), ""))</f>
        <v/>
      </c>
      <c r="G346" s="28">
        <f>IFERROR(VLOOKUP(B346,'SAÍDA DE VENDAS'!$B$6:$P$500,10,FALSE),"")</f>
        <v>0</v>
      </c>
      <c r="H346" s="28" t="str">
        <f>IF(OR(ISBLANK(B346),B346=""), "", IF(B346=B345, (VALUE(LEFT(H345,FIND("/",H345)-1))+1)&amp;"/"&amp;RIGHT(H345,LEN(H345)-FIND("/",H345)), "1/"&amp;IFERROR(VLOOKUP(B346,'SAÍDA DE VENDAS'!$B$6:$P$500,13,FALSE),"1")))</f>
        <v/>
      </c>
      <c r="I346" s="69" t="str">
        <f t="shared" si="10"/>
        <v/>
      </c>
      <c r="J346" s="33" t="str">
        <f>IFERROR(VLOOKUP(B346,'SAÍDA DE VENDAS'!$B$6:$P$500,15,FALSE),"")</f>
        <v/>
      </c>
      <c r="K346" s="28" t="str">
        <f t="shared" ca="1" si="11"/>
        <v/>
      </c>
      <c r="L346" s="28"/>
      <c r="M346" s="28"/>
    </row>
    <row r="347" spans="2:13" ht="15" customHeight="1" x14ac:dyDescent="0.3">
      <c r="B347" s="34" t="str">
        <f>IF(B346="","", IF(VALUE(LEFT(H346,FIND("/",H346)-1)) &lt; VALUE(RIGHT(H346,LEN(H346)-FIND("/",H346))), B346, IFERROR(INDEX('SAÍDA DE VENDAS'!$B$6:$B$500, MATCH(B346,'SAÍDA DE VENDAS'!$B$6:$B$500,0)+COUNTIF('SAÍDA DE VENDAS'!$B$6:$B$500, B346)),"")))</f>
        <v/>
      </c>
      <c r="C347" s="35">
        <f>IFERROR(VLOOKUP(B347,'SAÍDA DE VENDAS'!$B$6:$P$500,3,FALSE),"")</f>
        <v>0</v>
      </c>
      <c r="D347" s="34">
        <f>IFERROR(VLOOKUP(B347,'SAÍDA DE VENDAS'!$B$6:$P$500,4,FALSE),"")</f>
        <v>0</v>
      </c>
      <c r="E347" s="34" t="str">
        <f>IFERROR(VLOOKUP(B347,'SAÍDA DE VENDAS'!$B$6:$P$500,5,FALSE),"")</f>
        <v/>
      </c>
      <c r="F347" s="34" t="str">
        <f>IF(OR(ISBLANK(B347),B347=""), "", IFERROR(INDEX('SAÍDA DE VENDAS'!$H$6:$H$500 &amp; "x " &amp; 'SAÍDA DE VENDAS'!$G$6:$G$500, MATCH(B347, 'SAÍDA DE VENDAS'!$B$6:$B$500, 0)), "")&amp; IF(COUNTIF('SAÍDA DE VENDAS'!$B$6:$B$500, B347)&gt;1, " + " &amp; IFERROR(INDEX('SAÍDA DE VENDAS'!$H$6:$H$500 &amp; "x " &amp; 'SAÍDA DE VENDAS'!$G$6:$G$500, MATCH(B347, 'SAÍDA DE VENDAS'!$B$6:$B$500, 0)+1), ""), "")&amp; IF(COUNTIF('SAÍDA DE VENDAS'!$B$6:$B$500, B347)&gt;2, " + " &amp; IFERROR(INDEX('SAÍDA DE VENDAS'!$H$6:$H$500 &amp; "x " &amp; 'SAÍDA DE VENDAS'!$G$6:$G$500, MATCH(B347, 'SAÍDA DE VENDAS'!$B$6:$B$500, 0)+2), ""), "")&amp; IF(COUNTIF('SAÍDA DE VENDAS'!$B$6:$B$500, B347)&gt;3, " + " &amp; IFERROR(INDEX('SAÍDA DE VENDAS'!$H$6:$H$500 &amp; "x " &amp; 'SAÍDA DE VENDAS'!$G$6:$G$500, MATCH(B347, 'SAÍDA DE VENDAS'!$B$6:$B$500, 0)+3), ""), "")&amp; IF(COUNTIF('SAÍDA DE VENDAS'!$B$6:$B$500, B347)&gt;4, " + " &amp; IFERROR(INDEX('SAÍDA DE VENDAS'!$H$6:$H$500 &amp; "x " &amp; 'SAÍDA DE VENDAS'!$G$6:$G$500, MATCH(B347, 'SAÍDA DE VENDAS'!$B$6:$B$500, 0)+4), ""), "")&amp; IF(COUNTIF('SAÍDA DE VENDAS'!$B$6:$B$500, B347)&gt;5, " + " &amp; IFERROR(INDEX('SAÍDA DE VENDAS'!$H$6:$H$500 &amp; "x " &amp; 'SAÍDA DE VENDAS'!$G$6:$G$500, MATCH(B347, 'SAÍDA DE VENDAS'!$B$6:$B$500, 0)+5), ""), ""))</f>
        <v/>
      </c>
      <c r="G347" s="34">
        <f>IFERROR(VLOOKUP(B347,'SAÍDA DE VENDAS'!$B$6:$P$500,10,FALSE),"")</f>
        <v>0</v>
      </c>
      <c r="H347" s="34" t="str">
        <f>IF(OR(ISBLANK(B347),B347=""), "", IF(B347=B346, (VALUE(LEFT(H346,FIND("/",H346)-1))+1)&amp;"/"&amp;RIGHT(H346,LEN(H346)-FIND("/",H346)), "1/"&amp;IFERROR(VLOOKUP(B347,'SAÍDA DE VENDAS'!$B$6:$P$500,13,FALSE),"1")))</f>
        <v/>
      </c>
      <c r="I347" s="35" t="str">
        <f t="shared" si="10"/>
        <v/>
      </c>
      <c r="J347" s="39" t="str">
        <f>IFERROR(VLOOKUP(B347,'SAÍDA DE VENDAS'!$B$6:$P$500,15,FALSE),"")</f>
        <v/>
      </c>
      <c r="K347" s="34" t="str">
        <f t="shared" ca="1" si="11"/>
        <v/>
      </c>
      <c r="L347" s="34"/>
      <c r="M347" s="34"/>
    </row>
    <row r="348" spans="2:13" ht="15" customHeight="1" x14ac:dyDescent="0.3">
      <c r="B348" s="28" t="str">
        <f>IF(B347="","", IF(VALUE(LEFT(H347,FIND("/",H347)-1)) &lt; VALUE(RIGHT(H347,LEN(H347)-FIND("/",H347))), B347, IFERROR(INDEX('SAÍDA DE VENDAS'!$B$6:$B$500, MATCH(B347,'SAÍDA DE VENDAS'!$B$6:$B$500,0)+COUNTIF('SAÍDA DE VENDAS'!$B$6:$B$500, B347)),"")))</f>
        <v/>
      </c>
      <c r="C348" s="29">
        <f>IFERROR(VLOOKUP(B348,'SAÍDA DE VENDAS'!$B$6:$P$500,3,FALSE),"")</f>
        <v>0</v>
      </c>
      <c r="D348" s="28">
        <f>IFERROR(VLOOKUP(B348,'SAÍDA DE VENDAS'!$B$6:$P$500,4,FALSE),"")</f>
        <v>0</v>
      </c>
      <c r="E348" s="28" t="str">
        <f>IFERROR(VLOOKUP(B348,'SAÍDA DE VENDAS'!$B$6:$P$500,5,FALSE),"")</f>
        <v/>
      </c>
      <c r="F348" s="28" t="str">
        <f>IF(OR(ISBLANK(B348),B348=""), "", IFERROR(INDEX('SAÍDA DE VENDAS'!$H$6:$H$500 &amp; "x " &amp; 'SAÍDA DE VENDAS'!$G$6:$G$500, MATCH(B348, 'SAÍDA DE VENDAS'!$B$6:$B$500, 0)), "")&amp; IF(COUNTIF('SAÍDA DE VENDAS'!$B$6:$B$500, B348)&gt;1, " + " &amp; IFERROR(INDEX('SAÍDA DE VENDAS'!$H$6:$H$500 &amp; "x " &amp; 'SAÍDA DE VENDAS'!$G$6:$G$500, MATCH(B348, 'SAÍDA DE VENDAS'!$B$6:$B$500, 0)+1), ""), "")&amp; IF(COUNTIF('SAÍDA DE VENDAS'!$B$6:$B$500, B348)&gt;2, " + " &amp; IFERROR(INDEX('SAÍDA DE VENDAS'!$H$6:$H$500 &amp; "x " &amp; 'SAÍDA DE VENDAS'!$G$6:$G$500, MATCH(B348, 'SAÍDA DE VENDAS'!$B$6:$B$500, 0)+2), ""), "")&amp; IF(COUNTIF('SAÍDA DE VENDAS'!$B$6:$B$500, B348)&gt;3, " + " &amp; IFERROR(INDEX('SAÍDA DE VENDAS'!$H$6:$H$500 &amp; "x " &amp; 'SAÍDA DE VENDAS'!$G$6:$G$500, MATCH(B348, 'SAÍDA DE VENDAS'!$B$6:$B$500, 0)+3), ""), "")&amp; IF(COUNTIF('SAÍDA DE VENDAS'!$B$6:$B$500, B348)&gt;4, " + " &amp; IFERROR(INDEX('SAÍDA DE VENDAS'!$H$6:$H$500 &amp; "x " &amp; 'SAÍDA DE VENDAS'!$G$6:$G$500, MATCH(B348, 'SAÍDA DE VENDAS'!$B$6:$B$500, 0)+4), ""), "")&amp; IF(COUNTIF('SAÍDA DE VENDAS'!$B$6:$B$500, B348)&gt;5, " + " &amp; IFERROR(INDEX('SAÍDA DE VENDAS'!$H$6:$H$500 &amp; "x " &amp; 'SAÍDA DE VENDAS'!$G$6:$G$500, MATCH(B348, 'SAÍDA DE VENDAS'!$B$6:$B$500, 0)+5), ""), ""))</f>
        <v/>
      </c>
      <c r="G348" s="28">
        <f>IFERROR(VLOOKUP(B348,'SAÍDA DE VENDAS'!$B$6:$P$500,10,FALSE),"")</f>
        <v>0</v>
      </c>
      <c r="H348" s="28" t="str">
        <f>IF(OR(ISBLANK(B348),B348=""), "", IF(B348=B347, (VALUE(LEFT(H347,FIND("/",H347)-1))+1)&amp;"/"&amp;RIGHT(H347,LEN(H347)-FIND("/",H347)), "1/"&amp;IFERROR(VLOOKUP(B348,'SAÍDA DE VENDAS'!$B$6:$P$500,13,FALSE),"1")))</f>
        <v/>
      </c>
      <c r="I348" s="69" t="str">
        <f t="shared" si="10"/>
        <v/>
      </c>
      <c r="J348" s="33" t="str">
        <f>IFERROR(VLOOKUP(B348,'SAÍDA DE VENDAS'!$B$6:$P$500,15,FALSE),"")</f>
        <v/>
      </c>
      <c r="K348" s="28" t="str">
        <f t="shared" ca="1" si="11"/>
        <v/>
      </c>
      <c r="L348" s="28"/>
      <c r="M348" s="28"/>
    </row>
    <row r="349" spans="2:13" ht="15" customHeight="1" x14ac:dyDescent="0.3">
      <c r="B349" s="34" t="str">
        <f>IF(B348="","", IF(VALUE(LEFT(H348,FIND("/",H348)-1)) &lt; VALUE(RIGHT(H348,LEN(H348)-FIND("/",H348))), B348, IFERROR(INDEX('SAÍDA DE VENDAS'!$B$6:$B$500, MATCH(B348,'SAÍDA DE VENDAS'!$B$6:$B$500,0)+COUNTIF('SAÍDA DE VENDAS'!$B$6:$B$500, B348)),"")))</f>
        <v/>
      </c>
      <c r="C349" s="35">
        <f>IFERROR(VLOOKUP(B349,'SAÍDA DE VENDAS'!$B$6:$P$500,3,FALSE),"")</f>
        <v>0</v>
      </c>
      <c r="D349" s="34">
        <f>IFERROR(VLOOKUP(B349,'SAÍDA DE VENDAS'!$B$6:$P$500,4,FALSE),"")</f>
        <v>0</v>
      </c>
      <c r="E349" s="34" t="str">
        <f>IFERROR(VLOOKUP(B349,'SAÍDA DE VENDAS'!$B$6:$P$500,5,FALSE),"")</f>
        <v/>
      </c>
      <c r="F349" s="34" t="str">
        <f>IF(OR(ISBLANK(B349),B349=""), "", IFERROR(INDEX('SAÍDA DE VENDAS'!$H$6:$H$500 &amp; "x " &amp; 'SAÍDA DE VENDAS'!$G$6:$G$500, MATCH(B349, 'SAÍDA DE VENDAS'!$B$6:$B$500, 0)), "")&amp; IF(COUNTIF('SAÍDA DE VENDAS'!$B$6:$B$500, B349)&gt;1, " + " &amp; IFERROR(INDEX('SAÍDA DE VENDAS'!$H$6:$H$500 &amp; "x " &amp; 'SAÍDA DE VENDAS'!$G$6:$G$500, MATCH(B349, 'SAÍDA DE VENDAS'!$B$6:$B$500, 0)+1), ""), "")&amp; IF(COUNTIF('SAÍDA DE VENDAS'!$B$6:$B$500, B349)&gt;2, " + " &amp; IFERROR(INDEX('SAÍDA DE VENDAS'!$H$6:$H$500 &amp; "x " &amp; 'SAÍDA DE VENDAS'!$G$6:$G$500, MATCH(B349, 'SAÍDA DE VENDAS'!$B$6:$B$500, 0)+2), ""), "")&amp; IF(COUNTIF('SAÍDA DE VENDAS'!$B$6:$B$500, B349)&gt;3, " + " &amp; IFERROR(INDEX('SAÍDA DE VENDAS'!$H$6:$H$500 &amp; "x " &amp; 'SAÍDA DE VENDAS'!$G$6:$G$500, MATCH(B349, 'SAÍDA DE VENDAS'!$B$6:$B$500, 0)+3), ""), "")&amp; IF(COUNTIF('SAÍDA DE VENDAS'!$B$6:$B$500, B349)&gt;4, " + " &amp; IFERROR(INDEX('SAÍDA DE VENDAS'!$H$6:$H$500 &amp; "x " &amp; 'SAÍDA DE VENDAS'!$G$6:$G$500, MATCH(B349, 'SAÍDA DE VENDAS'!$B$6:$B$500, 0)+4), ""), "")&amp; IF(COUNTIF('SAÍDA DE VENDAS'!$B$6:$B$500, B349)&gt;5, " + " &amp; IFERROR(INDEX('SAÍDA DE VENDAS'!$H$6:$H$500 &amp; "x " &amp; 'SAÍDA DE VENDAS'!$G$6:$G$500, MATCH(B349, 'SAÍDA DE VENDAS'!$B$6:$B$500, 0)+5), ""), ""))</f>
        <v/>
      </c>
      <c r="G349" s="34">
        <f>IFERROR(VLOOKUP(B349,'SAÍDA DE VENDAS'!$B$6:$P$500,10,FALSE),"")</f>
        <v>0</v>
      </c>
      <c r="H349" s="34" t="str">
        <f>IF(OR(ISBLANK(B349),B349=""), "", IF(B349=B348, (VALUE(LEFT(H348,FIND("/",H348)-1))+1)&amp;"/"&amp;RIGHT(H348,LEN(H348)-FIND("/",H348)), "1/"&amp;IFERROR(VLOOKUP(B349,'SAÍDA DE VENDAS'!$B$6:$P$500,13,FALSE),"1")))</f>
        <v/>
      </c>
      <c r="I349" s="35" t="str">
        <f t="shared" si="10"/>
        <v/>
      </c>
      <c r="J349" s="39" t="str">
        <f>IFERROR(VLOOKUP(B349,'SAÍDA DE VENDAS'!$B$6:$P$500,15,FALSE),"")</f>
        <v/>
      </c>
      <c r="K349" s="34" t="str">
        <f t="shared" ca="1" si="11"/>
        <v/>
      </c>
      <c r="L349" s="34"/>
      <c r="M349" s="34"/>
    </row>
    <row r="350" spans="2:13" ht="15" customHeight="1" x14ac:dyDescent="0.3">
      <c r="B350" s="28" t="str">
        <f>IF(B349="","", IF(VALUE(LEFT(H349,FIND("/",H349)-1)) &lt; VALUE(RIGHT(H349,LEN(H349)-FIND("/",H349))), B349, IFERROR(INDEX('SAÍDA DE VENDAS'!$B$6:$B$500, MATCH(B349,'SAÍDA DE VENDAS'!$B$6:$B$500,0)+COUNTIF('SAÍDA DE VENDAS'!$B$6:$B$500, B349)),"")))</f>
        <v/>
      </c>
      <c r="C350" s="29">
        <f>IFERROR(VLOOKUP(B350,'SAÍDA DE VENDAS'!$B$6:$P$500,3,FALSE),"")</f>
        <v>0</v>
      </c>
      <c r="D350" s="28">
        <f>IFERROR(VLOOKUP(B350,'SAÍDA DE VENDAS'!$B$6:$P$500,4,FALSE),"")</f>
        <v>0</v>
      </c>
      <c r="E350" s="28" t="str">
        <f>IFERROR(VLOOKUP(B350,'SAÍDA DE VENDAS'!$B$6:$P$500,5,FALSE),"")</f>
        <v/>
      </c>
      <c r="F350" s="28" t="str">
        <f>IF(OR(ISBLANK(B350),B350=""), "", IFERROR(INDEX('SAÍDA DE VENDAS'!$H$6:$H$500 &amp; "x " &amp; 'SAÍDA DE VENDAS'!$G$6:$G$500, MATCH(B350, 'SAÍDA DE VENDAS'!$B$6:$B$500, 0)), "")&amp; IF(COUNTIF('SAÍDA DE VENDAS'!$B$6:$B$500, B350)&gt;1, " + " &amp; IFERROR(INDEX('SAÍDA DE VENDAS'!$H$6:$H$500 &amp; "x " &amp; 'SAÍDA DE VENDAS'!$G$6:$G$500, MATCH(B350, 'SAÍDA DE VENDAS'!$B$6:$B$500, 0)+1), ""), "")&amp; IF(COUNTIF('SAÍDA DE VENDAS'!$B$6:$B$500, B350)&gt;2, " + " &amp; IFERROR(INDEX('SAÍDA DE VENDAS'!$H$6:$H$500 &amp; "x " &amp; 'SAÍDA DE VENDAS'!$G$6:$G$500, MATCH(B350, 'SAÍDA DE VENDAS'!$B$6:$B$500, 0)+2), ""), "")&amp; IF(COUNTIF('SAÍDA DE VENDAS'!$B$6:$B$500, B350)&gt;3, " + " &amp; IFERROR(INDEX('SAÍDA DE VENDAS'!$H$6:$H$500 &amp; "x " &amp; 'SAÍDA DE VENDAS'!$G$6:$G$500, MATCH(B350, 'SAÍDA DE VENDAS'!$B$6:$B$500, 0)+3), ""), "")&amp; IF(COUNTIF('SAÍDA DE VENDAS'!$B$6:$B$500, B350)&gt;4, " + " &amp; IFERROR(INDEX('SAÍDA DE VENDAS'!$H$6:$H$500 &amp; "x " &amp; 'SAÍDA DE VENDAS'!$G$6:$G$500, MATCH(B350, 'SAÍDA DE VENDAS'!$B$6:$B$500, 0)+4), ""), "")&amp; IF(COUNTIF('SAÍDA DE VENDAS'!$B$6:$B$500, B350)&gt;5, " + " &amp; IFERROR(INDEX('SAÍDA DE VENDAS'!$H$6:$H$500 &amp; "x " &amp; 'SAÍDA DE VENDAS'!$G$6:$G$500, MATCH(B350, 'SAÍDA DE VENDAS'!$B$6:$B$500, 0)+5), ""), ""))</f>
        <v/>
      </c>
      <c r="G350" s="28">
        <f>IFERROR(VLOOKUP(B350,'SAÍDA DE VENDAS'!$B$6:$P$500,10,FALSE),"")</f>
        <v>0</v>
      </c>
      <c r="H350" s="28" t="str">
        <f>IF(OR(ISBLANK(B350),B350=""), "", IF(B350=B349, (VALUE(LEFT(H349,FIND("/",H349)-1))+1)&amp;"/"&amp;RIGHT(H349,LEN(H349)-FIND("/",H349)), "1/"&amp;IFERROR(VLOOKUP(B350,'SAÍDA DE VENDAS'!$B$6:$P$500,13,FALSE),"1")))</f>
        <v/>
      </c>
      <c r="I350" s="69" t="str">
        <f t="shared" si="10"/>
        <v/>
      </c>
      <c r="J350" s="33" t="str">
        <f>IFERROR(VLOOKUP(B350,'SAÍDA DE VENDAS'!$B$6:$P$500,15,FALSE),"")</f>
        <v/>
      </c>
      <c r="K350" s="28" t="str">
        <f t="shared" ca="1" si="11"/>
        <v/>
      </c>
      <c r="L350" s="28"/>
      <c r="M350" s="28"/>
    </row>
    <row r="351" spans="2:13" ht="15" customHeight="1" x14ac:dyDescent="0.3">
      <c r="B351" s="34" t="str">
        <f>IF(B350="","", IF(VALUE(LEFT(H350,FIND("/",H350)-1)) &lt; VALUE(RIGHT(H350,LEN(H350)-FIND("/",H350))), B350, IFERROR(INDEX('SAÍDA DE VENDAS'!$B$6:$B$500, MATCH(B350,'SAÍDA DE VENDAS'!$B$6:$B$500,0)+COUNTIF('SAÍDA DE VENDAS'!$B$6:$B$500, B350)),"")))</f>
        <v/>
      </c>
      <c r="C351" s="35">
        <f>IFERROR(VLOOKUP(B351,'SAÍDA DE VENDAS'!$B$6:$P$500,3,FALSE),"")</f>
        <v>0</v>
      </c>
      <c r="D351" s="34">
        <f>IFERROR(VLOOKUP(B351,'SAÍDA DE VENDAS'!$B$6:$P$500,4,FALSE),"")</f>
        <v>0</v>
      </c>
      <c r="E351" s="34" t="str">
        <f>IFERROR(VLOOKUP(B351,'SAÍDA DE VENDAS'!$B$6:$P$500,5,FALSE),"")</f>
        <v/>
      </c>
      <c r="F351" s="34" t="str">
        <f>IF(OR(ISBLANK(B351),B351=""), "", IFERROR(INDEX('SAÍDA DE VENDAS'!$H$6:$H$500 &amp; "x " &amp; 'SAÍDA DE VENDAS'!$G$6:$G$500, MATCH(B351, 'SAÍDA DE VENDAS'!$B$6:$B$500, 0)), "")&amp; IF(COUNTIF('SAÍDA DE VENDAS'!$B$6:$B$500, B351)&gt;1, " + " &amp; IFERROR(INDEX('SAÍDA DE VENDAS'!$H$6:$H$500 &amp; "x " &amp; 'SAÍDA DE VENDAS'!$G$6:$G$500, MATCH(B351, 'SAÍDA DE VENDAS'!$B$6:$B$500, 0)+1), ""), "")&amp; IF(COUNTIF('SAÍDA DE VENDAS'!$B$6:$B$500, B351)&gt;2, " + " &amp; IFERROR(INDEX('SAÍDA DE VENDAS'!$H$6:$H$500 &amp; "x " &amp; 'SAÍDA DE VENDAS'!$G$6:$G$500, MATCH(B351, 'SAÍDA DE VENDAS'!$B$6:$B$500, 0)+2), ""), "")&amp; IF(COUNTIF('SAÍDA DE VENDAS'!$B$6:$B$500, B351)&gt;3, " + " &amp; IFERROR(INDEX('SAÍDA DE VENDAS'!$H$6:$H$500 &amp; "x " &amp; 'SAÍDA DE VENDAS'!$G$6:$G$500, MATCH(B351, 'SAÍDA DE VENDAS'!$B$6:$B$500, 0)+3), ""), "")&amp; IF(COUNTIF('SAÍDA DE VENDAS'!$B$6:$B$500, B351)&gt;4, " + " &amp; IFERROR(INDEX('SAÍDA DE VENDAS'!$H$6:$H$500 &amp; "x " &amp; 'SAÍDA DE VENDAS'!$G$6:$G$500, MATCH(B351, 'SAÍDA DE VENDAS'!$B$6:$B$500, 0)+4), ""), "")&amp; IF(COUNTIF('SAÍDA DE VENDAS'!$B$6:$B$500, B351)&gt;5, " + " &amp; IFERROR(INDEX('SAÍDA DE VENDAS'!$H$6:$H$500 &amp; "x " &amp; 'SAÍDA DE VENDAS'!$G$6:$G$500, MATCH(B351, 'SAÍDA DE VENDAS'!$B$6:$B$500, 0)+5), ""), ""))</f>
        <v/>
      </c>
      <c r="G351" s="34">
        <f>IFERROR(VLOOKUP(B351,'SAÍDA DE VENDAS'!$B$6:$P$500,10,FALSE),"")</f>
        <v>0</v>
      </c>
      <c r="H351" s="34" t="str">
        <f>IF(OR(ISBLANK(B351),B351=""), "", IF(B351=B350, (VALUE(LEFT(H350,FIND("/",H350)-1))+1)&amp;"/"&amp;RIGHT(H350,LEN(H350)-FIND("/",H350)), "1/"&amp;IFERROR(VLOOKUP(B351,'SAÍDA DE VENDAS'!$B$6:$P$500,13,FALSE),"1")))</f>
        <v/>
      </c>
      <c r="I351" s="35" t="str">
        <f t="shared" si="10"/>
        <v/>
      </c>
      <c r="J351" s="39" t="str">
        <f>IFERROR(VLOOKUP(B351,'SAÍDA DE VENDAS'!$B$6:$P$500,15,FALSE),"")</f>
        <v/>
      </c>
      <c r="K351" s="34" t="str">
        <f t="shared" ca="1" si="11"/>
        <v/>
      </c>
      <c r="L351" s="34"/>
      <c r="M351" s="34"/>
    </row>
    <row r="352" spans="2:13" ht="15" customHeight="1" x14ac:dyDescent="0.3">
      <c r="B352" s="28" t="str">
        <f>IF(B351="","", IF(VALUE(LEFT(H351,FIND("/",H351)-1)) &lt; VALUE(RIGHT(H351,LEN(H351)-FIND("/",H351))), B351, IFERROR(INDEX('SAÍDA DE VENDAS'!$B$6:$B$500, MATCH(B351,'SAÍDA DE VENDAS'!$B$6:$B$500,0)+COUNTIF('SAÍDA DE VENDAS'!$B$6:$B$500, B351)),"")))</f>
        <v/>
      </c>
      <c r="C352" s="29">
        <f>IFERROR(VLOOKUP(B352,'SAÍDA DE VENDAS'!$B$6:$P$500,3,FALSE),"")</f>
        <v>0</v>
      </c>
      <c r="D352" s="28">
        <f>IFERROR(VLOOKUP(B352,'SAÍDA DE VENDAS'!$B$6:$P$500,4,FALSE),"")</f>
        <v>0</v>
      </c>
      <c r="E352" s="28" t="str">
        <f>IFERROR(VLOOKUP(B352,'SAÍDA DE VENDAS'!$B$6:$P$500,5,FALSE),"")</f>
        <v/>
      </c>
      <c r="F352" s="28" t="str">
        <f>IF(OR(ISBLANK(B352),B352=""), "", IFERROR(INDEX('SAÍDA DE VENDAS'!$H$6:$H$500 &amp; "x " &amp; 'SAÍDA DE VENDAS'!$G$6:$G$500, MATCH(B352, 'SAÍDA DE VENDAS'!$B$6:$B$500, 0)), "")&amp; IF(COUNTIF('SAÍDA DE VENDAS'!$B$6:$B$500, B352)&gt;1, " + " &amp; IFERROR(INDEX('SAÍDA DE VENDAS'!$H$6:$H$500 &amp; "x " &amp; 'SAÍDA DE VENDAS'!$G$6:$G$500, MATCH(B352, 'SAÍDA DE VENDAS'!$B$6:$B$500, 0)+1), ""), "")&amp; IF(COUNTIF('SAÍDA DE VENDAS'!$B$6:$B$500, B352)&gt;2, " + " &amp; IFERROR(INDEX('SAÍDA DE VENDAS'!$H$6:$H$500 &amp; "x " &amp; 'SAÍDA DE VENDAS'!$G$6:$G$500, MATCH(B352, 'SAÍDA DE VENDAS'!$B$6:$B$500, 0)+2), ""), "")&amp; IF(COUNTIF('SAÍDA DE VENDAS'!$B$6:$B$500, B352)&gt;3, " + " &amp; IFERROR(INDEX('SAÍDA DE VENDAS'!$H$6:$H$500 &amp; "x " &amp; 'SAÍDA DE VENDAS'!$G$6:$G$500, MATCH(B352, 'SAÍDA DE VENDAS'!$B$6:$B$500, 0)+3), ""), "")&amp; IF(COUNTIF('SAÍDA DE VENDAS'!$B$6:$B$500, B352)&gt;4, " + " &amp; IFERROR(INDEX('SAÍDA DE VENDAS'!$H$6:$H$500 &amp; "x " &amp; 'SAÍDA DE VENDAS'!$G$6:$G$500, MATCH(B352, 'SAÍDA DE VENDAS'!$B$6:$B$500, 0)+4), ""), "")&amp; IF(COUNTIF('SAÍDA DE VENDAS'!$B$6:$B$500, B352)&gt;5, " + " &amp; IFERROR(INDEX('SAÍDA DE VENDAS'!$H$6:$H$500 &amp; "x " &amp; 'SAÍDA DE VENDAS'!$G$6:$G$500, MATCH(B352, 'SAÍDA DE VENDAS'!$B$6:$B$500, 0)+5), ""), ""))</f>
        <v/>
      </c>
      <c r="G352" s="28">
        <f>IFERROR(VLOOKUP(B352,'SAÍDA DE VENDAS'!$B$6:$P$500,10,FALSE),"")</f>
        <v>0</v>
      </c>
      <c r="H352" s="28" t="str">
        <f>IF(OR(ISBLANK(B352),B352=""), "", IF(B352=B351, (VALUE(LEFT(H351,FIND("/",H351)-1))+1)&amp;"/"&amp;RIGHT(H351,LEN(H351)-FIND("/",H351)), "1/"&amp;IFERROR(VLOOKUP(B352,'SAÍDA DE VENDAS'!$B$6:$P$500,13,FALSE),"1")))</f>
        <v/>
      </c>
      <c r="I352" s="69" t="str">
        <f t="shared" si="10"/>
        <v/>
      </c>
      <c r="J352" s="33" t="str">
        <f>IFERROR(VLOOKUP(B352,'SAÍDA DE VENDAS'!$B$6:$P$500,15,FALSE),"")</f>
        <v/>
      </c>
      <c r="K352" s="28" t="str">
        <f t="shared" ca="1" si="11"/>
        <v/>
      </c>
      <c r="L352" s="28"/>
      <c r="M352" s="28"/>
    </row>
    <row r="353" spans="2:13" ht="15" customHeight="1" x14ac:dyDescent="0.3">
      <c r="B353" s="34" t="str">
        <f>IF(B352="","", IF(VALUE(LEFT(H352,FIND("/",H352)-1)) &lt; VALUE(RIGHT(H352,LEN(H352)-FIND("/",H352))), B352, IFERROR(INDEX('SAÍDA DE VENDAS'!$B$6:$B$500, MATCH(B352,'SAÍDA DE VENDAS'!$B$6:$B$500,0)+COUNTIF('SAÍDA DE VENDAS'!$B$6:$B$500, B352)),"")))</f>
        <v/>
      </c>
      <c r="C353" s="35">
        <f>IFERROR(VLOOKUP(B353,'SAÍDA DE VENDAS'!$B$6:$P$500,3,FALSE),"")</f>
        <v>0</v>
      </c>
      <c r="D353" s="34">
        <f>IFERROR(VLOOKUP(B353,'SAÍDA DE VENDAS'!$B$6:$P$500,4,FALSE),"")</f>
        <v>0</v>
      </c>
      <c r="E353" s="34" t="str">
        <f>IFERROR(VLOOKUP(B353,'SAÍDA DE VENDAS'!$B$6:$P$500,5,FALSE),"")</f>
        <v/>
      </c>
      <c r="F353" s="34" t="str">
        <f>IF(OR(ISBLANK(B353),B353=""), "", IFERROR(INDEX('SAÍDA DE VENDAS'!$H$6:$H$500 &amp; "x " &amp; 'SAÍDA DE VENDAS'!$G$6:$G$500, MATCH(B353, 'SAÍDA DE VENDAS'!$B$6:$B$500, 0)), "")&amp; IF(COUNTIF('SAÍDA DE VENDAS'!$B$6:$B$500, B353)&gt;1, " + " &amp; IFERROR(INDEX('SAÍDA DE VENDAS'!$H$6:$H$500 &amp; "x " &amp; 'SAÍDA DE VENDAS'!$G$6:$G$500, MATCH(B353, 'SAÍDA DE VENDAS'!$B$6:$B$500, 0)+1), ""), "")&amp; IF(COUNTIF('SAÍDA DE VENDAS'!$B$6:$B$500, B353)&gt;2, " + " &amp; IFERROR(INDEX('SAÍDA DE VENDAS'!$H$6:$H$500 &amp; "x " &amp; 'SAÍDA DE VENDAS'!$G$6:$G$500, MATCH(B353, 'SAÍDA DE VENDAS'!$B$6:$B$500, 0)+2), ""), "")&amp; IF(COUNTIF('SAÍDA DE VENDAS'!$B$6:$B$500, B353)&gt;3, " + " &amp; IFERROR(INDEX('SAÍDA DE VENDAS'!$H$6:$H$500 &amp; "x " &amp; 'SAÍDA DE VENDAS'!$G$6:$G$500, MATCH(B353, 'SAÍDA DE VENDAS'!$B$6:$B$500, 0)+3), ""), "")&amp; IF(COUNTIF('SAÍDA DE VENDAS'!$B$6:$B$500, B353)&gt;4, " + " &amp; IFERROR(INDEX('SAÍDA DE VENDAS'!$H$6:$H$500 &amp; "x " &amp; 'SAÍDA DE VENDAS'!$G$6:$G$500, MATCH(B353, 'SAÍDA DE VENDAS'!$B$6:$B$500, 0)+4), ""), "")&amp; IF(COUNTIF('SAÍDA DE VENDAS'!$B$6:$B$500, B353)&gt;5, " + " &amp; IFERROR(INDEX('SAÍDA DE VENDAS'!$H$6:$H$500 &amp; "x " &amp; 'SAÍDA DE VENDAS'!$G$6:$G$500, MATCH(B353, 'SAÍDA DE VENDAS'!$B$6:$B$500, 0)+5), ""), ""))</f>
        <v/>
      </c>
      <c r="G353" s="34">
        <f>IFERROR(VLOOKUP(B353,'SAÍDA DE VENDAS'!$B$6:$P$500,10,FALSE),"")</f>
        <v>0</v>
      </c>
      <c r="H353" s="34" t="str">
        <f>IF(OR(ISBLANK(B353),B353=""), "", IF(B353=B352, (VALUE(LEFT(H352,FIND("/",H352)-1))+1)&amp;"/"&amp;RIGHT(H352,LEN(H352)-FIND("/",H352)), "1/"&amp;IFERROR(VLOOKUP(B353,'SAÍDA DE VENDAS'!$B$6:$P$500,13,FALSE),"1")))</f>
        <v/>
      </c>
      <c r="I353" s="35" t="str">
        <f t="shared" si="10"/>
        <v/>
      </c>
      <c r="J353" s="39" t="str">
        <f>IFERROR(VLOOKUP(B353,'SAÍDA DE VENDAS'!$B$6:$P$500,15,FALSE),"")</f>
        <v/>
      </c>
      <c r="K353" s="34" t="str">
        <f t="shared" ca="1" si="11"/>
        <v/>
      </c>
      <c r="L353" s="34"/>
      <c r="M353" s="34"/>
    </row>
    <row r="354" spans="2:13" ht="15" customHeight="1" x14ac:dyDescent="0.3">
      <c r="B354" s="28" t="str">
        <f>IF(B353="","", IF(VALUE(LEFT(H353,FIND("/",H353)-1)) &lt; VALUE(RIGHT(H353,LEN(H353)-FIND("/",H353))), B353, IFERROR(INDEX('SAÍDA DE VENDAS'!$B$6:$B$500, MATCH(B353,'SAÍDA DE VENDAS'!$B$6:$B$500,0)+COUNTIF('SAÍDA DE VENDAS'!$B$6:$B$500, B353)),"")))</f>
        <v/>
      </c>
      <c r="C354" s="29">
        <f>IFERROR(VLOOKUP(B354,'SAÍDA DE VENDAS'!$B$6:$P$500,3,FALSE),"")</f>
        <v>0</v>
      </c>
      <c r="D354" s="28">
        <f>IFERROR(VLOOKUP(B354,'SAÍDA DE VENDAS'!$B$6:$P$500,4,FALSE),"")</f>
        <v>0</v>
      </c>
      <c r="E354" s="28" t="str">
        <f>IFERROR(VLOOKUP(B354,'SAÍDA DE VENDAS'!$B$6:$P$500,5,FALSE),"")</f>
        <v/>
      </c>
      <c r="F354" s="28" t="str">
        <f>IF(OR(ISBLANK(B354),B354=""), "", IFERROR(INDEX('SAÍDA DE VENDAS'!$H$6:$H$500 &amp; "x " &amp; 'SAÍDA DE VENDAS'!$G$6:$G$500, MATCH(B354, 'SAÍDA DE VENDAS'!$B$6:$B$500, 0)), "")&amp; IF(COUNTIF('SAÍDA DE VENDAS'!$B$6:$B$500, B354)&gt;1, " + " &amp; IFERROR(INDEX('SAÍDA DE VENDAS'!$H$6:$H$500 &amp; "x " &amp; 'SAÍDA DE VENDAS'!$G$6:$G$500, MATCH(B354, 'SAÍDA DE VENDAS'!$B$6:$B$500, 0)+1), ""), "")&amp; IF(COUNTIF('SAÍDA DE VENDAS'!$B$6:$B$500, B354)&gt;2, " + " &amp; IFERROR(INDEX('SAÍDA DE VENDAS'!$H$6:$H$500 &amp; "x " &amp; 'SAÍDA DE VENDAS'!$G$6:$G$500, MATCH(B354, 'SAÍDA DE VENDAS'!$B$6:$B$500, 0)+2), ""), "")&amp; IF(COUNTIF('SAÍDA DE VENDAS'!$B$6:$B$500, B354)&gt;3, " + " &amp; IFERROR(INDEX('SAÍDA DE VENDAS'!$H$6:$H$500 &amp; "x " &amp; 'SAÍDA DE VENDAS'!$G$6:$G$500, MATCH(B354, 'SAÍDA DE VENDAS'!$B$6:$B$500, 0)+3), ""), "")&amp; IF(COUNTIF('SAÍDA DE VENDAS'!$B$6:$B$500, B354)&gt;4, " + " &amp; IFERROR(INDEX('SAÍDA DE VENDAS'!$H$6:$H$500 &amp; "x " &amp; 'SAÍDA DE VENDAS'!$G$6:$G$500, MATCH(B354, 'SAÍDA DE VENDAS'!$B$6:$B$500, 0)+4), ""), "")&amp; IF(COUNTIF('SAÍDA DE VENDAS'!$B$6:$B$500, B354)&gt;5, " + " &amp; IFERROR(INDEX('SAÍDA DE VENDAS'!$H$6:$H$500 &amp; "x " &amp; 'SAÍDA DE VENDAS'!$G$6:$G$500, MATCH(B354, 'SAÍDA DE VENDAS'!$B$6:$B$500, 0)+5), ""), ""))</f>
        <v/>
      </c>
      <c r="G354" s="28">
        <f>IFERROR(VLOOKUP(B354,'SAÍDA DE VENDAS'!$B$6:$P$500,10,FALSE),"")</f>
        <v>0</v>
      </c>
      <c r="H354" s="28" t="str">
        <f>IF(OR(ISBLANK(B354),B354=""), "", IF(B354=B353, (VALUE(LEFT(H353,FIND("/",H353)-1))+1)&amp;"/"&amp;RIGHT(H353,LEN(H353)-FIND("/",H353)), "1/"&amp;IFERROR(VLOOKUP(B354,'SAÍDA DE VENDAS'!$B$6:$P$500,13,FALSE),"1")))</f>
        <v/>
      </c>
      <c r="I354" s="69" t="str">
        <f t="shared" si="10"/>
        <v/>
      </c>
      <c r="J354" s="33" t="str">
        <f>IFERROR(VLOOKUP(B354,'SAÍDA DE VENDAS'!$B$6:$P$500,15,FALSE),"")</f>
        <v/>
      </c>
      <c r="K354" s="28" t="str">
        <f t="shared" ca="1" si="11"/>
        <v/>
      </c>
      <c r="L354" s="28"/>
      <c r="M354" s="28"/>
    </row>
    <row r="355" spans="2:13" ht="15" customHeight="1" x14ac:dyDescent="0.3">
      <c r="B355" s="34" t="str">
        <f>IF(B354="","", IF(VALUE(LEFT(H354,FIND("/",H354)-1)) &lt; VALUE(RIGHT(H354,LEN(H354)-FIND("/",H354))), B354, IFERROR(INDEX('SAÍDA DE VENDAS'!$B$6:$B$500, MATCH(B354,'SAÍDA DE VENDAS'!$B$6:$B$500,0)+COUNTIF('SAÍDA DE VENDAS'!$B$6:$B$500, B354)),"")))</f>
        <v/>
      </c>
      <c r="C355" s="35">
        <f>IFERROR(VLOOKUP(B355,'SAÍDA DE VENDAS'!$B$6:$P$500,3,FALSE),"")</f>
        <v>0</v>
      </c>
      <c r="D355" s="34">
        <f>IFERROR(VLOOKUP(B355,'SAÍDA DE VENDAS'!$B$6:$P$500,4,FALSE),"")</f>
        <v>0</v>
      </c>
      <c r="E355" s="34" t="str">
        <f>IFERROR(VLOOKUP(B355,'SAÍDA DE VENDAS'!$B$6:$P$500,5,FALSE),"")</f>
        <v/>
      </c>
      <c r="F355" s="34" t="str">
        <f>IF(OR(ISBLANK(B355),B355=""), "", IFERROR(INDEX('SAÍDA DE VENDAS'!$H$6:$H$500 &amp; "x " &amp; 'SAÍDA DE VENDAS'!$G$6:$G$500, MATCH(B355, 'SAÍDA DE VENDAS'!$B$6:$B$500, 0)), "")&amp; IF(COUNTIF('SAÍDA DE VENDAS'!$B$6:$B$500, B355)&gt;1, " + " &amp; IFERROR(INDEX('SAÍDA DE VENDAS'!$H$6:$H$500 &amp; "x " &amp; 'SAÍDA DE VENDAS'!$G$6:$G$500, MATCH(B355, 'SAÍDA DE VENDAS'!$B$6:$B$500, 0)+1), ""), "")&amp; IF(COUNTIF('SAÍDA DE VENDAS'!$B$6:$B$500, B355)&gt;2, " + " &amp; IFERROR(INDEX('SAÍDA DE VENDAS'!$H$6:$H$500 &amp; "x " &amp; 'SAÍDA DE VENDAS'!$G$6:$G$500, MATCH(B355, 'SAÍDA DE VENDAS'!$B$6:$B$500, 0)+2), ""), "")&amp; IF(COUNTIF('SAÍDA DE VENDAS'!$B$6:$B$500, B355)&gt;3, " + " &amp; IFERROR(INDEX('SAÍDA DE VENDAS'!$H$6:$H$500 &amp; "x " &amp; 'SAÍDA DE VENDAS'!$G$6:$G$500, MATCH(B355, 'SAÍDA DE VENDAS'!$B$6:$B$500, 0)+3), ""), "")&amp; IF(COUNTIF('SAÍDA DE VENDAS'!$B$6:$B$500, B355)&gt;4, " + " &amp; IFERROR(INDEX('SAÍDA DE VENDAS'!$H$6:$H$500 &amp; "x " &amp; 'SAÍDA DE VENDAS'!$G$6:$G$500, MATCH(B355, 'SAÍDA DE VENDAS'!$B$6:$B$500, 0)+4), ""), "")&amp; IF(COUNTIF('SAÍDA DE VENDAS'!$B$6:$B$500, B355)&gt;5, " + " &amp; IFERROR(INDEX('SAÍDA DE VENDAS'!$H$6:$H$500 &amp; "x " &amp; 'SAÍDA DE VENDAS'!$G$6:$G$500, MATCH(B355, 'SAÍDA DE VENDAS'!$B$6:$B$500, 0)+5), ""), ""))</f>
        <v/>
      </c>
      <c r="G355" s="34">
        <f>IFERROR(VLOOKUP(B355,'SAÍDA DE VENDAS'!$B$6:$P$500,10,FALSE),"")</f>
        <v>0</v>
      </c>
      <c r="H355" s="34" t="str">
        <f>IF(OR(ISBLANK(B355),B355=""), "", IF(B355=B354, (VALUE(LEFT(H354,FIND("/",H354)-1))+1)&amp;"/"&amp;RIGHT(H354,LEN(H354)-FIND("/",H354)), "1/"&amp;IFERROR(VLOOKUP(B355,'SAÍDA DE VENDAS'!$B$6:$P$500,13,FALSE),"1")))</f>
        <v/>
      </c>
      <c r="I355" s="35" t="str">
        <f t="shared" si="10"/>
        <v/>
      </c>
      <c r="J355" s="39" t="str">
        <f>IFERROR(VLOOKUP(B355,'SAÍDA DE VENDAS'!$B$6:$P$500,15,FALSE),"")</f>
        <v/>
      </c>
      <c r="K355" s="34" t="str">
        <f t="shared" ca="1" si="11"/>
        <v/>
      </c>
      <c r="L355" s="34"/>
      <c r="M355" s="34"/>
    </row>
    <row r="356" spans="2:13" ht="15" customHeight="1" x14ac:dyDescent="0.3">
      <c r="B356" s="28" t="str">
        <f>IF(B355="","", IF(VALUE(LEFT(H355,FIND("/",H355)-1)) &lt; VALUE(RIGHT(H355,LEN(H355)-FIND("/",H355))), B355, IFERROR(INDEX('SAÍDA DE VENDAS'!$B$6:$B$500, MATCH(B355,'SAÍDA DE VENDAS'!$B$6:$B$500,0)+COUNTIF('SAÍDA DE VENDAS'!$B$6:$B$500, B355)),"")))</f>
        <v/>
      </c>
      <c r="C356" s="29">
        <f>IFERROR(VLOOKUP(B356,'SAÍDA DE VENDAS'!$B$6:$P$500,3,FALSE),"")</f>
        <v>0</v>
      </c>
      <c r="D356" s="28">
        <f>IFERROR(VLOOKUP(B356,'SAÍDA DE VENDAS'!$B$6:$P$500,4,FALSE),"")</f>
        <v>0</v>
      </c>
      <c r="E356" s="28" t="str">
        <f>IFERROR(VLOOKUP(B356,'SAÍDA DE VENDAS'!$B$6:$P$500,5,FALSE),"")</f>
        <v/>
      </c>
      <c r="F356" s="28" t="str">
        <f>IF(OR(ISBLANK(B356),B356=""), "", IFERROR(INDEX('SAÍDA DE VENDAS'!$H$6:$H$500 &amp; "x " &amp; 'SAÍDA DE VENDAS'!$G$6:$G$500, MATCH(B356, 'SAÍDA DE VENDAS'!$B$6:$B$500, 0)), "")&amp; IF(COUNTIF('SAÍDA DE VENDAS'!$B$6:$B$500, B356)&gt;1, " + " &amp; IFERROR(INDEX('SAÍDA DE VENDAS'!$H$6:$H$500 &amp; "x " &amp; 'SAÍDA DE VENDAS'!$G$6:$G$500, MATCH(B356, 'SAÍDA DE VENDAS'!$B$6:$B$500, 0)+1), ""), "")&amp; IF(COUNTIF('SAÍDA DE VENDAS'!$B$6:$B$500, B356)&gt;2, " + " &amp; IFERROR(INDEX('SAÍDA DE VENDAS'!$H$6:$H$500 &amp; "x " &amp; 'SAÍDA DE VENDAS'!$G$6:$G$500, MATCH(B356, 'SAÍDA DE VENDAS'!$B$6:$B$500, 0)+2), ""), "")&amp; IF(COUNTIF('SAÍDA DE VENDAS'!$B$6:$B$500, B356)&gt;3, " + " &amp; IFERROR(INDEX('SAÍDA DE VENDAS'!$H$6:$H$500 &amp; "x " &amp; 'SAÍDA DE VENDAS'!$G$6:$G$500, MATCH(B356, 'SAÍDA DE VENDAS'!$B$6:$B$500, 0)+3), ""), "")&amp; IF(COUNTIF('SAÍDA DE VENDAS'!$B$6:$B$500, B356)&gt;4, " + " &amp; IFERROR(INDEX('SAÍDA DE VENDAS'!$H$6:$H$500 &amp; "x " &amp; 'SAÍDA DE VENDAS'!$G$6:$G$500, MATCH(B356, 'SAÍDA DE VENDAS'!$B$6:$B$500, 0)+4), ""), "")&amp; IF(COUNTIF('SAÍDA DE VENDAS'!$B$6:$B$500, B356)&gt;5, " + " &amp; IFERROR(INDEX('SAÍDA DE VENDAS'!$H$6:$H$500 &amp; "x " &amp; 'SAÍDA DE VENDAS'!$G$6:$G$500, MATCH(B356, 'SAÍDA DE VENDAS'!$B$6:$B$500, 0)+5), ""), ""))</f>
        <v/>
      </c>
      <c r="G356" s="28">
        <f>IFERROR(VLOOKUP(B356,'SAÍDA DE VENDAS'!$B$6:$P$500,10,FALSE),"")</f>
        <v>0</v>
      </c>
      <c r="H356" s="28" t="str">
        <f>IF(OR(ISBLANK(B356),B356=""), "", IF(B356=B355, (VALUE(LEFT(H355,FIND("/",H355)-1))+1)&amp;"/"&amp;RIGHT(H355,LEN(H355)-FIND("/",H355)), "1/"&amp;IFERROR(VLOOKUP(B356,'SAÍDA DE VENDAS'!$B$6:$P$500,13,FALSE),"1")))</f>
        <v/>
      </c>
      <c r="I356" s="69" t="str">
        <f t="shared" si="10"/>
        <v/>
      </c>
      <c r="J356" s="33" t="str">
        <f>IFERROR(VLOOKUP(B356,'SAÍDA DE VENDAS'!$B$6:$P$500,15,FALSE),"")</f>
        <v/>
      </c>
      <c r="K356" s="28" t="str">
        <f t="shared" ca="1" si="11"/>
        <v/>
      </c>
      <c r="L356" s="28"/>
      <c r="M356" s="28"/>
    </row>
    <row r="357" spans="2:13" ht="15" customHeight="1" x14ac:dyDescent="0.3">
      <c r="B357" s="34" t="str">
        <f>IF(B356="","", IF(VALUE(LEFT(H356,FIND("/",H356)-1)) &lt; VALUE(RIGHT(H356,LEN(H356)-FIND("/",H356))), B356, IFERROR(INDEX('SAÍDA DE VENDAS'!$B$6:$B$500, MATCH(B356,'SAÍDA DE VENDAS'!$B$6:$B$500,0)+COUNTIF('SAÍDA DE VENDAS'!$B$6:$B$500, B356)),"")))</f>
        <v/>
      </c>
      <c r="C357" s="35">
        <f>IFERROR(VLOOKUP(B357,'SAÍDA DE VENDAS'!$B$6:$P$500,3,FALSE),"")</f>
        <v>0</v>
      </c>
      <c r="D357" s="34">
        <f>IFERROR(VLOOKUP(B357,'SAÍDA DE VENDAS'!$B$6:$P$500,4,FALSE),"")</f>
        <v>0</v>
      </c>
      <c r="E357" s="34" t="str">
        <f>IFERROR(VLOOKUP(B357,'SAÍDA DE VENDAS'!$B$6:$P$500,5,FALSE),"")</f>
        <v/>
      </c>
      <c r="F357" s="34" t="str">
        <f>IF(OR(ISBLANK(B357),B357=""), "", IFERROR(INDEX('SAÍDA DE VENDAS'!$H$6:$H$500 &amp; "x " &amp; 'SAÍDA DE VENDAS'!$G$6:$G$500, MATCH(B357, 'SAÍDA DE VENDAS'!$B$6:$B$500, 0)), "")&amp; IF(COUNTIF('SAÍDA DE VENDAS'!$B$6:$B$500, B357)&gt;1, " + " &amp; IFERROR(INDEX('SAÍDA DE VENDAS'!$H$6:$H$500 &amp; "x " &amp; 'SAÍDA DE VENDAS'!$G$6:$G$500, MATCH(B357, 'SAÍDA DE VENDAS'!$B$6:$B$500, 0)+1), ""), "")&amp; IF(COUNTIF('SAÍDA DE VENDAS'!$B$6:$B$500, B357)&gt;2, " + " &amp; IFERROR(INDEX('SAÍDA DE VENDAS'!$H$6:$H$500 &amp; "x " &amp; 'SAÍDA DE VENDAS'!$G$6:$G$500, MATCH(B357, 'SAÍDA DE VENDAS'!$B$6:$B$500, 0)+2), ""), "")&amp; IF(COUNTIF('SAÍDA DE VENDAS'!$B$6:$B$500, B357)&gt;3, " + " &amp; IFERROR(INDEX('SAÍDA DE VENDAS'!$H$6:$H$500 &amp; "x " &amp; 'SAÍDA DE VENDAS'!$G$6:$G$500, MATCH(B357, 'SAÍDA DE VENDAS'!$B$6:$B$500, 0)+3), ""), "")&amp; IF(COUNTIF('SAÍDA DE VENDAS'!$B$6:$B$500, B357)&gt;4, " + " &amp; IFERROR(INDEX('SAÍDA DE VENDAS'!$H$6:$H$500 &amp; "x " &amp; 'SAÍDA DE VENDAS'!$G$6:$G$500, MATCH(B357, 'SAÍDA DE VENDAS'!$B$6:$B$500, 0)+4), ""), "")&amp; IF(COUNTIF('SAÍDA DE VENDAS'!$B$6:$B$500, B357)&gt;5, " + " &amp; IFERROR(INDEX('SAÍDA DE VENDAS'!$H$6:$H$500 &amp; "x " &amp; 'SAÍDA DE VENDAS'!$G$6:$G$500, MATCH(B357, 'SAÍDA DE VENDAS'!$B$6:$B$500, 0)+5), ""), ""))</f>
        <v/>
      </c>
      <c r="G357" s="34">
        <f>IFERROR(VLOOKUP(B357,'SAÍDA DE VENDAS'!$B$6:$P$500,10,FALSE),"")</f>
        <v>0</v>
      </c>
      <c r="H357" s="34" t="str">
        <f>IF(OR(ISBLANK(B357),B357=""), "", IF(B357=B356, (VALUE(LEFT(H356,FIND("/",H356)-1))+1)&amp;"/"&amp;RIGHT(H356,LEN(H356)-FIND("/",H356)), "1/"&amp;IFERROR(VLOOKUP(B357,'SAÍDA DE VENDAS'!$B$6:$P$500,13,FALSE),"1")))</f>
        <v/>
      </c>
      <c r="I357" s="35" t="str">
        <f t="shared" si="10"/>
        <v/>
      </c>
      <c r="J357" s="39" t="str">
        <f>IFERROR(VLOOKUP(B357,'SAÍDA DE VENDAS'!$B$6:$P$500,15,FALSE),"")</f>
        <v/>
      </c>
      <c r="K357" s="34" t="str">
        <f t="shared" ca="1" si="11"/>
        <v/>
      </c>
      <c r="L357" s="34"/>
      <c r="M357" s="34"/>
    </row>
    <row r="358" spans="2:13" ht="15" customHeight="1" x14ac:dyDescent="0.3">
      <c r="B358" s="28" t="str">
        <f>IF(B357="","", IF(VALUE(LEFT(H357,FIND("/",H357)-1)) &lt; VALUE(RIGHT(H357,LEN(H357)-FIND("/",H357))), B357, IFERROR(INDEX('SAÍDA DE VENDAS'!$B$6:$B$500, MATCH(B357,'SAÍDA DE VENDAS'!$B$6:$B$500,0)+COUNTIF('SAÍDA DE VENDAS'!$B$6:$B$500, B357)),"")))</f>
        <v/>
      </c>
      <c r="C358" s="29">
        <f>IFERROR(VLOOKUP(B358,'SAÍDA DE VENDAS'!$B$6:$P$500,3,FALSE),"")</f>
        <v>0</v>
      </c>
      <c r="D358" s="28">
        <f>IFERROR(VLOOKUP(B358,'SAÍDA DE VENDAS'!$B$6:$P$500,4,FALSE),"")</f>
        <v>0</v>
      </c>
      <c r="E358" s="28" t="str">
        <f>IFERROR(VLOOKUP(B358,'SAÍDA DE VENDAS'!$B$6:$P$500,5,FALSE),"")</f>
        <v/>
      </c>
      <c r="F358" s="28" t="str">
        <f>IF(OR(ISBLANK(B358),B358=""), "", IFERROR(INDEX('SAÍDA DE VENDAS'!$H$6:$H$500 &amp; "x " &amp; 'SAÍDA DE VENDAS'!$G$6:$G$500, MATCH(B358, 'SAÍDA DE VENDAS'!$B$6:$B$500, 0)), "")&amp; IF(COUNTIF('SAÍDA DE VENDAS'!$B$6:$B$500, B358)&gt;1, " + " &amp; IFERROR(INDEX('SAÍDA DE VENDAS'!$H$6:$H$500 &amp; "x " &amp; 'SAÍDA DE VENDAS'!$G$6:$G$500, MATCH(B358, 'SAÍDA DE VENDAS'!$B$6:$B$500, 0)+1), ""), "")&amp; IF(COUNTIF('SAÍDA DE VENDAS'!$B$6:$B$500, B358)&gt;2, " + " &amp; IFERROR(INDEX('SAÍDA DE VENDAS'!$H$6:$H$500 &amp; "x " &amp; 'SAÍDA DE VENDAS'!$G$6:$G$500, MATCH(B358, 'SAÍDA DE VENDAS'!$B$6:$B$500, 0)+2), ""), "")&amp; IF(COUNTIF('SAÍDA DE VENDAS'!$B$6:$B$500, B358)&gt;3, " + " &amp; IFERROR(INDEX('SAÍDA DE VENDAS'!$H$6:$H$500 &amp; "x " &amp; 'SAÍDA DE VENDAS'!$G$6:$G$500, MATCH(B358, 'SAÍDA DE VENDAS'!$B$6:$B$500, 0)+3), ""), "")&amp; IF(COUNTIF('SAÍDA DE VENDAS'!$B$6:$B$500, B358)&gt;4, " + " &amp; IFERROR(INDEX('SAÍDA DE VENDAS'!$H$6:$H$500 &amp; "x " &amp; 'SAÍDA DE VENDAS'!$G$6:$G$500, MATCH(B358, 'SAÍDA DE VENDAS'!$B$6:$B$500, 0)+4), ""), "")&amp; IF(COUNTIF('SAÍDA DE VENDAS'!$B$6:$B$500, B358)&gt;5, " + " &amp; IFERROR(INDEX('SAÍDA DE VENDAS'!$H$6:$H$500 &amp; "x " &amp; 'SAÍDA DE VENDAS'!$G$6:$G$500, MATCH(B358, 'SAÍDA DE VENDAS'!$B$6:$B$500, 0)+5), ""), ""))</f>
        <v/>
      </c>
      <c r="G358" s="28">
        <f>IFERROR(VLOOKUP(B358,'SAÍDA DE VENDAS'!$B$6:$P$500,10,FALSE),"")</f>
        <v>0</v>
      </c>
      <c r="H358" s="28" t="str">
        <f>IF(OR(ISBLANK(B358),B358=""), "", IF(B358=B357, (VALUE(LEFT(H357,FIND("/",H357)-1))+1)&amp;"/"&amp;RIGHT(H357,LEN(H357)-FIND("/",H357)), "1/"&amp;IFERROR(VLOOKUP(B358,'SAÍDA DE VENDAS'!$B$6:$P$500,13,FALSE),"1")))</f>
        <v/>
      </c>
      <c r="I358" s="69" t="str">
        <f t="shared" si="10"/>
        <v/>
      </c>
      <c r="J358" s="33" t="str">
        <f>IFERROR(VLOOKUP(B358,'SAÍDA DE VENDAS'!$B$6:$P$500,15,FALSE),"")</f>
        <v/>
      </c>
      <c r="K358" s="28" t="str">
        <f t="shared" ca="1" si="11"/>
        <v/>
      </c>
      <c r="L358" s="28"/>
      <c r="M358" s="28"/>
    </row>
    <row r="359" spans="2:13" ht="15" customHeight="1" x14ac:dyDescent="0.3">
      <c r="B359" s="34" t="str">
        <f>IF(B358="","", IF(VALUE(LEFT(H358,FIND("/",H358)-1)) &lt; VALUE(RIGHT(H358,LEN(H358)-FIND("/",H358))), B358, IFERROR(INDEX('SAÍDA DE VENDAS'!$B$6:$B$500, MATCH(B358,'SAÍDA DE VENDAS'!$B$6:$B$500,0)+COUNTIF('SAÍDA DE VENDAS'!$B$6:$B$500, B358)),"")))</f>
        <v/>
      </c>
      <c r="C359" s="35">
        <f>IFERROR(VLOOKUP(B359,'SAÍDA DE VENDAS'!$B$6:$P$500,3,FALSE),"")</f>
        <v>0</v>
      </c>
      <c r="D359" s="34">
        <f>IFERROR(VLOOKUP(B359,'SAÍDA DE VENDAS'!$B$6:$P$500,4,FALSE),"")</f>
        <v>0</v>
      </c>
      <c r="E359" s="34" t="str">
        <f>IFERROR(VLOOKUP(B359,'SAÍDA DE VENDAS'!$B$6:$P$500,5,FALSE),"")</f>
        <v/>
      </c>
      <c r="F359" s="34" t="str">
        <f>IF(OR(ISBLANK(B359),B359=""), "", IFERROR(INDEX('SAÍDA DE VENDAS'!$H$6:$H$500 &amp; "x " &amp; 'SAÍDA DE VENDAS'!$G$6:$G$500, MATCH(B359, 'SAÍDA DE VENDAS'!$B$6:$B$500, 0)), "")&amp; IF(COUNTIF('SAÍDA DE VENDAS'!$B$6:$B$500, B359)&gt;1, " + " &amp; IFERROR(INDEX('SAÍDA DE VENDAS'!$H$6:$H$500 &amp; "x " &amp; 'SAÍDA DE VENDAS'!$G$6:$G$500, MATCH(B359, 'SAÍDA DE VENDAS'!$B$6:$B$500, 0)+1), ""), "")&amp; IF(COUNTIF('SAÍDA DE VENDAS'!$B$6:$B$500, B359)&gt;2, " + " &amp; IFERROR(INDEX('SAÍDA DE VENDAS'!$H$6:$H$500 &amp; "x " &amp; 'SAÍDA DE VENDAS'!$G$6:$G$500, MATCH(B359, 'SAÍDA DE VENDAS'!$B$6:$B$500, 0)+2), ""), "")&amp; IF(COUNTIF('SAÍDA DE VENDAS'!$B$6:$B$500, B359)&gt;3, " + " &amp; IFERROR(INDEX('SAÍDA DE VENDAS'!$H$6:$H$500 &amp; "x " &amp; 'SAÍDA DE VENDAS'!$G$6:$G$500, MATCH(B359, 'SAÍDA DE VENDAS'!$B$6:$B$500, 0)+3), ""), "")&amp; IF(COUNTIF('SAÍDA DE VENDAS'!$B$6:$B$500, B359)&gt;4, " + " &amp; IFERROR(INDEX('SAÍDA DE VENDAS'!$H$6:$H$500 &amp; "x " &amp; 'SAÍDA DE VENDAS'!$G$6:$G$500, MATCH(B359, 'SAÍDA DE VENDAS'!$B$6:$B$500, 0)+4), ""), "")&amp; IF(COUNTIF('SAÍDA DE VENDAS'!$B$6:$B$500, B359)&gt;5, " + " &amp; IFERROR(INDEX('SAÍDA DE VENDAS'!$H$6:$H$500 &amp; "x " &amp; 'SAÍDA DE VENDAS'!$G$6:$G$500, MATCH(B359, 'SAÍDA DE VENDAS'!$B$6:$B$500, 0)+5), ""), ""))</f>
        <v/>
      </c>
      <c r="G359" s="34">
        <f>IFERROR(VLOOKUP(B359,'SAÍDA DE VENDAS'!$B$6:$P$500,10,FALSE),"")</f>
        <v>0</v>
      </c>
      <c r="H359" s="34" t="str">
        <f>IF(OR(ISBLANK(B359),B359=""), "", IF(B359=B358, (VALUE(LEFT(H358,FIND("/",H358)-1))+1)&amp;"/"&amp;RIGHT(H358,LEN(H358)-FIND("/",H358)), "1/"&amp;IFERROR(VLOOKUP(B359,'SAÍDA DE VENDAS'!$B$6:$P$500,13,FALSE),"1")))</f>
        <v/>
      </c>
      <c r="I359" s="35" t="str">
        <f t="shared" si="10"/>
        <v/>
      </c>
      <c r="J359" s="39" t="str">
        <f>IFERROR(VLOOKUP(B359,'SAÍDA DE VENDAS'!$B$6:$P$500,15,FALSE),"")</f>
        <v/>
      </c>
      <c r="K359" s="34" t="str">
        <f t="shared" ca="1" si="11"/>
        <v/>
      </c>
      <c r="L359" s="34"/>
      <c r="M359" s="34"/>
    </row>
    <row r="360" spans="2:13" ht="15" customHeight="1" x14ac:dyDescent="0.3">
      <c r="B360" s="28" t="str">
        <f>IF(B359="","", IF(VALUE(LEFT(H359,FIND("/",H359)-1)) &lt; VALUE(RIGHT(H359,LEN(H359)-FIND("/",H359))), B359, IFERROR(INDEX('SAÍDA DE VENDAS'!$B$6:$B$500, MATCH(B359,'SAÍDA DE VENDAS'!$B$6:$B$500,0)+COUNTIF('SAÍDA DE VENDAS'!$B$6:$B$500, B359)),"")))</f>
        <v/>
      </c>
      <c r="C360" s="29">
        <f>IFERROR(VLOOKUP(B360,'SAÍDA DE VENDAS'!$B$6:$P$500,3,FALSE),"")</f>
        <v>0</v>
      </c>
      <c r="D360" s="28">
        <f>IFERROR(VLOOKUP(B360,'SAÍDA DE VENDAS'!$B$6:$P$500,4,FALSE),"")</f>
        <v>0</v>
      </c>
      <c r="E360" s="28" t="str">
        <f>IFERROR(VLOOKUP(B360,'SAÍDA DE VENDAS'!$B$6:$P$500,5,FALSE),"")</f>
        <v/>
      </c>
      <c r="F360" s="28" t="str">
        <f>IF(OR(ISBLANK(B360),B360=""), "", IFERROR(INDEX('SAÍDA DE VENDAS'!$H$6:$H$500 &amp; "x " &amp; 'SAÍDA DE VENDAS'!$G$6:$G$500, MATCH(B360, 'SAÍDA DE VENDAS'!$B$6:$B$500, 0)), "")&amp; IF(COUNTIF('SAÍDA DE VENDAS'!$B$6:$B$500, B360)&gt;1, " + " &amp; IFERROR(INDEX('SAÍDA DE VENDAS'!$H$6:$H$500 &amp; "x " &amp; 'SAÍDA DE VENDAS'!$G$6:$G$500, MATCH(B360, 'SAÍDA DE VENDAS'!$B$6:$B$500, 0)+1), ""), "")&amp; IF(COUNTIF('SAÍDA DE VENDAS'!$B$6:$B$500, B360)&gt;2, " + " &amp; IFERROR(INDEX('SAÍDA DE VENDAS'!$H$6:$H$500 &amp; "x " &amp; 'SAÍDA DE VENDAS'!$G$6:$G$500, MATCH(B360, 'SAÍDA DE VENDAS'!$B$6:$B$500, 0)+2), ""), "")&amp; IF(COUNTIF('SAÍDA DE VENDAS'!$B$6:$B$500, B360)&gt;3, " + " &amp; IFERROR(INDEX('SAÍDA DE VENDAS'!$H$6:$H$500 &amp; "x " &amp; 'SAÍDA DE VENDAS'!$G$6:$G$500, MATCH(B360, 'SAÍDA DE VENDAS'!$B$6:$B$500, 0)+3), ""), "")&amp; IF(COUNTIF('SAÍDA DE VENDAS'!$B$6:$B$500, B360)&gt;4, " + " &amp; IFERROR(INDEX('SAÍDA DE VENDAS'!$H$6:$H$500 &amp; "x " &amp; 'SAÍDA DE VENDAS'!$G$6:$G$500, MATCH(B360, 'SAÍDA DE VENDAS'!$B$6:$B$500, 0)+4), ""), "")&amp; IF(COUNTIF('SAÍDA DE VENDAS'!$B$6:$B$500, B360)&gt;5, " + " &amp; IFERROR(INDEX('SAÍDA DE VENDAS'!$H$6:$H$500 &amp; "x " &amp; 'SAÍDA DE VENDAS'!$G$6:$G$500, MATCH(B360, 'SAÍDA DE VENDAS'!$B$6:$B$500, 0)+5), ""), ""))</f>
        <v/>
      </c>
      <c r="G360" s="28">
        <f>IFERROR(VLOOKUP(B360,'SAÍDA DE VENDAS'!$B$6:$P$500,10,FALSE),"")</f>
        <v>0</v>
      </c>
      <c r="H360" s="28" t="str">
        <f>IF(OR(ISBLANK(B360),B360=""), "", IF(B360=B359, (VALUE(LEFT(H359,FIND("/",H359)-1))+1)&amp;"/"&amp;RIGHT(H359,LEN(H359)-FIND("/",H359)), "1/"&amp;IFERROR(VLOOKUP(B360,'SAÍDA DE VENDAS'!$B$6:$P$500,13,FALSE),"1")))</f>
        <v/>
      </c>
      <c r="I360" s="69" t="str">
        <f t="shared" si="10"/>
        <v/>
      </c>
      <c r="J360" s="33" t="str">
        <f>IFERROR(VLOOKUP(B360,'SAÍDA DE VENDAS'!$B$6:$P$500,15,FALSE),"")</f>
        <v/>
      </c>
      <c r="K360" s="28" t="str">
        <f t="shared" ca="1" si="11"/>
        <v/>
      </c>
      <c r="L360" s="28"/>
      <c r="M360" s="28"/>
    </row>
    <row r="361" spans="2:13" ht="15" customHeight="1" x14ac:dyDescent="0.3">
      <c r="B361" s="34" t="str">
        <f>IF(B360="","", IF(VALUE(LEFT(H360,FIND("/",H360)-1)) &lt; VALUE(RIGHT(H360,LEN(H360)-FIND("/",H360))), B360, IFERROR(INDEX('SAÍDA DE VENDAS'!$B$6:$B$500, MATCH(B360,'SAÍDA DE VENDAS'!$B$6:$B$500,0)+COUNTIF('SAÍDA DE VENDAS'!$B$6:$B$500, B360)),"")))</f>
        <v/>
      </c>
      <c r="C361" s="35">
        <f>IFERROR(VLOOKUP(B361,'SAÍDA DE VENDAS'!$B$6:$P$500,3,FALSE),"")</f>
        <v>0</v>
      </c>
      <c r="D361" s="34">
        <f>IFERROR(VLOOKUP(B361,'SAÍDA DE VENDAS'!$B$6:$P$500,4,FALSE),"")</f>
        <v>0</v>
      </c>
      <c r="E361" s="34" t="str">
        <f>IFERROR(VLOOKUP(B361,'SAÍDA DE VENDAS'!$B$6:$P$500,5,FALSE),"")</f>
        <v/>
      </c>
      <c r="F361" s="34" t="str">
        <f>IF(OR(ISBLANK(B361),B361=""), "", IFERROR(INDEX('SAÍDA DE VENDAS'!$H$6:$H$500 &amp; "x " &amp; 'SAÍDA DE VENDAS'!$G$6:$G$500, MATCH(B361, 'SAÍDA DE VENDAS'!$B$6:$B$500, 0)), "")&amp; IF(COUNTIF('SAÍDA DE VENDAS'!$B$6:$B$500, B361)&gt;1, " + " &amp; IFERROR(INDEX('SAÍDA DE VENDAS'!$H$6:$H$500 &amp; "x " &amp; 'SAÍDA DE VENDAS'!$G$6:$G$500, MATCH(B361, 'SAÍDA DE VENDAS'!$B$6:$B$500, 0)+1), ""), "")&amp; IF(COUNTIF('SAÍDA DE VENDAS'!$B$6:$B$500, B361)&gt;2, " + " &amp; IFERROR(INDEX('SAÍDA DE VENDAS'!$H$6:$H$500 &amp; "x " &amp; 'SAÍDA DE VENDAS'!$G$6:$G$500, MATCH(B361, 'SAÍDA DE VENDAS'!$B$6:$B$500, 0)+2), ""), "")&amp; IF(COUNTIF('SAÍDA DE VENDAS'!$B$6:$B$500, B361)&gt;3, " + " &amp; IFERROR(INDEX('SAÍDA DE VENDAS'!$H$6:$H$500 &amp; "x " &amp; 'SAÍDA DE VENDAS'!$G$6:$G$500, MATCH(B361, 'SAÍDA DE VENDAS'!$B$6:$B$500, 0)+3), ""), "")&amp; IF(COUNTIF('SAÍDA DE VENDAS'!$B$6:$B$500, B361)&gt;4, " + " &amp; IFERROR(INDEX('SAÍDA DE VENDAS'!$H$6:$H$500 &amp; "x " &amp; 'SAÍDA DE VENDAS'!$G$6:$G$500, MATCH(B361, 'SAÍDA DE VENDAS'!$B$6:$B$500, 0)+4), ""), "")&amp; IF(COUNTIF('SAÍDA DE VENDAS'!$B$6:$B$500, B361)&gt;5, " + " &amp; IFERROR(INDEX('SAÍDA DE VENDAS'!$H$6:$H$500 &amp; "x " &amp; 'SAÍDA DE VENDAS'!$G$6:$G$500, MATCH(B361, 'SAÍDA DE VENDAS'!$B$6:$B$500, 0)+5), ""), ""))</f>
        <v/>
      </c>
      <c r="G361" s="34">
        <f>IFERROR(VLOOKUP(B361,'SAÍDA DE VENDAS'!$B$6:$P$500,10,FALSE),"")</f>
        <v>0</v>
      </c>
      <c r="H361" s="34" t="str">
        <f>IF(OR(ISBLANK(B361),B361=""), "", IF(B361=B360, (VALUE(LEFT(H360,FIND("/",H360)-1))+1)&amp;"/"&amp;RIGHT(H360,LEN(H360)-FIND("/",H360)), "1/"&amp;IFERROR(VLOOKUP(B361,'SAÍDA DE VENDAS'!$B$6:$P$500,13,FALSE),"1")))</f>
        <v/>
      </c>
      <c r="I361" s="35" t="str">
        <f t="shared" si="10"/>
        <v/>
      </c>
      <c r="J361" s="39" t="str">
        <f>IFERROR(VLOOKUP(B361,'SAÍDA DE VENDAS'!$B$6:$P$500,15,FALSE),"")</f>
        <v/>
      </c>
      <c r="K361" s="34" t="str">
        <f t="shared" ca="1" si="11"/>
        <v/>
      </c>
      <c r="L361" s="34"/>
      <c r="M361" s="34"/>
    </row>
    <row r="362" spans="2:13" ht="15" customHeight="1" x14ac:dyDescent="0.3">
      <c r="B362" s="28" t="str">
        <f>IF(B361="","", IF(VALUE(LEFT(H361,FIND("/",H361)-1)) &lt; VALUE(RIGHT(H361,LEN(H361)-FIND("/",H361))), B361, IFERROR(INDEX('SAÍDA DE VENDAS'!$B$6:$B$500, MATCH(B361,'SAÍDA DE VENDAS'!$B$6:$B$500,0)+COUNTIF('SAÍDA DE VENDAS'!$B$6:$B$500, B361)),"")))</f>
        <v/>
      </c>
      <c r="C362" s="29">
        <f>IFERROR(VLOOKUP(B362,'SAÍDA DE VENDAS'!$B$6:$P$500,3,FALSE),"")</f>
        <v>0</v>
      </c>
      <c r="D362" s="28">
        <f>IFERROR(VLOOKUP(B362,'SAÍDA DE VENDAS'!$B$6:$P$500,4,FALSE),"")</f>
        <v>0</v>
      </c>
      <c r="E362" s="28" t="str">
        <f>IFERROR(VLOOKUP(B362,'SAÍDA DE VENDAS'!$B$6:$P$500,5,FALSE),"")</f>
        <v/>
      </c>
      <c r="F362" s="28" t="str">
        <f>IF(OR(ISBLANK(B362),B362=""), "", IFERROR(INDEX('SAÍDA DE VENDAS'!$H$6:$H$500 &amp; "x " &amp; 'SAÍDA DE VENDAS'!$G$6:$G$500, MATCH(B362, 'SAÍDA DE VENDAS'!$B$6:$B$500, 0)), "")&amp; IF(COUNTIF('SAÍDA DE VENDAS'!$B$6:$B$500, B362)&gt;1, " + " &amp; IFERROR(INDEX('SAÍDA DE VENDAS'!$H$6:$H$500 &amp; "x " &amp; 'SAÍDA DE VENDAS'!$G$6:$G$500, MATCH(B362, 'SAÍDA DE VENDAS'!$B$6:$B$500, 0)+1), ""), "")&amp; IF(COUNTIF('SAÍDA DE VENDAS'!$B$6:$B$500, B362)&gt;2, " + " &amp; IFERROR(INDEX('SAÍDA DE VENDAS'!$H$6:$H$500 &amp; "x " &amp; 'SAÍDA DE VENDAS'!$G$6:$G$500, MATCH(B362, 'SAÍDA DE VENDAS'!$B$6:$B$500, 0)+2), ""), "")&amp; IF(COUNTIF('SAÍDA DE VENDAS'!$B$6:$B$500, B362)&gt;3, " + " &amp; IFERROR(INDEX('SAÍDA DE VENDAS'!$H$6:$H$500 &amp; "x " &amp; 'SAÍDA DE VENDAS'!$G$6:$G$500, MATCH(B362, 'SAÍDA DE VENDAS'!$B$6:$B$500, 0)+3), ""), "")&amp; IF(COUNTIF('SAÍDA DE VENDAS'!$B$6:$B$500, B362)&gt;4, " + " &amp; IFERROR(INDEX('SAÍDA DE VENDAS'!$H$6:$H$500 &amp; "x " &amp; 'SAÍDA DE VENDAS'!$G$6:$G$500, MATCH(B362, 'SAÍDA DE VENDAS'!$B$6:$B$500, 0)+4), ""), "")&amp; IF(COUNTIF('SAÍDA DE VENDAS'!$B$6:$B$500, B362)&gt;5, " + " &amp; IFERROR(INDEX('SAÍDA DE VENDAS'!$H$6:$H$500 &amp; "x " &amp; 'SAÍDA DE VENDAS'!$G$6:$G$500, MATCH(B362, 'SAÍDA DE VENDAS'!$B$6:$B$500, 0)+5), ""), ""))</f>
        <v/>
      </c>
      <c r="G362" s="28">
        <f>IFERROR(VLOOKUP(B362,'SAÍDA DE VENDAS'!$B$6:$P$500,10,FALSE),"")</f>
        <v>0</v>
      </c>
      <c r="H362" s="28" t="str">
        <f>IF(OR(ISBLANK(B362),B362=""), "", IF(B362=B361, (VALUE(LEFT(H361,FIND("/",H361)-1))+1)&amp;"/"&amp;RIGHT(H361,LEN(H361)-FIND("/",H361)), "1/"&amp;IFERROR(VLOOKUP(B362,'SAÍDA DE VENDAS'!$B$6:$P$500,13,FALSE),"1")))</f>
        <v/>
      </c>
      <c r="I362" s="69" t="str">
        <f t="shared" si="10"/>
        <v/>
      </c>
      <c r="J362" s="33" t="str">
        <f>IFERROR(VLOOKUP(B362,'SAÍDA DE VENDAS'!$B$6:$P$500,15,FALSE),"")</f>
        <v/>
      </c>
      <c r="K362" s="28" t="str">
        <f t="shared" ca="1" si="11"/>
        <v/>
      </c>
      <c r="L362" s="28"/>
      <c r="M362" s="28"/>
    </row>
    <row r="363" spans="2:13" ht="15" customHeight="1" x14ac:dyDescent="0.3">
      <c r="B363" s="34" t="str">
        <f>IF(B362="","", IF(VALUE(LEFT(H362,FIND("/",H362)-1)) &lt; VALUE(RIGHT(H362,LEN(H362)-FIND("/",H362))), B362, IFERROR(INDEX('SAÍDA DE VENDAS'!$B$6:$B$500, MATCH(B362,'SAÍDA DE VENDAS'!$B$6:$B$500,0)+COUNTIF('SAÍDA DE VENDAS'!$B$6:$B$500, B362)),"")))</f>
        <v/>
      </c>
      <c r="C363" s="35">
        <f>IFERROR(VLOOKUP(B363,'SAÍDA DE VENDAS'!$B$6:$P$500,3,FALSE),"")</f>
        <v>0</v>
      </c>
      <c r="D363" s="34">
        <f>IFERROR(VLOOKUP(B363,'SAÍDA DE VENDAS'!$B$6:$P$500,4,FALSE),"")</f>
        <v>0</v>
      </c>
      <c r="E363" s="34" t="str">
        <f>IFERROR(VLOOKUP(B363,'SAÍDA DE VENDAS'!$B$6:$P$500,5,FALSE),"")</f>
        <v/>
      </c>
      <c r="F363" s="34" t="str">
        <f>IF(OR(ISBLANK(B363),B363=""), "", IFERROR(INDEX('SAÍDA DE VENDAS'!$H$6:$H$500 &amp; "x " &amp; 'SAÍDA DE VENDAS'!$G$6:$G$500, MATCH(B363, 'SAÍDA DE VENDAS'!$B$6:$B$500, 0)), "")&amp; IF(COUNTIF('SAÍDA DE VENDAS'!$B$6:$B$500, B363)&gt;1, " + " &amp; IFERROR(INDEX('SAÍDA DE VENDAS'!$H$6:$H$500 &amp; "x " &amp; 'SAÍDA DE VENDAS'!$G$6:$G$500, MATCH(B363, 'SAÍDA DE VENDAS'!$B$6:$B$500, 0)+1), ""), "")&amp; IF(COUNTIF('SAÍDA DE VENDAS'!$B$6:$B$500, B363)&gt;2, " + " &amp; IFERROR(INDEX('SAÍDA DE VENDAS'!$H$6:$H$500 &amp; "x " &amp; 'SAÍDA DE VENDAS'!$G$6:$G$500, MATCH(B363, 'SAÍDA DE VENDAS'!$B$6:$B$500, 0)+2), ""), "")&amp; IF(COUNTIF('SAÍDA DE VENDAS'!$B$6:$B$500, B363)&gt;3, " + " &amp; IFERROR(INDEX('SAÍDA DE VENDAS'!$H$6:$H$500 &amp; "x " &amp; 'SAÍDA DE VENDAS'!$G$6:$G$500, MATCH(B363, 'SAÍDA DE VENDAS'!$B$6:$B$500, 0)+3), ""), "")&amp; IF(COUNTIF('SAÍDA DE VENDAS'!$B$6:$B$500, B363)&gt;4, " + " &amp; IFERROR(INDEX('SAÍDA DE VENDAS'!$H$6:$H$500 &amp; "x " &amp; 'SAÍDA DE VENDAS'!$G$6:$G$500, MATCH(B363, 'SAÍDA DE VENDAS'!$B$6:$B$500, 0)+4), ""), "")&amp; IF(COUNTIF('SAÍDA DE VENDAS'!$B$6:$B$500, B363)&gt;5, " + " &amp; IFERROR(INDEX('SAÍDA DE VENDAS'!$H$6:$H$500 &amp; "x " &amp; 'SAÍDA DE VENDAS'!$G$6:$G$500, MATCH(B363, 'SAÍDA DE VENDAS'!$B$6:$B$500, 0)+5), ""), ""))</f>
        <v/>
      </c>
      <c r="G363" s="34">
        <f>IFERROR(VLOOKUP(B363,'SAÍDA DE VENDAS'!$B$6:$P$500,10,FALSE),"")</f>
        <v>0</v>
      </c>
      <c r="H363" s="34" t="str">
        <f>IF(OR(ISBLANK(B363),B363=""), "", IF(B363=B362, (VALUE(LEFT(H362,FIND("/",H362)-1))+1)&amp;"/"&amp;RIGHT(H362,LEN(H362)-FIND("/",H362)), "1/"&amp;IFERROR(VLOOKUP(B363,'SAÍDA DE VENDAS'!$B$6:$P$500,13,FALSE),"1")))</f>
        <v/>
      </c>
      <c r="I363" s="35" t="str">
        <f t="shared" si="10"/>
        <v/>
      </c>
      <c r="J363" s="39" t="str">
        <f>IFERROR(VLOOKUP(B363,'SAÍDA DE VENDAS'!$B$6:$P$500,15,FALSE),"")</f>
        <v/>
      </c>
      <c r="K363" s="34" t="str">
        <f t="shared" ca="1" si="11"/>
        <v/>
      </c>
      <c r="L363" s="34"/>
      <c r="M363" s="34"/>
    </row>
    <row r="364" spans="2:13" ht="15" customHeight="1" x14ac:dyDescent="0.3">
      <c r="B364" s="28" t="str">
        <f>IF(B363="","", IF(VALUE(LEFT(H363,FIND("/",H363)-1)) &lt; VALUE(RIGHT(H363,LEN(H363)-FIND("/",H363))), B363, IFERROR(INDEX('SAÍDA DE VENDAS'!$B$6:$B$500, MATCH(B363,'SAÍDA DE VENDAS'!$B$6:$B$500,0)+COUNTIF('SAÍDA DE VENDAS'!$B$6:$B$500, B363)),"")))</f>
        <v/>
      </c>
      <c r="C364" s="29">
        <f>IFERROR(VLOOKUP(B364,'SAÍDA DE VENDAS'!$B$6:$P$500,3,FALSE),"")</f>
        <v>0</v>
      </c>
      <c r="D364" s="28">
        <f>IFERROR(VLOOKUP(B364,'SAÍDA DE VENDAS'!$B$6:$P$500,4,FALSE),"")</f>
        <v>0</v>
      </c>
      <c r="E364" s="28" t="str">
        <f>IFERROR(VLOOKUP(B364,'SAÍDA DE VENDAS'!$B$6:$P$500,5,FALSE),"")</f>
        <v/>
      </c>
      <c r="F364" s="28" t="str">
        <f>IF(OR(ISBLANK(B364),B364=""), "", IFERROR(INDEX('SAÍDA DE VENDAS'!$H$6:$H$500 &amp; "x " &amp; 'SAÍDA DE VENDAS'!$G$6:$G$500, MATCH(B364, 'SAÍDA DE VENDAS'!$B$6:$B$500, 0)), "")&amp; IF(COUNTIF('SAÍDA DE VENDAS'!$B$6:$B$500, B364)&gt;1, " + " &amp; IFERROR(INDEX('SAÍDA DE VENDAS'!$H$6:$H$500 &amp; "x " &amp; 'SAÍDA DE VENDAS'!$G$6:$G$500, MATCH(B364, 'SAÍDA DE VENDAS'!$B$6:$B$500, 0)+1), ""), "")&amp; IF(COUNTIF('SAÍDA DE VENDAS'!$B$6:$B$500, B364)&gt;2, " + " &amp; IFERROR(INDEX('SAÍDA DE VENDAS'!$H$6:$H$500 &amp; "x " &amp; 'SAÍDA DE VENDAS'!$G$6:$G$500, MATCH(B364, 'SAÍDA DE VENDAS'!$B$6:$B$500, 0)+2), ""), "")&amp; IF(COUNTIF('SAÍDA DE VENDAS'!$B$6:$B$500, B364)&gt;3, " + " &amp; IFERROR(INDEX('SAÍDA DE VENDAS'!$H$6:$H$500 &amp; "x " &amp; 'SAÍDA DE VENDAS'!$G$6:$G$500, MATCH(B364, 'SAÍDA DE VENDAS'!$B$6:$B$500, 0)+3), ""), "")&amp; IF(COUNTIF('SAÍDA DE VENDAS'!$B$6:$B$500, B364)&gt;4, " + " &amp; IFERROR(INDEX('SAÍDA DE VENDAS'!$H$6:$H$500 &amp; "x " &amp; 'SAÍDA DE VENDAS'!$G$6:$G$500, MATCH(B364, 'SAÍDA DE VENDAS'!$B$6:$B$500, 0)+4), ""), "")&amp; IF(COUNTIF('SAÍDA DE VENDAS'!$B$6:$B$500, B364)&gt;5, " + " &amp; IFERROR(INDEX('SAÍDA DE VENDAS'!$H$6:$H$500 &amp; "x " &amp; 'SAÍDA DE VENDAS'!$G$6:$G$500, MATCH(B364, 'SAÍDA DE VENDAS'!$B$6:$B$500, 0)+5), ""), ""))</f>
        <v/>
      </c>
      <c r="G364" s="28">
        <f>IFERROR(VLOOKUP(B364,'SAÍDA DE VENDAS'!$B$6:$P$500,10,FALSE),"")</f>
        <v>0</v>
      </c>
      <c r="H364" s="28" t="str">
        <f>IF(OR(ISBLANK(B364),B364=""), "", IF(B364=B363, (VALUE(LEFT(H363,FIND("/",H363)-1))+1)&amp;"/"&amp;RIGHT(H363,LEN(H363)-FIND("/",H363)), "1/"&amp;IFERROR(VLOOKUP(B364,'SAÍDA DE VENDAS'!$B$6:$P$500,13,FALSE),"1")))</f>
        <v/>
      </c>
      <c r="I364" s="69" t="str">
        <f t="shared" si="10"/>
        <v/>
      </c>
      <c r="J364" s="33" t="str">
        <f>IFERROR(VLOOKUP(B364,'SAÍDA DE VENDAS'!$B$6:$P$500,15,FALSE),"")</f>
        <v/>
      </c>
      <c r="K364" s="28" t="str">
        <f t="shared" ca="1" si="11"/>
        <v/>
      </c>
      <c r="L364" s="28"/>
      <c r="M364" s="28"/>
    </row>
    <row r="365" spans="2:13" ht="15" customHeight="1" x14ac:dyDescent="0.3">
      <c r="B365" s="34" t="str">
        <f>IF(B364="","", IF(VALUE(LEFT(H364,FIND("/",H364)-1)) &lt; VALUE(RIGHT(H364,LEN(H364)-FIND("/",H364))), B364, IFERROR(INDEX('SAÍDA DE VENDAS'!$B$6:$B$500, MATCH(B364,'SAÍDA DE VENDAS'!$B$6:$B$500,0)+COUNTIF('SAÍDA DE VENDAS'!$B$6:$B$500, B364)),"")))</f>
        <v/>
      </c>
      <c r="C365" s="35">
        <f>IFERROR(VLOOKUP(B365,'SAÍDA DE VENDAS'!$B$6:$P$500,3,FALSE),"")</f>
        <v>0</v>
      </c>
      <c r="D365" s="34">
        <f>IFERROR(VLOOKUP(B365,'SAÍDA DE VENDAS'!$B$6:$P$500,4,FALSE),"")</f>
        <v>0</v>
      </c>
      <c r="E365" s="34" t="str">
        <f>IFERROR(VLOOKUP(B365,'SAÍDA DE VENDAS'!$B$6:$P$500,5,FALSE),"")</f>
        <v/>
      </c>
      <c r="F365" s="34" t="str">
        <f>IF(OR(ISBLANK(B365),B365=""), "", IFERROR(INDEX('SAÍDA DE VENDAS'!$H$6:$H$500 &amp; "x " &amp; 'SAÍDA DE VENDAS'!$G$6:$G$500, MATCH(B365, 'SAÍDA DE VENDAS'!$B$6:$B$500, 0)), "")&amp; IF(COUNTIF('SAÍDA DE VENDAS'!$B$6:$B$500, B365)&gt;1, " + " &amp; IFERROR(INDEX('SAÍDA DE VENDAS'!$H$6:$H$500 &amp; "x " &amp; 'SAÍDA DE VENDAS'!$G$6:$G$500, MATCH(B365, 'SAÍDA DE VENDAS'!$B$6:$B$500, 0)+1), ""), "")&amp; IF(COUNTIF('SAÍDA DE VENDAS'!$B$6:$B$500, B365)&gt;2, " + " &amp; IFERROR(INDEX('SAÍDA DE VENDAS'!$H$6:$H$500 &amp; "x " &amp; 'SAÍDA DE VENDAS'!$G$6:$G$500, MATCH(B365, 'SAÍDA DE VENDAS'!$B$6:$B$500, 0)+2), ""), "")&amp; IF(COUNTIF('SAÍDA DE VENDAS'!$B$6:$B$500, B365)&gt;3, " + " &amp; IFERROR(INDEX('SAÍDA DE VENDAS'!$H$6:$H$500 &amp; "x " &amp; 'SAÍDA DE VENDAS'!$G$6:$G$500, MATCH(B365, 'SAÍDA DE VENDAS'!$B$6:$B$500, 0)+3), ""), "")&amp; IF(COUNTIF('SAÍDA DE VENDAS'!$B$6:$B$500, B365)&gt;4, " + " &amp; IFERROR(INDEX('SAÍDA DE VENDAS'!$H$6:$H$500 &amp; "x " &amp; 'SAÍDA DE VENDAS'!$G$6:$G$500, MATCH(B365, 'SAÍDA DE VENDAS'!$B$6:$B$500, 0)+4), ""), "")&amp; IF(COUNTIF('SAÍDA DE VENDAS'!$B$6:$B$500, B365)&gt;5, " + " &amp; IFERROR(INDEX('SAÍDA DE VENDAS'!$H$6:$H$500 &amp; "x " &amp; 'SAÍDA DE VENDAS'!$G$6:$G$500, MATCH(B365, 'SAÍDA DE VENDAS'!$B$6:$B$500, 0)+5), ""), ""))</f>
        <v/>
      </c>
      <c r="G365" s="34">
        <f>IFERROR(VLOOKUP(B365,'SAÍDA DE VENDAS'!$B$6:$P$500,10,FALSE),"")</f>
        <v>0</v>
      </c>
      <c r="H365" s="34" t="str">
        <f>IF(OR(ISBLANK(B365),B365=""), "", IF(B365=B364, (VALUE(LEFT(H364,FIND("/",H364)-1))+1)&amp;"/"&amp;RIGHT(H364,LEN(H364)-FIND("/",H364)), "1/"&amp;IFERROR(VLOOKUP(B365,'SAÍDA DE VENDAS'!$B$6:$P$500,13,FALSE),"1")))</f>
        <v/>
      </c>
      <c r="I365" s="35" t="str">
        <f t="shared" si="10"/>
        <v/>
      </c>
      <c r="J365" s="39" t="str">
        <f>IFERROR(VLOOKUP(B365,'SAÍDA DE VENDAS'!$B$6:$P$500,15,FALSE),"")</f>
        <v/>
      </c>
      <c r="K365" s="34" t="str">
        <f t="shared" ca="1" si="11"/>
        <v/>
      </c>
      <c r="L365" s="34"/>
      <c r="M365" s="34"/>
    </row>
    <row r="366" spans="2:13" ht="15" customHeight="1" x14ac:dyDescent="0.3">
      <c r="B366" s="28" t="str">
        <f>IF(B365="","", IF(VALUE(LEFT(H365,FIND("/",H365)-1)) &lt; VALUE(RIGHT(H365,LEN(H365)-FIND("/",H365))), B365, IFERROR(INDEX('SAÍDA DE VENDAS'!$B$6:$B$500, MATCH(B365,'SAÍDA DE VENDAS'!$B$6:$B$500,0)+COUNTIF('SAÍDA DE VENDAS'!$B$6:$B$500, B365)),"")))</f>
        <v/>
      </c>
      <c r="C366" s="29">
        <f>IFERROR(VLOOKUP(B366,'SAÍDA DE VENDAS'!$B$6:$P$500,3,FALSE),"")</f>
        <v>0</v>
      </c>
      <c r="D366" s="28">
        <f>IFERROR(VLOOKUP(B366,'SAÍDA DE VENDAS'!$B$6:$P$500,4,FALSE),"")</f>
        <v>0</v>
      </c>
      <c r="E366" s="28" t="str">
        <f>IFERROR(VLOOKUP(B366,'SAÍDA DE VENDAS'!$B$6:$P$500,5,FALSE),"")</f>
        <v/>
      </c>
      <c r="F366" s="28" t="str">
        <f>IF(OR(ISBLANK(B366),B366=""), "", IFERROR(INDEX('SAÍDA DE VENDAS'!$H$6:$H$500 &amp; "x " &amp; 'SAÍDA DE VENDAS'!$G$6:$G$500, MATCH(B366, 'SAÍDA DE VENDAS'!$B$6:$B$500, 0)), "")&amp; IF(COUNTIF('SAÍDA DE VENDAS'!$B$6:$B$500, B366)&gt;1, " + " &amp; IFERROR(INDEX('SAÍDA DE VENDAS'!$H$6:$H$500 &amp; "x " &amp; 'SAÍDA DE VENDAS'!$G$6:$G$500, MATCH(B366, 'SAÍDA DE VENDAS'!$B$6:$B$500, 0)+1), ""), "")&amp; IF(COUNTIF('SAÍDA DE VENDAS'!$B$6:$B$500, B366)&gt;2, " + " &amp; IFERROR(INDEX('SAÍDA DE VENDAS'!$H$6:$H$500 &amp; "x " &amp; 'SAÍDA DE VENDAS'!$G$6:$G$500, MATCH(B366, 'SAÍDA DE VENDAS'!$B$6:$B$500, 0)+2), ""), "")&amp; IF(COUNTIF('SAÍDA DE VENDAS'!$B$6:$B$500, B366)&gt;3, " + " &amp; IFERROR(INDEX('SAÍDA DE VENDAS'!$H$6:$H$500 &amp; "x " &amp; 'SAÍDA DE VENDAS'!$G$6:$G$500, MATCH(B366, 'SAÍDA DE VENDAS'!$B$6:$B$500, 0)+3), ""), "")&amp; IF(COUNTIF('SAÍDA DE VENDAS'!$B$6:$B$500, B366)&gt;4, " + " &amp; IFERROR(INDEX('SAÍDA DE VENDAS'!$H$6:$H$500 &amp; "x " &amp; 'SAÍDA DE VENDAS'!$G$6:$G$500, MATCH(B366, 'SAÍDA DE VENDAS'!$B$6:$B$500, 0)+4), ""), "")&amp; IF(COUNTIF('SAÍDA DE VENDAS'!$B$6:$B$500, B366)&gt;5, " + " &amp; IFERROR(INDEX('SAÍDA DE VENDAS'!$H$6:$H$500 &amp; "x " &amp; 'SAÍDA DE VENDAS'!$G$6:$G$500, MATCH(B366, 'SAÍDA DE VENDAS'!$B$6:$B$500, 0)+5), ""), ""))</f>
        <v/>
      </c>
      <c r="G366" s="28">
        <f>IFERROR(VLOOKUP(B366,'SAÍDA DE VENDAS'!$B$6:$P$500,10,FALSE),"")</f>
        <v>0</v>
      </c>
      <c r="H366" s="28" t="str">
        <f>IF(OR(ISBLANK(B366),B366=""), "", IF(B366=B365, (VALUE(LEFT(H365,FIND("/",H365)-1))+1)&amp;"/"&amp;RIGHT(H365,LEN(H365)-FIND("/",H365)), "1/"&amp;IFERROR(VLOOKUP(B366,'SAÍDA DE VENDAS'!$B$6:$P$500,13,FALSE),"1")))</f>
        <v/>
      </c>
      <c r="I366" s="69" t="str">
        <f t="shared" si="10"/>
        <v/>
      </c>
      <c r="J366" s="33" t="str">
        <f>IFERROR(VLOOKUP(B366,'SAÍDA DE VENDAS'!$B$6:$P$500,15,FALSE),"")</f>
        <v/>
      </c>
      <c r="K366" s="28" t="str">
        <f t="shared" ca="1" si="11"/>
        <v/>
      </c>
      <c r="L366" s="28"/>
      <c r="M366" s="28"/>
    </row>
    <row r="367" spans="2:13" ht="15" customHeight="1" x14ac:dyDescent="0.3">
      <c r="B367" s="34" t="str">
        <f>IF(B366="","", IF(VALUE(LEFT(H366,FIND("/",H366)-1)) &lt; VALUE(RIGHT(H366,LEN(H366)-FIND("/",H366))), B366, IFERROR(INDEX('SAÍDA DE VENDAS'!$B$6:$B$500, MATCH(B366,'SAÍDA DE VENDAS'!$B$6:$B$500,0)+COUNTIF('SAÍDA DE VENDAS'!$B$6:$B$500, B366)),"")))</f>
        <v/>
      </c>
      <c r="C367" s="35">
        <f>IFERROR(VLOOKUP(B367,'SAÍDA DE VENDAS'!$B$6:$P$500,3,FALSE),"")</f>
        <v>0</v>
      </c>
      <c r="D367" s="34">
        <f>IFERROR(VLOOKUP(B367,'SAÍDA DE VENDAS'!$B$6:$P$500,4,FALSE),"")</f>
        <v>0</v>
      </c>
      <c r="E367" s="34" t="str">
        <f>IFERROR(VLOOKUP(B367,'SAÍDA DE VENDAS'!$B$6:$P$500,5,FALSE),"")</f>
        <v/>
      </c>
      <c r="F367" s="34" t="str">
        <f>IF(OR(ISBLANK(B367),B367=""), "", IFERROR(INDEX('SAÍDA DE VENDAS'!$H$6:$H$500 &amp; "x " &amp; 'SAÍDA DE VENDAS'!$G$6:$G$500, MATCH(B367, 'SAÍDA DE VENDAS'!$B$6:$B$500, 0)), "")&amp; IF(COUNTIF('SAÍDA DE VENDAS'!$B$6:$B$500, B367)&gt;1, " + " &amp; IFERROR(INDEX('SAÍDA DE VENDAS'!$H$6:$H$500 &amp; "x " &amp; 'SAÍDA DE VENDAS'!$G$6:$G$500, MATCH(B367, 'SAÍDA DE VENDAS'!$B$6:$B$500, 0)+1), ""), "")&amp; IF(COUNTIF('SAÍDA DE VENDAS'!$B$6:$B$500, B367)&gt;2, " + " &amp; IFERROR(INDEX('SAÍDA DE VENDAS'!$H$6:$H$500 &amp; "x " &amp; 'SAÍDA DE VENDAS'!$G$6:$G$500, MATCH(B367, 'SAÍDA DE VENDAS'!$B$6:$B$500, 0)+2), ""), "")&amp; IF(COUNTIF('SAÍDA DE VENDAS'!$B$6:$B$500, B367)&gt;3, " + " &amp; IFERROR(INDEX('SAÍDA DE VENDAS'!$H$6:$H$500 &amp; "x " &amp; 'SAÍDA DE VENDAS'!$G$6:$G$500, MATCH(B367, 'SAÍDA DE VENDAS'!$B$6:$B$500, 0)+3), ""), "")&amp; IF(COUNTIF('SAÍDA DE VENDAS'!$B$6:$B$500, B367)&gt;4, " + " &amp; IFERROR(INDEX('SAÍDA DE VENDAS'!$H$6:$H$500 &amp; "x " &amp; 'SAÍDA DE VENDAS'!$G$6:$G$500, MATCH(B367, 'SAÍDA DE VENDAS'!$B$6:$B$500, 0)+4), ""), "")&amp; IF(COUNTIF('SAÍDA DE VENDAS'!$B$6:$B$500, B367)&gt;5, " + " &amp; IFERROR(INDEX('SAÍDA DE VENDAS'!$H$6:$H$500 &amp; "x " &amp; 'SAÍDA DE VENDAS'!$G$6:$G$500, MATCH(B367, 'SAÍDA DE VENDAS'!$B$6:$B$500, 0)+5), ""), ""))</f>
        <v/>
      </c>
      <c r="G367" s="34">
        <f>IFERROR(VLOOKUP(B367,'SAÍDA DE VENDAS'!$B$6:$P$500,10,FALSE),"")</f>
        <v>0</v>
      </c>
      <c r="H367" s="34" t="str">
        <f>IF(OR(ISBLANK(B367),B367=""), "", IF(B367=B366, (VALUE(LEFT(H366,FIND("/",H366)-1))+1)&amp;"/"&amp;RIGHT(H366,LEN(H366)-FIND("/",H366)), "1/"&amp;IFERROR(VLOOKUP(B367,'SAÍDA DE VENDAS'!$B$6:$P$500,13,FALSE),"1")))</f>
        <v/>
      </c>
      <c r="I367" s="35" t="str">
        <f t="shared" si="10"/>
        <v/>
      </c>
      <c r="J367" s="39" t="str">
        <f>IFERROR(VLOOKUP(B367,'SAÍDA DE VENDAS'!$B$6:$P$500,15,FALSE),"")</f>
        <v/>
      </c>
      <c r="K367" s="34" t="str">
        <f t="shared" ca="1" si="11"/>
        <v/>
      </c>
      <c r="L367" s="34"/>
      <c r="M367" s="34"/>
    </row>
    <row r="368" spans="2:13" ht="15" customHeight="1" x14ac:dyDescent="0.3">
      <c r="B368" s="28" t="str">
        <f>IF(B367="","", IF(VALUE(LEFT(H367,FIND("/",H367)-1)) &lt; VALUE(RIGHT(H367,LEN(H367)-FIND("/",H367))), B367, IFERROR(INDEX('SAÍDA DE VENDAS'!$B$6:$B$500, MATCH(B367,'SAÍDA DE VENDAS'!$B$6:$B$500,0)+COUNTIF('SAÍDA DE VENDAS'!$B$6:$B$500, B367)),"")))</f>
        <v/>
      </c>
      <c r="C368" s="29">
        <f>IFERROR(VLOOKUP(B368,'SAÍDA DE VENDAS'!$B$6:$P$500,3,FALSE),"")</f>
        <v>0</v>
      </c>
      <c r="D368" s="28">
        <f>IFERROR(VLOOKUP(B368,'SAÍDA DE VENDAS'!$B$6:$P$500,4,FALSE),"")</f>
        <v>0</v>
      </c>
      <c r="E368" s="28" t="str">
        <f>IFERROR(VLOOKUP(B368,'SAÍDA DE VENDAS'!$B$6:$P$500,5,FALSE),"")</f>
        <v/>
      </c>
      <c r="F368" s="28" t="str">
        <f>IF(OR(ISBLANK(B368),B368=""), "", IFERROR(INDEX('SAÍDA DE VENDAS'!$H$6:$H$500 &amp; "x " &amp; 'SAÍDA DE VENDAS'!$G$6:$G$500, MATCH(B368, 'SAÍDA DE VENDAS'!$B$6:$B$500, 0)), "")&amp; IF(COUNTIF('SAÍDA DE VENDAS'!$B$6:$B$500, B368)&gt;1, " + " &amp; IFERROR(INDEX('SAÍDA DE VENDAS'!$H$6:$H$500 &amp; "x " &amp; 'SAÍDA DE VENDAS'!$G$6:$G$500, MATCH(B368, 'SAÍDA DE VENDAS'!$B$6:$B$500, 0)+1), ""), "")&amp; IF(COUNTIF('SAÍDA DE VENDAS'!$B$6:$B$500, B368)&gt;2, " + " &amp; IFERROR(INDEX('SAÍDA DE VENDAS'!$H$6:$H$500 &amp; "x " &amp; 'SAÍDA DE VENDAS'!$G$6:$G$500, MATCH(B368, 'SAÍDA DE VENDAS'!$B$6:$B$500, 0)+2), ""), "")&amp; IF(COUNTIF('SAÍDA DE VENDAS'!$B$6:$B$500, B368)&gt;3, " + " &amp; IFERROR(INDEX('SAÍDA DE VENDAS'!$H$6:$H$500 &amp; "x " &amp; 'SAÍDA DE VENDAS'!$G$6:$G$500, MATCH(B368, 'SAÍDA DE VENDAS'!$B$6:$B$500, 0)+3), ""), "")&amp; IF(COUNTIF('SAÍDA DE VENDAS'!$B$6:$B$500, B368)&gt;4, " + " &amp; IFERROR(INDEX('SAÍDA DE VENDAS'!$H$6:$H$500 &amp; "x " &amp; 'SAÍDA DE VENDAS'!$G$6:$G$500, MATCH(B368, 'SAÍDA DE VENDAS'!$B$6:$B$500, 0)+4), ""), "")&amp; IF(COUNTIF('SAÍDA DE VENDAS'!$B$6:$B$500, B368)&gt;5, " + " &amp; IFERROR(INDEX('SAÍDA DE VENDAS'!$H$6:$H$500 &amp; "x " &amp; 'SAÍDA DE VENDAS'!$G$6:$G$500, MATCH(B368, 'SAÍDA DE VENDAS'!$B$6:$B$500, 0)+5), ""), ""))</f>
        <v/>
      </c>
      <c r="G368" s="28">
        <f>IFERROR(VLOOKUP(B368,'SAÍDA DE VENDAS'!$B$6:$P$500,10,FALSE),"")</f>
        <v>0</v>
      </c>
      <c r="H368" s="28" t="str">
        <f>IF(OR(ISBLANK(B368),B368=""), "", IF(B368=B367, (VALUE(LEFT(H367,FIND("/",H367)-1))+1)&amp;"/"&amp;RIGHT(H367,LEN(H367)-FIND("/",H367)), "1/"&amp;IFERROR(VLOOKUP(B368,'SAÍDA DE VENDAS'!$B$6:$P$500,13,FALSE),"1")))</f>
        <v/>
      </c>
      <c r="I368" s="69" t="str">
        <f t="shared" si="10"/>
        <v/>
      </c>
      <c r="J368" s="33" t="str">
        <f>IFERROR(VLOOKUP(B368,'SAÍDA DE VENDAS'!$B$6:$P$500,15,FALSE),"")</f>
        <v/>
      </c>
      <c r="K368" s="28" t="str">
        <f t="shared" ca="1" si="11"/>
        <v/>
      </c>
      <c r="L368" s="28"/>
      <c r="M368" s="28"/>
    </row>
    <row r="369" spans="2:13" ht="15" customHeight="1" x14ac:dyDescent="0.3">
      <c r="B369" s="34" t="str">
        <f>IF(B368="","", IF(VALUE(LEFT(H368,FIND("/",H368)-1)) &lt; VALUE(RIGHT(H368,LEN(H368)-FIND("/",H368))), B368, IFERROR(INDEX('SAÍDA DE VENDAS'!$B$6:$B$500, MATCH(B368,'SAÍDA DE VENDAS'!$B$6:$B$500,0)+COUNTIF('SAÍDA DE VENDAS'!$B$6:$B$500, B368)),"")))</f>
        <v/>
      </c>
      <c r="C369" s="35">
        <f>IFERROR(VLOOKUP(B369,'SAÍDA DE VENDAS'!$B$6:$P$500,3,FALSE),"")</f>
        <v>0</v>
      </c>
      <c r="D369" s="34">
        <f>IFERROR(VLOOKUP(B369,'SAÍDA DE VENDAS'!$B$6:$P$500,4,FALSE),"")</f>
        <v>0</v>
      </c>
      <c r="E369" s="34" t="str">
        <f>IFERROR(VLOOKUP(B369,'SAÍDA DE VENDAS'!$B$6:$P$500,5,FALSE),"")</f>
        <v/>
      </c>
      <c r="F369" s="34" t="str">
        <f>IF(OR(ISBLANK(B369),B369=""), "", IFERROR(INDEX('SAÍDA DE VENDAS'!$H$6:$H$500 &amp; "x " &amp; 'SAÍDA DE VENDAS'!$G$6:$G$500, MATCH(B369, 'SAÍDA DE VENDAS'!$B$6:$B$500, 0)), "")&amp; IF(COUNTIF('SAÍDA DE VENDAS'!$B$6:$B$500, B369)&gt;1, " + " &amp; IFERROR(INDEX('SAÍDA DE VENDAS'!$H$6:$H$500 &amp; "x " &amp; 'SAÍDA DE VENDAS'!$G$6:$G$500, MATCH(B369, 'SAÍDA DE VENDAS'!$B$6:$B$500, 0)+1), ""), "")&amp; IF(COUNTIF('SAÍDA DE VENDAS'!$B$6:$B$500, B369)&gt;2, " + " &amp; IFERROR(INDEX('SAÍDA DE VENDAS'!$H$6:$H$500 &amp; "x " &amp; 'SAÍDA DE VENDAS'!$G$6:$G$500, MATCH(B369, 'SAÍDA DE VENDAS'!$B$6:$B$500, 0)+2), ""), "")&amp; IF(COUNTIF('SAÍDA DE VENDAS'!$B$6:$B$500, B369)&gt;3, " + " &amp; IFERROR(INDEX('SAÍDA DE VENDAS'!$H$6:$H$500 &amp; "x " &amp; 'SAÍDA DE VENDAS'!$G$6:$G$500, MATCH(B369, 'SAÍDA DE VENDAS'!$B$6:$B$500, 0)+3), ""), "")&amp; IF(COUNTIF('SAÍDA DE VENDAS'!$B$6:$B$500, B369)&gt;4, " + " &amp; IFERROR(INDEX('SAÍDA DE VENDAS'!$H$6:$H$500 &amp; "x " &amp; 'SAÍDA DE VENDAS'!$G$6:$G$500, MATCH(B369, 'SAÍDA DE VENDAS'!$B$6:$B$500, 0)+4), ""), "")&amp; IF(COUNTIF('SAÍDA DE VENDAS'!$B$6:$B$500, B369)&gt;5, " + " &amp; IFERROR(INDEX('SAÍDA DE VENDAS'!$H$6:$H$500 &amp; "x " &amp; 'SAÍDA DE VENDAS'!$G$6:$G$500, MATCH(B369, 'SAÍDA DE VENDAS'!$B$6:$B$500, 0)+5), ""), ""))</f>
        <v/>
      </c>
      <c r="G369" s="34">
        <f>IFERROR(VLOOKUP(B369,'SAÍDA DE VENDAS'!$B$6:$P$500,10,FALSE),"")</f>
        <v>0</v>
      </c>
      <c r="H369" s="34" t="str">
        <f>IF(OR(ISBLANK(B369),B369=""), "", IF(B369=B368, (VALUE(LEFT(H368,FIND("/",H368)-1))+1)&amp;"/"&amp;RIGHT(H368,LEN(H368)-FIND("/",H368)), "1/"&amp;IFERROR(VLOOKUP(B369,'SAÍDA DE VENDAS'!$B$6:$P$500,13,FALSE),"1")))</f>
        <v/>
      </c>
      <c r="I369" s="35" t="str">
        <f t="shared" si="10"/>
        <v/>
      </c>
      <c r="J369" s="39" t="str">
        <f>IFERROR(VLOOKUP(B369,'SAÍDA DE VENDAS'!$B$6:$P$500,15,FALSE),"")</f>
        <v/>
      </c>
      <c r="K369" s="34" t="str">
        <f t="shared" ca="1" si="11"/>
        <v/>
      </c>
      <c r="L369" s="34"/>
      <c r="M369" s="34"/>
    </row>
    <row r="370" spans="2:13" ht="15" customHeight="1" x14ac:dyDescent="0.3">
      <c r="B370" s="28" t="str">
        <f>IF(B369="","", IF(VALUE(LEFT(H369,FIND("/",H369)-1)) &lt; VALUE(RIGHT(H369,LEN(H369)-FIND("/",H369))), B369, IFERROR(INDEX('SAÍDA DE VENDAS'!$B$6:$B$500, MATCH(B369,'SAÍDA DE VENDAS'!$B$6:$B$500,0)+COUNTIF('SAÍDA DE VENDAS'!$B$6:$B$500, B369)),"")))</f>
        <v/>
      </c>
      <c r="C370" s="29">
        <f>IFERROR(VLOOKUP(B370,'SAÍDA DE VENDAS'!$B$6:$P$500,3,FALSE),"")</f>
        <v>0</v>
      </c>
      <c r="D370" s="28">
        <f>IFERROR(VLOOKUP(B370,'SAÍDA DE VENDAS'!$B$6:$P$500,4,FALSE),"")</f>
        <v>0</v>
      </c>
      <c r="E370" s="28" t="str">
        <f>IFERROR(VLOOKUP(B370,'SAÍDA DE VENDAS'!$B$6:$P$500,5,FALSE),"")</f>
        <v/>
      </c>
      <c r="F370" s="28" t="str">
        <f>IF(OR(ISBLANK(B370),B370=""), "", IFERROR(INDEX('SAÍDA DE VENDAS'!$H$6:$H$500 &amp; "x " &amp; 'SAÍDA DE VENDAS'!$G$6:$G$500, MATCH(B370, 'SAÍDA DE VENDAS'!$B$6:$B$500, 0)), "")&amp; IF(COUNTIF('SAÍDA DE VENDAS'!$B$6:$B$500, B370)&gt;1, " + " &amp; IFERROR(INDEX('SAÍDA DE VENDAS'!$H$6:$H$500 &amp; "x " &amp; 'SAÍDA DE VENDAS'!$G$6:$G$500, MATCH(B370, 'SAÍDA DE VENDAS'!$B$6:$B$500, 0)+1), ""), "")&amp; IF(COUNTIF('SAÍDA DE VENDAS'!$B$6:$B$500, B370)&gt;2, " + " &amp; IFERROR(INDEX('SAÍDA DE VENDAS'!$H$6:$H$500 &amp; "x " &amp; 'SAÍDA DE VENDAS'!$G$6:$G$500, MATCH(B370, 'SAÍDA DE VENDAS'!$B$6:$B$500, 0)+2), ""), "")&amp; IF(COUNTIF('SAÍDA DE VENDAS'!$B$6:$B$500, B370)&gt;3, " + " &amp; IFERROR(INDEX('SAÍDA DE VENDAS'!$H$6:$H$500 &amp; "x " &amp; 'SAÍDA DE VENDAS'!$G$6:$G$500, MATCH(B370, 'SAÍDA DE VENDAS'!$B$6:$B$500, 0)+3), ""), "")&amp; IF(COUNTIF('SAÍDA DE VENDAS'!$B$6:$B$500, B370)&gt;4, " + " &amp; IFERROR(INDEX('SAÍDA DE VENDAS'!$H$6:$H$500 &amp; "x " &amp; 'SAÍDA DE VENDAS'!$G$6:$G$500, MATCH(B370, 'SAÍDA DE VENDAS'!$B$6:$B$500, 0)+4), ""), "")&amp; IF(COUNTIF('SAÍDA DE VENDAS'!$B$6:$B$500, B370)&gt;5, " + " &amp; IFERROR(INDEX('SAÍDA DE VENDAS'!$H$6:$H$500 &amp; "x " &amp; 'SAÍDA DE VENDAS'!$G$6:$G$500, MATCH(B370, 'SAÍDA DE VENDAS'!$B$6:$B$500, 0)+5), ""), ""))</f>
        <v/>
      </c>
      <c r="G370" s="28">
        <f>IFERROR(VLOOKUP(B370,'SAÍDA DE VENDAS'!$B$6:$P$500,10,FALSE),"")</f>
        <v>0</v>
      </c>
      <c r="H370" s="28" t="str">
        <f>IF(OR(ISBLANK(B370),B370=""), "", IF(B370=B369, (VALUE(LEFT(H369,FIND("/",H369)-1))+1)&amp;"/"&amp;RIGHT(H369,LEN(H369)-FIND("/",H369)), "1/"&amp;IFERROR(VLOOKUP(B370,'SAÍDA DE VENDAS'!$B$6:$P$500,13,FALSE),"1")))</f>
        <v/>
      </c>
      <c r="I370" s="69" t="str">
        <f t="shared" si="10"/>
        <v/>
      </c>
      <c r="J370" s="33" t="str">
        <f>IFERROR(VLOOKUP(B370,'SAÍDA DE VENDAS'!$B$6:$P$500,15,FALSE),"")</f>
        <v/>
      </c>
      <c r="K370" s="28" t="str">
        <f t="shared" ca="1" si="11"/>
        <v/>
      </c>
      <c r="L370" s="28"/>
      <c r="M370" s="28"/>
    </row>
    <row r="371" spans="2:13" ht="15" customHeight="1" x14ac:dyDescent="0.3">
      <c r="B371" s="34" t="str">
        <f>IF(B370="","", IF(VALUE(LEFT(H370,FIND("/",H370)-1)) &lt; VALUE(RIGHT(H370,LEN(H370)-FIND("/",H370))), B370, IFERROR(INDEX('SAÍDA DE VENDAS'!$B$6:$B$500, MATCH(B370,'SAÍDA DE VENDAS'!$B$6:$B$500,0)+COUNTIF('SAÍDA DE VENDAS'!$B$6:$B$500, B370)),"")))</f>
        <v/>
      </c>
      <c r="C371" s="35">
        <f>IFERROR(VLOOKUP(B371,'SAÍDA DE VENDAS'!$B$6:$P$500,3,FALSE),"")</f>
        <v>0</v>
      </c>
      <c r="D371" s="34">
        <f>IFERROR(VLOOKUP(B371,'SAÍDA DE VENDAS'!$B$6:$P$500,4,FALSE),"")</f>
        <v>0</v>
      </c>
      <c r="E371" s="34" t="str">
        <f>IFERROR(VLOOKUP(B371,'SAÍDA DE VENDAS'!$B$6:$P$500,5,FALSE),"")</f>
        <v/>
      </c>
      <c r="F371" s="34" t="str">
        <f>IF(OR(ISBLANK(B371),B371=""), "", IFERROR(INDEX('SAÍDA DE VENDAS'!$H$6:$H$500 &amp; "x " &amp; 'SAÍDA DE VENDAS'!$G$6:$G$500, MATCH(B371, 'SAÍDA DE VENDAS'!$B$6:$B$500, 0)), "")&amp; IF(COUNTIF('SAÍDA DE VENDAS'!$B$6:$B$500, B371)&gt;1, " + " &amp; IFERROR(INDEX('SAÍDA DE VENDAS'!$H$6:$H$500 &amp; "x " &amp; 'SAÍDA DE VENDAS'!$G$6:$G$500, MATCH(B371, 'SAÍDA DE VENDAS'!$B$6:$B$500, 0)+1), ""), "")&amp; IF(COUNTIF('SAÍDA DE VENDAS'!$B$6:$B$500, B371)&gt;2, " + " &amp; IFERROR(INDEX('SAÍDA DE VENDAS'!$H$6:$H$500 &amp; "x " &amp; 'SAÍDA DE VENDAS'!$G$6:$G$500, MATCH(B371, 'SAÍDA DE VENDAS'!$B$6:$B$500, 0)+2), ""), "")&amp; IF(COUNTIF('SAÍDA DE VENDAS'!$B$6:$B$500, B371)&gt;3, " + " &amp; IFERROR(INDEX('SAÍDA DE VENDAS'!$H$6:$H$500 &amp; "x " &amp; 'SAÍDA DE VENDAS'!$G$6:$G$500, MATCH(B371, 'SAÍDA DE VENDAS'!$B$6:$B$500, 0)+3), ""), "")&amp; IF(COUNTIF('SAÍDA DE VENDAS'!$B$6:$B$500, B371)&gt;4, " + " &amp; IFERROR(INDEX('SAÍDA DE VENDAS'!$H$6:$H$500 &amp; "x " &amp; 'SAÍDA DE VENDAS'!$G$6:$G$500, MATCH(B371, 'SAÍDA DE VENDAS'!$B$6:$B$500, 0)+4), ""), "")&amp; IF(COUNTIF('SAÍDA DE VENDAS'!$B$6:$B$500, B371)&gt;5, " + " &amp; IFERROR(INDEX('SAÍDA DE VENDAS'!$H$6:$H$500 &amp; "x " &amp; 'SAÍDA DE VENDAS'!$G$6:$G$500, MATCH(B371, 'SAÍDA DE VENDAS'!$B$6:$B$500, 0)+5), ""), ""))</f>
        <v/>
      </c>
      <c r="G371" s="34">
        <f>IFERROR(VLOOKUP(B371,'SAÍDA DE VENDAS'!$B$6:$P$500,10,FALSE),"")</f>
        <v>0</v>
      </c>
      <c r="H371" s="34" t="str">
        <f>IF(OR(ISBLANK(B371),B371=""), "", IF(B371=B370, (VALUE(LEFT(H370,FIND("/",H370)-1))+1)&amp;"/"&amp;RIGHT(H370,LEN(H370)-FIND("/",H370)), "1/"&amp;IFERROR(VLOOKUP(B371,'SAÍDA DE VENDAS'!$B$6:$P$500,13,FALSE),"1")))</f>
        <v/>
      </c>
      <c r="I371" s="35" t="str">
        <f t="shared" si="10"/>
        <v/>
      </c>
      <c r="J371" s="39" t="str">
        <f>IFERROR(VLOOKUP(B371,'SAÍDA DE VENDAS'!$B$6:$P$500,15,FALSE),"")</f>
        <v/>
      </c>
      <c r="K371" s="34" t="str">
        <f t="shared" ca="1" si="11"/>
        <v/>
      </c>
      <c r="L371" s="34"/>
      <c r="M371" s="34"/>
    </row>
    <row r="372" spans="2:13" ht="15" customHeight="1" x14ac:dyDescent="0.3">
      <c r="B372" s="28" t="str">
        <f>IF(B371="","", IF(VALUE(LEFT(H371,FIND("/",H371)-1)) &lt; VALUE(RIGHT(H371,LEN(H371)-FIND("/",H371))), B371, IFERROR(INDEX('SAÍDA DE VENDAS'!$B$6:$B$500, MATCH(B371,'SAÍDA DE VENDAS'!$B$6:$B$500,0)+COUNTIF('SAÍDA DE VENDAS'!$B$6:$B$500, B371)),"")))</f>
        <v/>
      </c>
      <c r="C372" s="29">
        <f>IFERROR(VLOOKUP(B372,'SAÍDA DE VENDAS'!$B$6:$P$500,3,FALSE),"")</f>
        <v>0</v>
      </c>
      <c r="D372" s="28">
        <f>IFERROR(VLOOKUP(B372,'SAÍDA DE VENDAS'!$B$6:$P$500,4,FALSE),"")</f>
        <v>0</v>
      </c>
      <c r="E372" s="28" t="str">
        <f>IFERROR(VLOOKUP(B372,'SAÍDA DE VENDAS'!$B$6:$P$500,5,FALSE),"")</f>
        <v/>
      </c>
      <c r="F372" s="28" t="str">
        <f>IF(OR(ISBLANK(B372),B372=""), "", IFERROR(INDEX('SAÍDA DE VENDAS'!$H$6:$H$500 &amp; "x " &amp; 'SAÍDA DE VENDAS'!$G$6:$G$500, MATCH(B372, 'SAÍDA DE VENDAS'!$B$6:$B$500, 0)), "")&amp; IF(COUNTIF('SAÍDA DE VENDAS'!$B$6:$B$500, B372)&gt;1, " + " &amp; IFERROR(INDEX('SAÍDA DE VENDAS'!$H$6:$H$500 &amp; "x " &amp; 'SAÍDA DE VENDAS'!$G$6:$G$500, MATCH(B372, 'SAÍDA DE VENDAS'!$B$6:$B$500, 0)+1), ""), "")&amp; IF(COUNTIF('SAÍDA DE VENDAS'!$B$6:$B$500, B372)&gt;2, " + " &amp; IFERROR(INDEX('SAÍDA DE VENDAS'!$H$6:$H$500 &amp; "x " &amp; 'SAÍDA DE VENDAS'!$G$6:$G$500, MATCH(B372, 'SAÍDA DE VENDAS'!$B$6:$B$500, 0)+2), ""), "")&amp; IF(COUNTIF('SAÍDA DE VENDAS'!$B$6:$B$500, B372)&gt;3, " + " &amp; IFERROR(INDEX('SAÍDA DE VENDAS'!$H$6:$H$500 &amp; "x " &amp; 'SAÍDA DE VENDAS'!$G$6:$G$500, MATCH(B372, 'SAÍDA DE VENDAS'!$B$6:$B$500, 0)+3), ""), "")&amp; IF(COUNTIF('SAÍDA DE VENDAS'!$B$6:$B$500, B372)&gt;4, " + " &amp; IFERROR(INDEX('SAÍDA DE VENDAS'!$H$6:$H$500 &amp; "x " &amp; 'SAÍDA DE VENDAS'!$G$6:$G$500, MATCH(B372, 'SAÍDA DE VENDAS'!$B$6:$B$500, 0)+4), ""), "")&amp; IF(COUNTIF('SAÍDA DE VENDAS'!$B$6:$B$500, B372)&gt;5, " + " &amp; IFERROR(INDEX('SAÍDA DE VENDAS'!$H$6:$H$500 &amp; "x " &amp; 'SAÍDA DE VENDAS'!$G$6:$G$500, MATCH(B372, 'SAÍDA DE VENDAS'!$B$6:$B$500, 0)+5), ""), ""))</f>
        <v/>
      </c>
      <c r="G372" s="28">
        <f>IFERROR(VLOOKUP(B372,'SAÍDA DE VENDAS'!$B$6:$P$500,10,FALSE),"")</f>
        <v>0</v>
      </c>
      <c r="H372" s="28" t="str">
        <f>IF(OR(ISBLANK(B372),B372=""), "", IF(B372=B371, (VALUE(LEFT(H371,FIND("/",H371)-1))+1)&amp;"/"&amp;RIGHT(H371,LEN(H371)-FIND("/",H371)), "1/"&amp;IFERROR(VLOOKUP(B372,'SAÍDA DE VENDAS'!$B$6:$P$500,13,FALSE),"1")))</f>
        <v/>
      </c>
      <c r="I372" s="69" t="str">
        <f t="shared" si="10"/>
        <v/>
      </c>
      <c r="J372" s="33" t="str">
        <f>IFERROR(VLOOKUP(B372,'SAÍDA DE VENDAS'!$B$6:$P$500,15,FALSE),"")</f>
        <v/>
      </c>
      <c r="K372" s="28" t="str">
        <f t="shared" ca="1" si="11"/>
        <v/>
      </c>
      <c r="L372" s="28"/>
      <c r="M372" s="28"/>
    </row>
    <row r="373" spans="2:13" ht="15" customHeight="1" x14ac:dyDescent="0.3">
      <c r="B373" s="34" t="str">
        <f>IF(B372="","", IF(VALUE(LEFT(H372,FIND("/",H372)-1)) &lt; VALUE(RIGHT(H372,LEN(H372)-FIND("/",H372))), B372, IFERROR(INDEX('SAÍDA DE VENDAS'!$B$6:$B$500, MATCH(B372,'SAÍDA DE VENDAS'!$B$6:$B$500,0)+COUNTIF('SAÍDA DE VENDAS'!$B$6:$B$500, B372)),"")))</f>
        <v/>
      </c>
      <c r="C373" s="35">
        <f>IFERROR(VLOOKUP(B373,'SAÍDA DE VENDAS'!$B$6:$P$500,3,FALSE),"")</f>
        <v>0</v>
      </c>
      <c r="D373" s="34">
        <f>IFERROR(VLOOKUP(B373,'SAÍDA DE VENDAS'!$B$6:$P$500,4,FALSE),"")</f>
        <v>0</v>
      </c>
      <c r="E373" s="34" t="str">
        <f>IFERROR(VLOOKUP(B373,'SAÍDA DE VENDAS'!$B$6:$P$500,5,FALSE),"")</f>
        <v/>
      </c>
      <c r="F373" s="34" t="str">
        <f>IF(OR(ISBLANK(B373),B373=""), "", IFERROR(INDEX('SAÍDA DE VENDAS'!$H$6:$H$500 &amp; "x " &amp; 'SAÍDA DE VENDAS'!$G$6:$G$500, MATCH(B373, 'SAÍDA DE VENDAS'!$B$6:$B$500, 0)), "")&amp; IF(COUNTIF('SAÍDA DE VENDAS'!$B$6:$B$500, B373)&gt;1, " + " &amp; IFERROR(INDEX('SAÍDA DE VENDAS'!$H$6:$H$500 &amp; "x " &amp; 'SAÍDA DE VENDAS'!$G$6:$G$500, MATCH(B373, 'SAÍDA DE VENDAS'!$B$6:$B$500, 0)+1), ""), "")&amp; IF(COUNTIF('SAÍDA DE VENDAS'!$B$6:$B$500, B373)&gt;2, " + " &amp; IFERROR(INDEX('SAÍDA DE VENDAS'!$H$6:$H$500 &amp; "x " &amp; 'SAÍDA DE VENDAS'!$G$6:$G$500, MATCH(B373, 'SAÍDA DE VENDAS'!$B$6:$B$500, 0)+2), ""), "")&amp; IF(COUNTIF('SAÍDA DE VENDAS'!$B$6:$B$500, B373)&gt;3, " + " &amp; IFERROR(INDEX('SAÍDA DE VENDAS'!$H$6:$H$500 &amp; "x " &amp; 'SAÍDA DE VENDAS'!$G$6:$G$500, MATCH(B373, 'SAÍDA DE VENDAS'!$B$6:$B$500, 0)+3), ""), "")&amp; IF(COUNTIF('SAÍDA DE VENDAS'!$B$6:$B$500, B373)&gt;4, " + " &amp; IFERROR(INDEX('SAÍDA DE VENDAS'!$H$6:$H$500 &amp; "x " &amp; 'SAÍDA DE VENDAS'!$G$6:$G$500, MATCH(B373, 'SAÍDA DE VENDAS'!$B$6:$B$500, 0)+4), ""), "")&amp; IF(COUNTIF('SAÍDA DE VENDAS'!$B$6:$B$500, B373)&gt;5, " + " &amp; IFERROR(INDEX('SAÍDA DE VENDAS'!$H$6:$H$500 &amp; "x " &amp; 'SAÍDA DE VENDAS'!$G$6:$G$500, MATCH(B373, 'SAÍDA DE VENDAS'!$B$6:$B$500, 0)+5), ""), ""))</f>
        <v/>
      </c>
      <c r="G373" s="34">
        <f>IFERROR(VLOOKUP(B373,'SAÍDA DE VENDAS'!$B$6:$P$500,10,FALSE),"")</f>
        <v>0</v>
      </c>
      <c r="H373" s="34" t="str">
        <f>IF(OR(ISBLANK(B373),B373=""), "", IF(B373=B372, (VALUE(LEFT(H372,FIND("/",H372)-1))+1)&amp;"/"&amp;RIGHT(H372,LEN(H372)-FIND("/",H372)), "1/"&amp;IFERROR(VLOOKUP(B373,'SAÍDA DE VENDAS'!$B$6:$P$500,13,FALSE),"1")))</f>
        <v/>
      </c>
      <c r="I373" s="35" t="str">
        <f t="shared" si="10"/>
        <v/>
      </c>
      <c r="J373" s="39" t="str">
        <f>IFERROR(VLOOKUP(B373,'SAÍDA DE VENDAS'!$B$6:$P$500,15,FALSE),"")</f>
        <v/>
      </c>
      <c r="K373" s="34" t="str">
        <f t="shared" ca="1" si="11"/>
        <v/>
      </c>
      <c r="L373" s="34"/>
      <c r="M373" s="34"/>
    </row>
    <row r="374" spans="2:13" ht="15" customHeight="1" x14ac:dyDescent="0.3">
      <c r="B374" s="28" t="str">
        <f>IF(B373="","", IF(VALUE(LEFT(H373,FIND("/",H373)-1)) &lt; VALUE(RIGHT(H373,LEN(H373)-FIND("/",H373))), B373, IFERROR(INDEX('SAÍDA DE VENDAS'!$B$6:$B$500, MATCH(B373,'SAÍDA DE VENDAS'!$B$6:$B$500,0)+COUNTIF('SAÍDA DE VENDAS'!$B$6:$B$500, B373)),"")))</f>
        <v/>
      </c>
      <c r="C374" s="29">
        <f>IFERROR(VLOOKUP(B374,'SAÍDA DE VENDAS'!$B$6:$P$500,3,FALSE),"")</f>
        <v>0</v>
      </c>
      <c r="D374" s="28">
        <f>IFERROR(VLOOKUP(B374,'SAÍDA DE VENDAS'!$B$6:$P$500,4,FALSE),"")</f>
        <v>0</v>
      </c>
      <c r="E374" s="28" t="str">
        <f>IFERROR(VLOOKUP(B374,'SAÍDA DE VENDAS'!$B$6:$P$500,5,FALSE),"")</f>
        <v/>
      </c>
      <c r="F374" s="28" t="str">
        <f>IF(OR(ISBLANK(B374),B374=""), "", IFERROR(INDEX('SAÍDA DE VENDAS'!$H$6:$H$500 &amp; "x " &amp; 'SAÍDA DE VENDAS'!$G$6:$G$500, MATCH(B374, 'SAÍDA DE VENDAS'!$B$6:$B$500, 0)), "")&amp; IF(COUNTIF('SAÍDA DE VENDAS'!$B$6:$B$500, B374)&gt;1, " + " &amp; IFERROR(INDEX('SAÍDA DE VENDAS'!$H$6:$H$500 &amp; "x " &amp; 'SAÍDA DE VENDAS'!$G$6:$G$500, MATCH(B374, 'SAÍDA DE VENDAS'!$B$6:$B$500, 0)+1), ""), "")&amp; IF(COUNTIF('SAÍDA DE VENDAS'!$B$6:$B$500, B374)&gt;2, " + " &amp; IFERROR(INDEX('SAÍDA DE VENDAS'!$H$6:$H$500 &amp; "x " &amp; 'SAÍDA DE VENDAS'!$G$6:$G$500, MATCH(B374, 'SAÍDA DE VENDAS'!$B$6:$B$500, 0)+2), ""), "")&amp; IF(COUNTIF('SAÍDA DE VENDAS'!$B$6:$B$500, B374)&gt;3, " + " &amp; IFERROR(INDEX('SAÍDA DE VENDAS'!$H$6:$H$500 &amp; "x " &amp; 'SAÍDA DE VENDAS'!$G$6:$G$500, MATCH(B374, 'SAÍDA DE VENDAS'!$B$6:$B$500, 0)+3), ""), "")&amp; IF(COUNTIF('SAÍDA DE VENDAS'!$B$6:$B$500, B374)&gt;4, " + " &amp; IFERROR(INDEX('SAÍDA DE VENDAS'!$H$6:$H$500 &amp; "x " &amp; 'SAÍDA DE VENDAS'!$G$6:$G$500, MATCH(B374, 'SAÍDA DE VENDAS'!$B$6:$B$500, 0)+4), ""), "")&amp; IF(COUNTIF('SAÍDA DE VENDAS'!$B$6:$B$500, B374)&gt;5, " + " &amp; IFERROR(INDEX('SAÍDA DE VENDAS'!$H$6:$H$500 &amp; "x " &amp; 'SAÍDA DE VENDAS'!$G$6:$G$500, MATCH(B374, 'SAÍDA DE VENDAS'!$B$6:$B$500, 0)+5), ""), ""))</f>
        <v/>
      </c>
      <c r="G374" s="28">
        <f>IFERROR(VLOOKUP(B374,'SAÍDA DE VENDAS'!$B$6:$P$500,10,FALSE),"")</f>
        <v>0</v>
      </c>
      <c r="H374" s="28" t="str">
        <f>IF(OR(ISBLANK(B374),B374=""), "", IF(B374=B373, (VALUE(LEFT(H373,FIND("/",H373)-1))+1)&amp;"/"&amp;RIGHT(H373,LEN(H373)-FIND("/",H373)), "1/"&amp;IFERROR(VLOOKUP(B374,'SAÍDA DE VENDAS'!$B$6:$P$500,13,FALSE),"1")))</f>
        <v/>
      </c>
      <c r="I374" s="69" t="str">
        <f t="shared" si="10"/>
        <v/>
      </c>
      <c r="J374" s="33" t="str">
        <f>IFERROR(VLOOKUP(B374,'SAÍDA DE VENDAS'!$B$6:$P$500,15,FALSE),"")</f>
        <v/>
      </c>
      <c r="K374" s="28" t="str">
        <f t="shared" ca="1" si="11"/>
        <v/>
      </c>
      <c r="L374" s="28"/>
      <c r="M374" s="28"/>
    </row>
    <row r="375" spans="2:13" ht="15" customHeight="1" x14ac:dyDescent="0.3">
      <c r="B375" s="34" t="str">
        <f>IF(B374="","", IF(VALUE(LEFT(H374,FIND("/",H374)-1)) &lt; VALUE(RIGHT(H374,LEN(H374)-FIND("/",H374))), B374, IFERROR(INDEX('SAÍDA DE VENDAS'!$B$6:$B$500, MATCH(B374,'SAÍDA DE VENDAS'!$B$6:$B$500,0)+COUNTIF('SAÍDA DE VENDAS'!$B$6:$B$500, B374)),"")))</f>
        <v/>
      </c>
      <c r="C375" s="35">
        <f>IFERROR(VLOOKUP(B375,'SAÍDA DE VENDAS'!$B$6:$P$500,3,FALSE),"")</f>
        <v>0</v>
      </c>
      <c r="D375" s="34">
        <f>IFERROR(VLOOKUP(B375,'SAÍDA DE VENDAS'!$B$6:$P$500,4,FALSE),"")</f>
        <v>0</v>
      </c>
      <c r="E375" s="34" t="str">
        <f>IFERROR(VLOOKUP(B375,'SAÍDA DE VENDAS'!$B$6:$P$500,5,FALSE),"")</f>
        <v/>
      </c>
      <c r="F375" s="34" t="str">
        <f>IF(OR(ISBLANK(B375),B375=""), "", IFERROR(INDEX('SAÍDA DE VENDAS'!$H$6:$H$500 &amp; "x " &amp; 'SAÍDA DE VENDAS'!$G$6:$G$500, MATCH(B375, 'SAÍDA DE VENDAS'!$B$6:$B$500, 0)), "")&amp; IF(COUNTIF('SAÍDA DE VENDAS'!$B$6:$B$500, B375)&gt;1, " + " &amp; IFERROR(INDEX('SAÍDA DE VENDAS'!$H$6:$H$500 &amp; "x " &amp; 'SAÍDA DE VENDAS'!$G$6:$G$500, MATCH(B375, 'SAÍDA DE VENDAS'!$B$6:$B$500, 0)+1), ""), "")&amp; IF(COUNTIF('SAÍDA DE VENDAS'!$B$6:$B$500, B375)&gt;2, " + " &amp; IFERROR(INDEX('SAÍDA DE VENDAS'!$H$6:$H$500 &amp; "x " &amp; 'SAÍDA DE VENDAS'!$G$6:$G$500, MATCH(B375, 'SAÍDA DE VENDAS'!$B$6:$B$500, 0)+2), ""), "")&amp; IF(COUNTIF('SAÍDA DE VENDAS'!$B$6:$B$500, B375)&gt;3, " + " &amp; IFERROR(INDEX('SAÍDA DE VENDAS'!$H$6:$H$500 &amp; "x " &amp; 'SAÍDA DE VENDAS'!$G$6:$G$500, MATCH(B375, 'SAÍDA DE VENDAS'!$B$6:$B$500, 0)+3), ""), "")&amp; IF(COUNTIF('SAÍDA DE VENDAS'!$B$6:$B$500, B375)&gt;4, " + " &amp; IFERROR(INDEX('SAÍDA DE VENDAS'!$H$6:$H$500 &amp; "x " &amp; 'SAÍDA DE VENDAS'!$G$6:$G$500, MATCH(B375, 'SAÍDA DE VENDAS'!$B$6:$B$500, 0)+4), ""), "")&amp; IF(COUNTIF('SAÍDA DE VENDAS'!$B$6:$B$500, B375)&gt;5, " + " &amp; IFERROR(INDEX('SAÍDA DE VENDAS'!$H$6:$H$500 &amp; "x " &amp; 'SAÍDA DE VENDAS'!$G$6:$G$500, MATCH(B375, 'SAÍDA DE VENDAS'!$B$6:$B$500, 0)+5), ""), ""))</f>
        <v/>
      </c>
      <c r="G375" s="34">
        <f>IFERROR(VLOOKUP(B375,'SAÍDA DE VENDAS'!$B$6:$P$500,10,FALSE),"")</f>
        <v>0</v>
      </c>
      <c r="H375" s="34" t="str">
        <f>IF(OR(ISBLANK(B375),B375=""), "", IF(B375=B374, (VALUE(LEFT(H374,FIND("/",H374)-1))+1)&amp;"/"&amp;RIGHT(H374,LEN(H374)-FIND("/",H374)), "1/"&amp;IFERROR(VLOOKUP(B375,'SAÍDA DE VENDAS'!$B$6:$P$500,13,FALSE),"1")))</f>
        <v/>
      </c>
      <c r="I375" s="35" t="str">
        <f t="shared" si="10"/>
        <v/>
      </c>
      <c r="J375" s="39" t="str">
        <f>IFERROR(VLOOKUP(B375,'SAÍDA DE VENDAS'!$B$6:$P$500,15,FALSE),"")</f>
        <v/>
      </c>
      <c r="K375" s="34" t="str">
        <f t="shared" ca="1" si="11"/>
        <v/>
      </c>
      <c r="L375" s="34"/>
      <c r="M375" s="34"/>
    </row>
    <row r="376" spans="2:13" ht="15" customHeight="1" x14ac:dyDescent="0.3">
      <c r="B376" s="28" t="str">
        <f>IF(B375="","", IF(VALUE(LEFT(H375,FIND("/",H375)-1)) &lt; VALUE(RIGHT(H375,LEN(H375)-FIND("/",H375))), B375, IFERROR(INDEX('SAÍDA DE VENDAS'!$B$6:$B$500, MATCH(B375,'SAÍDA DE VENDAS'!$B$6:$B$500,0)+COUNTIF('SAÍDA DE VENDAS'!$B$6:$B$500, B375)),"")))</f>
        <v/>
      </c>
      <c r="C376" s="29">
        <f>IFERROR(VLOOKUP(B376,'SAÍDA DE VENDAS'!$B$6:$P$500,3,FALSE),"")</f>
        <v>0</v>
      </c>
      <c r="D376" s="28">
        <f>IFERROR(VLOOKUP(B376,'SAÍDA DE VENDAS'!$B$6:$P$500,4,FALSE),"")</f>
        <v>0</v>
      </c>
      <c r="E376" s="28" t="str">
        <f>IFERROR(VLOOKUP(B376,'SAÍDA DE VENDAS'!$B$6:$P$500,5,FALSE),"")</f>
        <v/>
      </c>
      <c r="F376" s="28" t="str">
        <f>IF(OR(ISBLANK(B376),B376=""), "", IFERROR(INDEX('SAÍDA DE VENDAS'!$H$6:$H$500 &amp; "x " &amp; 'SAÍDA DE VENDAS'!$G$6:$G$500, MATCH(B376, 'SAÍDA DE VENDAS'!$B$6:$B$500, 0)), "")&amp; IF(COUNTIF('SAÍDA DE VENDAS'!$B$6:$B$500, B376)&gt;1, " + " &amp; IFERROR(INDEX('SAÍDA DE VENDAS'!$H$6:$H$500 &amp; "x " &amp; 'SAÍDA DE VENDAS'!$G$6:$G$500, MATCH(B376, 'SAÍDA DE VENDAS'!$B$6:$B$500, 0)+1), ""), "")&amp; IF(COUNTIF('SAÍDA DE VENDAS'!$B$6:$B$500, B376)&gt;2, " + " &amp; IFERROR(INDEX('SAÍDA DE VENDAS'!$H$6:$H$500 &amp; "x " &amp; 'SAÍDA DE VENDAS'!$G$6:$G$500, MATCH(B376, 'SAÍDA DE VENDAS'!$B$6:$B$500, 0)+2), ""), "")&amp; IF(COUNTIF('SAÍDA DE VENDAS'!$B$6:$B$500, B376)&gt;3, " + " &amp; IFERROR(INDEX('SAÍDA DE VENDAS'!$H$6:$H$500 &amp; "x " &amp; 'SAÍDA DE VENDAS'!$G$6:$G$500, MATCH(B376, 'SAÍDA DE VENDAS'!$B$6:$B$500, 0)+3), ""), "")&amp; IF(COUNTIF('SAÍDA DE VENDAS'!$B$6:$B$500, B376)&gt;4, " + " &amp; IFERROR(INDEX('SAÍDA DE VENDAS'!$H$6:$H$500 &amp; "x " &amp; 'SAÍDA DE VENDAS'!$G$6:$G$500, MATCH(B376, 'SAÍDA DE VENDAS'!$B$6:$B$500, 0)+4), ""), "")&amp; IF(COUNTIF('SAÍDA DE VENDAS'!$B$6:$B$500, B376)&gt;5, " + " &amp; IFERROR(INDEX('SAÍDA DE VENDAS'!$H$6:$H$500 &amp; "x " &amp; 'SAÍDA DE VENDAS'!$G$6:$G$500, MATCH(B376, 'SAÍDA DE VENDAS'!$B$6:$B$500, 0)+5), ""), ""))</f>
        <v/>
      </c>
      <c r="G376" s="28">
        <f>IFERROR(VLOOKUP(B376,'SAÍDA DE VENDAS'!$B$6:$P$500,10,FALSE),"")</f>
        <v>0</v>
      </c>
      <c r="H376" s="28" t="str">
        <f>IF(OR(ISBLANK(B376),B376=""), "", IF(B376=B375, (VALUE(LEFT(H375,FIND("/",H375)-1))+1)&amp;"/"&amp;RIGHT(H375,LEN(H375)-FIND("/",H375)), "1/"&amp;IFERROR(VLOOKUP(B376,'SAÍDA DE VENDAS'!$B$6:$P$500,13,FALSE),"1")))</f>
        <v/>
      </c>
      <c r="I376" s="69" t="str">
        <f t="shared" si="10"/>
        <v/>
      </c>
      <c r="J376" s="33" t="str">
        <f>IFERROR(VLOOKUP(B376,'SAÍDA DE VENDAS'!$B$6:$P$500,15,FALSE),"")</f>
        <v/>
      </c>
      <c r="K376" s="28" t="str">
        <f t="shared" ca="1" si="11"/>
        <v/>
      </c>
      <c r="L376" s="28"/>
      <c r="M376" s="28"/>
    </row>
    <row r="377" spans="2:13" ht="15" customHeight="1" x14ac:dyDescent="0.3">
      <c r="B377" s="34" t="str">
        <f>IF(B376="","", IF(VALUE(LEFT(H376,FIND("/",H376)-1)) &lt; VALUE(RIGHT(H376,LEN(H376)-FIND("/",H376))), B376, IFERROR(INDEX('SAÍDA DE VENDAS'!$B$6:$B$500, MATCH(B376,'SAÍDA DE VENDAS'!$B$6:$B$500,0)+COUNTIF('SAÍDA DE VENDAS'!$B$6:$B$500, B376)),"")))</f>
        <v/>
      </c>
      <c r="C377" s="35">
        <f>IFERROR(VLOOKUP(B377,'SAÍDA DE VENDAS'!$B$6:$P$500,3,FALSE),"")</f>
        <v>0</v>
      </c>
      <c r="D377" s="34">
        <f>IFERROR(VLOOKUP(B377,'SAÍDA DE VENDAS'!$B$6:$P$500,4,FALSE),"")</f>
        <v>0</v>
      </c>
      <c r="E377" s="34" t="str">
        <f>IFERROR(VLOOKUP(B377,'SAÍDA DE VENDAS'!$B$6:$P$500,5,FALSE),"")</f>
        <v/>
      </c>
      <c r="F377" s="34" t="str">
        <f>IF(OR(ISBLANK(B377),B377=""), "", IFERROR(INDEX('SAÍDA DE VENDAS'!$H$6:$H$500 &amp; "x " &amp; 'SAÍDA DE VENDAS'!$G$6:$G$500, MATCH(B377, 'SAÍDA DE VENDAS'!$B$6:$B$500, 0)), "")&amp; IF(COUNTIF('SAÍDA DE VENDAS'!$B$6:$B$500, B377)&gt;1, " + " &amp; IFERROR(INDEX('SAÍDA DE VENDAS'!$H$6:$H$500 &amp; "x " &amp; 'SAÍDA DE VENDAS'!$G$6:$G$500, MATCH(B377, 'SAÍDA DE VENDAS'!$B$6:$B$500, 0)+1), ""), "")&amp; IF(COUNTIF('SAÍDA DE VENDAS'!$B$6:$B$500, B377)&gt;2, " + " &amp; IFERROR(INDEX('SAÍDA DE VENDAS'!$H$6:$H$500 &amp; "x " &amp; 'SAÍDA DE VENDAS'!$G$6:$G$500, MATCH(B377, 'SAÍDA DE VENDAS'!$B$6:$B$500, 0)+2), ""), "")&amp; IF(COUNTIF('SAÍDA DE VENDAS'!$B$6:$B$500, B377)&gt;3, " + " &amp; IFERROR(INDEX('SAÍDA DE VENDAS'!$H$6:$H$500 &amp; "x " &amp; 'SAÍDA DE VENDAS'!$G$6:$G$500, MATCH(B377, 'SAÍDA DE VENDAS'!$B$6:$B$500, 0)+3), ""), "")&amp; IF(COUNTIF('SAÍDA DE VENDAS'!$B$6:$B$500, B377)&gt;4, " + " &amp; IFERROR(INDEX('SAÍDA DE VENDAS'!$H$6:$H$500 &amp; "x " &amp; 'SAÍDA DE VENDAS'!$G$6:$G$500, MATCH(B377, 'SAÍDA DE VENDAS'!$B$6:$B$500, 0)+4), ""), "")&amp; IF(COUNTIF('SAÍDA DE VENDAS'!$B$6:$B$500, B377)&gt;5, " + " &amp; IFERROR(INDEX('SAÍDA DE VENDAS'!$H$6:$H$500 &amp; "x " &amp; 'SAÍDA DE VENDAS'!$G$6:$G$500, MATCH(B377, 'SAÍDA DE VENDAS'!$B$6:$B$500, 0)+5), ""), ""))</f>
        <v/>
      </c>
      <c r="G377" s="34">
        <f>IFERROR(VLOOKUP(B377,'SAÍDA DE VENDAS'!$B$6:$P$500,10,FALSE),"")</f>
        <v>0</v>
      </c>
      <c r="H377" s="34" t="str">
        <f>IF(OR(ISBLANK(B377),B377=""), "", IF(B377=B376, (VALUE(LEFT(H376,FIND("/",H376)-1))+1)&amp;"/"&amp;RIGHT(H376,LEN(H376)-FIND("/",H376)), "1/"&amp;IFERROR(VLOOKUP(B377,'SAÍDA DE VENDAS'!$B$6:$P$500,13,FALSE),"1")))</f>
        <v/>
      </c>
      <c r="I377" s="35" t="str">
        <f t="shared" si="10"/>
        <v/>
      </c>
      <c r="J377" s="39" t="str">
        <f>IFERROR(VLOOKUP(B377,'SAÍDA DE VENDAS'!$B$6:$P$500,15,FALSE),"")</f>
        <v/>
      </c>
      <c r="K377" s="34" t="str">
        <f t="shared" ca="1" si="11"/>
        <v/>
      </c>
      <c r="L377" s="34"/>
      <c r="M377" s="34"/>
    </row>
    <row r="378" spans="2:13" ht="15" customHeight="1" x14ac:dyDescent="0.3">
      <c r="B378" s="28" t="str">
        <f>IF(B377="","", IF(VALUE(LEFT(H377,FIND("/",H377)-1)) &lt; VALUE(RIGHT(H377,LEN(H377)-FIND("/",H377))), B377, IFERROR(INDEX('SAÍDA DE VENDAS'!$B$6:$B$500, MATCH(B377,'SAÍDA DE VENDAS'!$B$6:$B$500,0)+COUNTIF('SAÍDA DE VENDAS'!$B$6:$B$500, B377)),"")))</f>
        <v/>
      </c>
      <c r="C378" s="29">
        <f>IFERROR(VLOOKUP(B378,'SAÍDA DE VENDAS'!$B$6:$P$500,3,FALSE),"")</f>
        <v>0</v>
      </c>
      <c r="D378" s="28">
        <f>IFERROR(VLOOKUP(B378,'SAÍDA DE VENDAS'!$B$6:$P$500,4,FALSE),"")</f>
        <v>0</v>
      </c>
      <c r="E378" s="28" t="str">
        <f>IFERROR(VLOOKUP(B378,'SAÍDA DE VENDAS'!$B$6:$P$500,5,FALSE),"")</f>
        <v/>
      </c>
      <c r="F378" s="28" t="str">
        <f>IF(OR(ISBLANK(B378),B378=""), "", IFERROR(INDEX('SAÍDA DE VENDAS'!$H$6:$H$500 &amp; "x " &amp; 'SAÍDA DE VENDAS'!$G$6:$G$500, MATCH(B378, 'SAÍDA DE VENDAS'!$B$6:$B$500, 0)), "")&amp; IF(COUNTIF('SAÍDA DE VENDAS'!$B$6:$B$500, B378)&gt;1, " + " &amp; IFERROR(INDEX('SAÍDA DE VENDAS'!$H$6:$H$500 &amp; "x " &amp; 'SAÍDA DE VENDAS'!$G$6:$G$500, MATCH(B378, 'SAÍDA DE VENDAS'!$B$6:$B$500, 0)+1), ""), "")&amp; IF(COUNTIF('SAÍDA DE VENDAS'!$B$6:$B$500, B378)&gt;2, " + " &amp; IFERROR(INDEX('SAÍDA DE VENDAS'!$H$6:$H$500 &amp; "x " &amp; 'SAÍDA DE VENDAS'!$G$6:$G$500, MATCH(B378, 'SAÍDA DE VENDAS'!$B$6:$B$500, 0)+2), ""), "")&amp; IF(COUNTIF('SAÍDA DE VENDAS'!$B$6:$B$500, B378)&gt;3, " + " &amp; IFERROR(INDEX('SAÍDA DE VENDAS'!$H$6:$H$500 &amp; "x " &amp; 'SAÍDA DE VENDAS'!$G$6:$G$500, MATCH(B378, 'SAÍDA DE VENDAS'!$B$6:$B$500, 0)+3), ""), "")&amp; IF(COUNTIF('SAÍDA DE VENDAS'!$B$6:$B$500, B378)&gt;4, " + " &amp; IFERROR(INDEX('SAÍDA DE VENDAS'!$H$6:$H$500 &amp; "x " &amp; 'SAÍDA DE VENDAS'!$G$6:$G$500, MATCH(B378, 'SAÍDA DE VENDAS'!$B$6:$B$500, 0)+4), ""), "")&amp; IF(COUNTIF('SAÍDA DE VENDAS'!$B$6:$B$500, B378)&gt;5, " + " &amp; IFERROR(INDEX('SAÍDA DE VENDAS'!$H$6:$H$500 &amp; "x " &amp; 'SAÍDA DE VENDAS'!$G$6:$G$500, MATCH(B378, 'SAÍDA DE VENDAS'!$B$6:$B$500, 0)+5), ""), ""))</f>
        <v/>
      </c>
      <c r="G378" s="28">
        <f>IFERROR(VLOOKUP(B378,'SAÍDA DE VENDAS'!$B$6:$P$500,10,FALSE),"")</f>
        <v>0</v>
      </c>
      <c r="H378" s="28" t="str">
        <f>IF(OR(ISBLANK(B378),B378=""), "", IF(B378=B377, (VALUE(LEFT(H377,FIND("/",H377)-1))+1)&amp;"/"&amp;RIGHT(H377,LEN(H377)-FIND("/",H377)), "1/"&amp;IFERROR(VLOOKUP(B378,'SAÍDA DE VENDAS'!$B$6:$P$500,13,FALSE),"1")))</f>
        <v/>
      </c>
      <c r="I378" s="69" t="str">
        <f t="shared" si="10"/>
        <v/>
      </c>
      <c r="J378" s="33" t="str">
        <f>IFERROR(VLOOKUP(B378,'SAÍDA DE VENDAS'!$B$6:$P$500,15,FALSE),"")</f>
        <v/>
      </c>
      <c r="K378" s="28" t="str">
        <f t="shared" ca="1" si="11"/>
        <v/>
      </c>
      <c r="L378" s="28"/>
      <c r="M378" s="28"/>
    </row>
    <row r="379" spans="2:13" ht="15" customHeight="1" x14ac:dyDescent="0.3">
      <c r="B379" s="34" t="str">
        <f>IF(B378="","", IF(VALUE(LEFT(H378,FIND("/",H378)-1)) &lt; VALUE(RIGHT(H378,LEN(H378)-FIND("/",H378))), B378, IFERROR(INDEX('SAÍDA DE VENDAS'!$B$6:$B$500, MATCH(B378,'SAÍDA DE VENDAS'!$B$6:$B$500,0)+COUNTIF('SAÍDA DE VENDAS'!$B$6:$B$500, B378)),"")))</f>
        <v/>
      </c>
      <c r="C379" s="35">
        <f>IFERROR(VLOOKUP(B379,'SAÍDA DE VENDAS'!$B$6:$P$500,3,FALSE),"")</f>
        <v>0</v>
      </c>
      <c r="D379" s="34">
        <f>IFERROR(VLOOKUP(B379,'SAÍDA DE VENDAS'!$B$6:$P$500,4,FALSE),"")</f>
        <v>0</v>
      </c>
      <c r="E379" s="34" t="str">
        <f>IFERROR(VLOOKUP(B379,'SAÍDA DE VENDAS'!$B$6:$P$500,5,FALSE),"")</f>
        <v/>
      </c>
      <c r="F379" s="34" t="str">
        <f>IF(OR(ISBLANK(B379),B379=""), "", IFERROR(INDEX('SAÍDA DE VENDAS'!$H$6:$H$500 &amp; "x " &amp; 'SAÍDA DE VENDAS'!$G$6:$G$500, MATCH(B379, 'SAÍDA DE VENDAS'!$B$6:$B$500, 0)), "")&amp; IF(COUNTIF('SAÍDA DE VENDAS'!$B$6:$B$500, B379)&gt;1, " + " &amp; IFERROR(INDEX('SAÍDA DE VENDAS'!$H$6:$H$500 &amp; "x " &amp; 'SAÍDA DE VENDAS'!$G$6:$G$500, MATCH(B379, 'SAÍDA DE VENDAS'!$B$6:$B$500, 0)+1), ""), "")&amp; IF(COUNTIF('SAÍDA DE VENDAS'!$B$6:$B$500, B379)&gt;2, " + " &amp; IFERROR(INDEX('SAÍDA DE VENDAS'!$H$6:$H$500 &amp; "x " &amp; 'SAÍDA DE VENDAS'!$G$6:$G$500, MATCH(B379, 'SAÍDA DE VENDAS'!$B$6:$B$500, 0)+2), ""), "")&amp; IF(COUNTIF('SAÍDA DE VENDAS'!$B$6:$B$500, B379)&gt;3, " + " &amp; IFERROR(INDEX('SAÍDA DE VENDAS'!$H$6:$H$500 &amp; "x " &amp; 'SAÍDA DE VENDAS'!$G$6:$G$500, MATCH(B379, 'SAÍDA DE VENDAS'!$B$6:$B$500, 0)+3), ""), "")&amp; IF(COUNTIF('SAÍDA DE VENDAS'!$B$6:$B$500, B379)&gt;4, " + " &amp; IFERROR(INDEX('SAÍDA DE VENDAS'!$H$6:$H$500 &amp; "x " &amp; 'SAÍDA DE VENDAS'!$G$6:$G$500, MATCH(B379, 'SAÍDA DE VENDAS'!$B$6:$B$500, 0)+4), ""), "")&amp; IF(COUNTIF('SAÍDA DE VENDAS'!$B$6:$B$500, B379)&gt;5, " + " &amp; IFERROR(INDEX('SAÍDA DE VENDAS'!$H$6:$H$500 &amp; "x " &amp; 'SAÍDA DE VENDAS'!$G$6:$G$500, MATCH(B379, 'SAÍDA DE VENDAS'!$B$6:$B$500, 0)+5), ""), ""))</f>
        <v/>
      </c>
      <c r="G379" s="34">
        <f>IFERROR(VLOOKUP(B379,'SAÍDA DE VENDAS'!$B$6:$P$500,10,FALSE),"")</f>
        <v>0</v>
      </c>
      <c r="H379" s="34" t="str">
        <f>IF(OR(ISBLANK(B379),B379=""), "", IF(B379=B378, (VALUE(LEFT(H378,FIND("/",H378)-1))+1)&amp;"/"&amp;RIGHT(H378,LEN(H378)-FIND("/",H378)), "1/"&amp;IFERROR(VLOOKUP(B379,'SAÍDA DE VENDAS'!$B$6:$P$500,13,FALSE),"1")))</f>
        <v/>
      </c>
      <c r="I379" s="35" t="str">
        <f t="shared" si="10"/>
        <v/>
      </c>
      <c r="J379" s="39" t="str">
        <f>IFERROR(VLOOKUP(B379,'SAÍDA DE VENDAS'!$B$6:$P$500,15,FALSE),"")</f>
        <v/>
      </c>
      <c r="K379" s="34" t="str">
        <f t="shared" ca="1" si="11"/>
        <v/>
      </c>
      <c r="L379" s="34"/>
      <c r="M379" s="34"/>
    </row>
    <row r="380" spans="2:13" ht="15" customHeight="1" x14ac:dyDescent="0.3">
      <c r="B380" s="28" t="str">
        <f>IF(B379="","", IF(VALUE(LEFT(H379,FIND("/",H379)-1)) &lt; VALUE(RIGHT(H379,LEN(H379)-FIND("/",H379))), B379, IFERROR(INDEX('SAÍDA DE VENDAS'!$B$6:$B$500, MATCH(B379,'SAÍDA DE VENDAS'!$B$6:$B$500,0)+COUNTIF('SAÍDA DE VENDAS'!$B$6:$B$500, B379)),"")))</f>
        <v/>
      </c>
      <c r="C380" s="29">
        <f>IFERROR(VLOOKUP(B380,'SAÍDA DE VENDAS'!$B$6:$P$500,3,FALSE),"")</f>
        <v>0</v>
      </c>
      <c r="D380" s="28">
        <f>IFERROR(VLOOKUP(B380,'SAÍDA DE VENDAS'!$B$6:$P$500,4,FALSE),"")</f>
        <v>0</v>
      </c>
      <c r="E380" s="28" t="str">
        <f>IFERROR(VLOOKUP(B380,'SAÍDA DE VENDAS'!$B$6:$P$500,5,FALSE),"")</f>
        <v/>
      </c>
      <c r="F380" s="28" t="str">
        <f>IF(OR(ISBLANK(B380),B380=""), "", IFERROR(INDEX('SAÍDA DE VENDAS'!$H$6:$H$500 &amp; "x " &amp; 'SAÍDA DE VENDAS'!$G$6:$G$500, MATCH(B380, 'SAÍDA DE VENDAS'!$B$6:$B$500, 0)), "")&amp; IF(COUNTIF('SAÍDA DE VENDAS'!$B$6:$B$500, B380)&gt;1, " + " &amp; IFERROR(INDEX('SAÍDA DE VENDAS'!$H$6:$H$500 &amp; "x " &amp; 'SAÍDA DE VENDAS'!$G$6:$G$500, MATCH(B380, 'SAÍDA DE VENDAS'!$B$6:$B$500, 0)+1), ""), "")&amp; IF(COUNTIF('SAÍDA DE VENDAS'!$B$6:$B$500, B380)&gt;2, " + " &amp; IFERROR(INDEX('SAÍDA DE VENDAS'!$H$6:$H$500 &amp; "x " &amp; 'SAÍDA DE VENDAS'!$G$6:$G$500, MATCH(B380, 'SAÍDA DE VENDAS'!$B$6:$B$500, 0)+2), ""), "")&amp; IF(COUNTIF('SAÍDA DE VENDAS'!$B$6:$B$500, B380)&gt;3, " + " &amp; IFERROR(INDEX('SAÍDA DE VENDAS'!$H$6:$H$500 &amp; "x " &amp; 'SAÍDA DE VENDAS'!$G$6:$G$500, MATCH(B380, 'SAÍDA DE VENDAS'!$B$6:$B$500, 0)+3), ""), "")&amp; IF(COUNTIF('SAÍDA DE VENDAS'!$B$6:$B$500, B380)&gt;4, " + " &amp; IFERROR(INDEX('SAÍDA DE VENDAS'!$H$6:$H$500 &amp; "x " &amp; 'SAÍDA DE VENDAS'!$G$6:$G$500, MATCH(B380, 'SAÍDA DE VENDAS'!$B$6:$B$500, 0)+4), ""), "")&amp; IF(COUNTIF('SAÍDA DE VENDAS'!$B$6:$B$500, B380)&gt;5, " + " &amp; IFERROR(INDEX('SAÍDA DE VENDAS'!$H$6:$H$500 &amp; "x " &amp; 'SAÍDA DE VENDAS'!$G$6:$G$500, MATCH(B380, 'SAÍDA DE VENDAS'!$B$6:$B$500, 0)+5), ""), ""))</f>
        <v/>
      </c>
      <c r="G380" s="28">
        <f>IFERROR(VLOOKUP(B380,'SAÍDA DE VENDAS'!$B$6:$P$500,10,FALSE),"")</f>
        <v>0</v>
      </c>
      <c r="H380" s="28" t="str">
        <f>IF(OR(ISBLANK(B380),B380=""), "", IF(B380=B379, (VALUE(LEFT(H379,FIND("/",H379)-1))+1)&amp;"/"&amp;RIGHT(H379,LEN(H379)-FIND("/",H379)), "1/"&amp;IFERROR(VLOOKUP(B380,'SAÍDA DE VENDAS'!$B$6:$P$500,13,FALSE),"1")))</f>
        <v/>
      </c>
      <c r="I380" s="69" t="str">
        <f t="shared" si="10"/>
        <v/>
      </c>
      <c r="J380" s="33" t="str">
        <f>IFERROR(VLOOKUP(B380,'SAÍDA DE VENDAS'!$B$6:$P$500,15,FALSE),"")</f>
        <v/>
      </c>
      <c r="K380" s="28" t="str">
        <f t="shared" ca="1" si="11"/>
        <v/>
      </c>
      <c r="L380" s="28"/>
      <c r="M380" s="28"/>
    </row>
    <row r="381" spans="2:13" ht="15" customHeight="1" x14ac:dyDescent="0.3">
      <c r="B381" s="34" t="str">
        <f>IF(B380="","", IF(VALUE(LEFT(H380,FIND("/",H380)-1)) &lt; VALUE(RIGHT(H380,LEN(H380)-FIND("/",H380))), B380, IFERROR(INDEX('SAÍDA DE VENDAS'!$B$6:$B$500, MATCH(B380,'SAÍDA DE VENDAS'!$B$6:$B$500,0)+COUNTIF('SAÍDA DE VENDAS'!$B$6:$B$500, B380)),"")))</f>
        <v/>
      </c>
      <c r="C381" s="35">
        <f>IFERROR(VLOOKUP(B381,'SAÍDA DE VENDAS'!$B$6:$P$500,3,FALSE),"")</f>
        <v>0</v>
      </c>
      <c r="D381" s="34">
        <f>IFERROR(VLOOKUP(B381,'SAÍDA DE VENDAS'!$B$6:$P$500,4,FALSE),"")</f>
        <v>0</v>
      </c>
      <c r="E381" s="34" t="str">
        <f>IFERROR(VLOOKUP(B381,'SAÍDA DE VENDAS'!$B$6:$P$500,5,FALSE),"")</f>
        <v/>
      </c>
      <c r="F381" s="34" t="str">
        <f>IF(OR(ISBLANK(B381),B381=""), "", IFERROR(INDEX('SAÍDA DE VENDAS'!$H$6:$H$500 &amp; "x " &amp; 'SAÍDA DE VENDAS'!$G$6:$G$500, MATCH(B381, 'SAÍDA DE VENDAS'!$B$6:$B$500, 0)), "")&amp; IF(COUNTIF('SAÍDA DE VENDAS'!$B$6:$B$500, B381)&gt;1, " + " &amp; IFERROR(INDEX('SAÍDA DE VENDAS'!$H$6:$H$500 &amp; "x " &amp; 'SAÍDA DE VENDAS'!$G$6:$G$500, MATCH(B381, 'SAÍDA DE VENDAS'!$B$6:$B$500, 0)+1), ""), "")&amp; IF(COUNTIF('SAÍDA DE VENDAS'!$B$6:$B$500, B381)&gt;2, " + " &amp; IFERROR(INDEX('SAÍDA DE VENDAS'!$H$6:$H$500 &amp; "x " &amp; 'SAÍDA DE VENDAS'!$G$6:$G$500, MATCH(B381, 'SAÍDA DE VENDAS'!$B$6:$B$500, 0)+2), ""), "")&amp; IF(COUNTIF('SAÍDA DE VENDAS'!$B$6:$B$500, B381)&gt;3, " + " &amp; IFERROR(INDEX('SAÍDA DE VENDAS'!$H$6:$H$500 &amp; "x " &amp; 'SAÍDA DE VENDAS'!$G$6:$G$500, MATCH(B381, 'SAÍDA DE VENDAS'!$B$6:$B$500, 0)+3), ""), "")&amp; IF(COUNTIF('SAÍDA DE VENDAS'!$B$6:$B$500, B381)&gt;4, " + " &amp; IFERROR(INDEX('SAÍDA DE VENDAS'!$H$6:$H$500 &amp; "x " &amp; 'SAÍDA DE VENDAS'!$G$6:$G$500, MATCH(B381, 'SAÍDA DE VENDAS'!$B$6:$B$500, 0)+4), ""), "")&amp; IF(COUNTIF('SAÍDA DE VENDAS'!$B$6:$B$500, B381)&gt;5, " + " &amp; IFERROR(INDEX('SAÍDA DE VENDAS'!$H$6:$H$500 &amp; "x " &amp; 'SAÍDA DE VENDAS'!$G$6:$G$500, MATCH(B381, 'SAÍDA DE VENDAS'!$B$6:$B$500, 0)+5), ""), ""))</f>
        <v/>
      </c>
      <c r="G381" s="34">
        <f>IFERROR(VLOOKUP(B381,'SAÍDA DE VENDAS'!$B$6:$P$500,10,FALSE),"")</f>
        <v>0</v>
      </c>
      <c r="H381" s="34" t="str">
        <f>IF(OR(ISBLANK(B381),B381=""), "", IF(B381=B380, (VALUE(LEFT(H380,FIND("/",H380)-1))+1)&amp;"/"&amp;RIGHT(H380,LEN(H380)-FIND("/",H380)), "1/"&amp;IFERROR(VLOOKUP(B381,'SAÍDA DE VENDAS'!$B$6:$P$500,13,FALSE),"1")))</f>
        <v/>
      </c>
      <c r="I381" s="35" t="str">
        <f t="shared" si="10"/>
        <v/>
      </c>
      <c r="J381" s="39" t="str">
        <f>IFERROR(VLOOKUP(B381,'SAÍDA DE VENDAS'!$B$6:$P$500,15,FALSE),"")</f>
        <v/>
      </c>
      <c r="K381" s="34" t="str">
        <f t="shared" ca="1" si="11"/>
        <v/>
      </c>
      <c r="L381" s="34"/>
      <c r="M381" s="34"/>
    </row>
    <row r="382" spans="2:13" ht="15" customHeight="1" x14ac:dyDescent="0.3">
      <c r="B382" s="28" t="str">
        <f>IF(B381="","", IF(VALUE(LEFT(H381,FIND("/",H381)-1)) &lt; VALUE(RIGHT(H381,LEN(H381)-FIND("/",H381))), B381, IFERROR(INDEX('SAÍDA DE VENDAS'!$B$6:$B$500, MATCH(B381,'SAÍDA DE VENDAS'!$B$6:$B$500,0)+COUNTIF('SAÍDA DE VENDAS'!$B$6:$B$500, B381)),"")))</f>
        <v/>
      </c>
      <c r="C382" s="29">
        <f>IFERROR(VLOOKUP(B382,'SAÍDA DE VENDAS'!$B$6:$P$500,3,FALSE),"")</f>
        <v>0</v>
      </c>
      <c r="D382" s="28">
        <f>IFERROR(VLOOKUP(B382,'SAÍDA DE VENDAS'!$B$6:$P$500,4,FALSE),"")</f>
        <v>0</v>
      </c>
      <c r="E382" s="28" t="str">
        <f>IFERROR(VLOOKUP(B382,'SAÍDA DE VENDAS'!$B$6:$P$500,5,FALSE),"")</f>
        <v/>
      </c>
      <c r="F382" s="28" t="str">
        <f>IF(OR(ISBLANK(B382),B382=""), "", IFERROR(INDEX('SAÍDA DE VENDAS'!$H$6:$H$500 &amp; "x " &amp; 'SAÍDA DE VENDAS'!$G$6:$G$500, MATCH(B382, 'SAÍDA DE VENDAS'!$B$6:$B$500, 0)), "")&amp; IF(COUNTIF('SAÍDA DE VENDAS'!$B$6:$B$500, B382)&gt;1, " + " &amp; IFERROR(INDEX('SAÍDA DE VENDAS'!$H$6:$H$500 &amp; "x " &amp; 'SAÍDA DE VENDAS'!$G$6:$G$500, MATCH(B382, 'SAÍDA DE VENDAS'!$B$6:$B$500, 0)+1), ""), "")&amp; IF(COUNTIF('SAÍDA DE VENDAS'!$B$6:$B$500, B382)&gt;2, " + " &amp; IFERROR(INDEX('SAÍDA DE VENDAS'!$H$6:$H$500 &amp; "x " &amp; 'SAÍDA DE VENDAS'!$G$6:$G$500, MATCH(B382, 'SAÍDA DE VENDAS'!$B$6:$B$500, 0)+2), ""), "")&amp; IF(COUNTIF('SAÍDA DE VENDAS'!$B$6:$B$500, B382)&gt;3, " + " &amp; IFERROR(INDEX('SAÍDA DE VENDAS'!$H$6:$H$500 &amp; "x " &amp; 'SAÍDA DE VENDAS'!$G$6:$G$500, MATCH(B382, 'SAÍDA DE VENDAS'!$B$6:$B$500, 0)+3), ""), "")&amp; IF(COUNTIF('SAÍDA DE VENDAS'!$B$6:$B$500, B382)&gt;4, " + " &amp; IFERROR(INDEX('SAÍDA DE VENDAS'!$H$6:$H$500 &amp; "x " &amp; 'SAÍDA DE VENDAS'!$G$6:$G$500, MATCH(B382, 'SAÍDA DE VENDAS'!$B$6:$B$500, 0)+4), ""), "")&amp; IF(COUNTIF('SAÍDA DE VENDAS'!$B$6:$B$500, B382)&gt;5, " + " &amp; IFERROR(INDEX('SAÍDA DE VENDAS'!$H$6:$H$500 &amp; "x " &amp; 'SAÍDA DE VENDAS'!$G$6:$G$500, MATCH(B382, 'SAÍDA DE VENDAS'!$B$6:$B$500, 0)+5), ""), ""))</f>
        <v/>
      </c>
      <c r="G382" s="28">
        <f>IFERROR(VLOOKUP(B382,'SAÍDA DE VENDAS'!$B$6:$P$500,10,FALSE),"")</f>
        <v>0</v>
      </c>
      <c r="H382" s="28" t="str">
        <f>IF(OR(ISBLANK(B382),B382=""), "", IF(B382=B381, (VALUE(LEFT(H381,FIND("/",H381)-1))+1)&amp;"/"&amp;RIGHT(H381,LEN(H381)-FIND("/",H381)), "1/"&amp;IFERROR(VLOOKUP(B382,'SAÍDA DE VENDAS'!$B$6:$P$500,13,FALSE),"1")))</f>
        <v/>
      </c>
      <c r="I382" s="69" t="str">
        <f t="shared" si="10"/>
        <v/>
      </c>
      <c r="J382" s="33" t="str">
        <f>IFERROR(VLOOKUP(B382,'SAÍDA DE VENDAS'!$B$6:$P$500,15,FALSE),"")</f>
        <v/>
      </c>
      <c r="K382" s="28" t="str">
        <f t="shared" ca="1" si="11"/>
        <v/>
      </c>
      <c r="L382" s="28"/>
      <c r="M382" s="28"/>
    </row>
    <row r="383" spans="2:13" ht="15" customHeight="1" x14ac:dyDescent="0.3">
      <c r="B383" s="34" t="str">
        <f>IF(B382="","", IF(VALUE(LEFT(H382,FIND("/",H382)-1)) &lt; VALUE(RIGHT(H382,LEN(H382)-FIND("/",H382))), B382, IFERROR(INDEX('SAÍDA DE VENDAS'!$B$6:$B$500, MATCH(B382,'SAÍDA DE VENDAS'!$B$6:$B$500,0)+COUNTIF('SAÍDA DE VENDAS'!$B$6:$B$500, B382)),"")))</f>
        <v/>
      </c>
      <c r="C383" s="35">
        <f>IFERROR(VLOOKUP(B383,'SAÍDA DE VENDAS'!$B$6:$P$500,3,FALSE),"")</f>
        <v>0</v>
      </c>
      <c r="D383" s="34">
        <f>IFERROR(VLOOKUP(B383,'SAÍDA DE VENDAS'!$B$6:$P$500,4,FALSE),"")</f>
        <v>0</v>
      </c>
      <c r="E383" s="34" t="str">
        <f>IFERROR(VLOOKUP(B383,'SAÍDA DE VENDAS'!$B$6:$P$500,5,FALSE),"")</f>
        <v/>
      </c>
      <c r="F383" s="34" t="str">
        <f>IF(OR(ISBLANK(B383),B383=""), "", IFERROR(INDEX('SAÍDA DE VENDAS'!$H$6:$H$500 &amp; "x " &amp; 'SAÍDA DE VENDAS'!$G$6:$G$500, MATCH(B383, 'SAÍDA DE VENDAS'!$B$6:$B$500, 0)), "")&amp; IF(COUNTIF('SAÍDA DE VENDAS'!$B$6:$B$500, B383)&gt;1, " + " &amp; IFERROR(INDEX('SAÍDA DE VENDAS'!$H$6:$H$500 &amp; "x " &amp; 'SAÍDA DE VENDAS'!$G$6:$G$500, MATCH(B383, 'SAÍDA DE VENDAS'!$B$6:$B$500, 0)+1), ""), "")&amp; IF(COUNTIF('SAÍDA DE VENDAS'!$B$6:$B$500, B383)&gt;2, " + " &amp; IFERROR(INDEX('SAÍDA DE VENDAS'!$H$6:$H$500 &amp; "x " &amp; 'SAÍDA DE VENDAS'!$G$6:$G$500, MATCH(B383, 'SAÍDA DE VENDAS'!$B$6:$B$500, 0)+2), ""), "")&amp; IF(COUNTIF('SAÍDA DE VENDAS'!$B$6:$B$500, B383)&gt;3, " + " &amp; IFERROR(INDEX('SAÍDA DE VENDAS'!$H$6:$H$500 &amp; "x " &amp; 'SAÍDA DE VENDAS'!$G$6:$G$500, MATCH(B383, 'SAÍDA DE VENDAS'!$B$6:$B$500, 0)+3), ""), "")&amp; IF(COUNTIF('SAÍDA DE VENDAS'!$B$6:$B$500, B383)&gt;4, " + " &amp; IFERROR(INDEX('SAÍDA DE VENDAS'!$H$6:$H$500 &amp; "x " &amp; 'SAÍDA DE VENDAS'!$G$6:$G$500, MATCH(B383, 'SAÍDA DE VENDAS'!$B$6:$B$500, 0)+4), ""), "")&amp; IF(COUNTIF('SAÍDA DE VENDAS'!$B$6:$B$500, B383)&gt;5, " + " &amp; IFERROR(INDEX('SAÍDA DE VENDAS'!$H$6:$H$500 &amp; "x " &amp; 'SAÍDA DE VENDAS'!$G$6:$G$500, MATCH(B383, 'SAÍDA DE VENDAS'!$B$6:$B$500, 0)+5), ""), ""))</f>
        <v/>
      </c>
      <c r="G383" s="34">
        <f>IFERROR(VLOOKUP(B383,'SAÍDA DE VENDAS'!$B$6:$P$500,10,FALSE),"")</f>
        <v>0</v>
      </c>
      <c r="H383" s="34" t="str">
        <f>IF(OR(ISBLANK(B383),B383=""), "", IF(B383=B382, (VALUE(LEFT(H382,FIND("/",H382)-1))+1)&amp;"/"&amp;RIGHT(H382,LEN(H382)-FIND("/",H382)), "1/"&amp;IFERROR(VLOOKUP(B383,'SAÍDA DE VENDAS'!$B$6:$P$500,13,FALSE),"1")))</f>
        <v/>
      </c>
      <c r="I383" s="35" t="str">
        <f t="shared" si="10"/>
        <v/>
      </c>
      <c r="J383" s="39" t="str">
        <f>IFERROR(VLOOKUP(B383,'SAÍDA DE VENDAS'!$B$6:$P$500,15,FALSE),"")</f>
        <v/>
      </c>
      <c r="K383" s="34" t="str">
        <f t="shared" ca="1" si="11"/>
        <v/>
      </c>
      <c r="L383" s="34"/>
      <c r="M383" s="34"/>
    </row>
    <row r="384" spans="2:13" ht="15" customHeight="1" x14ac:dyDescent="0.3">
      <c r="B384" s="28" t="str">
        <f>IF(B383="","", IF(VALUE(LEFT(H383,FIND("/",H383)-1)) &lt; VALUE(RIGHT(H383,LEN(H383)-FIND("/",H383))), B383, IFERROR(INDEX('SAÍDA DE VENDAS'!$B$6:$B$500, MATCH(B383,'SAÍDA DE VENDAS'!$B$6:$B$500,0)+COUNTIF('SAÍDA DE VENDAS'!$B$6:$B$500, B383)),"")))</f>
        <v/>
      </c>
      <c r="C384" s="29">
        <f>IFERROR(VLOOKUP(B384,'SAÍDA DE VENDAS'!$B$6:$P$500,3,FALSE),"")</f>
        <v>0</v>
      </c>
      <c r="D384" s="28">
        <f>IFERROR(VLOOKUP(B384,'SAÍDA DE VENDAS'!$B$6:$P$500,4,FALSE),"")</f>
        <v>0</v>
      </c>
      <c r="E384" s="28" t="str">
        <f>IFERROR(VLOOKUP(B384,'SAÍDA DE VENDAS'!$B$6:$P$500,5,FALSE),"")</f>
        <v/>
      </c>
      <c r="F384" s="28" t="str">
        <f>IF(OR(ISBLANK(B384),B384=""), "", IFERROR(INDEX('SAÍDA DE VENDAS'!$H$6:$H$500 &amp; "x " &amp; 'SAÍDA DE VENDAS'!$G$6:$G$500, MATCH(B384, 'SAÍDA DE VENDAS'!$B$6:$B$500, 0)), "")&amp; IF(COUNTIF('SAÍDA DE VENDAS'!$B$6:$B$500, B384)&gt;1, " + " &amp; IFERROR(INDEX('SAÍDA DE VENDAS'!$H$6:$H$500 &amp; "x " &amp; 'SAÍDA DE VENDAS'!$G$6:$G$500, MATCH(B384, 'SAÍDA DE VENDAS'!$B$6:$B$500, 0)+1), ""), "")&amp; IF(COUNTIF('SAÍDA DE VENDAS'!$B$6:$B$500, B384)&gt;2, " + " &amp; IFERROR(INDEX('SAÍDA DE VENDAS'!$H$6:$H$500 &amp; "x " &amp; 'SAÍDA DE VENDAS'!$G$6:$G$500, MATCH(B384, 'SAÍDA DE VENDAS'!$B$6:$B$500, 0)+2), ""), "")&amp; IF(COUNTIF('SAÍDA DE VENDAS'!$B$6:$B$500, B384)&gt;3, " + " &amp; IFERROR(INDEX('SAÍDA DE VENDAS'!$H$6:$H$500 &amp; "x " &amp; 'SAÍDA DE VENDAS'!$G$6:$G$500, MATCH(B384, 'SAÍDA DE VENDAS'!$B$6:$B$500, 0)+3), ""), "")&amp; IF(COUNTIF('SAÍDA DE VENDAS'!$B$6:$B$500, B384)&gt;4, " + " &amp; IFERROR(INDEX('SAÍDA DE VENDAS'!$H$6:$H$500 &amp; "x " &amp; 'SAÍDA DE VENDAS'!$G$6:$G$500, MATCH(B384, 'SAÍDA DE VENDAS'!$B$6:$B$500, 0)+4), ""), "")&amp; IF(COUNTIF('SAÍDA DE VENDAS'!$B$6:$B$500, B384)&gt;5, " + " &amp; IFERROR(INDEX('SAÍDA DE VENDAS'!$H$6:$H$500 &amp; "x " &amp; 'SAÍDA DE VENDAS'!$G$6:$G$500, MATCH(B384, 'SAÍDA DE VENDAS'!$B$6:$B$500, 0)+5), ""), ""))</f>
        <v/>
      </c>
      <c r="G384" s="28">
        <f>IFERROR(VLOOKUP(B384,'SAÍDA DE VENDAS'!$B$6:$P$500,10,FALSE),"")</f>
        <v>0</v>
      </c>
      <c r="H384" s="28" t="str">
        <f>IF(OR(ISBLANK(B384),B384=""), "", IF(B384=B383, (VALUE(LEFT(H383,FIND("/",H383)-1))+1)&amp;"/"&amp;RIGHT(H383,LEN(H383)-FIND("/",H383)), "1/"&amp;IFERROR(VLOOKUP(B384,'SAÍDA DE VENDAS'!$B$6:$P$500,13,FALSE),"1")))</f>
        <v/>
      </c>
      <c r="I384" s="69" t="str">
        <f t="shared" si="10"/>
        <v/>
      </c>
      <c r="J384" s="33" t="str">
        <f>IFERROR(VLOOKUP(B384,'SAÍDA DE VENDAS'!$B$6:$P$500,15,FALSE),"")</f>
        <v/>
      </c>
      <c r="K384" s="28" t="str">
        <f t="shared" ca="1" si="11"/>
        <v/>
      </c>
      <c r="L384" s="28"/>
      <c r="M384" s="28"/>
    </row>
    <row r="385" spans="2:13" ht="15" customHeight="1" x14ac:dyDescent="0.3">
      <c r="B385" s="34" t="str">
        <f>IF(B384="","", IF(VALUE(LEFT(H384,FIND("/",H384)-1)) &lt; VALUE(RIGHT(H384,LEN(H384)-FIND("/",H384))), B384, IFERROR(INDEX('SAÍDA DE VENDAS'!$B$6:$B$500, MATCH(B384,'SAÍDA DE VENDAS'!$B$6:$B$500,0)+COUNTIF('SAÍDA DE VENDAS'!$B$6:$B$500, B384)),"")))</f>
        <v/>
      </c>
      <c r="C385" s="35">
        <f>IFERROR(VLOOKUP(B385,'SAÍDA DE VENDAS'!$B$6:$P$500,3,FALSE),"")</f>
        <v>0</v>
      </c>
      <c r="D385" s="34">
        <f>IFERROR(VLOOKUP(B385,'SAÍDA DE VENDAS'!$B$6:$P$500,4,FALSE),"")</f>
        <v>0</v>
      </c>
      <c r="E385" s="34" t="str">
        <f>IFERROR(VLOOKUP(B385,'SAÍDA DE VENDAS'!$B$6:$P$500,5,FALSE),"")</f>
        <v/>
      </c>
      <c r="F385" s="34" t="str">
        <f>IF(OR(ISBLANK(B385),B385=""), "", IFERROR(INDEX('SAÍDA DE VENDAS'!$H$6:$H$500 &amp; "x " &amp; 'SAÍDA DE VENDAS'!$G$6:$G$500, MATCH(B385, 'SAÍDA DE VENDAS'!$B$6:$B$500, 0)), "")&amp; IF(COUNTIF('SAÍDA DE VENDAS'!$B$6:$B$500, B385)&gt;1, " + " &amp; IFERROR(INDEX('SAÍDA DE VENDAS'!$H$6:$H$500 &amp; "x " &amp; 'SAÍDA DE VENDAS'!$G$6:$G$500, MATCH(B385, 'SAÍDA DE VENDAS'!$B$6:$B$500, 0)+1), ""), "")&amp; IF(COUNTIF('SAÍDA DE VENDAS'!$B$6:$B$500, B385)&gt;2, " + " &amp; IFERROR(INDEX('SAÍDA DE VENDAS'!$H$6:$H$500 &amp; "x " &amp; 'SAÍDA DE VENDAS'!$G$6:$G$500, MATCH(B385, 'SAÍDA DE VENDAS'!$B$6:$B$500, 0)+2), ""), "")&amp; IF(COUNTIF('SAÍDA DE VENDAS'!$B$6:$B$500, B385)&gt;3, " + " &amp; IFERROR(INDEX('SAÍDA DE VENDAS'!$H$6:$H$500 &amp; "x " &amp; 'SAÍDA DE VENDAS'!$G$6:$G$500, MATCH(B385, 'SAÍDA DE VENDAS'!$B$6:$B$500, 0)+3), ""), "")&amp; IF(COUNTIF('SAÍDA DE VENDAS'!$B$6:$B$500, B385)&gt;4, " + " &amp; IFERROR(INDEX('SAÍDA DE VENDAS'!$H$6:$H$500 &amp; "x " &amp; 'SAÍDA DE VENDAS'!$G$6:$G$500, MATCH(B385, 'SAÍDA DE VENDAS'!$B$6:$B$500, 0)+4), ""), "")&amp; IF(COUNTIF('SAÍDA DE VENDAS'!$B$6:$B$500, B385)&gt;5, " + " &amp; IFERROR(INDEX('SAÍDA DE VENDAS'!$H$6:$H$500 &amp; "x " &amp; 'SAÍDA DE VENDAS'!$G$6:$G$500, MATCH(B385, 'SAÍDA DE VENDAS'!$B$6:$B$500, 0)+5), ""), ""))</f>
        <v/>
      </c>
      <c r="G385" s="34">
        <f>IFERROR(VLOOKUP(B385,'SAÍDA DE VENDAS'!$B$6:$P$500,10,FALSE),"")</f>
        <v>0</v>
      </c>
      <c r="H385" s="34" t="str">
        <f>IF(OR(ISBLANK(B385),B385=""), "", IF(B385=B384, (VALUE(LEFT(H384,FIND("/",H384)-1))+1)&amp;"/"&amp;RIGHT(H384,LEN(H384)-FIND("/",H384)), "1/"&amp;IFERROR(VLOOKUP(B385,'SAÍDA DE VENDAS'!$B$6:$P$500,13,FALSE),"1")))</f>
        <v/>
      </c>
      <c r="I385" s="35" t="str">
        <f t="shared" si="10"/>
        <v/>
      </c>
      <c r="J385" s="39" t="str">
        <f>IFERROR(VLOOKUP(B385,'SAÍDA DE VENDAS'!$B$6:$P$500,15,FALSE),"")</f>
        <v/>
      </c>
      <c r="K385" s="34" t="str">
        <f t="shared" ca="1" si="11"/>
        <v/>
      </c>
      <c r="L385" s="34"/>
      <c r="M385" s="34"/>
    </row>
    <row r="386" spans="2:13" ht="15" customHeight="1" x14ac:dyDescent="0.3">
      <c r="B386" s="28" t="str">
        <f>IF(B385="","", IF(VALUE(LEFT(H385,FIND("/",H385)-1)) &lt; VALUE(RIGHT(H385,LEN(H385)-FIND("/",H385))), B385, IFERROR(INDEX('SAÍDA DE VENDAS'!$B$6:$B$500, MATCH(B385,'SAÍDA DE VENDAS'!$B$6:$B$500,0)+COUNTIF('SAÍDA DE VENDAS'!$B$6:$B$500, B385)),"")))</f>
        <v/>
      </c>
      <c r="C386" s="29">
        <f>IFERROR(VLOOKUP(B386,'SAÍDA DE VENDAS'!$B$6:$P$500,3,FALSE),"")</f>
        <v>0</v>
      </c>
      <c r="D386" s="28">
        <f>IFERROR(VLOOKUP(B386,'SAÍDA DE VENDAS'!$B$6:$P$500,4,FALSE),"")</f>
        <v>0</v>
      </c>
      <c r="E386" s="28" t="str">
        <f>IFERROR(VLOOKUP(B386,'SAÍDA DE VENDAS'!$B$6:$P$500,5,FALSE),"")</f>
        <v/>
      </c>
      <c r="F386" s="28" t="str">
        <f>IF(OR(ISBLANK(B386),B386=""), "", IFERROR(INDEX('SAÍDA DE VENDAS'!$H$6:$H$500 &amp; "x " &amp; 'SAÍDA DE VENDAS'!$G$6:$G$500, MATCH(B386, 'SAÍDA DE VENDAS'!$B$6:$B$500, 0)), "")&amp; IF(COUNTIF('SAÍDA DE VENDAS'!$B$6:$B$500, B386)&gt;1, " + " &amp; IFERROR(INDEX('SAÍDA DE VENDAS'!$H$6:$H$500 &amp; "x " &amp; 'SAÍDA DE VENDAS'!$G$6:$G$500, MATCH(B386, 'SAÍDA DE VENDAS'!$B$6:$B$500, 0)+1), ""), "")&amp; IF(COUNTIF('SAÍDA DE VENDAS'!$B$6:$B$500, B386)&gt;2, " + " &amp; IFERROR(INDEX('SAÍDA DE VENDAS'!$H$6:$H$500 &amp; "x " &amp; 'SAÍDA DE VENDAS'!$G$6:$G$500, MATCH(B386, 'SAÍDA DE VENDAS'!$B$6:$B$500, 0)+2), ""), "")&amp; IF(COUNTIF('SAÍDA DE VENDAS'!$B$6:$B$500, B386)&gt;3, " + " &amp; IFERROR(INDEX('SAÍDA DE VENDAS'!$H$6:$H$500 &amp; "x " &amp; 'SAÍDA DE VENDAS'!$G$6:$G$500, MATCH(B386, 'SAÍDA DE VENDAS'!$B$6:$B$500, 0)+3), ""), "")&amp; IF(COUNTIF('SAÍDA DE VENDAS'!$B$6:$B$500, B386)&gt;4, " + " &amp; IFERROR(INDEX('SAÍDA DE VENDAS'!$H$6:$H$500 &amp; "x " &amp; 'SAÍDA DE VENDAS'!$G$6:$G$500, MATCH(B386, 'SAÍDA DE VENDAS'!$B$6:$B$500, 0)+4), ""), "")&amp; IF(COUNTIF('SAÍDA DE VENDAS'!$B$6:$B$500, B386)&gt;5, " + " &amp; IFERROR(INDEX('SAÍDA DE VENDAS'!$H$6:$H$500 &amp; "x " &amp; 'SAÍDA DE VENDAS'!$G$6:$G$500, MATCH(B386, 'SAÍDA DE VENDAS'!$B$6:$B$500, 0)+5), ""), ""))</f>
        <v/>
      </c>
      <c r="G386" s="28">
        <f>IFERROR(VLOOKUP(B386,'SAÍDA DE VENDAS'!$B$6:$P$500,10,FALSE),"")</f>
        <v>0</v>
      </c>
      <c r="H386" s="28" t="str">
        <f>IF(OR(ISBLANK(B386),B386=""), "", IF(B386=B385, (VALUE(LEFT(H385,FIND("/",H385)-1))+1)&amp;"/"&amp;RIGHT(H385,LEN(H385)-FIND("/",H385)), "1/"&amp;IFERROR(VLOOKUP(B386,'SAÍDA DE VENDAS'!$B$6:$P$500,13,FALSE),"1")))</f>
        <v/>
      </c>
      <c r="I386" s="69" t="str">
        <f t="shared" si="10"/>
        <v/>
      </c>
      <c r="J386" s="33" t="str">
        <f>IFERROR(VLOOKUP(B386,'SAÍDA DE VENDAS'!$B$6:$P$500,15,FALSE),"")</f>
        <v/>
      </c>
      <c r="K386" s="28" t="str">
        <f t="shared" ca="1" si="11"/>
        <v/>
      </c>
      <c r="L386" s="28"/>
      <c r="M386" s="28"/>
    </row>
    <row r="387" spans="2:13" ht="15" customHeight="1" x14ac:dyDescent="0.3">
      <c r="B387" s="34" t="str">
        <f>IF(B386="","", IF(VALUE(LEFT(H386,FIND("/",H386)-1)) &lt; VALUE(RIGHT(H386,LEN(H386)-FIND("/",H386))), B386, IFERROR(INDEX('SAÍDA DE VENDAS'!$B$6:$B$500, MATCH(B386,'SAÍDA DE VENDAS'!$B$6:$B$500,0)+COUNTIF('SAÍDA DE VENDAS'!$B$6:$B$500, B386)),"")))</f>
        <v/>
      </c>
      <c r="C387" s="35">
        <f>IFERROR(VLOOKUP(B387,'SAÍDA DE VENDAS'!$B$6:$P$500,3,FALSE),"")</f>
        <v>0</v>
      </c>
      <c r="D387" s="34">
        <f>IFERROR(VLOOKUP(B387,'SAÍDA DE VENDAS'!$B$6:$P$500,4,FALSE),"")</f>
        <v>0</v>
      </c>
      <c r="E387" s="34" t="str">
        <f>IFERROR(VLOOKUP(B387,'SAÍDA DE VENDAS'!$B$6:$P$500,5,FALSE),"")</f>
        <v/>
      </c>
      <c r="F387" s="34" t="str">
        <f>IF(OR(ISBLANK(B387),B387=""), "", IFERROR(INDEX('SAÍDA DE VENDAS'!$H$6:$H$500 &amp; "x " &amp; 'SAÍDA DE VENDAS'!$G$6:$G$500, MATCH(B387, 'SAÍDA DE VENDAS'!$B$6:$B$500, 0)), "")&amp; IF(COUNTIF('SAÍDA DE VENDAS'!$B$6:$B$500, B387)&gt;1, " + " &amp; IFERROR(INDEX('SAÍDA DE VENDAS'!$H$6:$H$500 &amp; "x " &amp; 'SAÍDA DE VENDAS'!$G$6:$G$500, MATCH(B387, 'SAÍDA DE VENDAS'!$B$6:$B$500, 0)+1), ""), "")&amp; IF(COUNTIF('SAÍDA DE VENDAS'!$B$6:$B$500, B387)&gt;2, " + " &amp; IFERROR(INDEX('SAÍDA DE VENDAS'!$H$6:$H$500 &amp; "x " &amp; 'SAÍDA DE VENDAS'!$G$6:$G$500, MATCH(B387, 'SAÍDA DE VENDAS'!$B$6:$B$500, 0)+2), ""), "")&amp; IF(COUNTIF('SAÍDA DE VENDAS'!$B$6:$B$500, B387)&gt;3, " + " &amp; IFERROR(INDEX('SAÍDA DE VENDAS'!$H$6:$H$500 &amp; "x " &amp; 'SAÍDA DE VENDAS'!$G$6:$G$500, MATCH(B387, 'SAÍDA DE VENDAS'!$B$6:$B$500, 0)+3), ""), "")&amp; IF(COUNTIF('SAÍDA DE VENDAS'!$B$6:$B$500, B387)&gt;4, " + " &amp; IFERROR(INDEX('SAÍDA DE VENDAS'!$H$6:$H$500 &amp; "x " &amp; 'SAÍDA DE VENDAS'!$G$6:$G$500, MATCH(B387, 'SAÍDA DE VENDAS'!$B$6:$B$500, 0)+4), ""), "")&amp; IF(COUNTIF('SAÍDA DE VENDAS'!$B$6:$B$500, B387)&gt;5, " + " &amp; IFERROR(INDEX('SAÍDA DE VENDAS'!$H$6:$H$500 &amp; "x " &amp; 'SAÍDA DE VENDAS'!$G$6:$G$500, MATCH(B387, 'SAÍDA DE VENDAS'!$B$6:$B$500, 0)+5), ""), ""))</f>
        <v/>
      </c>
      <c r="G387" s="34">
        <f>IFERROR(VLOOKUP(B387,'SAÍDA DE VENDAS'!$B$6:$P$500,10,FALSE),"")</f>
        <v>0</v>
      </c>
      <c r="H387" s="34" t="str">
        <f>IF(OR(ISBLANK(B387),B387=""), "", IF(B387=B386, (VALUE(LEFT(H386,FIND("/",H386)-1))+1)&amp;"/"&amp;RIGHT(H386,LEN(H386)-FIND("/",H386)), "1/"&amp;IFERROR(VLOOKUP(B387,'SAÍDA DE VENDAS'!$B$6:$P$500,13,FALSE),"1")))</f>
        <v/>
      </c>
      <c r="I387" s="35" t="str">
        <f t="shared" si="10"/>
        <v/>
      </c>
      <c r="J387" s="39" t="str">
        <f>IFERROR(VLOOKUP(B387,'SAÍDA DE VENDAS'!$B$6:$P$500,15,FALSE),"")</f>
        <v/>
      </c>
      <c r="K387" s="34" t="str">
        <f t="shared" ca="1" si="11"/>
        <v/>
      </c>
      <c r="L387" s="34"/>
      <c r="M387" s="34"/>
    </row>
    <row r="388" spans="2:13" ht="15" customHeight="1" x14ac:dyDescent="0.3">
      <c r="B388" s="28" t="str">
        <f>IF(B387="","", IF(VALUE(LEFT(H387,FIND("/",H387)-1)) &lt; VALUE(RIGHT(H387,LEN(H387)-FIND("/",H387))), B387, IFERROR(INDEX('SAÍDA DE VENDAS'!$B$6:$B$500, MATCH(B387,'SAÍDA DE VENDAS'!$B$6:$B$500,0)+COUNTIF('SAÍDA DE VENDAS'!$B$6:$B$500, B387)),"")))</f>
        <v/>
      </c>
      <c r="C388" s="29">
        <f>IFERROR(VLOOKUP(B388,'SAÍDA DE VENDAS'!$B$6:$P$500,3,FALSE),"")</f>
        <v>0</v>
      </c>
      <c r="D388" s="28">
        <f>IFERROR(VLOOKUP(B388,'SAÍDA DE VENDAS'!$B$6:$P$500,4,FALSE),"")</f>
        <v>0</v>
      </c>
      <c r="E388" s="28" t="str">
        <f>IFERROR(VLOOKUP(B388,'SAÍDA DE VENDAS'!$B$6:$P$500,5,FALSE),"")</f>
        <v/>
      </c>
      <c r="F388" s="28" t="str">
        <f>IF(OR(ISBLANK(B388),B388=""), "", IFERROR(INDEX('SAÍDA DE VENDAS'!$H$6:$H$500 &amp; "x " &amp; 'SAÍDA DE VENDAS'!$G$6:$G$500, MATCH(B388, 'SAÍDA DE VENDAS'!$B$6:$B$500, 0)), "")&amp; IF(COUNTIF('SAÍDA DE VENDAS'!$B$6:$B$500, B388)&gt;1, " + " &amp; IFERROR(INDEX('SAÍDA DE VENDAS'!$H$6:$H$500 &amp; "x " &amp; 'SAÍDA DE VENDAS'!$G$6:$G$500, MATCH(B388, 'SAÍDA DE VENDAS'!$B$6:$B$500, 0)+1), ""), "")&amp; IF(COUNTIF('SAÍDA DE VENDAS'!$B$6:$B$500, B388)&gt;2, " + " &amp; IFERROR(INDEX('SAÍDA DE VENDAS'!$H$6:$H$500 &amp; "x " &amp; 'SAÍDA DE VENDAS'!$G$6:$G$500, MATCH(B388, 'SAÍDA DE VENDAS'!$B$6:$B$500, 0)+2), ""), "")&amp; IF(COUNTIF('SAÍDA DE VENDAS'!$B$6:$B$500, B388)&gt;3, " + " &amp; IFERROR(INDEX('SAÍDA DE VENDAS'!$H$6:$H$500 &amp; "x " &amp; 'SAÍDA DE VENDAS'!$G$6:$G$500, MATCH(B388, 'SAÍDA DE VENDAS'!$B$6:$B$500, 0)+3), ""), "")&amp; IF(COUNTIF('SAÍDA DE VENDAS'!$B$6:$B$500, B388)&gt;4, " + " &amp; IFERROR(INDEX('SAÍDA DE VENDAS'!$H$6:$H$500 &amp; "x " &amp; 'SAÍDA DE VENDAS'!$G$6:$G$500, MATCH(B388, 'SAÍDA DE VENDAS'!$B$6:$B$500, 0)+4), ""), "")&amp; IF(COUNTIF('SAÍDA DE VENDAS'!$B$6:$B$500, B388)&gt;5, " + " &amp; IFERROR(INDEX('SAÍDA DE VENDAS'!$H$6:$H$500 &amp; "x " &amp; 'SAÍDA DE VENDAS'!$G$6:$G$500, MATCH(B388, 'SAÍDA DE VENDAS'!$B$6:$B$500, 0)+5), ""), ""))</f>
        <v/>
      </c>
      <c r="G388" s="28">
        <f>IFERROR(VLOOKUP(B388,'SAÍDA DE VENDAS'!$B$6:$P$500,10,FALSE),"")</f>
        <v>0</v>
      </c>
      <c r="H388" s="28" t="str">
        <f>IF(OR(ISBLANK(B388),B388=""), "", IF(B388=B387, (VALUE(LEFT(H387,FIND("/",H387)-1))+1)&amp;"/"&amp;RIGHT(H387,LEN(H387)-FIND("/",H387)), "1/"&amp;IFERROR(VLOOKUP(B388,'SAÍDA DE VENDAS'!$B$6:$P$500,13,FALSE),"1")))</f>
        <v/>
      </c>
      <c r="I388" s="69" t="str">
        <f t="shared" si="10"/>
        <v/>
      </c>
      <c r="J388" s="33" t="str">
        <f>IFERROR(VLOOKUP(B388,'SAÍDA DE VENDAS'!$B$6:$P$500,15,FALSE),"")</f>
        <v/>
      </c>
      <c r="K388" s="28" t="str">
        <f t="shared" ca="1" si="11"/>
        <v/>
      </c>
      <c r="L388" s="28"/>
      <c r="M388" s="28"/>
    </row>
    <row r="389" spans="2:13" ht="15" customHeight="1" x14ac:dyDescent="0.3">
      <c r="B389" s="34" t="str">
        <f>IF(B388="","", IF(VALUE(LEFT(H388,FIND("/",H388)-1)) &lt; VALUE(RIGHT(H388,LEN(H388)-FIND("/",H388))), B388, IFERROR(INDEX('SAÍDA DE VENDAS'!$B$6:$B$500, MATCH(B388,'SAÍDA DE VENDAS'!$B$6:$B$500,0)+COUNTIF('SAÍDA DE VENDAS'!$B$6:$B$500, B388)),"")))</f>
        <v/>
      </c>
      <c r="C389" s="35">
        <f>IFERROR(VLOOKUP(B389,'SAÍDA DE VENDAS'!$B$6:$P$500,3,FALSE),"")</f>
        <v>0</v>
      </c>
      <c r="D389" s="34">
        <f>IFERROR(VLOOKUP(B389,'SAÍDA DE VENDAS'!$B$6:$P$500,4,FALSE),"")</f>
        <v>0</v>
      </c>
      <c r="E389" s="34" t="str">
        <f>IFERROR(VLOOKUP(B389,'SAÍDA DE VENDAS'!$B$6:$P$500,5,FALSE),"")</f>
        <v/>
      </c>
      <c r="F389" s="34" t="str">
        <f>IF(OR(ISBLANK(B389),B389=""), "", IFERROR(INDEX('SAÍDA DE VENDAS'!$H$6:$H$500 &amp; "x " &amp; 'SAÍDA DE VENDAS'!$G$6:$G$500, MATCH(B389, 'SAÍDA DE VENDAS'!$B$6:$B$500, 0)), "")&amp; IF(COUNTIF('SAÍDA DE VENDAS'!$B$6:$B$500, B389)&gt;1, " + " &amp; IFERROR(INDEX('SAÍDA DE VENDAS'!$H$6:$H$500 &amp; "x " &amp; 'SAÍDA DE VENDAS'!$G$6:$G$500, MATCH(B389, 'SAÍDA DE VENDAS'!$B$6:$B$500, 0)+1), ""), "")&amp; IF(COUNTIF('SAÍDA DE VENDAS'!$B$6:$B$500, B389)&gt;2, " + " &amp; IFERROR(INDEX('SAÍDA DE VENDAS'!$H$6:$H$500 &amp; "x " &amp; 'SAÍDA DE VENDAS'!$G$6:$G$500, MATCH(B389, 'SAÍDA DE VENDAS'!$B$6:$B$500, 0)+2), ""), "")&amp; IF(COUNTIF('SAÍDA DE VENDAS'!$B$6:$B$500, B389)&gt;3, " + " &amp; IFERROR(INDEX('SAÍDA DE VENDAS'!$H$6:$H$500 &amp; "x " &amp; 'SAÍDA DE VENDAS'!$G$6:$G$500, MATCH(B389, 'SAÍDA DE VENDAS'!$B$6:$B$500, 0)+3), ""), "")&amp; IF(COUNTIF('SAÍDA DE VENDAS'!$B$6:$B$500, B389)&gt;4, " + " &amp; IFERROR(INDEX('SAÍDA DE VENDAS'!$H$6:$H$500 &amp; "x " &amp; 'SAÍDA DE VENDAS'!$G$6:$G$500, MATCH(B389, 'SAÍDA DE VENDAS'!$B$6:$B$500, 0)+4), ""), "")&amp; IF(COUNTIF('SAÍDA DE VENDAS'!$B$6:$B$500, B389)&gt;5, " + " &amp; IFERROR(INDEX('SAÍDA DE VENDAS'!$H$6:$H$500 &amp; "x " &amp; 'SAÍDA DE VENDAS'!$G$6:$G$500, MATCH(B389, 'SAÍDA DE VENDAS'!$B$6:$B$500, 0)+5), ""), ""))</f>
        <v/>
      </c>
      <c r="G389" s="34">
        <f>IFERROR(VLOOKUP(B389,'SAÍDA DE VENDAS'!$B$6:$P$500,10,FALSE),"")</f>
        <v>0</v>
      </c>
      <c r="H389" s="34" t="str">
        <f>IF(OR(ISBLANK(B389),B389=""), "", IF(B389=B388, (VALUE(LEFT(H388,FIND("/",H388)-1))+1)&amp;"/"&amp;RIGHT(H388,LEN(H388)-FIND("/",H388)), "1/"&amp;IFERROR(VLOOKUP(B389,'SAÍDA DE VENDAS'!$B$6:$P$500,13,FALSE),"1")))</f>
        <v/>
      </c>
      <c r="I389" s="35" t="str">
        <f t="shared" si="10"/>
        <v/>
      </c>
      <c r="J389" s="39" t="str">
        <f>IFERROR(VLOOKUP(B389,'SAÍDA DE VENDAS'!$B$6:$P$500,15,FALSE),"")</f>
        <v/>
      </c>
      <c r="K389" s="34" t="str">
        <f t="shared" ca="1" si="11"/>
        <v/>
      </c>
      <c r="L389" s="34"/>
      <c r="M389" s="34"/>
    </row>
    <row r="390" spans="2:13" ht="15" customHeight="1" x14ac:dyDescent="0.3">
      <c r="B390" s="28" t="str">
        <f>IF(B389="","", IF(VALUE(LEFT(H389,FIND("/",H389)-1)) &lt; VALUE(RIGHT(H389,LEN(H389)-FIND("/",H389))), B389, IFERROR(INDEX('SAÍDA DE VENDAS'!$B$6:$B$500, MATCH(B389,'SAÍDA DE VENDAS'!$B$6:$B$500,0)+COUNTIF('SAÍDA DE VENDAS'!$B$6:$B$500, B389)),"")))</f>
        <v/>
      </c>
      <c r="C390" s="29">
        <f>IFERROR(VLOOKUP(B390,'SAÍDA DE VENDAS'!$B$6:$P$500,3,FALSE),"")</f>
        <v>0</v>
      </c>
      <c r="D390" s="28">
        <f>IFERROR(VLOOKUP(B390,'SAÍDA DE VENDAS'!$B$6:$P$500,4,FALSE),"")</f>
        <v>0</v>
      </c>
      <c r="E390" s="28" t="str">
        <f>IFERROR(VLOOKUP(B390,'SAÍDA DE VENDAS'!$B$6:$P$500,5,FALSE),"")</f>
        <v/>
      </c>
      <c r="F390" s="28" t="str">
        <f>IF(OR(ISBLANK(B390),B390=""), "", IFERROR(INDEX('SAÍDA DE VENDAS'!$H$6:$H$500 &amp; "x " &amp; 'SAÍDA DE VENDAS'!$G$6:$G$500, MATCH(B390, 'SAÍDA DE VENDAS'!$B$6:$B$500, 0)), "")&amp; IF(COUNTIF('SAÍDA DE VENDAS'!$B$6:$B$500, B390)&gt;1, " + " &amp; IFERROR(INDEX('SAÍDA DE VENDAS'!$H$6:$H$500 &amp; "x " &amp; 'SAÍDA DE VENDAS'!$G$6:$G$500, MATCH(B390, 'SAÍDA DE VENDAS'!$B$6:$B$500, 0)+1), ""), "")&amp; IF(COUNTIF('SAÍDA DE VENDAS'!$B$6:$B$500, B390)&gt;2, " + " &amp; IFERROR(INDEX('SAÍDA DE VENDAS'!$H$6:$H$500 &amp; "x " &amp; 'SAÍDA DE VENDAS'!$G$6:$G$500, MATCH(B390, 'SAÍDA DE VENDAS'!$B$6:$B$500, 0)+2), ""), "")&amp; IF(COUNTIF('SAÍDA DE VENDAS'!$B$6:$B$500, B390)&gt;3, " + " &amp; IFERROR(INDEX('SAÍDA DE VENDAS'!$H$6:$H$500 &amp; "x " &amp; 'SAÍDA DE VENDAS'!$G$6:$G$500, MATCH(B390, 'SAÍDA DE VENDAS'!$B$6:$B$500, 0)+3), ""), "")&amp; IF(COUNTIF('SAÍDA DE VENDAS'!$B$6:$B$500, B390)&gt;4, " + " &amp; IFERROR(INDEX('SAÍDA DE VENDAS'!$H$6:$H$500 &amp; "x " &amp; 'SAÍDA DE VENDAS'!$G$6:$G$500, MATCH(B390, 'SAÍDA DE VENDAS'!$B$6:$B$500, 0)+4), ""), "")&amp; IF(COUNTIF('SAÍDA DE VENDAS'!$B$6:$B$500, B390)&gt;5, " + " &amp; IFERROR(INDEX('SAÍDA DE VENDAS'!$H$6:$H$500 &amp; "x " &amp; 'SAÍDA DE VENDAS'!$G$6:$G$500, MATCH(B390, 'SAÍDA DE VENDAS'!$B$6:$B$500, 0)+5), ""), ""))</f>
        <v/>
      </c>
      <c r="G390" s="28">
        <f>IFERROR(VLOOKUP(B390,'SAÍDA DE VENDAS'!$B$6:$P$500,10,FALSE),"")</f>
        <v>0</v>
      </c>
      <c r="H390" s="28" t="str">
        <f>IF(OR(ISBLANK(B390),B390=""), "", IF(B390=B389, (VALUE(LEFT(H389,FIND("/",H389)-1))+1)&amp;"/"&amp;RIGHT(H389,LEN(H389)-FIND("/",H389)), "1/"&amp;IFERROR(VLOOKUP(B390,'SAÍDA DE VENDAS'!$B$6:$P$500,13,FALSE),"1")))</f>
        <v/>
      </c>
      <c r="I390" s="69" t="str">
        <f t="shared" ref="I390:I453" si="12">IF(OR(ISBLANK(B390), B390="", C390=""), "", C390 + (IFERROR(VALUE(LEFT(H390, FIND("/", H390)-1)), 1) * 30))</f>
        <v/>
      </c>
      <c r="J390" s="33" t="str">
        <f>IFERROR(VLOOKUP(B390,'SAÍDA DE VENDAS'!$B$6:$P$500,15,FALSE),"")</f>
        <v/>
      </c>
      <c r="K390" s="28" t="str">
        <f t="shared" ref="K390:K453" ca="1" si="13">IF(B390="","", IF(OR(G390="À Vista", L390&lt;&gt;""), "Pago", IF(AND(I390&lt;&gt;"", I390&lt;TODAY()), "Atrasado", "Pendente")))</f>
        <v/>
      </c>
      <c r="L390" s="28"/>
      <c r="M390" s="28"/>
    </row>
    <row r="391" spans="2:13" ht="15" customHeight="1" x14ac:dyDescent="0.3">
      <c r="B391" s="34" t="str">
        <f>IF(B390="","", IF(VALUE(LEFT(H390,FIND("/",H390)-1)) &lt; VALUE(RIGHT(H390,LEN(H390)-FIND("/",H390))), B390, IFERROR(INDEX('SAÍDA DE VENDAS'!$B$6:$B$500, MATCH(B390,'SAÍDA DE VENDAS'!$B$6:$B$500,0)+COUNTIF('SAÍDA DE VENDAS'!$B$6:$B$500, B390)),"")))</f>
        <v/>
      </c>
      <c r="C391" s="35">
        <f>IFERROR(VLOOKUP(B391,'SAÍDA DE VENDAS'!$B$6:$P$500,3,FALSE),"")</f>
        <v>0</v>
      </c>
      <c r="D391" s="34">
        <f>IFERROR(VLOOKUP(B391,'SAÍDA DE VENDAS'!$B$6:$P$500,4,FALSE),"")</f>
        <v>0</v>
      </c>
      <c r="E391" s="34" t="str">
        <f>IFERROR(VLOOKUP(B391,'SAÍDA DE VENDAS'!$B$6:$P$500,5,FALSE),"")</f>
        <v/>
      </c>
      <c r="F391" s="34" t="str">
        <f>IF(OR(ISBLANK(B391),B391=""), "", IFERROR(INDEX('SAÍDA DE VENDAS'!$H$6:$H$500 &amp; "x " &amp; 'SAÍDA DE VENDAS'!$G$6:$G$500, MATCH(B391, 'SAÍDA DE VENDAS'!$B$6:$B$500, 0)), "")&amp; IF(COUNTIF('SAÍDA DE VENDAS'!$B$6:$B$500, B391)&gt;1, " + " &amp; IFERROR(INDEX('SAÍDA DE VENDAS'!$H$6:$H$500 &amp; "x " &amp; 'SAÍDA DE VENDAS'!$G$6:$G$500, MATCH(B391, 'SAÍDA DE VENDAS'!$B$6:$B$500, 0)+1), ""), "")&amp; IF(COUNTIF('SAÍDA DE VENDAS'!$B$6:$B$500, B391)&gt;2, " + " &amp; IFERROR(INDEX('SAÍDA DE VENDAS'!$H$6:$H$500 &amp; "x " &amp; 'SAÍDA DE VENDAS'!$G$6:$G$500, MATCH(B391, 'SAÍDA DE VENDAS'!$B$6:$B$500, 0)+2), ""), "")&amp; IF(COUNTIF('SAÍDA DE VENDAS'!$B$6:$B$500, B391)&gt;3, " + " &amp; IFERROR(INDEX('SAÍDA DE VENDAS'!$H$6:$H$500 &amp; "x " &amp; 'SAÍDA DE VENDAS'!$G$6:$G$500, MATCH(B391, 'SAÍDA DE VENDAS'!$B$6:$B$500, 0)+3), ""), "")&amp; IF(COUNTIF('SAÍDA DE VENDAS'!$B$6:$B$500, B391)&gt;4, " + " &amp; IFERROR(INDEX('SAÍDA DE VENDAS'!$H$6:$H$500 &amp; "x " &amp; 'SAÍDA DE VENDAS'!$G$6:$G$500, MATCH(B391, 'SAÍDA DE VENDAS'!$B$6:$B$500, 0)+4), ""), "")&amp; IF(COUNTIF('SAÍDA DE VENDAS'!$B$6:$B$500, B391)&gt;5, " + " &amp; IFERROR(INDEX('SAÍDA DE VENDAS'!$H$6:$H$500 &amp; "x " &amp; 'SAÍDA DE VENDAS'!$G$6:$G$500, MATCH(B391, 'SAÍDA DE VENDAS'!$B$6:$B$500, 0)+5), ""), ""))</f>
        <v/>
      </c>
      <c r="G391" s="34">
        <f>IFERROR(VLOOKUP(B391,'SAÍDA DE VENDAS'!$B$6:$P$500,10,FALSE),"")</f>
        <v>0</v>
      </c>
      <c r="H391" s="34" t="str">
        <f>IF(OR(ISBLANK(B391),B391=""), "", IF(B391=B390, (VALUE(LEFT(H390,FIND("/",H390)-1))+1)&amp;"/"&amp;RIGHT(H390,LEN(H390)-FIND("/",H390)), "1/"&amp;IFERROR(VLOOKUP(B391,'SAÍDA DE VENDAS'!$B$6:$P$500,13,FALSE),"1")))</f>
        <v/>
      </c>
      <c r="I391" s="35" t="str">
        <f t="shared" si="12"/>
        <v/>
      </c>
      <c r="J391" s="39" t="str">
        <f>IFERROR(VLOOKUP(B391,'SAÍDA DE VENDAS'!$B$6:$P$500,15,FALSE),"")</f>
        <v/>
      </c>
      <c r="K391" s="34" t="str">
        <f t="shared" ca="1" si="13"/>
        <v/>
      </c>
      <c r="L391" s="34"/>
      <c r="M391" s="34"/>
    </row>
    <row r="392" spans="2:13" ht="15" customHeight="1" x14ac:dyDescent="0.3">
      <c r="B392" s="28" t="str">
        <f>IF(B391="","", IF(VALUE(LEFT(H391,FIND("/",H391)-1)) &lt; VALUE(RIGHT(H391,LEN(H391)-FIND("/",H391))), B391, IFERROR(INDEX('SAÍDA DE VENDAS'!$B$6:$B$500, MATCH(B391,'SAÍDA DE VENDAS'!$B$6:$B$500,0)+COUNTIF('SAÍDA DE VENDAS'!$B$6:$B$500, B391)),"")))</f>
        <v/>
      </c>
      <c r="C392" s="29">
        <f>IFERROR(VLOOKUP(B392,'SAÍDA DE VENDAS'!$B$6:$P$500,3,FALSE),"")</f>
        <v>0</v>
      </c>
      <c r="D392" s="28">
        <f>IFERROR(VLOOKUP(B392,'SAÍDA DE VENDAS'!$B$6:$P$500,4,FALSE),"")</f>
        <v>0</v>
      </c>
      <c r="E392" s="28" t="str">
        <f>IFERROR(VLOOKUP(B392,'SAÍDA DE VENDAS'!$B$6:$P$500,5,FALSE),"")</f>
        <v/>
      </c>
      <c r="F392" s="28" t="str">
        <f>IF(OR(ISBLANK(B392),B392=""), "", IFERROR(INDEX('SAÍDA DE VENDAS'!$H$6:$H$500 &amp; "x " &amp; 'SAÍDA DE VENDAS'!$G$6:$G$500, MATCH(B392, 'SAÍDA DE VENDAS'!$B$6:$B$500, 0)), "")&amp; IF(COUNTIF('SAÍDA DE VENDAS'!$B$6:$B$500, B392)&gt;1, " + " &amp; IFERROR(INDEX('SAÍDA DE VENDAS'!$H$6:$H$500 &amp; "x " &amp; 'SAÍDA DE VENDAS'!$G$6:$G$500, MATCH(B392, 'SAÍDA DE VENDAS'!$B$6:$B$500, 0)+1), ""), "")&amp; IF(COUNTIF('SAÍDA DE VENDAS'!$B$6:$B$500, B392)&gt;2, " + " &amp; IFERROR(INDEX('SAÍDA DE VENDAS'!$H$6:$H$500 &amp; "x " &amp; 'SAÍDA DE VENDAS'!$G$6:$G$500, MATCH(B392, 'SAÍDA DE VENDAS'!$B$6:$B$500, 0)+2), ""), "")&amp; IF(COUNTIF('SAÍDA DE VENDAS'!$B$6:$B$500, B392)&gt;3, " + " &amp; IFERROR(INDEX('SAÍDA DE VENDAS'!$H$6:$H$500 &amp; "x " &amp; 'SAÍDA DE VENDAS'!$G$6:$G$500, MATCH(B392, 'SAÍDA DE VENDAS'!$B$6:$B$500, 0)+3), ""), "")&amp; IF(COUNTIF('SAÍDA DE VENDAS'!$B$6:$B$500, B392)&gt;4, " + " &amp; IFERROR(INDEX('SAÍDA DE VENDAS'!$H$6:$H$500 &amp; "x " &amp; 'SAÍDA DE VENDAS'!$G$6:$G$500, MATCH(B392, 'SAÍDA DE VENDAS'!$B$6:$B$500, 0)+4), ""), "")&amp; IF(COUNTIF('SAÍDA DE VENDAS'!$B$6:$B$500, B392)&gt;5, " + " &amp; IFERROR(INDEX('SAÍDA DE VENDAS'!$H$6:$H$500 &amp; "x " &amp; 'SAÍDA DE VENDAS'!$G$6:$G$500, MATCH(B392, 'SAÍDA DE VENDAS'!$B$6:$B$500, 0)+5), ""), ""))</f>
        <v/>
      </c>
      <c r="G392" s="28">
        <f>IFERROR(VLOOKUP(B392,'SAÍDA DE VENDAS'!$B$6:$P$500,10,FALSE),"")</f>
        <v>0</v>
      </c>
      <c r="H392" s="28" t="str">
        <f>IF(OR(ISBLANK(B392),B392=""), "", IF(B392=B391, (VALUE(LEFT(H391,FIND("/",H391)-1))+1)&amp;"/"&amp;RIGHT(H391,LEN(H391)-FIND("/",H391)), "1/"&amp;IFERROR(VLOOKUP(B392,'SAÍDA DE VENDAS'!$B$6:$P$500,13,FALSE),"1")))</f>
        <v/>
      </c>
      <c r="I392" s="69" t="str">
        <f t="shared" si="12"/>
        <v/>
      </c>
      <c r="J392" s="33" t="str">
        <f>IFERROR(VLOOKUP(B392,'SAÍDA DE VENDAS'!$B$6:$P$500,15,FALSE),"")</f>
        <v/>
      </c>
      <c r="K392" s="28" t="str">
        <f t="shared" ca="1" si="13"/>
        <v/>
      </c>
      <c r="L392" s="28"/>
      <c r="M392" s="28"/>
    </row>
    <row r="393" spans="2:13" ht="15" customHeight="1" x14ac:dyDescent="0.3">
      <c r="B393" s="34" t="str">
        <f>IF(B392="","", IF(VALUE(LEFT(H392,FIND("/",H392)-1)) &lt; VALUE(RIGHT(H392,LEN(H392)-FIND("/",H392))), B392, IFERROR(INDEX('SAÍDA DE VENDAS'!$B$6:$B$500, MATCH(B392,'SAÍDA DE VENDAS'!$B$6:$B$500,0)+COUNTIF('SAÍDA DE VENDAS'!$B$6:$B$500, B392)),"")))</f>
        <v/>
      </c>
      <c r="C393" s="35">
        <f>IFERROR(VLOOKUP(B393,'SAÍDA DE VENDAS'!$B$6:$P$500,3,FALSE),"")</f>
        <v>0</v>
      </c>
      <c r="D393" s="34">
        <f>IFERROR(VLOOKUP(B393,'SAÍDA DE VENDAS'!$B$6:$P$500,4,FALSE),"")</f>
        <v>0</v>
      </c>
      <c r="E393" s="34" t="str">
        <f>IFERROR(VLOOKUP(B393,'SAÍDA DE VENDAS'!$B$6:$P$500,5,FALSE),"")</f>
        <v/>
      </c>
      <c r="F393" s="34" t="str">
        <f>IF(OR(ISBLANK(B393),B393=""), "", IFERROR(INDEX('SAÍDA DE VENDAS'!$H$6:$H$500 &amp; "x " &amp; 'SAÍDA DE VENDAS'!$G$6:$G$500, MATCH(B393, 'SAÍDA DE VENDAS'!$B$6:$B$500, 0)), "")&amp; IF(COUNTIF('SAÍDA DE VENDAS'!$B$6:$B$500, B393)&gt;1, " + " &amp; IFERROR(INDEX('SAÍDA DE VENDAS'!$H$6:$H$500 &amp; "x " &amp; 'SAÍDA DE VENDAS'!$G$6:$G$500, MATCH(B393, 'SAÍDA DE VENDAS'!$B$6:$B$500, 0)+1), ""), "")&amp; IF(COUNTIF('SAÍDA DE VENDAS'!$B$6:$B$500, B393)&gt;2, " + " &amp; IFERROR(INDEX('SAÍDA DE VENDAS'!$H$6:$H$500 &amp; "x " &amp; 'SAÍDA DE VENDAS'!$G$6:$G$500, MATCH(B393, 'SAÍDA DE VENDAS'!$B$6:$B$500, 0)+2), ""), "")&amp; IF(COUNTIF('SAÍDA DE VENDAS'!$B$6:$B$500, B393)&gt;3, " + " &amp; IFERROR(INDEX('SAÍDA DE VENDAS'!$H$6:$H$500 &amp; "x " &amp; 'SAÍDA DE VENDAS'!$G$6:$G$500, MATCH(B393, 'SAÍDA DE VENDAS'!$B$6:$B$500, 0)+3), ""), "")&amp; IF(COUNTIF('SAÍDA DE VENDAS'!$B$6:$B$500, B393)&gt;4, " + " &amp; IFERROR(INDEX('SAÍDA DE VENDAS'!$H$6:$H$500 &amp; "x " &amp; 'SAÍDA DE VENDAS'!$G$6:$G$500, MATCH(B393, 'SAÍDA DE VENDAS'!$B$6:$B$500, 0)+4), ""), "")&amp; IF(COUNTIF('SAÍDA DE VENDAS'!$B$6:$B$500, B393)&gt;5, " + " &amp; IFERROR(INDEX('SAÍDA DE VENDAS'!$H$6:$H$500 &amp; "x " &amp; 'SAÍDA DE VENDAS'!$G$6:$G$500, MATCH(B393, 'SAÍDA DE VENDAS'!$B$6:$B$500, 0)+5), ""), ""))</f>
        <v/>
      </c>
      <c r="G393" s="34">
        <f>IFERROR(VLOOKUP(B393,'SAÍDA DE VENDAS'!$B$6:$P$500,10,FALSE),"")</f>
        <v>0</v>
      </c>
      <c r="H393" s="34" t="str">
        <f>IF(OR(ISBLANK(B393),B393=""), "", IF(B393=B392, (VALUE(LEFT(H392,FIND("/",H392)-1))+1)&amp;"/"&amp;RIGHT(H392,LEN(H392)-FIND("/",H392)), "1/"&amp;IFERROR(VLOOKUP(B393,'SAÍDA DE VENDAS'!$B$6:$P$500,13,FALSE),"1")))</f>
        <v/>
      </c>
      <c r="I393" s="35" t="str">
        <f t="shared" si="12"/>
        <v/>
      </c>
      <c r="J393" s="39" t="str">
        <f>IFERROR(VLOOKUP(B393,'SAÍDA DE VENDAS'!$B$6:$P$500,15,FALSE),"")</f>
        <v/>
      </c>
      <c r="K393" s="34" t="str">
        <f t="shared" ca="1" si="13"/>
        <v/>
      </c>
      <c r="L393" s="34"/>
      <c r="M393" s="34"/>
    </row>
    <row r="394" spans="2:13" ht="15" customHeight="1" x14ac:dyDescent="0.3">
      <c r="B394" s="28" t="str">
        <f>IF(B393="","", IF(VALUE(LEFT(H393,FIND("/",H393)-1)) &lt; VALUE(RIGHT(H393,LEN(H393)-FIND("/",H393))), B393, IFERROR(INDEX('SAÍDA DE VENDAS'!$B$6:$B$500, MATCH(B393,'SAÍDA DE VENDAS'!$B$6:$B$500,0)+COUNTIF('SAÍDA DE VENDAS'!$B$6:$B$500, B393)),"")))</f>
        <v/>
      </c>
      <c r="C394" s="29">
        <f>IFERROR(VLOOKUP(B394,'SAÍDA DE VENDAS'!$B$6:$P$500,3,FALSE),"")</f>
        <v>0</v>
      </c>
      <c r="D394" s="28">
        <f>IFERROR(VLOOKUP(B394,'SAÍDA DE VENDAS'!$B$6:$P$500,4,FALSE),"")</f>
        <v>0</v>
      </c>
      <c r="E394" s="28" t="str">
        <f>IFERROR(VLOOKUP(B394,'SAÍDA DE VENDAS'!$B$6:$P$500,5,FALSE),"")</f>
        <v/>
      </c>
      <c r="F394" s="28" t="str">
        <f>IF(OR(ISBLANK(B394),B394=""), "", IFERROR(INDEX('SAÍDA DE VENDAS'!$H$6:$H$500 &amp; "x " &amp; 'SAÍDA DE VENDAS'!$G$6:$G$500, MATCH(B394, 'SAÍDA DE VENDAS'!$B$6:$B$500, 0)), "")&amp; IF(COUNTIF('SAÍDA DE VENDAS'!$B$6:$B$500, B394)&gt;1, " + " &amp; IFERROR(INDEX('SAÍDA DE VENDAS'!$H$6:$H$500 &amp; "x " &amp; 'SAÍDA DE VENDAS'!$G$6:$G$500, MATCH(B394, 'SAÍDA DE VENDAS'!$B$6:$B$500, 0)+1), ""), "")&amp; IF(COUNTIF('SAÍDA DE VENDAS'!$B$6:$B$500, B394)&gt;2, " + " &amp; IFERROR(INDEX('SAÍDA DE VENDAS'!$H$6:$H$500 &amp; "x " &amp; 'SAÍDA DE VENDAS'!$G$6:$G$500, MATCH(B394, 'SAÍDA DE VENDAS'!$B$6:$B$500, 0)+2), ""), "")&amp; IF(COUNTIF('SAÍDA DE VENDAS'!$B$6:$B$500, B394)&gt;3, " + " &amp; IFERROR(INDEX('SAÍDA DE VENDAS'!$H$6:$H$500 &amp; "x " &amp; 'SAÍDA DE VENDAS'!$G$6:$G$500, MATCH(B394, 'SAÍDA DE VENDAS'!$B$6:$B$500, 0)+3), ""), "")&amp; IF(COUNTIF('SAÍDA DE VENDAS'!$B$6:$B$500, B394)&gt;4, " + " &amp; IFERROR(INDEX('SAÍDA DE VENDAS'!$H$6:$H$500 &amp; "x " &amp; 'SAÍDA DE VENDAS'!$G$6:$G$500, MATCH(B394, 'SAÍDA DE VENDAS'!$B$6:$B$500, 0)+4), ""), "")&amp; IF(COUNTIF('SAÍDA DE VENDAS'!$B$6:$B$500, B394)&gt;5, " + " &amp; IFERROR(INDEX('SAÍDA DE VENDAS'!$H$6:$H$500 &amp; "x " &amp; 'SAÍDA DE VENDAS'!$G$6:$G$500, MATCH(B394, 'SAÍDA DE VENDAS'!$B$6:$B$500, 0)+5), ""), ""))</f>
        <v/>
      </c>
      <c r="G394" s="28">
        <f>IFERROR(VLOOKUP(B394,'SAÍDA DE VENDAS'!$B$6:$P$500,10,FALSE),"")</f>
        <v>0</v>
      </c>
      <c r="H394" s="28" t="str">
        <f>IF(OR(ISBLANK(B394),B394=""), "", IF(B394=B393, (VALUE(LEFT(H393,FIND("/",H393)-1))+1)&amp;"/"&amp;RIGHT(H393,LEN(H393)-FIND("/",H393)), "1/"&amp;IFERROR(VLOOKUP(B394,'SAÍDA DE VENDAS'!$B$6:$P$500,13,FALSE),"1")))</f>
        <v/>
      </c>
      <c r="I394" s="69" t="str">
        <f t="shared" si="12"/>
        <v/>
      </c>
      <c r="J394" s="33" t="str">
        <f>IFERROR(VLOOKUP(B394,'SAÍDA DE VENDAS'!$B$6:$P$500,15,FALSE),"")</f>
        <v/>
      </c>
      <c r="K394" s="28" t="str">
        <f t="shared" ca="1" si="13"/>
        <v/>
      </c>
      <c r="L394" s="28"/>
      <c r="M394" s="28"/>
    </row>
    <row r="395" spans="2:13" ht="15" customHeight="1" x14ac:dyDescent="0.3">
      <c r="B395" s="34" t="str">
        <f>IF(B394="","", IF(VALUE(LEFT(H394,FIND("/",H394)-1)) &lt; VALUE(RIGHT(H394,LEN(H394)-FIND("/",H394))), B394, IFERROR(INDEX('SAÍDA DE VENDAS'!$B$6:$B$500, MATCH(B394,'SAÍDA DE VENDAS'!$B$6:$B$500,0)+COUNTIF('SAÍDA DE VENDAS'!$B$6:$B$500, B394)),"")))</f>
        <v/>
      </c>
      <c r="C395" s="35">
        <f>IFERROR(VLOOKUP(B395,'SAÍDA DE VENDAS'!$B$6:$P$500,3,FALSE),"")</f>
        <v>0</v>
      </c>
      <c r="D395" s="34">
        <f>IFERROR(VLOOKUP(B395,'SAÍDA DE VENDAS'!$B$6:$P$500,4,FALSE),"")</f>
        <v>0</v>
      </c>
      <c r="E395" s="34" t="str">
        <f>IFERROR(VLOOKUP(B395,'SAÍDA DE VENDAS'!$B$6:$P$500,5,FALSE),"")</f>
        <v/>
      </c>
      <c r="F395" s="34" t="str">
        <f>IF(OR(ISBLANK(B395),B395=""), "", IFERROR(INDEX('SAÍDA DE VENDAS'!$H$6:$H$500 &amp; "x " &amp; 'SAÍDA DE VENDAS'!$G$6:$G$500, MATCH(B395, 'SAÍDA DE VENDAS'!$B$6:$B$500, 0)), "")&amp; IF(COUNTIF('SAÍDA DE VENDAS'!$B$6:$B$500, B395)&gt;1, " + " &amp; IFERROR(INDEX('SAÍDA DE VENDAS'!$H$6:$H$500 &amp; "x " &amp; 'SAÍDA DE VENDAS'!$G$6:$G$500, MATCH(B395, 'SAÍDA DE VENDAS'!$B$6:$B$500, 0)+1), ""), "")&amp; IF(COUNTIF('SAÍDA DE VENDAS'!$B$6:$B$500, B395)&gt;2, " + " &amp; IFERROR(INDEX('SAÍDA DE VENDAS'!$H$6:$H$500 &amp; "x " &amp; 'SAÍDA DE VENDAS'!$G$6:$G$500, MATCH(B395, 'SAÍDA DE VENDAS'!$B$6:$B$500, 0)+2), ""), "")&amp; IF(COUNTIF('SAÍDA DE VENDAS'!$B$6:$B$500, B395)&gt;3, " + " &amp; IFERROR(INDEX('SAÍDA DE VENDAS'!$H$6:$H$500 &amp; "x " &amp; 'SAÍDA DE VENDAS'!$G$6:$G$500, MATCH(B395, 'SAÍDA DE VENDAS'!$B$6:$B$500, 0)+3), ""), "")&amp; IF(COUNTIF('SAÍDA DE VENDAS'!$B$6:$B$500, B395)&gt;4, " + " &amp; IFERROR(INDEX('SAÍDA DE VENDAS'!$H$6:$H$500 &amp; "x " &amp; 'SAÍDA DE VENDAS'!$G$6:$G$500, MATCH(B395, 'SAÍDA DE VENDAS'!$B$6:$B$500, 0)+4), ""), "")&amp; IF(COUNTIF('SAÍDA DE VENDAS'!$B$6:$B$500, B395)&gt;5, " + " &amp; IFERROR(INDEX('SAÍDA DE VENDAS'!$H$6:$H$500 &amp; "x " &amp; 'SAÍDA DE VENDAS'!$G$6:$G$500, MATCH(B395, 'SAÍDA DE VENDAS'!$B$6:$B$500, 0)+5), ""), ""))</f>
        <v/>
      </c>
      <c r="G395" s="34">
        <f>IFERROR(VLOOKUP(B395,'SAÍDA DE VENDAS'!$B$6:$P$500,10,FALSE),"")</f>
        <v>0</v>
      </c>
      <c r="H395" s="34" t="str">
        <f>IF(OR(ISBLANK(B395),B395=""), "", IF(B395=B394, (VALUE(LEFT(H394,FIND("/",H394)-1))+1)&amp;"/"&amp;RIGHT(H394,LEN(H394)-FIND("/",H394)), "1/"&amp;IFERROR(VLOOKUP(B395,'SAÍDA DE VENDAS'!$B$6:$P$500,13,FALSE),"1")))</f>
        <v/>
      </c>
      <c r="I395" s="35" t="str">
        <f t="shared" si="12"/>
        <v/>
      </c>
      <c r="J395" s="39" t="str">
        <f>IFERROR(VLOOKUP(B395,'SAÍDA DE VENDAS'!$B$6:$P$500,15,FALSE),"")</f>
        <v/>
      </c>
      <c r="K395" s="34" t="str">
        <f t="shared" ca="1" si="13"/>
        <v/>
      </c>
      <c r="L395" s="34"/>
      <c r="M395" s="34"/>
    </row>
    <row r="396" spans="2:13" ht="15" customHeight="1" x14ac:dyDescent="0.3">
      <c r="B396" s="28" t="str">
        <f>IF(B395="","", IF(VALUE(LEFT(H395,FIND("/",H395)-1)) &lt; VALUE(RIGHT(H395,LEN(H395)-FIND("/",H395))), B395, IFERROR(INDEX('SAÍDA DE VENDAS'!$B$6:$B$500, MATCH(B395,'SAÍDA DE VENDAS'!$B$6:$B$500,0)+COUNTIF('SAÍDA DE VENDAS'!$B$6:$B$500, B395)),"")))</f>
        <v/>
      </c>
      <c r="C396" s="29">
        <f>IFERROR(VLOOKUP(B396,'SAÍDA DE VENDAS'!$B$6:$P$500,3,FALSE),"")</f>
        <v>0</v>
      </c>
      <c r="D396" s="28">
        <f>IFERROR(VLOOKUP(B396,'SAÍDA DE VENDAS'!$B$6:$P$500,4,FALSE),"")</f>
        <v>0</v>
      </c>
      <c r="E396" s="28" t="str">
        <f>IFERROR(VLOOKUP(B396,'SAÍDA DE VENDAS'!$B$6:$P$500,5,FALSE),"")</f>
        <v/>
      </c>
      <c r="F396" s="28" t="str">
        <f>IF(OR(ISBLANK(B396),B396=""), "", IFERROR(INDEX('SAÍDA DE VENDAS'!$H$6:$H$500 &amp; "x " &amp; 'SAÍDA DE VENDAS'!$G$6:$G$500, MATCH(B396, 'SAÍDA DE VENDAS'!$B$6:$B$500, 0)), "")&amp; IF(COUNTIF('SAÍDA DE VENDAS'!$B$6:$B$500, B396)&gt;1, " + " &amp; IFERROR(INDEX('SAÍDA DE VENDAS'!$H$6:$H$500 &amp; "x " &amp; 'SAÍDA DE VENDAS'!$G$6:$G$500, MATCH(B396, 'SAÍDA DE VENDAS'!$B$6:$B$500, 0)+1), ""), "")&amp; IF(COUNTIF('SAÍDA DE VENDAS'!$B$6:$B$500, B396)&gt;2, " + " &amp; IFERROR(INDEX('SAÍDA DE VENDAS'!$H$6:$H$500 &amp; "x " &amp; 'SAÍDA DE VENDAS'!$G$6:$G$500, MATCH(B396, 'SAÍDA DE VENDAS'!$B$6:$B$500, 0)+2), ""), "")&amp; IF(COUNTIF('SAÍDA DE VENDAS'!$B$6:$B$500, B396)&gt;3, " + " &amp; IFERROR(INDEX('SAÍDA DE VENDAS'!$H$6:$H$500 &amp; "x " &amp; 'SAÍDA DE VENDAS'!$G$6:$G$500, MATCH(B396, 'SAÍDA DE VENDAS'!$B$6:$B$500, 0)+3), ""), "")&amp; IF(COUNTIF('SAÍDA DE VENDAS'!$B$6:$B$500, B396)&gt;4, " + " &amp; IFERROR(INDEX('SAÍDA DE VENDAS'!$H$6:$H$500 &amp; "x " &amp; 'SAÍDA DE VENDAS'!$G$6:$G$500, MATCH(B396, 'SAÍDA DE VENDAS'!$B$6:$B$500, 0)+4), ""), "")&amp; IF(COUNTIF('SAÍDA DE VENDAS'!$B$6:$B$500, B396)&gt;5, " + " &amp; IFERROR(INDEX('SAÍDA DE VENDAS'!$H$6:$H$500 &amp; "x " &amp; 'SAÍDA DE VENDAS'!$G$6:$G$500, MATCH(B396, 'SAÍDA DE VENDAS'!$B$6:$B$500, 0)+5), ""), ""))</f>
        <v/>
      </c>
      <c r="G396" s="28">
        <f>IFERROR(VLOOKUP(B396,'SAÍDA DE VENDAS'!$B$6:$P$500,10,FALSE),"")</f>
        <v>0</v>
      </c>
      <c r="H396" s="28" t="str">
        <f>IF(OR(ISBLANK(B396),B396=""), "", IF(B396=B395, (VALUE(LEFT(H395,FIND("/",H395)-1))+1)&amp;"/"&amp;RIGHT(H395,LEN(H395)-FIND("/",H395)), "1/"&amp;IFERROR(VLOOKUP(B396,'SAÍDA DE VENDAS'!$B$6:$P$500,13,FALSE),"1")))</f>
        <v/>
      </c>
      <c r="I396" s="69" t="str">
        <f t="shared" si="12"/>
        <v/>
      </c>
      <c r="J396" s="33" t="str">
        <f>IFERROR(VLOOKUP(B396,'SAÍDA DE VENDAS'!$B$6:$P$500,15,FALSE),"")</f>
        <v/>
      </c>
      <c r="K396" s="28" t="str">
        <f t="shared" ca="1" si="13"/>
        <v/>
      </c>
      <c r="L396" s="28"/>
      <c r="M396" s="28"/>
    </row>
    <row r="397" spans="2:13" ht="15" customHeight="1" x14ac:dyDescent="0.3">
      <c r="B397" s="34" t="str">
        <f>IF(B396="","", IF(VALUE(LEFT(H396,FIND("/",H396)-1)) &lt; VALUE(RIGHT(H396,LEN(H396)-FIND("/",H396))), B396, IFERROR(INDEX('SAÍDA DE VENDAS'!$B$6:$B$500, MATCH(B396,'SAÍDA DE VENDAS'!$B$6:$B$500,0)+COUNTIF('SAÍDA DE VENDAS'!$B$6:$B$500, B396)),"")))</f>
        <v/>
      </c>
      <c r="C397" s="35">
        <f>IFERROR(VLOOKUP(B397,'SAÍDA DE VENDAS'!$B$6:$P$500,3,FALSE),"")</f>
        <v>0</v>
      </c>
      <c r="D397" s="34">
        <f>IFERROR(VLOOKUP(B397,'SAÍDA DE VENDAS'!$B$6:$P$500,4,FALSE),"")</f>
        <v>0</v>
      </c>
      <c r="E397" s="34" t="str">
        <f>IFERROR(VLOOKUP(B397,'SAÍDA DE VENDAS'!$B$6:$P$500,5,FALSE),"")</f>
        <v/>
      </c>
      <c r="F397" s="34" t="str">
        <f>IF(OR(ISBLANK(B397),B397=""), "", IFERROR(INDEX('SAÍDA DE VENDAS'!$H$6:$H$500 &amp; "x " &amp; 'SAÍDA DE VENDAS'!$G$6:$G$500, MATCH(B397, 'SAÍDA DE VENDAS'!$B$6:$B$500, 0)), "")&amp; IF(COUNTIF('SAÍDA DE VENDAS'!$B$6:$B$500, B397)&gt;1, " + " &amp; IFERROR(INDEX('SAÍDA DE VENDAS'!$H$6:$H$500 &amp; "x " &amp; 'SAÍDA DE VENDAS'!$G$6:$G$500, MATCH(B397, 'SAÍDA DE VENDAS'!$B$6:$B$500, 0)+1), ""), "")&amp; IF(COUNTIF('SAÍDA DE VENDAS'!$B$6:$B$500, B397)&gt;2, " + " &amp; IFERROR(INDEX('SAÍDA DE VENDAS'!$H$6:$H$500 &amp; "x " &amp; 'SAÍDA DE VENDAS'!$G$6:$G$500, MATCH(B397, 'SAÍDA DE VENDAS'!$B$6:$B$500, 0)+2), ""), "")&amp; IF(COUNTIF('SAÍDA DE VENDAS'!$B$6:$B$500, B397)&gt;3, " + " &amp; IFERROR(INDEX('SAÍDA DE VENDAS'!$H$6:$H$500 &amp; "x " &amp; 'SAÍDA DE VENDAS'!$G$6:$G$500, MATCH(B397, 'SAÍDA DE VENDAS'!$B$6:$B$500, 0)+3), ""), "")&amp; IF(COUNTIF('SAÍDA DE VENDAS'!$B$6:$B$500, B397)&gt;4, " + " &amp; IFERROR(INDEX('SAÍDA DE VENDAS'!$H$6:$H$500 &amp; "x " &amp; 'SAÍDA DE VENDAS'!$G$6:$G$500, MATCH(B397, 'SAÍDA DE VENDAS'!$B$6:$B$500, 0)+4), ""), "")&amp; IF(COUNTIF('SAÍDA DE VENDAS'!$B$6:$B$500, B397)&gt;5, " + " &amp; IFERROR(INDEX('SAÍDA DE VENDAS'!$H$6:$H$500 &amp; "x " &amp; 'SAÍDA DE VENDAS'!$G$6:$G$500, MATCH(B397, 'SAÍDA DE VENDAS'!$B$6:$B$500, 0)+5), ""), ""))</f>
        <v/>
      </c>
      <c r="G397" s="34">
        <f>IFERROR(VLOOKUP(B397,'SAÍDA DE VENDAS'!$B$6:$P$500,10,FALSE),"")</f>
        <v>0</v>
      </c>
      <c r="H397" s="34" t="str">
        <f>IF(OR(ISBLANK(B397),B397=""), "", IF(B397=B396, (VALUE(LEFT(H396,FIND("/",H396)-1))+1)&amp;"/"&amp;RIGHT(H396,LEN(H396)-FIND("/",H396)), "1/"&amp;IFERROR(VLOOKUP(B397,'SAÍDA DE VENDAS'!$B$6:$P$500,13,FALSE),"1")))</f>
        <v/>
      </c>
      <c r="I397" s="35" t="str">
        <f t="shared" si="12"/>
        <v/>
      </c>
      <c r="J397" s="39" t="str">
        <f>IFERROR(VLOOKUP(B397,'SAÍDA DE VENDAS'!$B$6:$P$500,15,FALSE),"")</f>
        <v/>
      </c>
      <c r="K397" s="34" t="str">
        <f t="shared" ca="1" si="13"/>
        <v/>
      </c>
      <c r="L397" s="34"/>
      <c r="M397" s="34"/>
    </row>
    <row r="398" spans="2:13" ht="15" customHeight="1" x14ac:dyDescent="0.3">
      <c r="B398" s="28" t="str">
        <f>IF(B397="","", IF(VALUE(LEFT(H397,FIND("/",H397)-1)) &lt; VALUE(RIGHT(H397,LEN(H397)-FIND("/",H397))), B397, IFERROR(INDEX('SAÍDA DE VENDAS'!$B$6:$B$500, MATCH(B397,'SAÍDA DE VENDAS'!$B$6:$B$500,0)+COUNTIF('SAÍDA DE VENDAS'!$B$6:$B$500, B397)),"")))</f>
        <v/>
      </c>
      <c r="C398" s="29">
        <f>IFERROR(VLOOKUP(B398,'SAÍDA DE VENDAS'!$B$6:$P$500,3,FALSE),"")</f>
        <v>0</v>
      </c>
      <c r="D398" s="28">
        <f>IFERROR(VLOOKUP(B398,'SAÍDA DE VENDAS'!$B$6:$P$500,4,FALSE),"")</f>
        <v>0</v>
      </c>
      <c r="E398" s="28" t="str">
        <f>IFERROR(VLOOKUP(B398,'SAÍDA DE VENDAS'!$B$6:$P$500,5,FALSE),"")</f>
        <v/>
      </c>
      <c r="F398" s="28" t="str">
        <f>IF(OR(ISBLANK(B398),B398=""), "", IFERROR(INDEX('SAÍDA DE VENDAS'!$H$6:$H$500 &amp; "x " &amp; 'SAÍDA DE VENDAS'!$G$6:$G$500, MATCH(B398, 'SAÍDA DE VENDAS'!$B$6:$B$500, 0)), "")&amp; IF(COUNTIF('SAÍDA DE VENDAS'!$B$6:$B$500, B398)&gt;1, " + " &amp; IFERROR(INDEX('SAÍDA DE VENDAS'!$H$6:$H$500 &amp; "x " &amp; 'SAÍDA DE VENDAS'!$G$6:$G$500, MATCH(B398, 'SAÍDA DE VENDAS'!$B$6:$B$500, 0)+1), ""), "")&amp; IF(COUNTIF('SAÍDA DE VENDAS'!$B$6:$B$500, B398)&gt;2, " + " &amp; IFERROR(INDEX('SAÍDA DE VENDAS'!$H$6:$H$500 &amp; "x " &amp; 'SAÍDA DE VENDAS'!$G$6:$G$500, MATCH(B398, 'SAÍDA DE VENDAS'!$B$6:$B$500, 0)+2), ""), "")&amp; IF(COUNTIF('SAÍDA DE VENDAS'!$B$6:$B$500, B398)&gt;3, " + " &amp; IFERROR(INDEX('SAÍDA DE VENDAS'!$H$6:$H$500 &amp; "x " &amp; 'SAÍDA DE VENDAS'!$G$6:$G$500, MATCH(B398, 'SAÍDA DE VENDAS'!$B$6:$B$500, 0)+3), ""), "")&amp; IF(COUNTIF('SAÍDA DE VENDAS'!$B$6:$B$500, B398)&gt;4, " + " &amp; IFERROR(INDEX('SAÍDA DE VENDAS'!$H$6:$H$500 &amp; "x " &amp; 'SAÍDA DE VENDAS'!$G$6:$G$500, MATCH(B398, 'SAÍDA DE VENDAS'!$B$6:$B$500, 0)+4), ""), "")&amp; IF(COUNTIF('SAÍDA DE VENDAS'!$B$6:$B$500, B398)&gt;5, " + " &amp; IFERROR(INDEX('SAÍDA DE VENDAS'!$H$6:$H$500 &amp; "x " &amp; 'SAÍDA DE VENDAS'!$G$6:$G$500, MATCH(B398, 'SAÍDA DE VENDAS'!$B$6:$B$500, 0)+5), ""), ""))</f>
        <v/>
      </c>
      <c r="G398" s="28">
        <f>IFERROR(VLOOKUP(B398,'SAÍDA DE VENDAS'!$B$6:$P$500,10,FALSE),"")</f>
        <v>0</v>
      </c>
      <c r="H398" s="28" t="str">
        <f>IF(OR(ISBLANK(B398),B398=""), "", IF(B398=B397, (VALUE(LEFT(H397,FIND("/",H397)-1))+1)&amp;"/"&amp;RIGHT(H397,LEN(H397)-FIND("/",H397)), "1/"&amp;IFERROR(VLOOKUP(B398,'SAÍDA DE VENDAS'!$B$6:$P$500,13,FALSE),"1")))</f>
        <v/>
      </c>
      <c r="I398" s="69" t="str">
        <f t="shared" si="12"/>
        <v/>
      </c>
      <c r="J398" s="33" t="str">
        <f>IFERROR(VLOOKUP(B398,'SAÍDA DE VENDAS'!$B$6:$P$500,15,FALSE),"")</f>
        <v/>
      </c>
      <c r="K398" s="28" t="str">
        <f t="shared" ca="1" si="13"/>
        <v/>
      </c>
      <c r="L398" s="28"/>
      <c r="M398" s="28"/>
    </row>
    <row r="399" spans="2:13" ht="15" customHeight="1" x14ac:dyDescent="0.3">
      <c r="B399" s="34" t="str">
        <f>IF(B398="","", IF(VALUE(LEFT(H398,FIND("/",H398)-1)) &lt; VALUE(RIGHT(H398,LEN(H398)-FIND("/",H398))), B398, IFERROR(INDEX('SAÍDA DE VENDAS'!$B$6:$B$500, MATCH(B398,'SAÍDA DE VENDAS'!$B$6:$B$500,0)+COUNTIF('SAÍDA DE VENDAS'!$B$6:$B$500, B398)),"")))</f>
        <v/>
      </c>
      <c r="C399" s="35">
        <f>IFERROR(VLOOKUP(B399,'SAÍDA DE VENDAS'!$B$6:$P$500,3,FALSE),"")</f>
        <v>0</v>
      </c>
      <c r="D399" s="34">
        <f>IFERROR(VLOOKUP(B399,'SAÍDA DE VENDAS'!$B$6:$P$500,4,FALSE),"")</f>
        <v>0</v>
      </c>
      <c r="E399" s="34" t="str">
        <f>IFERROR(VLOOKUP(B399,'SAÍDA DE VENDAS'!$B$6:$P$500,5,FALSE),"")</f>
        <v/>
      </c>
      <c r="F399" s="34" t="str">
        <f>IF(OR(ISBLANK(B399),B399=""), "", IFERROR(INDEX('SAÍDA DE VENDAS'!$H$6:$H$500 &amp; "x " &amp; 'SAÍDA DE VENDAS'!$G$6:$G$500, MATCH(B399, 'SAÍDA DE VENDAS'!$B$6:$B$500, 0)), "")&amp; IF(COUNTIF('SAÍDA DE VENDAS'!$B$6:$B$500, B399)&gt;1, " + " &amp; IFERROR(INDEX('SAÍDA DE VENDAS'!$H$6:$H$500 &amp; "x " &amp; 'SAÍDA DE VENDAS'!$G$6:$G$500, MATCH(B399, 'SAÍDA DE VENDAS'!$B$6:$B$500, 0)+1), ""), "")&amp; IF(COUNTIF('SAÍDA DE VENDAS'!$B$6:$B$500, B399)&gt;2, " + " &amp; IFERROR(INDEX('SAÍDA DE VENDAS'!$H$6:$H$500 &amp; "x " &amp; 'SAÍDA DE VENDAS'!$G$6:$G$500, MATCH(B399, 'SAÍDA DE VENDAS'!$B$6:$B$500, 0)+2), ""), "")&amp; IF(COUNTIF('SAÍDA DE VENDAS'!$B$6:$B$500, B399)&gt;3, " + " &amp; IFERROR(INDEX('SAÍDA DE VENDAS'!$H$6:$H$500 &amp; "x " &amp; 'SAÍDA DE VENDAS'!$G$6:$G$500, MATCH(B399, 'SAÍDA DE VENDAS'!$B$6:$B$500, 0)+3), ""), "")&amp; IF(COUNTIF('SAÍDA DE VENDAS'!$B$6:$B$500, B399)&gt;4, " + " &amp; IFERROR(INDEX('SAÍDA DE VENDAS'!$H$6:$H$500 &amp; "x " &amp; 'SAÍDA DE VENDAS'!$G$6:$G$500, MATCH(B399, 'SAÍDA DE VENDAS'!$B$6:$B$500, 0)+4), ""), "")&amp; IF(COUNTIF('SAÍDA DE VENDAS'!$B$6:$B$500, B399)&gt;5, " + " &amp; IFERROR(INDEX('SAÍDA DE VENDAS'!$H$6:$H$500 &amp; "x " &amp; 'SAÍDA DE VENDAS'!$G$6:$G$500, MATCH(B399, 'SAÍDA DE VENDAS'!$B$6:$B$500, 0)+5), ""), ""))</f>
        <v/>
      </c>
      <c r="G399" s="34">
        <f>IFERROR(VLOOKUP(B399,'SAÍDA DE VENDAS'!$B$6:$P$500,10,FALSE),"")</f>
        <v>0</v>
      </c>
      <c r="H399" s="34" t="str">
        <f>IF(OR(ISBLANK(B399),B399=""), "", IF(B399=B398, (VALUE(LEFT(H398,FIND("/",H398)-1))+1)&amp;"/"&amp;RIGHT(H398,LEN(H398)-FIND("/",H398)), "1/"&amp;IFERROR(VLOOKUP(B399,'SAÍDA DE VENDAS'!$B$6:$P$500,13,FALSE),"1")))</f>
        <v/>
      </c>
      <c r="I399" s="35" t="str">
        <f t="shared" si="12"/>
        <v/>
      </c>
      <c r="J399" s="39" t="str">
        <f>IFERROR(VLOOKUP(B399,'SAÍDA DE VENDAS'!$B$6:$P$500,15,FALSE),"")</f>
        <v/>
      </c>
      <c r="K399" s="34" t="str">
        <f t="shared" ca="1" si="13"/>
        <v/>
      </c>
      <c r="L399" s="34"/>
      <c r="M399" s="34"/>
    </row>
    <row r="400" spans="2:13" ht="15" customHeight="1" x14ac:dyDescent="0.3">
      <c r="B400" s="28" t="str">
        <f>IF(B399="","", IF(VALUE(LEFT(H399,FIND("/",H399)-1)) &lt; VALUE(RIGHT(H399,LEN(H399)-FIND("/",H399))), B399, IFERROR(INDEX('SAÍDA DE VENDAS'!$B$6:$B$500, MATCH(B399,'SAÍDA DE VENDAS'!$B$6:$B$500,0)+COUNTIF('SAÍDA DE VENDAS'!$B$6:$B$500, B399)),"")))</f>
        <v/>
      </c>
      <c r="C400" s="29">
        <f>IFERROR(VLOOKUP(B400,'SAÍDA DE VENDAS'!$B$6:$P$500,3,FALSE),"")</f>
        <v>0</v>
      </c>
      <c r="D400" s="28">
        <f>IFERROR(VLOOKUP(B400,'SAÍDA DE VENDAS'!$B$6:$P$500,4,FALSE),"")</f>
        <v>0</v>
      </c>
      <c r="E400" s="28" t="str">
        <f>IFERROR(VLOOKUP(B400,'SAÍDA DE VENDAS'!$B$6:$P$500,5,FALSE),"")</f>
        <v/>
      </c>
      <c r="F400" s="28" t="str">
        <f>IF(OR(ISBLANK(B400),B400=""), "", IFERROR(INDEX('SAÍDA DE VENDAS'!$H$6:$H$500 &amp; "x " &amp; 'SAÍDA DE VENDAS'!$G$6:$G$500, MATCH(B400, 'SAÍDA DE VENDAS'!$B$6:$B$500, 0)), "")&amp; IF(COUNTIF('SAÍDA DE VENDAS'!$B$6:$B$500, B400)&gt;1, " + " &amp; IFERROR(INDEX('SAÍDA DE VENDAS'!$H$6:$H$500 &amp; "x " &amp; 'SAÍDA DE VENDAS'!$G$6:$G$500, MATCH(B400, 'SAÍDA DE VENDAS'!$B$6:$B$500, 0)+1), ""), "")&amp; IF(COUNTIF('SAÍDA DE VENDAS'!$B$6:$B$500, B400)&gt;2, " + " &amp; IFERROR(INDEX('SAÍDA DE VENDAS'!$H$6:$H$500 &amp; "x " &amp; 'SAÍDA DE VENDAS'!$G$6:$G$500, MATCH(B400, 'SAÍDA DE VENDAS'!$B$6:$B$500, 0)+2), ""), "")&amp; IF(COUNTIF('SAÍDA DE VENDAS'!$B$6:$B$500, B400)&gt;3, " + " &amp; IFERROR(INDEX('SAÍDA DE VENDAS'!$H$6:$H$500 &amp; "x " &amp; 'SAÍDA DE VENDAS'!$G$6:$G$500, MATCH(B400, 'SAÍDA DE VENDAS'!$B$6:$B$500, 0)+3), ""), "")&amp; IF(COUNTIF('SAÍDA DE VENDAS'!$B$6:$B$500, B400)&gt;4, " + " &amp; IFERROR(INDEX('SAÍDA DE VENDAS'!$H$6:$H$500 &amp; "x " &amp; 'SAÍDA DE VENDAS'!$G$6:$G$500, MATCH(B400, 'SAÍDA DE VENDAS'!$B$6:$B$500, 0)+4), ""), "")&amp; IF(COUNTIF('SAÍDA DE VENDAS'!$B$6:$B$500, B400)&gt;5, " + " &amp; IFERROR(INDEX('SAÍDA DE VENDAS'!$H$6:$H$500 &amp; "x " &amp; 'SAÍDA DE VENDAS'!$G$6:$G$500, MATCH(B400, 'SAÍDA DE VENDAS'!$B$6:$B$500, 0)+5), ""), ""))</f>
        <v/>
      </c>
      <c r="G400" s="28">
        <f>IFERROR(VLOOKUP(B400,'SAÍDA DE VENDAS'!$B$6:$P$500,10,FALSE),"")</f>
        <v>0</v>
      </c>
      <c r="H400" s="28" t="str">
        <f>IF(OR(ISBLANK(B400),B400=""), "", IF(B400=B399, (VALUE(LEFT(H399,FIND("/",H399)-1))+1)&amp;"/"&amp;RIGHT(H399,LEN(H399)-FIND("/",H399)), "1/"&amp;IFERROR(VLOOKUP(B400,'SAÍDA DE VENDAS'!$B$6:$P$500,13,FALSE),"1")))</f>
        <v/>
      </c>
      <c r="I400" s="69" t="str">
        <f t="shared" si="12"/>
        <v/>
      </c>
      <c r="J400" s="33" t="str">
        <f>IFERROR(VLOOKUP(B400,'SAÍDA DE VENDAS'!$B$6:$P$500,15,FALSE),"")</f>
        <v/>
      </c>
      <c r="K400" s="28" t="str">
        <f t="shared" ca="1" si="13"/>
        <v/>
      </c>
      <c r="L400" s="28"/>
      <c r="M400" s="28"/>
    </row>
    <row r="401" spans="2:13" ht="15" customHeight="1" x14ac:dyDescent="0.3">
      <c r="B401" s="34" t="str">
        <f>IF(B400="","", IF(VALUE(LEFT(H400,FIND("/",H400)-1)) &lt; VALUE(RIGHT(H400,LEN(H400)-FIND("/",H400))), B400, IFERROR(INDEX('SAÍDA DE VENDAS'!$B$6:$B$500, MATCH(B400,'SAÍDA DE VENDAS'!$B$6:$B$500,0)+COUNTIF('SAÍDA DE VENDAS'!$B$6:$B$500, B400)),"")))</f>
        <v/>
      </c>
      <c r="C401" s="35">
        <f>IFERROR(VLOOKUP(B401,'SAÍDA DE VENDAS'!$B$6:$P$500,3,FALSE),"")</f>
        <v>0</v>
      </c>
      <c r="D401" s="34">
        <f>IFERROR(VLOOKUP(B401,'SAÍDA DE VENDAS'!$B$6:$P$500,4,FALSE),"")</f>
        <v>0</v>
      </c>
      <c r="E401" s="34" t="str">
        <f>IFERROR(VLOOKUP(B401,'SAÍDA DE VENDAS'!$B$6:$P$500,5,FALSE),"")</f>
        <v/>
      </c>
      <c r="F401" s="34" t="str">
        <f>IF(OR(ISBLANK(B401),B401=""), "", IFERROR(INDEX('SAÍDA DE VENDAS'!$H$6:$H$500 &amp; "x " &amp; 'SAÍDA DE VENDAS'!$G$6:$G$500, MATCH(B401, 'SAÍDA DE VENDAS'!$B$6:$B$500, 0)), "")&amp; IF(COUNTIF('SAÍDA DE VENDAS'!$B$6:$B$500, B401)&gt;1, " + " &amp; IFERROR(INDEX('SAÍDA DE VENDAS'!$H$6:$H$500 &amp; "x " &amp; 'SAÍDA DE VENDAS'!$G$6:$G$500, MATCH(B401, 'SAÍDA DE VENDAS'!$B$6:$B$500, 0)+1), ""), "")&amp; IF(COUNTIF('SAÍDA DE VENDAS'!$B$6:$B$500, B401)&gt;2, " + " &amp; IFERROR(INDEX('SAÍDA DE VENDAS'!$H$6:$H$500 &amp; "x " &amp; 'SAÍDA DE VENDAS'!$G$6:$G$500, MATCH(B401, 'SAÍDA DE VENDAS'!$B$6:$B$500, 0)+2), ""), "")&amp; IF(COUNTIF('SAÍDA DE VENDAS'!$B$6:$B$500, B401)&gt;3, " + " &amp; IFERROR(INDEX('SAÍDA DE VENDAS'!$H$6:$H$500 &amp; "x " &amp; 'SAÍDA DE VENDAS'!$G$6:$G$500, MATCH(B401, 'SAÍDA DE VENDAS'!$B$6:$B$500, 0)+3), ""), "")&amp; IF(COUNTIF('SAÍDA DE VENDAS'!$B$6:$B$500, B401)&gt;4, " + " &amp; IFERROR(INDEX('SAÍDA DE VENDAS'!$H$6:$H$500 &amp; "x " &amp; 'SAÍDA DE VENDAS'!$G$6:$G$500, MATCH(B401, 'SAÍDA DE VENDAS'!$B$6:$B$500, 0)+4), ""), "")&amp; IF(COUNTIF('SAÍDA DE VENDAS'!$B$6:$B$500, B401)&gt;5, " + " &amp; IFERROR(INDEX('SAÍDA DE VENDAS'!$H$6:$H$500 &amp; "x " &amp; 'SAÍDA DE VENDAS'!$G$6:$G$500, MATCH(B401, 'SAÍDA DE VENDAS'!$B$6:$B$500, 0)+5), ""), ""))</f>
        <v/>
      </c>
      <c r="G401" s="34">
        <f>IFERROR(VLOOKUP(B401,'SAÍDA DE VENDAS'!$B$6:$P$500,10,FALSE),"")</f>
        <v>0</v>
      </c>
      <c r="H401" s="34" t="str">
        <f>IF(OR(ISBLANK(B401),B401=""), "", IF(B401=B400, (VALUE(LEFT(H400,FIND("/",H400)-1))+1)&amp;"/"&amp;RIGHT(H400,LEN(H400)-FIND("/",H400)), "1/"&amp;IFERROR(VLOOKUP(B401,'SAÍDA DE VENDAS'!$B$6:$P$500,13,FALSE),"1")))</f>
        <v/>
      </c>
      <c r="I401" s="35" t="str">
        <f t="shared" si="12"/>
        <v/>
      </c>
      <c r="J401" s="39" t="str">
        <f>IFERROR(VLOOKUP(B401,'SAÍDA DE VENDAS'!$B$6:$P$500,15,FALSE),"")</f>
        <v/>
      </c>
      <c r="K401" s="34" t="str">
        <f t="shared" ca="1" si="13"/>
        <v/>
      </c>
      <c r="L401" s="34"/>
      <c r="M401" s="34"/>
    </row>
    <row r="402" spans="2:13" ht="15" customHeight="1" x14ac:dyDescent="0.3">
      <c r="B402" s="28" t="str">
        <f>IF(B401="","", IF(VALUE(LEFT(H401,FIND("/",H401)-1)) &lt; VALUE(RIGHT(H401,LEN(H401)-FIND("/",H401))), B401, IFERROR(INDEX('SAÍDA DE VENDAS'!$B$6:$B$500, MATCH(B401,'SAÍDA DE VENDAS'!$B$6:$B$500,0)+COUNTIF('SAÍDA DE VENDAS'!$B$6:$B$500, B401)),"")))</f>
        <v/>
      </c>
      <c r="C402" s="29">
        <f>IFERROR(VLOOKUP(B402,'SAÍDA DE VENDAS'!$B$6:$P$500,3,FALSE),"")</f>
        <v>0</v>
      </c>
      <c r="D402" s="28">
        <f>IFERROR(VLOOKUP(B402,'SAÍDA DE VENDAS'!$B$6:$P$500,4,FALSE),"")</f>
        <v>0</v>
      </c>
      <c r="E402" s="28" t="str">
        <f>IFERROR(VLOOKUP(B402,'SAÍDA DE VENDAS'!$B$6:$P$500,5,FALSE),"")</f>
        <v/>
      </c>
      <c r="F402" s="28" t="str">
        <f>IF(OR(ISBLANK(B402),B402=""), "", IFERROR(INDEX('SAÍDA DE VENDAS'!$H$6:$H$500 &amp; "x " &amp; 'SAÍDA DE VENDAS'!$G$6:$G$500, MATCH(B402, 'SAÍDA DE VENDAS'!$B$6:$B$500, 0)), "")&amp; IF(COUNTIF('SAÍDA DE VENDAS'!$B$6:$B$500, B402)&gt;1, " + " &amp; IFERROR(INDEX('SAÍDA DE VENDAS'!$H$6:$H$500 &amp; "x " &amp; 'SAÍDA DE VENDAS'!$G$6:$G$500, MATCH(B402, 'SAÍDA DE VENDAS'!$B$6:$B$500, 0)+1), ""), "")&amp; IF(COUNTIF('SAÍDA DE VENDAS'!$B$6:$B$500, B402)&gt;2, " + " &amp; IFERROR(INDEX('SAÍDA DE VENDAS'!$H$6:$H$500 &amp; "x " &amp; 'SAÍDA DE VENDAS'!$G$6:$G$500, MATCH(B402, 'SAÍDA DE VENDAS'!$B$6:$B$500, 0)+2), ""), "")&amp; IF(COUNTIF('SAÍDA DE VENDAS'!$B$6:$B$500, B402)&gt;3, " + " &amp; IFERROR(INDEX('SAÍDA DE VENDAS'!$H$6:$H$500 &amp; "x " &amp; 'SAÍDA DE VENDAS'!$G$6:$G$500, MATCH(B402, 'SAÍDA DE VENDAS'!$B$6:$B$500, 0)+3), ""), "")&amp; IF(COUNTIF('SAÍDA DE VENDAS'!$B$6:$B$500, B402)&gt;4, " + " &amp; IFERROR(INDEX('SAÍDA DE VENDAS'!$H$6:$H$500 &amp; "x " &amp; 'SAÍDA DE VENDAS'!$G$6:$G$500, MATCH(B402, 'SAÍDA DE VENDAS'!$B$6:$B$500, 0)+4), ""), "")&amp; IF(COUNTIF('SAÍDA DE VENDAS'!$B$6:$B$500, B402)&gt;5, " + " &amp; IFERROR(INDEX('SAÍDA DE VENDAS'!$H$6:$H$500 &amp; "x " &amp; 'SAÍDA DE VENDAS'!$G$6:$G$500, MATCH(B402, 'SAÍDA DE VENDAS'!$B$6:$B$500, 0)+5), ""), ""))</f>
        <v/>
      </c>
      <c r="G402" s="28">
        <f>IFERROR(VLOOKUP(B402,'SAÍDA DE VENDAS'!$B$6:$P$500,10,FALSE),"")</f>
        <v>0</v>
      </c>
      <c r="H402" s="28" t="str">
        <f>IF(OR(ISBLANK(B402),B402=""), "", IF(B402=B401, (VALUE(LEFT(H401,FIND("/",H401)-1))+1)&amp;"/"&amp;RIGHT(H401,LEN(H401)-FIND("/",H401)), "1/"&amp;IFERROR(VLOOKUP(B402,'SAÍDA DE VENDAS'!$B$6:$P$500,13,FALSE),"1")))</f>
        <v/>
      </c>
      <c r="I402" s="69" t="str">
        <f t="shared" si="12"/>
        <v/>
      </c>
      <c r="J402" s="33" t="str">
        <f>IFERROR(VLOOKUP(B402,'SAÍDA DE VENDAS'!$B$6:$P$500,15,FALSE),"")</f>
        <v/>
      </c>
      <c r="K402" s="28" t="str">
        <f t="shared" ca="1" si="13"/>
        <v/>
      </c>
      <c r="L402" s="28"/>
      <c r="M402" s="28"/>
    </row>
    <row r="403" spans="2:13" ht="15" customHeight="1" x14ac:dyDescent="0.3">
      <c r="B403" s="34" t="str">
        <f>IF(B402="","", IF(VALUE(LEFT(H402,FIND("/",H402)-1)) &lt; VALUE(RIGHT(H402,LEN(H402)-FIND("/",H402))), B402, IFERROR(INDEX('SAÍDA DE VENDAS'!$B$6:$B$500, MATCH(B402,'SAÍDA DE VENDAS'!$B$6:$B$500,0)+COUNTIF('SAÍDA DE VENDAS'!$B$6:$B$500, B402)),"")))</f>
        <v/>
      </c>
      <c r="C403" s="35">
        <f>IFERROR(VLOOKUP(B403,'SAÍDA DE VENDAS'!$B$6:$P$500,3,FALSE),"")</f>
        <v>0</v>
      </c>
      <c r="D403" s="34">
        <f>IFERROR(VLOOKUP(B403,'SAÍDA DE VENDAS'!$B$6:$P$500,4,FALSE),"")</f>
        <v>0</v>
      </c>
      <c r="E403" s="34" t="str">
        <f>IFERROR(VLOOKUP(B403,'SAÍDA DE VENDAS'!$B$6:$P$500,5,FALSE),"")</f>
        <v/>
      </c>
      <c r="F403" s="34" t="str">
        <f>IF(OR(ISBLANK(B403),B403=""), "", IFERROR(INDEX('SAÍDA DE VENDAS'!$H$6:$H$500 &amp; "x " &amp; 'SAÍDA DE VENDAS'!$G$6:$G$500, MATCH(B403, 'SAÍDA DE VENDAS'!$B$6:$B$500, 0)), "")&amp; IF(COUNTIF('SAÍDA DE VENDAS'!$B$6:$B$500, B403)&gt;1, " + " &amp; IFERROR(INDEX('SAÍDA DE VENDAS'!$H$6:$H$500 &amp; "x " &amp; 'SAÍDA DE VENDAS'!$G$6:$G$500, MATCH(B403, 'SAÍDA DE VENDAS'!$B$6:$B$500, 0)+1), ""), "")&amp; IF(COUNTIF('SAÍDA DE VENDAS'!$B$6:$B$500, B403)&gt;2, " + " &amp; IFERROR(INDEX('SAÍDA DE VENDAS'!$H$6:$H$500 &amp; "x " &amp; 'SAÍDA DE VENDAS'!$G$6:$G$500, MATCH(B403, 'SAÍDA DE VENDAS'!$B$6:$B$500, 0)+2), ""), "")&amp; IF(COUNTIF('SAÍDA DE VENDAS'!$B$6:$B$500, B403)&gt;3, " + " &amp; IFERROR(INDEX('SAÍDA DE VENDAS'!$H$6:$H$500 &amp; "x " &amp; 'SAÍDA DE VENDAS'!$G$6:$G$500, MATCH(B403, 'SAÍDA DE VENDAS'!$B$6:$B$500, 0)+3), ""), "")&amp; IF(COUNTIF('SAÍDA DE VENDAS'!$B$6:$B$500, B403)&gt;4, " + " &amp; IFERROR(INDEX('SAÍDA DE VENDAS'!$H$6:$H$500 &amp; "x " &amp; 'SAÍDA DE VENDAS'!$G$6:$G$500, MATCH(B403, 'SAÍDA DE VENDAS'!$B$6:$B$500, 0)+4), ""), "")&amp; IF(COUNTIF('SAÍDA DE VENDAS'!$B$6:$B$500, B403)&gt;5, " + " &amp; IFERROR(INDEX('SAÍDA DE VENDAS'!$H$6:$H$500 &amp; "x " &amp; 'SAÍDA DE VENDAS'!$G$6:$G$500, MATCH(B403, 'SAÍDA DE VENDAS'!$B$6:$B$500, 0)+5), ""), ""))</f>
        <v/>
      </c>
      <c r="G403" s="34">
        <f>IFERROR(VLOOKUP(B403,'SAÍDA DE VENDAS'!$B$6:$P$500,10,FALSE),"")</f>
        <v>0</v>
      </c>
      <c r="H403" s="34" t="str">
        <f>IF(OR(ISBLANK(B403),B403=""), "", IF(B403=B402, (VALUE(LEFT(H402,FIND("/",H402)-1))+1)&amp;"/"&amp;RIGHT(H402,LEN(H402)-FIND("/",H402)), "1/"&amp;IFERROR(VLOOKUP(B403,'SAÍDA DE VENDAS'!$B$6:$P$500,13,FALSE),"1")))</f>
        <v/>
      </c>
      <c r="I403" s="35" t="str">
        <f t="shared" si="12"/>
        <v/>
      </c>
      <c r="J403" s="39" t="str">
        <f>IFERROR(VLOOKUP(B403,'SAÍDA DE VENDAS'!$B$6:$P$500,15,FALSE),"")</f>
        <v/>
      </c>
      <c r="K403" s="34" t="str">
        <f t="shared" ca="1" si="13"/>
        <v/>
      </c>
      <c r="L403" s="34"/>
      <c r="M403" s="34"/>
    </row>
    <row r="404" spans="2:13" ht="15" customHeight="1" x14ac:dyDescent="0.3">
      <c r="B404" s="28" t="str">
        <f>IF(B403="","", IF(VALUE(LEFT(H403,FIND("/",H403)-1)) &lt; VALUE(RIGHT(H403,LEN(H403)-FIND("/",H403))), B403, IFERROR(INDEX('SAÍDA DE VENDAS'!$B$6:$B$500, MATCH(B403,'SAÍDA DE VENDAS'!$B$6:$B$500,0)+COUNTIF('SAÍDA DE VENDAS'!$B$6:$B$500, B403)),"")))</f>
        <v/>
      </c>
      <c r="C404" s="29">
        <f>IFERROR(VLOOKUP(B404,'SAÍDA DE VENDAS'!$B$6:$P$500,3,FALSE),"")</f>
        <v>0</v>
      </c>
      <c r="D404" s="28">
        <f>IFERROR(VLOOKUP(B404,'SAÍDA DE VENDAS'!$B$6:$P$500,4,FALSE),"")</f>
        <v>0</v>
      </c>
      <c r="E404" s="28" t="str">
        <f>IFERROR(VLOOKUP(B404,'SAÍDA DE VENDAS'!$B$6:$P$500,5,FALSE),"")</f>
        <v/>
      </c>
      <c r="F404" s="28" t="str">
        <f>IF(OR(ISBLANK(B404),B404=""), "", IFERROR(INDEX('SAÍDA DE VENDAS'!$H$6:$H$500 &amp; "x " &amp; 'SAÍDA DE VENDAS'!$G$6:$G$500, MATCH(B404, 'SAÍDA DE VENDAS'!$B$6:$B$500, 0)), "")&amp; IF(COUNTIF('SAÍDA DE VENDAS'!$B$6:$B$500, B404)&gt;1, " + " &amp; IFERROR(INDEX('SAÍDA DE VENDAS'!$H$6:$H$500 &amp; "x " &amp; 'SAÍDA DE VENDAS'!$G$6:$G$500, MATCH(B404, 'SAÍDA DE VENDAS'!$B$6:$B$500, 0)+1), ""), "")&amp; IF(COUNTIF('SAÍDA DE VENDAS'!$B$6:$B$500, B404)&gt;2, " + " &amp; IFERROR(INDEX('SAÍDA DE VENDAS'!$H$6:$H$500 &amp; "x " &amp; 'SAÍDA DE VENDAS'!$G$6:$G$500, MATCH(B404, 'SAÍDA DE VENDAS'!$B$6:$B$500, 0)+2), ""), "")&amp; IF(COUNTIF('SAÍDA DE VENDAS'!$B$6:$B$500, B404)&gt;3, " + " &amp; IFERROR(INDEX('SAÍDA DE VENDAS'!$H$6:$H$500 &amp; "x " &amp; 'SAÍDA DE VENDAS'!$G$6:$G$500, MATCH(B404, 'SAÍDA DE VENDAS'!$B$6:$B$500, 0)+3), ""), "")&amp; IF(COUNTIF('SAÍDA DE VENDAS'!$B$6:$B$500, B404)&gt;4, " + " &amp; IFERROR(INDEX('SAÍDA DE VENDAS'!$H$6:$H$500 &amp; "x " &amp; 'SAÍDA DE VENDAS'!$G$6:$G$500, MATCH(B404, 'SAÍDA DE VENDAS'!$B$6:$B$500, 0)+4), ""), "")&amp; IF(COUNTIF('SAÍDA DE VENDAS'!$B$6:$B$500, B404)&gt;5, " + " &amp; IFERROR(INDEX('SAÍDA DE VENDAS'!$H$6:$H$500 &amp; "x " &amp; 'SAÍDA DE VENDAS'!$G$6:$G$500, MATCH(B404, 'SAÍDA DE VENDAS'!$B$6:$B$500, 0)+5), ""), ""))</f>
        <v/>
      </c>
      <c r="G404" s="28">
        <f>IFERROR(VLOOKUP(B404,'SAÍDA DE VENDAS'!$B$6:$P$500,10,FALSE),"")</f>
        <v>0</v>
      </c>
      <c r="H404" s="28" t="str">
        <f>IF(OR(ISBLANK(B404),B404=""), "", IF(B404=B403, (VALUE(LEFT(H403,FIND("/",H403)-1))+1)&amp;"/"&amp;RIGHT(H403,LEN(H403)-FIND("/",H403)), "1/"&amp;IFERROR(VLOOKUP(B404,'SAÍDA DE VENDAS'!$B$6:$P$500,13,FALSE),"1")))</f>
        <v/>
      </c>
      <c r="I404" s="69" t="str">
        <f t="shared" si="12"/>
        <v/>
      </c>
      <c r="J404" s="33" t="str">
        <f>IFERROR(VLOOKUP(B404,'SAÍDA DE VENDAS'!$B$6:$P$500,15,FALSE),"")</f>
        <v/>
      </c>
      <c r="K404" s="28" t="str">
        <f t="shared" ca="1" si="13"/>
        <v/>
      </c>
      <c r="L404" s="28"/>
      <c r="M404" s="28"/>
    </row>
    <row r="405" spans="2:13" ht="15" customHeight="1" x14ac:dyDescent="0.3">
      <c r="B405" s="34" t="str">
        <f>IF(B404="","", IF(VALUE(LEFT(H404,FIND("/",H404)-1)) &lt; VALUE(RIGHT(H404,LEN(H404)-FIND("/",H404))), B404, IFERROR(INDEX('SAÍDA DE VENDAS'!$B$6:$B$500, MATCH(B404,'SAÍDA DE VENDAS'!$B$6:$B$500,0)+COUNTIF('SAÍDA DE VENDAS'!$B$6:$B$500, B404)),"")))</f>
        <v/>
      </c>
      <c r="C405" s="35">
        <f>IFERROR(VLOOKUP(B405,'SAÍDA DE VENDAS'!$B$6:$P$500,3,FALSE),"")</f>
        <v>0</v>
      </c>
      <c r="D405" s="34">
        <f>IFERROR(VLOOKUP(B405,'SAÍDA DE VENDAS'!$B$6:$P$500,4,FALSE),"")</f>
        <v>0</v>
      </c>
      <c r="E405" s="34" t="str">
        <f>IFERROR(VLOOKUP(B405,'SAÍDA DE VENDAS'!$B$6:$P$500,5,FALSE),"")</f>
        <v/>
      </c>
      <c r="F405" s="34" t="str">
        <f>IF(OR(ISBLANK(B405),B405=""), "", IFERROR(INDEX('SAÍDA DE VENDAS'!$H$6:$H$500 &amp; "x " &amp; 'SAÍDA DE VENDAS'!$G$6:$G$500, MATCH(B405, 'SAÍDA DE VENDAS'!$B$6:$B$500, 0)), "")&amp; IF(COUNTIF('SAÍDA DE VENDAS'!$B$6:$B$500, B405)&gt;1, " + " &amp; IFERROR(INDEX('SAÍDA DE VENDAS'!$H$6:$H$500 &amp; "x " &amp; 'SAÍDA DE VENDAS'!$G$6:$G$500, MATCH(B405, 'SAÍDA DE VENDAS'!$B$6:$B$500, 0)+1), ""), "")&amp; IF(COUNTIF('SAÍDA DE VENDAS'!$B$6:$B$500, B405)&gt;2, " + " &amp; IFERROR(INDEX('SAÍDA DE VENDAS'!$H$6:$H$500 &amp; "x " &amp; 'SAÍDA DE VENDAS'!$G$6:$G$500, MATCH(B405, 'SAÍDA DE VENDAS'!$B$6:$B$500, 0)+2), ""), "")&amp; IF(COUNTIF('SAÍDA DE VENDAS'!$B$6:$B$500, B405)&gt;3, " + " &amp; IFERROR(INDEX('SAÍDA DE VENDAS'!$H$6:$H$500 &amp; "x " &amp; 'SAÍDA DE VENDAS'!$G$6:$G$500, MATCH(B405, 'SAÍDA DE VENDAS'!$B$6:$B$500, 0)+3), ""), "")&amp; IF(COUNTIF('SAÍDA DE VENDAS'!$B$6:$B$500, B405)&gt;4, " + " &amp; IFERROR(INDEX('SAÍDA DE VENDAS'!$H$6:$H$500 &amp; "x " &amp; 'SAÍDA DE VENDAS'!$G$6:$G$500, MATCH(B405, 'SAÍDA DE VENDAS'!$B$6:$B$500, 0)+4), ""), "")&amp; IF(COUNTIF('SAÍDA DE VENDAS'!$B$6:$B$500, B405)&gt;5, " + " &amp; IFERROR(INDEX('SAÍDA DE VENDAS'!$H$6:$H$500 &amp; "x " &amp; 'SAÍDA DE VENDAS'!$G$6:$G$500, MATCH(B405, 'SAÍDA DE VENDAS'!$B$6:$B$500, 0)+5), ""), ""))</f>
        <v/>
      </c>
      <c r="G405" s="34">
        <f>IFERROR(VLOOKUP(B405,'SAÍDA DE VENDAS'!$B$6:$P$500,10,FALSE),"")</f>
        <v>0</v>
      </c>
      <c r="H405" s="34" t="str">
        <f>IF(OR(ISBLANK(B405),B405=""), "", IF(B405=B404, (VALUE(LEFT(H404,FIND("/",H404)-1))+1)&amp;"/"&amp;RIGHT(H404,LEN(H404)-FIND("/",H404)), "1/"&amp;IFERROR(VLOOKUP(B405,'SAÍDA DE VENDAS'!$B$6:$P$500,13,FALSE),"1")))</f>
        <v/>
      </c>
      <c r="I405" s="35" t="str">
        <f t="shared" si="12"/>
        <v/>
      </c>
      <c r="J405" s="39" t="str">
        <f>IFERROR(VLOOKUP(B405,'SAÍDA DE VENDAS'!$B$6:$P$500,15,FALSE),"")</f>
        <v/>
      </c>
      <c r="K405" s="34" t="str">
        <f t="shared" ca="1" si="13"/>
        <v/>
      </c>
      <c r="L405" s="34"/>
      <c r="M405" s="34"/>
    </row>
    <row r="406" spans="2:13" ht="15" customHeight="1" x14ac:dyDescent="0.3">
      <c r="B406" s="28" t="str">
        <f>IF(B405="","", IF(VALUE(LEFT(H405,FIND("/",H405)-1)) &lt; VALUE(RIGHT(H405,LEN(H405)-FIND("/",H405))), B405, IFERROR(INDEX('SAÍDA DE VENDAS'!$B$6:$B$500, MATCH(B405,'SAÍDA DE VENDAS'!$B$6:$B$500,0)+COUNTIF('SAÍDA DE VENDAS'!$B$6:$B$500, B405)),"")))</f>
        <v/>
      </c>
      <c r="C406" s="29">
        <f>IFERROR(VLOOKUP(B406,'SAÍDA DE VENDAS'!$B$6:$P$500,3,FALSE),"")</f>
        <v>0</v>
      </c>
      <c r="D406" s="28">
        <f>IFERROR(VLOOKUP(B406,'SAÍDA DE VENDAS'!$B$6:$P$500,4,FALSE),"")</f>
        <v>0</v>
      </c>
      <c r="E406" s="28" t="str">
        <f>IFERROR(VLOOKUP(B406,'SAÍDA DE VENDAS'!$B$6:$P$500,5,FALSE),"")</f>
        <v/>
      </c>
      <c r="F406" s="28" t="str">
        <f>IF(OR(ISBLANK(B406),B406=""), "", IFERROR(INDEX('SAÍDA DE VENDAS'!$H$6:$H$500 &amp; "x " &amp; 'SAÍDA DE VENDAS'!$G$6:$G$500, MATCH(B406, 'SAÍDA DE VENDAS'!$B$6:$B$500, 0)), "")&amp; IF(COUNTIF('SAÍDA DE VENDAS'!$B$6:$B$500, B406)&gt;1, " + " &amp; IFERROR(INDEX('SAÍDA DE VENDAS'!$H$6:$H$500 &amp; "x " &amp; 'SAÍDA DE VENDAS'!$G$6:$G$500, MATCH(B406, 'SAÍDA DE VENDAS'!$B$6:$B$500, 0)+1), ""), "")&amp; IF(COUNTIF('SAÍDA DE VENDAS'!$B$6:$B$500, B406)&gt;2, " + " &amp; IFERROR(INDEX('SAÍDA DE VENDAS'!$H$6:$H$500 &amp; "x " &amp; 'SAÍDA DE VENDAS'!$G$6:$G$500, MATCH(B406, 'SAÍDA DE VENDAS'!$B$6:$B$500, 0)+2), ""), "")&amp; IF(COUNTIF('SAÍDA DE VENDAS'!$B$6:$B$500, B406)&gt;3, " + " &amp; IFERROR(INDEX('SAÍDA DE VENDAS'!$H$6:$H$500 &amp; "x " &amp; 'SAÍDA DE VENDAS'!$G$6:$G$500, MATCH(B406, 'SAÍDA DE VENDAS'!$B$6:$B$500, 0)+3), ""), "")&amp; IF(COUNTIF('SAÍDA DE VENDAS'!$B$6:$B$500, B406)&gt;4, " + " &amp; IFERROR(INDEX('SAÍDA DE VENDAS'!$H$6:$H$500 &amp; "x " &amp; 'SAÍDA DE VENDAS'!$G$6:$G$500, MATCH(B406, 'SAÍDA DE VENDAS'!$B$6:$B$500, 0)+4), ""), "")&amp; IF(COUNTIF('SAÍDA DE VENDAS'!$B$6:$B$500, B406)&gt;5, " + " &amp; IFERROR(INDEX('SAÍDA DE VENDAS'!$H$6:$H$500 &amp; "x " &amp; 'SAÍDA DE VENDAS'!$G$6:$G$500, MATCH(B406, 'SAÍDA DE VENDAS'!$B$6:$B$500, 0)+5), ""), ""))</f>
        <v/>
      </c>
      <c r="G406" s="28">
        <f>IFERROR(VLOOKUP(B406,'SAÍDA DE VENDAS'!$B$6:$P$500,10,FALSE),"")</f>
        <v>0</v>
      </c>
      <c r="H406" s="28" t="str">
        <f>IF(OR(ISBLANK(B406),B406=""), "", IF(B406=B405, (VALUE(LEFT(H405,FIND("/",H405)-1))+1)&amp;"/"&amp;RIGHT(H405,LEN(H405)-FIND("/",H405)), "1/"&amp;IFERROR(VLOOKUP(B406,'SAÍDA DE VENDAS'!$B$6:$P$500,13,FALSE),"1")))</f>
        <v/>
      </c>
      <c r="I406" s="69" t="str">
        <f t="shared" si="12"/>
        <v/>
      </c>
      <c r="J406" s="33" t="str">
        <f>IFERROR(VLOOKUP(B406,'SAÍDA DE VENDAS'!$B$6:$P$500,15,FALSE),"")</f>
        <v/>
      </c>
      <c r="K406" s="28" t="str">
        <f t="shared" ca="1" si="13"/>
        <v/>
      </c>
      <c r="L406" s="28"/>
      <c r="M406" s="28"/>
    </row>
    <row r="407" spans="2:13" ht="15" customHeight="1" x14ac:dyDescent="0.3">
      <c r="B407" s="34" t="str">
        <f>IF(B406="","", IF(VALUE(LEFT(H406,FIND("/",H406)-1)) &lt; VALUE(RIGHT(H406,LEN(H406)-FIND("/",H406))), B406, IFERROR(INDEX('SAÍDA DE VENDAS'!$B$6:$B$500, MATCH(B406,'SAÍDA DE VENDAS'!$B$6:$B$500,0)+COUNTIF('SAÍDA DE VENDAS'!$B$6:$B$500, B406)),"")))</f>
        <v/>
      </c>
      <c r="C407" s="35">
        <f>IFERROR(VLOOKUP(B407,'SAÍDA DE VENDAS'!$B$6:$P$500,3,FALSE),"")</f>
        <v>0</v>
      </c>
      <c r="D407" s="34">
        <f>IFERROR(VLOOKUP(B407,'SAÍDA DE VENDAS'!$B$6:$P$500,4,FALSE),"")</f>
        <v>0</v>
      </c>
      <c r="E407" s="34" t="str">
        <f>IFERROR(VLOOKUP(B407,'SAÍDA DE VENDAS'!$B$6:$P$500,5,FALSE),"")</f>
        <v/>
      </c>
      <c r="F407" s="34" t="str">
        <f>IF(OR(ISBLANK(B407),B407=""), "", IFERROR(INDEX('SAÍDA DE VENDAS'!$H$6:$H$500 &amp; "x " &amp; 'SAÍDA DE VENDAS'!$G$6:$G$500, MATCH(B407, 'SAÍDA DE VENDAS'!$B$6:$B$500, 0)), "")&amp; IF(COUNTIF('SAÍDA DE VENDAS'!$B$6:$B$500, B407)&gt;1, " + " &amp; IFERROR(INDEX('SAÍDA DE VENDAS'!$H$6:$H$500 &amp; "x " &amp; 'SAÍDA DE VENDAS'!$G$6:$G$500, MATCH(B407, 'SAÍDA DE VENDAS'!$B$6:$B$500, 0)+1), ""), "")&amp; IF(COUNTIF('SAÍDA DE VENDAS'!$B$6:$B$500, B407)&gt;2, " + " &amp; IFERROR(INDEX('SAÍDA DE VENDAS'!$H$6:$H$500 &amp; "x " &amp; 'SAÍDA DE VENDAS'!$G$6:$G$500, MATCH(B407, 'SAÍDA DE VENDAS'!$B$6:$B$500, 0)+2), ""), "")&amp; IF(COUNTIF('SAÍDA DE VENDAS'!$B$6:$B$500, B407)&gt;3, " + " &amp; IFERROR(INDEX('SAÍDA DE VENDAS'!$H$6:$H$500 &amp; "x " &amp; 'SAÍDA DE VENDAS'!$G$6:$G$500, MATCH(B407, 'SAÍDA DE VENDAS'!$B$6:$B$500, 0)+3), ""), "")&amp; IF(COUNTIF('SAÍDA DE VENDAS'!$B$6:$B$500, B407)&gt;4, " + " &amp; IFERROR(INDEX('SAÍDA DE VENDAS'!$H$6:$H$500 &amp; "x " &amp; 'SAÍDA DE VENDAS'!$G$6:$G$500, MATCH(B407, 'SAÍDA DE VENDAS'!$B$6:$B$500, 0)+4), ""), "")&amp; IF(COUNTIF('SAÍDA DE VENDAS'!$B$6:$B$500, B407)&gt;5, " + " &amp; IFERROR(INDEX('SAÍDA DE VENDAS'!$H$6:$H$500 &amp; "x " &amp; 'SAÍDA DE VENDAS'!$G$6:$G$500, MATCH(B407, 'SAÍDA DE VENDAS'!$B$6:$B$500, 0)+5), ""), ""))</f>
        <v/>
      </c>
      <c r="G407" s="34">
        <f>IFERROR(VLOOKUP(B407,'SAÍDA DE VENDAS'!$B$6:$P$500,10,FALSE),"")</f>
        <v>0</v>
      </c>
      <c r="H407" s="34" t="str">
        <f>IF(OR(ISBLANK(B407),B407=""), "", IF(B407=B406, (VALUE(LEFT(H406,FIND("/",H406)-1))+1)&amp;"/"&amp;RIGHT(H406,LEN(H406)-FIND("/",H406)), "1/"&amp;IFERROR(VLOOKUP(B407,'SAÍDA DE VENDAS'!$B$6:$P$500,13,FALSE),"1")))</f>
        <v/>
      </c>
      <c r="I407" s="35" t="str">
        <f t="shared" si="12"/>
        <v/>
      </c>
      <c r="J407" s="39" t="str">
        <f>IFERROR(VLOOKUP(B407,'SAÍDA DE VENDAS'!$B$6:$P$500,15,FALSE),"")</f>
        <v/>
      </c>
      <c r="K407" s="34" t="str">
        <f t="shared" ca="1" si="13"/>
        <v/>
      </c>
      <c r="L407" s="34"/>
      <c r="M407" s="34"/>
    </row>
    <row r="408" spans="2:13" ht="15" customHeight="1" x14ac:dyDescent="0.3">
      <c r="B408" s="28" t="str">
        <f>IF(B407="","", IF(VALUE(LEFT(H407,FIND("/",H407)-1)) &lt; VALUE(RIGHT(H407,LEN(H407)-FIND("/",H407))), B407, IFERROR(INDEX('SAÍDA DE VENDAS'!$B$6:$B$500, MATCH(B407,'SAÍDA DE VENDAS'!$B$6:$B$500,0)+COUNTIF('SAÍDA DE VENDAS'!$B$6:$B$500, B407)),"")))</f>
        <v/>
      </c>
      <c r="C408" s="29">
        <f>IFERROR(VLOOKUP(B408,'SAÍDA DE VENDAS'!$B$6:$P$500,3,FALSE),"")</f>
        <v>0</v>
      </c>
      <c r="D408" s="28">
        <f>IFERROR(VLOOKUP(B408,'SAÍDA DE VENDAS'!$B$6:$P$500,4,FALSE),"")</f>
        <v>0</v>
      </c>
      <c r="E408" s="28" t="str">
        <f>IFERROR(VLOOKUP(B408,'SAÍDA DE VENDAS'!$B$6:$P$500,5,FALSE),"")</f>
        <v/>
      </c>
      <c r="F408" s="28" t="str">
        <f>IF(OR(ISBLANK(B408),B408=""), "", IFERROR(INDEX('SAÍDA DE VENDAS'!$H$6:$H$500 &amp; "x " &amp; 'SAÍDA DE VENDAS'!$G$6:$G$500, MATCH(B408, 'SAÍDA DE VENDAS'!$B$6:$B$500, 0)), "")&amp; IF(COUNTIF('SAÍDA DE VENDAS'!$B$6:$B$500, B408)&gt;1, " + " &amp; IFERROR(INDEX('SAÍDA DE VENDAS'!$H$6:$H$500 &amp; "x " &amp; 'SAÍDA DE VENDAS'!$G$6:$G$500, MATCH(B408, 'SAÍDA DE VENDAS'!$B$6:$B$500, 0)+1), ""), "")&amp; IF(COUNTIF('SAÍDA DE VENDAS'!$B$6:$B$500, B408)&gt;2, " + " &amp; IFERROR(INDEX('SAÍDA DE VENDAS'!$H$6:$H$500 &amp; "x " &amp; 'SAÍDA DE VENDAS'!$G$6:$G$500, MATCH(B408, 'SAÍDA DE VENDAS'!$B$6:$B$500, 0)+2), ""), "")&amp; IF(COUNTIF('SAÍDA DE VENDAS'!$B$6:$B$500, B408)&gt;3, " + " &amp; IFERROR(INDEX('SAÍDA DE VENDAS'!$H$6:$H$500 &amp; "x " &amp; 'SAÍDA DE VENDAS'!$G$6:$G$500, MATCH(B408, 'SAÍDA DE VENDAS'!$B$6:$B$500, 0)+3), ""), "")&amp; IF(COUNTIF('SAÍDA DE VENDAS'!$B$6:$B$500, B408)&gt;4, " + " &amp; IFERROR(INDEX('SAÍDA DE VENDAS'!$H$6:$H$500 &amp; "x " &amp; 'SAÍDA DE VENDAS'!$G$6:$G$500, MATCH(B408, 'SAÍDA DE VENDAS'!$B$6:$B$500, 0)+4), ""), "")&amp; IF(COUNTIF('SAÍDA DE VENDAS'!$B$6:$B$500, B408)&gt;5, " + " &amp; IFERROR(INDEX('SAÍDA DE VENDAS'!$H$6:$H$500 &amp; "x " &amp; 'SAÍDA DE VENDAS'!$G$6:$G$500, MATCH(B408, 'SAÍDA DE VENDAS'!$B$6:$B$500, 0)+5), ""), ""))</f>
        <v/>
      </c>
      <c r="G408" s="28">
        <f>IFERROR(VLOOKUP(B408,'SAÍDA DE VENDAS'!$B$6:$P$500,10,FALSE),"")</f>
        <v>0</v>
      </c>
      <c r="H408" s="28" t="str">
        <f>IF(OR(ISBLANK(B408),B408=""), "", IF(B408=B407, (VALUE(LEFT(H407,FIND("/",H407)-1))+1)&amp;"/"&amp;RIGHT(H407,LEN(H407)-FIND("/",H407)), "1/"&amp;IFERROR(VLOOKUP(B408,'SAÍDA DE VENDAS'!$B$6:$P$500,13,FALSE),"1")))</f>
        <v/>
      </c>
      <c r="I408" s="69" t="str">
        <f t="shared" si="12"/>
        <v/>
      </c>
      <c r="J408" s="33" t="str">
        <f>IFERROR(VLOOKUP(B408,'SAÍDA DE VENDAS'!$B$6:$P$500,15,FALSE),"")</f>
        <v/>
      </c>
      <c r="K408" s="28" t="str">
        <f t="shared" ca="1" si="13"/>
        <v/>
      </c>
      <c r="L408" s="28"/>
      <c r="M408" s="28"/>
    </row>
    <row r="409" spans="2:13" ht="15" customHeight="1" x14ac:dyDescent="0.3">
      <c r="B409" s="34" t="str">
        <f>IF(B408="","", IF(VALUE(LEFT(H408,FIND("/",H408)-1)) &lt; VALUE(RIGHT(H408,LEN(H408)-FIND("/",H408))), B408, IFERROR(INDEX('SAÍDA DE VENDAS'!$B$6:$B$500, MATCH(B408,'SAÍDA DE VENDAS'!$B$6:$B$500,0)+COUNTIF('SAÍDA DE VENDAS'!$B$6:$B$500, B408)),"")))</f>
        <v/>
      </c>
      <c r="C409" s="35">
        <f>IFERROR(VLOOKUP(B409,'SAÍDA DE VENDAS'!$B$6:$P$500,3,FALSE),"")</f>
        <v>0</v>
      </c>
      <c r="D409" s="34">
        <f>IFERROR(VLOOKUP(B409,'SAÍDA DE VENDAS'!$B$6:$P$500,4,FALSE),"")</f>
        <v>0</v>
      </c>
      <c r="E409" s="34" t="str">
        <f>IFERROR(VLOOKUP(B409,'SAÍDA DE VENDAS'!$B$6:$P$500,5,FALSE),"")</f>
        <v/>
      </c>
      <c r="F409" s="34" t="str">
        <f>IF(OR(ISBLANK(B409),B409=""), "", IFERROR(INDEX('SAÍDA DE VENDAS'!$H$6:$H$500 &amp; "x " &amp; 'SAÍDA DE VENDAS'!$G$6:$G$500, MATCH(B409, 'SAÍDA DE VENDAS'!$B$6:$B$500, 0)), "")&amp; IF(COUNTIF('SAÍDA DE VENDAS'!$B$6:$B$500, B409)&gt;1, " + " &amp; IFERROR(INDEX('SAÍDA DE VENDAS'!$H$6:$H$500 &amp; "x " &amp; 'SAÍDA DE VENDAS'!$G$6:$G$500, MATCH(B409, 'SAÍDA DE VENDAS'!$B$6:$B$500, 0)+1), ""), "")&amp; IF(COUNTIF('SAÍDA DE VENDAS'!$B$6:$B$500, B409)&gt;2, " + " &amp; IFERROR(INDEX('SAÍDA DE VENDAS'!$H$6:$H$500 &amp; "x " &amp; 'SAÍDA DE VENDAS'!$G$6:$G$500, MATCH(B409, 'SAÍDA DE VENDAS'!$B$6:$B$500, 0)+2), ""), "")&amp; IF(COUNTIF('SAÍDA DE VENDAS'!$B$6:$B$500, B409)&gt;3, " + " &amp; IFERROR(INDEX('SAÍDA DE VENDAS'!$H$6:$H$500 &amp; "x " &amp; 'SAÍDA DE VENDAS'!$G$6:$G$500, MATCH(B409, 'SAÍDA DE VENDAS'!$B$6:$B$500, 0)+3), ""), "")&amp; IF(COUNTIF('SAÍDA DE VENDAS'!$B$6:$B$500, B409)&gt;4, " + " &amp; IFERROR(INDEX('SAÍDA DE VENDAS'!$H$6:$H$500 &amp; "x " &amp; 'SAÍDA DE VENDAS'!$G$6:$G$500, MATCH(B409, 'SAÍDA DE VENDAS'!$B$6:$B$500, 0)+4), ""), "")&amp; IF(COUNTIF('SAÍDA DE VENDAS'!$B$6:$B$500, B409)&gt;5, " + " &amp; IFERROR(INDEX('SAÍDA DE VENDAS'!$H$6:$H$500 &amp; "x " &amp; 'SAÍDA DE VENDAS'!$G$6:$G$500, MATCH(B409, 'SAÍDA DE VENDAS'!$B$6:$B$500, 0)+5), ""), ""))</f>
        <v/>
      </c>
      <c r="G409" s="34">
        <f>IFERROR(VLOOKUP(B409,'SAÍDA DE VENDAS'!$B$6:$P$500,10,FALSE),"")</f>
        <v>0</v>
      </c>
      <c r="H409" s="34" t="str">
        <f>IF(OR(ISBLANK(B409),B409=""), "", IF(B409=B408, (VALUE(LEFT(H408,FIND("/",H408)-1))+1)&amp;"/"&amp;RIGHT(H408,LEN(H408)-FIND("/",H408)), "1/"&amp;IFERROR(VLOOKUP(B409,'SAÍDA DE VENDAS'!$B$6:$P$500,13,FALSE),"1")))</f>
        <v/>
      </c>
      <c r="I409" s="35" t="str">
        <f t="shared" si="12"/>
        <v/>
      </c>
      <c r="J409" s="39" t="str">
        <f>IFERROR(VLOOKUP(B409,'SAÍDA DE VENDAS'!$B$6:$P$500,15,FALSE),"")</f>
        <v/>
      </c>
      <c r="K409" s="34" t="str">
        <f t="shared" ca="1" si="13"/>
        <v/>
      </c>
      <c r="L409" s="34"/>
      <c r="M409" s="34"/>
    </row>
    <row r="410" spans="2:13" ht="15" customHeight="1" x14ac:dyDescent="0.3">
      <c r="B410" s="28" t="str">
        <f>IF(B409="","", IF(VALUE(LEFT(H409,FIND("/",H409)-1)) &lt; VALUE(RIGHT(H409,LEN(H409)-FIND("/",H409))), B409, IFERROR(INDEX('SAÍDA DE VENDAS'!$B$6:$B$500, MATCH(B409,'SAÍDA DE VENDAS'!$B$6:$B$500,0)+COUNTIF('SAÍDA DE VENDAS'!$B$6:$B$500, B409)),"")))</f>
        <v/>
      </c>
      <c r="C410" s="29">
        <f>IFERROR(VLOOKUP(B410,'SAÍDA DE VENDAS'!$B$6:$P$500,3,FALSE),"")</f>
        <v>0</v>
      </c>
      <c r="D410" s="28">
        <f>IFERROR(VLOOKUP(B410,'SAÍDA DE VENDAS'!$B$6:$P$500,4,FALSE),"")</f>
        <v>0</v>
      </c>
      <c r="E410" s="28" t="str">
        <f>IFERROR(VLOOKUP(B410,'SAÍDA DE VENDAS'!$B$6:$P$500,5,FALSE),"")</f>
        <v/>
      </c>
      <c r="F410" s="28" t="str">
        <f>IF(OR(ISBLANK(B410),B410=""), "", IFERROR(INDEX('SAÍDA DE VENDAS'!$H$6:$H$500 &amp; "x " &amp; 'SAÍDA DE VENDAS'!$G$6:$G$500, MATCH(B410, 'SAÍDA DE VENDAS'!$B$6:$B$500, 0)), "")&amp; IF(COUNTIF('SAÍDA DE VENDAS'!$B$6:$B$500, B410)&gt;1, " + " &amp; IFERROR(INDEX('SAÍDA DE VENDAS'!$H$6:$H$500 &amp; "x " &amp; 'SAÍDA DE VENDAS'!$G$6:$G$500, MATCH(B410, 'SAÍDA DE VENDAS'!$B$6:$B$500, 0)+1), ""), "")&amp; IF(COUNTIF('SAÍDA DE VENDAS'!$B$6:$B$500, B410)&gt;2, " + " &amp; IFERROR(INDEX('SAÍDA DE VENDAS'!$H$6:$H$500 &amp; "x " &amp; 'SAÍDA DE VENDAS'!$G$6:$G$500, MATCH(B410, 'SAÍDA DE VENDAS'!$B$6:$B$500, 0)+2), ""), "")&amp; IF(COUNTIF('SAÍDA DE VENDAS'!$B$6:$B$500, B410)&gt;3, " + " &amp; IFERROR(INDEX('SAÍDA DE VENDAS'!$H$6:$H$500 &amp; "x " &amp; 'SAÍDA DE VENDAS'!$G$6:$G$500, MATCH(B410, 'SAÍDA DE VENDAS'!$B$6:$B$500, 0)+3), ""), "")&amp; IF(COUNTIF('SAÍDA DE VENDAS'!$B$6:$B$500, B410)&gt;4, " + " &amp; IFERROR(INDEX('SAÍDA DE VENDAS'!$H$6:$H$500 &amp; "x " &amp; 'SAÍDA DE VENDAS'!$G$6:$G$500, MATCH(B410, 'SAÍDA DE VENDAS'!$B$6:$B$500, 0)+4), ""), "")&amp; IF(COUNTIF('SAÍDA DE VENDAS'!$B$6:$B$500, B410)&gt;5, " + " &amp; IFERROR(INDEX('SAÍDA DE VENDAS'!$H$6:$H$500 &amp; "x " &amp; 'SAÍDA DE VENDAS'!$G$6:$G$500, MATCH(B410, 'SAÍDA DE VENDAS'!$B$6:$B$500, 0)+5), ""), ""))</f>
        <v/>
      </c>
      <c r="G410" s="28">
        <f>IFERROR(VLOOKUP(B410,'SAÍDA DE VENDAS'!$B$6:$P$500,10,FALSE),"")</f>
        <v>0</v>
      </c>
      <c r="H410" s="28" t="str">
        <f>IF(OR(ISBLANK(B410),B410=""), "", IF(B410=B409, (VALUE(LEFT(H409,FIND("/",H409)-1))+1)&amp;"/"&amp;RIGHT(H409,LEN(H409)-FIND("/",H409)), "1/"&amp;IFERROR(VLOOKUP(B410,'SAÍDA DE VENDAS'!$B$6:$P$500,13,FALSE),"1")))</f>
        <v/>
      </c>
      <c r="I410" s="69" t="str">
        <f t="shared" si="12"/>
        <v/>
      </c>
      <c r="J410" s="33" t="str">
        <f>IFERROR(VLOOKUP(B410,'SAÍDA DE VENDAS'!$B$6:$P$500,15,FALSE),"")</f>
        <v/>
      </c>
      <c r="K410" s="28" t="str">
        <f t="shared" ca="1" si="13"/>
        <v/>
      </c>
      <c r="L410" s="28"/>
      <c r="M410" s="28"/>
    </row>
    <row r="411" spans="2:13" ht="15" customHeight="1" x14ac:dyDescent="0.3">
      <c r="B411" s="34" t="str">
        <f>IF(B410="","", IF(VALUE(LEFT(H410,FIND("/",H410)-1)) &lt; VALUE(RIGHT(H410,LEN(H410)-FIND("/",H410))), B410, IFERROR(INDEX('SAÍDA DE VENDAS'!$B$6:$B$500, MATCH(B410,'SAÍDA DE VENDAS'!$B$6:$B$500,0)+COUNTIF('SAÍDA DE VENDAS'!$B$6:$B$500, B410)),"")))</f>
        <v/>
      </c>
      <c r="C411" s="35">
        <f>IFERROR(VLOOKUP(B411,'SAÍDA DE VENDAS'!$B$6:$P$500,3,FALSE),"")</f>
        <v>0</v>
      </c>
      <c r="D411" s="34">
        <f>IFERROR(VLOOKUP(B411,'SAÍDA DE VENDAS'!$B$6:$P$500,4,FALSE),"")</f>
        <v>0</v>
      </c>
      <c r="E411" s="34" t="str">
        <f>IFERROR(VLOOKUP(B411,'SAÍDA DE VENDAS'!$B$6:$P$500,5,FALSE),"")</f>
        <v/>
      </c>
      <c r="F411" s="34" t="str">
        <f>IF(OR(ISBLANK(B411),B411=""), "", IFERROR(INDEX('SAÍDA DE VENDAS'!$H$6:$H$500 &amp; "x " &amp; 'SAÍDA DE VENDAS'!$G$6:$G$500, MATCH(B411, 'SAÍDA DE VENDAS'!$B$6:$B$500, 0)), "")&amp; IF(COUNTIF('SAÍDA DE VENDAS'!$B$6:$B$500, B411)&gt;1, " + " &amp; IFERROR(INDEX('SAÍDA DE VENDAS'!$H$6:$H$500 &amp; "x " &amp; 'SAÍDA DE VENDAS'!$G$6:$G$500, MATCH(B411, 'SAÍDA DE VENDAS'!$B$6:$B$500, 0)+1), ""), "")&amp; IF(COUNTIF('SAÍDA DE VENDAS'!$B$6:$B$500, B411)&gt;2, " + " &amp; IFERROR(INDEX('SAÍDA DE VENDAS'!$H$6:$H$500 &amp; "x " &amp; 'SAÍDA DE VENDAS'!$G$6:$G$500, MATCH(B411, 'SAÍDA DE VENDAS'!$B$6:$B$500, 0)+2), ""), "")&amp; IF(COUNTIF('SAÍDA DE VENDAS'!$B$6:$B$500, B411)&gt;3, " + " &amp; IFERROR(INDEX('SAÍDA DE VENDAS'!$H$6:$H$500 &amp; "x " &amp; 'SAÍDA DE VENDAS'!$G$6:$G$500, MATCH(B411, 'SAÍDA DE VENDAS'!$B$6:$B$500, 0)+3), ""), "")&amp; IF(COUNTIF('SAÍDA DE VENDAS'!$B$6:$B$500, B411)&gt;4, " + " &amp; IFERROR(INDEX('SAÍDA DE VENDAS'!$H$6:$H$500 &amp; "x " &amp; 'SAÍDA DE VENDAS'!$G$6:$G$500, MATCH(B411, 'SAÍDA DE VENDAS'!$B$6:$B$500, 0)+4), ""), "")&amp; IF(COUNTIF('SAÍDA DE VENDAS'!$B$6:$B$500, B411)&gt;5, " + " &amp; IFERROR(INDEX('SAÍDA DE VENDAS'!$H$6:$H$500 &amp; "x " &amp; 'SAÍDA DE VENDAS'!$G$6:$G$500, MATCH(B411, 'SAÍDA DE VENDAS'!$B$6:$B$500, 0)+5), ""), ""))</f>
        <v/>
      </c>
      <c r="G411" s="34">
        <f>IFERROR(VLOOKUP(B411,'SAÍDA DE VENDAS'!$B$6:$P$500,10,FALSE),"")</f>
        <v>0</v>
      </c>
      <c r="H411" s="34" t="str">
        <f>IF(OR(ISBLANK(B411),B411=""), "", IF(B411=B410, (VALUE(LEFT(H410,FIND("/",H410)-1))+1)&amp;"/"&amp;RIGHT(H410,LEN(H410)-FIND("/",H410)), "1/"&amp;IFERROR(VLOOKUP(B411,'SAÍDA DE VENDAS'!$B$6:$P$500,13,FALSE),"1")))</f>
        <v/>
      </c>
      <c r="I411" s="35" t="str">
        <f t="shared" si="12"/>
        <v/>
      </c>
      <c r="J411" s="39" t="str">
        <f>IFERROR(VLOOKUP(B411,'SAÍDA DE VENDAS'!$B$6:$P$500,15,FALSE),"")</f>
        <v/>
      </c>
      <c r="K411" s="34" t="str">
        <f t="shared" ca="1" si="13"/>
        <v/>
      </c>
      <c r="L411" s="34"/>
      <c r="M411" s="34"/>
    </row>
    <row r="412" spans="2:13" ht="15" customHeight="1" x14ac:dyDescent="0.3">
      <c r="B412" s="28" t="str">
        <f>IF(B411="","", IF(VALUE(LEFT(H411,FIND("/",H411)-1)) &lt; VALUE(RIGHT(H411,LEN(H411)-FIND("/",H411))), B411, IFERROR(INDEX('SAÍDA DE VENDAS'!$B$6:$B$500, MATCH(B411,'SAÍDA DE VENDAS'!$B$6:$B$500,0)+COUNTIF('SAÍDA DE VENDAS'!$B$6:$B$500, B411)),"")))</f>
        <v/>
      </c>
      <c r="C412" s="29">
        <f>IFERROR(VLOOKUP(B412,'SAÍDA DE VENDAS'!$B$6:$P$500,3,FALSE),"")</f>
        <v>0</v>
      </c>
      <c r="D412" s="28">
        <f>IFERROR(VLOOKUP(B412,'SAÍDA DE VENDAS'!$B$6:$P$500,4,FALSE),"")</f>
        <v>0</v>
      </c>
      <c r="E412" s="28" t="str">
        <f>IFERROR(VLOOKUP(B412,'SAÍDA DE VENDAS'!$B$6:$P$500,5,FALSE),"")</f>
        <v/>
      </c>
      <c r="F412" s="28" t="str">
        <f>IF(OR(ISBLANK(B412),B412=""), "", IFERROR(INDEX('SAÍDA DE VENDAS'!$H$6:$H$500 &amp; "x " &amp; 'SAÍDA DE VENDAS'!$G$6:$G$500, MATCH(B412, 'SAÍDA DE VENDAS'!$B$6:$B$500, 0)), "")&amp; IF(COUNTIF('SAÍDA DE VENDAS'!$B$6:$B$500, B412)&gt;1, " + " &amp; IFERROR(INDEX('SAÍDA DE VENDAS'!$H$6:$H$500 &amp; "x " &amp; 'SAÍDA DE VENDAS'!$G$6:$G$500, MATCH(B412, 'SAÍDA DE VENDAS'!$B$6:$B$500, 0)+1), ""), "")&amp; IF(COUNTIF('SAÍDA DE VENDAS'!$B$6:$B$500, B412)&gt;2, " + " &amp; IFERROR(INDEX('SAÍDA DE VENDAS'!$H$6:$H$500 &amp; "x " &amp; 'SAÍDA DE VENDAS'!$G$6:$G$500, MATCH(B412, 'SAÍDA DE VENDAS'!$B$6:$B$500, 0)+2), ""), "")&amp; IF(COUNTIF('SAÍDA DE VENDAS'!$B$6:$B$500, B412)&gt;3, " + " &amp; IFERROR(INDEX('SAÍDA DE VENDAS'!$H$6:$H$500 &amp; "x " &amp; 'SAÍDA DE VENDAS'!$G$6:$G$500, MATCH(B412, 'SAÍDA DE VENDAS'!$B$6:$B$500, 0)+3), ""), "")&amp; IF(COUNTIF('SAÍDA DE VENDAS'!$B$6:$B$500, B412)&gt;4, " + " &amp; IFERROR(INDEX('SAÍDA DE VENDAS'!$H$6:$H$500 &amp; "x " &amp; 'SAÍDA DE VENDAS'!$G$6:$G$500, MATCH(B412, 'SAÍDA DE VENDAS'!$B$6:$B$500, 0)+4), ""), "")&amp; IF(COUNTIF('SAÍDA DE VENDAS'!$B$6:$B$500, B412)&gt;5, " + " &amp; IFERROR(INDEX('SAÍDA DE VENDAS'!$H$6:$H$500 &amp; "x " &amp; 'SAÍDA DE VENDAS'!$G$6:$G$500, MATCH(B412, 'SAÍDA DE VENDAS'!$B$6:$B$500, 0)+5), ""), ""))</f>
        <v/>
      </c>
      <c r="G412" s="28">
        <f>IFERROR(VLOOKUP(B412,'SAÍDA DE VENDAS'!$B$6:$P$500,10,FALSE),"")</f>
        <v>0</v>
      </c>
      <c r="H412" s="28" t="str">
        <f>IF(OR(ISBLANK(B412),B412=""), "", IF(B412=B411, (VALUE(LEFT(H411,FIND("/",H411)-1))+1)&amp;"/"&amp;RIGHT(H411,LEN(H411)-FIND("/",H411)), "1/"&amp;IFERROR(VLOOKUP(B412,'SAÍDA DE VENDAS'!$B$6:$P$500,13,FALSE),"1")))</f>
        <v/>
      </c>
      <c r="I412" s="69" t="str">
        <f t="shared" si="12"/>
        <v/>
      </c>
      <c r="J412" s="33" t="str">
        <f>IFERROR(VLOOKUP(B412,'SAÍDA DE VENDAS'!$B$6:$P$500,15,FALSE),"")</f>
        <v/>
      </c>
      <c r="K412" s="28" t="str">
        <f t="shared" ca="1" si="13"/>
        <v/>
      </c>
      <c r="L412" s="28"/>
      <c r="M412" s="28"/>
    </row>
    <row r="413" spans="2:13" ht="15" customHeight="1" x14ac:dyDescent="0.3">
      <c r="B413" s="34" t="str">
        <f>IF(B412="","", IF(VALUE(LEFT(H412,FIND("/",H412)-1)) &lt; VALUE(RIGHT(H412,LEN(H412)-FIND("/",H412))), B412, IFERROR(INDEX('SAÍDA DE VENDAS'!$B$6:$B$500, MATCH(B412,'SAÍDA DE VENDAS'!$B$6:$B$500,0)+COUNTIF('SAÍDA DE VENDAS'!$B$6:$B$500, B412)),"")))</f>
        <v/>
      </c>
      <c r="C413" s="35">
        <f>IFERROR(VLOOKUP(B413,'SAÍDA DE VENDAS'!$B$6:$P$500,3,FALSE),"")</f>
        <v>0</v>
      </c>
      <c r="D413" s="34">
        <f>IFERROR(VLOOKUP(B413,'SAÍDA DE VENDAS'!$B$6:$P$500,4,FALSE),"")</f>
        <v>0</v>
      </c>
      <c r="E413" s="34" t="str">
        <f>IFERROR(VLOOKUP(B413,'SAÍDA DE VENDAS'!$B$6:$P$500,5,FALSE),"")</f>
        <v/>
      </c>
      <c r="F413" s="34" t="str">
        <f>IF(OR(ISBLANK(B413),B413=""), "", IFERROR(INDEX('SAÍDA DE VENDAS'!$H$6:$H$500 &amp; "x " &amp; 'SAÍDA DE VENDAS'!$G$6:$G$500, MATCH(B413, 'SAÍDA DE VENDAS'!$B$6:$B$500, 0)), "")&amp; IF(COUNTIF('SAÍDA DE VENDAS'!$B$6:$B$500, B413)&gt;1, " + " &amp; IFERROR(INDEX('SAÍDA DE VENDAS'!$H$6:$H$500 &amp; "x " &amp; 'SAÍDA DE VENDAS'!$G$6:$G$500, MATCH(B413, 'SAÍDA DE VENDAS'!$B$6:$B$500, 0)+1), ""), "")&amp; IF(COUNTIF('SAÍDA DE VENDAS'!$B$6:$B$500, B413)&gt;2, " + " &amp; IFERROR(INDEX('SAÍDA DE VENDAS'!$H$6:$H$500 &amp; "x " &amp; 'SAÍDA DE VENDAS'!$G$6:$G$500, MATCH(B413, 'SAÍDA DE VENDAS'!$B$6:$B$500, 0)+2), ""), "")&amp; IF(COUNTIF('SAÍDA DE VENDAS'!$B$6:$B$500, B413)&gt;3, " + " &amp; IFERROR(INDEX('SAÍDA DE VENDAS'!$H$6:$H$500 &amp; "x " &amp; 'SAÍDA DE VENDAS'!$G$6:$G$500, MATCH(B413, 'SAÍDA DE VENDAS'!$B$6:$B$500, 0)+3), ""), "")&amp; IF(COUNTIF('SAÍDA DE VENDAS'!$B$6:$B$500, B413)&gt;4, " + " &amp; IFERROR(INDEX('SAÍDA DE VENDAS'!$H$6:$H$500 &amp; "x " &amp; 'SAÍDA DE VENDAS'!$G$6:$G$500, MATCH(B413, 'SAÍDA DE VENDAS'!$B$6:$B$500, 0)+4), ""), "")&amp; IF(COUNTIF('SAÍDA DE VENDAS'!$B$6:$B$500, B413)&gt;5, " + " &amp; IFERROR(INDEX('SAÍDA DE VENDAS'!$H$6:$H$500 &amp; "x " &amp; 'SAÍDA DE VENDAS'!$G$6:$G$500, MATCH(B413, 'SAÍDA DE VENDAS'!$B$6:$B$500, 0)+5), ""), ""))</f>
        <v/>
      </c>
      <c r="G413" s="34">
        <f>IFERROR(VLOOKUP(B413,'SAÍDA DE VENDAS'!$B$6:$P$500,10,FALSE),"")</f>
        <v>0</v>
      </c>
      <c r="H413" s="34" t="str">
        <f>IF(OR(ISBLANK(B413),B413=""), "", IF(B413=B412, (VALUE(LEFT(H412,FIND("/",H412)-1))+1)&amp;"/"&amp;RIGHT(H412,LEN(H412)-FIND("/",H412)), "1/"&amp;IFERROR(VLOOKUP(B413,'SAÍDA DE VENDAS'!$B$6:$P$500,13,FALSE),"1")))</f>
        <v/>
      </c>
      <c r="I413" s="35" t="str">
        <f t="shared" si="12"/>
        <v/>
      </c>
      <c r="J413" s="39" t="str">
        <f>IFERROR(VLOOKUP(B413,'SAÍDA DE VENDAS'!$B$6:$P$500,15,FALSE),"")</f>
        <v/>
      </c>
      <c r="K413" s="34" t="str">
        <f t="shared" ca="1" si="13"/>
        <v/>
      </c>
      <c r="L413" s="34"/>
      <c r="M413" s="34"/>
    </row>
    <row r="414" spans="2:13" ht="15" customHeight="1" x14ac:dyDescent="0.3">
      <c r="B414" s="28" t="str">
        <f>IF(B413="","", IF(VALUE(LEFT(H413,FIND("/",H413)-1)) &lt; VALUE(RIGHT(H413,LEN(H413)-FIND("/",H413))), B413, IFERROR(INDEX('SAÍDA DE VENDAS'!$B$6:$B$500, MATCH(B413,'SAÍDA DE VENDAS'!$B$6:$B$500,0)+COUNTIF('SAÍDA DE VENDAS'!$B$6:$B$500, B413)),"")))</f>
        <v/>
      </c>
      <c r="C414" s="29">
        <f>IFERROR(VLOOKUP(B414,'SAÍDA DE VENDAS'!$B$6:$P$500,3,FALSE),"")</f>
        <v>0</v>
      </c>
      <c r="D414" s="28">
        <f>IFERROR(VLOOKUP(B414,'SAÍDA DE VENDAS'!$B$6:$P$500,4,FALSE),"")</f>
        <v>0</v>
      </c>
      <c r="E414" s="28" t="str">
        <f>IFERROR(VLOOKUP(B414,'SAÍDA DE VENDAS'!$B$6:$P$500,5,FALSE),"")</f>
        <v/>
      </c>
      <c r="F414" s="28" t="str">
        <f>IF(OR(ISBLANK(B414),B414=""), "", IFERROR(INDEX('SAÍDA DE VENDAS'!$H$6:$H$500 &amp; "x " &amp; 'SAÍDA DE VENDAS'!$G$6:$G$500, MATCH(B414, 'SAÍDA DE VENDAS'!$B$6:$B$500, 0)), "")&amp; IF(COUNTIF('SAÍDA DE VENDAS'!$B$6:$B$500, B414)&gt;1, " + " &amp; IFERROR(INDEX('SAÍDA DE VENDAS'!$H$6:$H$500 &amp; "x " &amp; 'SAÍDA DE VENDAS'!$G$6:$G$500, MATCH(B414, 'SAÍDA DE VENDAS'!$B$6:$B$500, 0)+1), ""), "")&amp; IF(COUNTIF('SAÍDA DE VENDAS'!$B$6:$B$500, B414)&gt;2, " + " &amp; IFERROR(INDEX('SAÍDA DE VENDAS'!$H$6:$H$500 &amp; "x " &amp; 'SAÍDA DE VENDAS'!$G$6:$G$500, MATCH(B414, 'SAÍDA DE VENDAS'!$B$6:$B$500, 0)+2), ""), "")&amp; IF(COUNTIF('SAÍDA DE VENDAS'!$B$6:$B$500, B414)&gt;3, " + " &amp; IFERROR(INDEX('SAÍDA DE VENDAS'!$H$6:$H$500 &amp; "x " &amp; 'SAÍDA DE VENDAS'!$G$6:$G$500, MATCH(B414, 'SAÍDA DE VENDAS'!$B$6:$B$500, 0)+3), ""), "")&amp; IF(COUNTIF('SAÍDA DE VENDAS'!$B$6:$B$500, B414)&gt;4, " + " &amp; IFERROR(INDEX('SAÍDA DE VENDAS'!$H$6:$H$500 &amp; "x " &amp; 'SAÍDA DE VENDAS'!$G$6:$G$500, MATCH(B414, 'SAÍDA DE VENDAS'!$B$6:$B$500, 0)+4), ""), "")&amp; IF(COUNTIF('SAÍDA DE VENDAS'!$B$6:$B$500, B414)&gt;5, " + " &amp; IFERROR(INDEX('SAÍDA DE VENDAS'!$H$6:$H$500 &amp; "x " &amp; 'SAÍDA DE VENDAS'!$G$6:$G$500, MATCH(B414, 'SAÍDA DE VENDAS'!$B$6:$B$500, 0)+5), ""), ""))</f>
        <v/>
      </c>
      <c r="G414" s="28">
        <f>IFERROR(VLOOKUP(B414,'SAÍDA DE VENDAS'!$B$6:$P$500,10,FALSE),"")</f>
        <v>0</v>
      </c>
      <c r="H414" s="28" t="str">
        <f>IF(OR(ISBLANK(B414),B414=""), "", IF(B414=B413, (VALUE(LEFT(H413,FIND("/",H413)-1))+1)&amp;"/"&amp;RIGHT(H413,LEN(H413)-FIND("/",H413)), "1/"&amp;IFERROR(VLOOKUP(B414,'SAÍDA DE VENDAS'!$B$6:$P$500,13,FALSE),"1")))</f>
        <v/>
      </c>
      <c r="I414" s="69" t="str">
        <f t="shared" si="12"/>
        <v/>
      </c>
      <c r="J414" s="33" t="str">
        <f>IFERROR(VLOOKUP(B414,'SAÍDA DE VENDAS'!$B$6:$P$500,15,FALSE),"")</f>
        <v/>
      </c>
      <c r="K414" s="28" t="str">
        <f t="shared" ca="1" si="13"/>
        <v/>
      </c>
      <c r="L414" s="28"/>
      <c r="M414" s="28"/>
    </row>
    <row r="415" spans="2:13" ht="15" customHeight="1" x14ac:dyDescent="0.3">
      <c r="B415" s="34" t="str">
        <f>IF(B414="","", IF(VALUE(LEFT(H414,FIND("/",H414)-1)) &lt; VALUE(RIGHT(H414,LEN(H414)-FIND("/",H414))), B414, IFERROR(INDEX('SAÍDA DE VENDAS'!$B$6:$B$500, MATCH(B414,'SAÍDA DE VENDAS'!$B$6:$B$500,0)+COUNTIF('SAÍDA DE VENDAS'!$B$6:$B$500, B414)),"")))</f>
        <v/>
      </c>
      <c r="C415" s="35">
        <f>IFERROR(VLOOKUP(B415,'SAÍDA DE VENDAS'!$B$6:$P$500,3,FALSE),"")</f>
        <v>0</v>
      </c>
      <c r="D415" s="34">
        <f>IFERROR(VLOOKUP(B415,'SAÍDA DE VENDAS'!$B$6:$P$500,4,FALSE),"")</f>
        <v>0</v>
      </c>
      <c r="E415" s="34" t="str">
        <f>IFERROR(VLOOKUP(B415,'SAÍDA DE VENDAS'!$B$6:$P$500,5,FALSE),"")</f>
        <v/>
      </c>
      <c r="F415" s="34" t="str">
        <f>IF(OR(ISBLANK(B415),B415=""), "", IFERROR(INDEX('SAÍDA DE VENDAS'!$H$6:$H$500 &amp; "x " &amp; 'SAÍDA DE VENDAS'!$G$6:$G$500, MATCH(B415, 'SAÍDA DE VENDAS'!$B$6:$B$500, 0)), "")&amp; IF(COUNTIF('SAÍDA DE VENDAS'!$B$6:$B$500, B415)&gt;1, " + " &amp; IFERROR(INDEX('SAÍDA DE VENDAS'!$H$6:$H$500 &amp; "x " &amp; 'SAÍDA DE VENDAS'!$G$6:$G$500, MATCH(B415, 'SAÍDA DE VENDAS'!$B$6:$B$500, 0)+1), ""), "")&amp; IF(COUNTIF('SAÍDA DE VENDAS'!$B$6:$B$500, B415)&gt;2, " + " &amp; IFERROR(INDEX('SAÍDA DE VENDAS'!$H$6:$H$500 &amp; "x " &amp; 'SAÍDA DE VENDAS'!$G$6:$G$500, MATCH(B415, 'SAÍDA DE VENDAS'!$B$6:$B$500, 0)+2), ""), "")&amp; IF(COUNTIF('SAÍDA DE VENDAS'!$B$6:$B$500, B415)&gt;3, " + " &amp; IFERROR(INDEX('SAÍDA DE VENDAS'!$H$6:$H$500 &amp; "x " &amp; 'SAÍDA DE VENDAS'!$G$6:$G$500, MATCH(B415, 'SAÍDA DE VENDAS'!$B$6:$B$500, 0)+3), ""), "")&amp; IF(COUNTIF('SAÍDA DE VENDAS'!$B$6:$B$500, B415)&gt;4, " + " &amp; IFERROR(INDEX('SAÍDA DE VENDAS'!$H$6:$H$500 &amp; "x " &amp; 'SAÍDA DE VENDAS'!$G$6:$G$500, MATCH(B415, 'SAÍDA DE VENDAS'!$B$6:$B$500, 0)+4), ""), "")&amp; IF(COUNTIF('SAÍDA DE VENDAS'!$B$6:$B$500, B415)&gt;5, " + " &amp; IFERROR(INDEX('SAÍDA DE VENDAS'!$H$6:$H$500 &amp; "x " &amp; 'SAÍDA DE VENDAS'!$G$6:$G$500, MATCH(B415, 'SAÍDA DE VENDAS'!$B$6:$B$500, 0)+5), ""), ""))</f>
        <v/>
      </c>
      <c r="G415" s="34">
        <f>IFERROR(VLOOKUP(B415,'SAÍDA DE VENDAS'!$B$6:$P$500,10,FALSE),"")</f>
        <v>0</v>
      </c>
      <c r="H415" s="34" t="str">
        <f>IF(OR(ISBLANK(B415),B415=""), "", IF(B415=B414, (VALUE(LEFT(H414,FIND("/",H414)-1))+1)&amp;"/"&amp;RIGHT(H414,LEN(H414)-FIND("/",H414)), "1/"&amp;IFERROR(VLOOKUP(B415,'SAÍDA DE VENDAS'!$B$6:$P$500,13,FALSE),"1")))</f>
        <v/>
      </c>
      <c r="I415" s="35" t="str">
        <f t="shared" si="12"/>
        <v/>
      </c>
      <c r="J415" s="39" t="str">
        <f>IFERROR(VLOOKUP(B415,'SAÍDA DE VENDAS'!$B$6:$P$500,15,FALSE),"")</f>
        <v/>
      </c>
      <c r="K415" s="34" t="str">
        <f t="shared" ca="1" si="13"/>
        <v/>
      </c>
      <c r="L415" s="34"/>
      <c r="M415" s="34"/>
    </row>
    <row r="416" spans="2:13" ht="15" customHeight="1" x14ac:dyDescent="0.3">
      <c r="B416" s="28" t="str">
        <f>IF(B415="","", IF(VALUE(LEFT(H415,FIND("/",H415)-1)) &lt; VALUE(RIGHT(H415,LEN(H415)-FIND("/",H415))), B415, IFERROR(INDEX('SAÍDA DE VENDAS'!$B$6:$B$500, MATCH(B415,'SAÍDA DE VENDAS'!$B$6:$B$500,0)+COUNTIF('SAÍDA DE VENDAS'!$B$6:$B$500, B415)),"")))</f>
        <v/>
      </c>
      <c r="C416" s="29">
        <f>IFERROR(VLOOKUP(B416,'SAÍDA DE VENDAS'!$B$6:$P$500,3,FALSE),"")</f>
        <v>0</v>
      </c>
      <c r="D416" s="28">
        <f>IFERROR(VLOOKUP(B416,'SAÍDA DE VENDAS'!$B$6:$P$500,4,FALSE),"")</f>
        <v>0</v>
      </c>
      <c r="E416" s="28" t="str">
        <f>IFERROR(VLOOKUP(B416,'SAÍDA DE VENDAS'!$B$6:$P$500,5,FALSE),"")</f>
        <v/>
      </c>
      <c r="F416" s="28" t="str">
        <f>IF(OR(ISBLANK(B416),B416=""), "", IFERROR(INDEX('SAÍDA DE VENDAS'!$H$6:$H$500 &amp; "x " &amp; 'SAÍDA DE VENDAS'!$G$6:$G$500, MATCH(B416, 'SAÍDA DE VENDAS'!$B$6:$B$500, 0)), "")&amp; IF(COUNTIF('SAÍDA DE VENDAS'!$B$6:$B$500, B416)&gt;1, " + " &amp; IFERROR(INDEX('SAÍDA DE VENDAS'!$H$6:$H$500 &amp; "x " &amp; 'SAÍDA DE VENDAS'!$G$6:$G$500, MATCH(B416, 'SAÍDA DE VENDAS'!$B$6:$B$500, 0)+1), ""), "")&amp; IF(COUNTIF('SAÍDA DE VENDAS'!$B$6:$B$500, B416)&gt;2, " + " &amp; IFERROR(INDEX('SAÍDA DE VENDAS'!$H$6:$H$500 &amp; "x " &amp; 'SAÍDA DE VENDAS'!$G$6:$G$500, MATCH(B416, 'SAÍDA DE VENDAS'!$B$6:$B$500, 0)+2), ""), "")&amp; IF(COUNTIF('SAÍDA DE VENDAS'!$B$6:$B$500, B416)&gt;3, " + " &amp; IFERROR(INDEX('SAÍDA DE VENDAS'!$H$6:$H$500 &amp; "x " &amp; 'SAÍDA DE VENDAS'!$G$6:$G$500, MATCH(B416, 'SAÍDA DE VENDAS'!$B$6:$B$500, 0)+3), ""), "")&amp; IF(COUNTIF('SAÍDA DE VENDAS'!$B$6:$B$500, B416)&gt;4, " + " &amp; IFERROR(INDEX('SAÍDA DE VENDAS'!$H$6:$H$500 &amp; "x " &amp; 'SAÍDA DE VENDAS'!$G$6:$G$500, MATCH(B416, 'SAÍDA DE VENDAS'!$B$6:$B$500, 0)+4), ""), "")&amp; IF(COUNTIF('SAÍDA DE VENDAS'!$B$6:$B$500, B416)&gt;5, " + " &amp; IFERROR(INDEX('SAÍDA DE VENDAS'!$H$6:$H$500 &amp; "x " &amp; 'SAÍDA DE VENDAS'!$G$6:$G$500, MATCH(B416, 'SAÍDA DE VENDAS'!$B$6:$B$500, 0)+5), ""), ""))</f>
        <v/>
      </c>
      <c r="G416" s="28">
        <f>IFERROR(VLOOKUP(B416,'SAÍDA DE VENDAS'!$B$6:$P$500,10,FALSE),"")</f>
        <v>0</v>
      </c>
      <c r="H416" s="28" t="str">
        <f>IF(OR(ISBLANK(B416),B416=""), "", IF(B416=B415, (VALUE(LEFT(H415,FIND("/",H415)-1))+1)&amp;"/"&amp;RIGHT(H415,LEN(H415)-FIND("/",H415)), "1/"&amp;IFERROR(VLOOKUP(B416,'SAÍDA DE VENDAS'!$B$6:$P$500,13,FALSE),"1")))</f>
        <v/>
      </c>
      <c r="I416" s="69" t="str">
        <f t="shared" si="12"/>
        <v/>
      </c>
      <c r="J416" s="33" t="str">
        <f>IFERROR(VLOOKUP(B416,'SAÍDA DE VENDAS'!$B$6:$P$500,15,FALSE),"")</f>
        <v/>
      </c>
      <c r="K416" s="28" t="str">
        <f t="shared" ca="1" si="13"/>
        <v/>
      </c>
      <c r="L416" s="28"/>
      <c r="M416" s="28"/>
    </row>
    <row r="417" spans="2:13" ht="15" customHeight="1" x14ac:dyDescent="0.3">
      <c r="B417" s="34" t="str">
        <f>IF(B416="","", IF(VALUE(LEFT(H416,FIND("/",H416)-1)) &lt; VALUE(RIGHT(H416,LEN(H416)-FIND("/",H416))), B416, IFERROR(INDEX('SAÍDA DE VENDAS'!$B$6:$B$500, MATCH(B416,'SAÍDA DE VENDAS'!$B$6:$B$500,0)+COUNTIF('SAÍDA DE VENDAS'!$B$6:$B$500, B416)),"")))</f>
        <v/>
      </c>
      <c r="C417" s="35">
        <f>IFERROR(VLOOKUP(B417,'SAÍDA DE VENDAS'!$B$6:$P$500,3,FALSE),"")</f>
        <v>0</v>
      </c>
      <c r="D417" s="34">
        <f>IFERROR(VLOOKUP(B417,'SAÍDA DE VENDAS'!$B$6:$P$500,4,FALSE),"")</f>
        <v>0</v>
      </c>
      <c r="E417" s="34" t="str">
        <f>IFERROR(VLOOKUP(B417,'SAÍDA DE VENDAS'!$B$6:$P$500,5,FALSE),"")</f>
        <v/>
      </c>
      <c r="F417" s="34" t="str">
        <f>IF(OR(ISBLANK(B417),B417=""), "", IFERROR(INDEX('SAÍDA DE VENDAS'!$H$6:$H$500 &amp; "x " &amp; 'SAÍDA DE VENDAS'!$G$6:$G$500, MATCH(B417, 'SAÍDA DE VENDAS'!$B$6:$B$500, 0)), "")&amp; IF(COUNTIF('SAÍDA DE VENDAS'!$B$6:$B$500, B417)&gt;1, " + " &amp; IFERROR(INDEX('SAÍDA DE VENDAS'!$H$6:$H$500 &amp; "x " &amp; 'SAÍDA DE VENDAS'!$G$6:$G$500, MATCH(B417, 'SAÍDA DE VENDAS'!$B$6:$B$500, 0)+1), ""), "")&amp; IF(COUNTIF('SAÍDA DE VENDAS'!$B$6:$B$500, B417)&gt;2, " + " &amp; IFERROR(INDEX('SAÍDA DE VENDAS'!$H$6:$H$500 &amp; "x " &amp; 'SAÍDA DE VENDAS'!$G$6:$G$500, MATCH(B417, 'SAÍDA DE VENDAS'!$B$6:$B$500, 0)+2), ""), "")&amp; IF(COUNTIF('SAÍDA DE VENDAS'!$B$6:$B$500, B417)&gt;3, " + " &amp; IFERROR(INDEX('SAÍDA DE VENDAS'!$H$6:$H$500 &amp; "x " &amp; 'SAÍDA DE VENDAS'!$G$6:$G$500, MATCH(B417, 'SAÍDA DE VENDAS'!$B$6:$B$500, 0)+3), ""), "")&amp; IF(COUNTIF('SAÍDA DE VENDAS'!$B$6:$B$500, B417)&gt;4, " + " &amp; IFERROR(INDEX('SAÍDA DE VENDAS'!$H$6:$H$500 &amp; "x " &amp; 'SAÍDA DE VENDAS'!$G$6:$G$500, MATCH(B417, 'SAÍDA DE VENDAS'!$B$6:$B$500, 0)+4), ""), "")&amp; IF(COUNTIF('SAÍDA DE VENDAS'!$B$6:$B$500, B417)&gt;5, " + " &amp; IFERROR(INDEX('SAÍDA DE VENDAS'!$H$6:$H$500 &amp; "x " &amp; 'SAÍDA DE VENDAS'!$G$6:$G$500, MATCH(B417, 'SAÍDA DE VENDAS'!$B$6:$B$500, 0)+5), ""), ""))</f>
        <v/>
      </c>
      <c r="G417" s="34">
        <f>IFERROR(VLOOKUP(B417,'SAÍDA DE VENDAS'!$B$6:$P$500,10,FALSE),"")</f>
        <v>0</v>
      </c>
      <c r="H417" s="34" t="str">
        <f>IF(OR(ISBLANK(B417),B417=""), "", IF(B417=B416, (VALUE(LEFT(H416,FIND("/",H416)-1))+1)&amp;"/"&amp;RIGHT(H416,LEN(H416)-FIND("/",H416)), "1/"&amp;IFERROR(VLOOKUP(B417,'SAÍDA DE VENDAS'!$B$6:$P$500,13,FALSE),"1")))</f>
        <v/>
      </c>
      <c r="I417" s="35" t="str">
        <f t="shared" si="12"/>
        <v/>
      </c>
      <c r="J417" s="39" t="str">
        <f>IFERROR(VLOOKUP(B417,'SAÍDA DE VENDAS'!$B$6:$P$500,15,FALSE),"")</f>
        <v/>
      </c>
      <c r="K417" s="34" t="str">
        <f t="shared" ca="1" si="13"/>
        <v/>
      </c>
      <c r="L417" s="34"/>
      <c r="M417" s="34"/>
    </row>
    <row r="418" spans="2:13" ht="15" customHeight="1" x14ac:dyDescent="0.3">
      <c r="B418" s="28" t="str">
        <f>IF(B417="","", IF(VALUE(LEFT(H417,FIND("/",H417)-1)) &lt; VALUE(RIGHT(H417,LEN(H417)-FIND("/",H417))), B417, IFERROR(INDEX('SAÍDA DE VENDAS'!$B$6:$B$500, MATCH(B417,'SAÍDA DE VENDAS'!$B$6:$B$500,0)+COUNTIF('SAÍDA DE VENDAS'!$B$6:$B$500, B417)),"")))</f>
        <v/>
      </c>
      <c r="C418" s="29">
        <f>IFERROR(VLOOKUP(B418,'SAÍDA DE VENDAS'!$B$6:$P$500,3,FALSE),"")</f>
        <v>0</v>
      </c>
      <c r="D418" s="28">
        <f>IFERROR(VLOOKUP(B418,'SAÍDA DE VENDAS'!$B$6:$P$500,4,FALSE),"")</f>
        <v>0</v>
      </c>
      <c r="E418" s="28" t="str">
        <f>IFERROR(VLOOKUP(B418,'SAÍDA DE VENDAS'!$B$6:$P$500,5,FALSE),"")</f>
        <v/>
      </c>
      <c r="F418" s="28" t="str">
        <f>IF(OR(ISBLANK(B418),B418=""), "", IFERROR(INDEX('SAÍDA DE VENDAS'!$H$6:$H$500 &amp; "x " &amp; 'SAÍDA DE VENDAS'!$G$6:$G$500, MATCH(B418, 'SAÍDA DE VENDAS'!$B$6:$B$500, 0)), "")&amp; IF(COUNTIF('SAÍDA DE VENDAS'!$B$6:$B$500, B418)&gt;1, " + " &amp; IFERROR(INDEX('SAÍDA DE VENDAS'!$H$6:$H$500 &amp; "x " &amp; 'SAÍDA DE VENDAS'!$G$6:$G$500, MATCH(B418, 'SAÍDA DE VENDAS'!$B$6:$B$500, 0)+1), ""), "")&amp; IF(COUNTIF('SAÍDA DE VENDAS'!$B$6:$B$500, B418)&gt;2, " + " &amp; IFERROR(INDEX('SAÍDA DE VENDAS'!$H$6:$H$500 &amp; "x " &amp; 'SAÍDA DE VENDAS'!$G$6:$G$500, MATCH(B418, 'SAÍDA DE VENDAS'!$B$6:$B$500, 0)+2), ""), "")&amp; IF(COUNTIF('SAÍDA DE VENDAS'!$B$6:$B$500, B418)&gt;3, " + " &amp; IFERROR(INDEX('SAÍDA DE VENDAS'!$H$6:$H$500 &amp; "x " &amp; 'SAÍDA DE VENDAS'!$G$6:$G$500, MATCH(B418, 'SAÍDA DE VENDAS'!$B$6:$B$500, 0)+3), ""), "")&amp; IF(COUNTIF('SAÍDA DE VENDAS'!$B$6:$B$500, B418)&gt;4, " + " &amp; IFERROR(INDEX('SAÍDA DE VENDAS'!$H$6:$H$500 &amp; "x " &amp; 'SAÍDA DE VENDAS'!$G$6:$G$500, MATCH(B418, 'SAÍDA DE VENDAS'!$B$6:$B$500, 0)+4), ""), "")&amp; IF(COUNTIF('SAÍDA DE VENDAS'!$B$6:$B$500, B418)&gt;5, " + " &amp; IFERROR(INDEX('SAÍDA DE VENDAS'!$H$6:$H$500 &amp; "x " &amp; 'SAÍDA DE VENDAS'!$G$6:$G$500, MATCH(B418, 'SAÍDA DE VENDAS'!$B$6:$B$500, 0)+5), ""), ""))</f>
        <v/>
      </c>
      <c r="G418" s="28">
        <f>IFERROR(VLOOKUP(B418,'SAÍDA DE VENDAS'!$B$6:$P$500,10,FALSE),"")</f>
        <v>0</v>
      </c>
      <c r="H418" s="28" t="str">
        <f>IF(OR(ISBLANK(B418),B418=""), "", IF(B418=B417, (VALUE(LEFT(H417,FIND("/",H417)-1))+1)&amp;"/"&amp;RIGHT(H417,LEN(H417)-FIND("/",H417)), "1/"&amp;IFERROR(VLOOKUP(B418,'SAÍDA DE VENDAS'!$B$6:$P$500,13,FALSE),"1")))</f>
        <v/>
      </c>
      <c r="I418" s="69" t="str">
        <f t="shared" si="12"/>
        <v/>
      </c>
      <c r="J418" s="33" t="str">
        <f>IFERROR(VLOOKUP(B418,'SAÍDA DE VENDAS'!$B$6:$P$500,15,FALSE),"")</f>
        <v/>
      </c>
      <c r="K418" s="28" t="str">
        <f t="shared" ca="1" si="13"/>
        <v/>
      </c>
      <c r="L418" s="28"/>
      <c r="M418" s="28"/>
    </row>
    <row r="419" spans="2:13" ht="15" customHeight="1" x14ac:dyDescent="0.3">
      <c r="B419" s="34" t="str">
        <f>IF(B418="","", IF(VALUE(LEFT(H418,FIND("/",H418)-1)) &lt; VALUE(RIGHT(H418,LEN(H418)-FIND("/",H418))), B418, IFERROR(INDEX('SAÍDA DE VENDAS'!$B$6:$B$500, MATCH(B418,'SAÍDA DE VENDAS'!$B$6:$B$500,0)+COUNTIF('SAÍDA DE VENDAS'!$B$6:$B$500, B418)),"")))</f>
        <v/>
      </c>
      <c r="C419" s="35">
        <f>IFERROR(VLOOKUP(B419,'SAÍDA DE VENDAS'!$B$6:$P$500,3,FALSE),"")</f>
        <v>0</v>
      </c>
      <c r="D419" s="34">
        <f>IFERROR(VLOOKUP(B419,'SAÍDA DE VENDAS'!$B$6:$P$500,4,FALSE),"")</f>
        <v>0</v>
      </c>
      <c r="E419" s="34" t="str">
        <f>IFERROR(VLOOKUP(B419,'SAÍDA DE VENDAS'!$B$6:$P$500,5,FALSE),"")</f>
        <v/>
      </c>
      <c r="F419" s="34" t="str">
        <f>IF(OR(ISBLANK(B419),B419=""), "", IFERROR(INDEX('SAÍDA DE VENDAS'!$H$6:$H$500 &amp; "x " &amp; 'SAÍDA DE VENDAS'!$G$6:$G$500, MATCH(B419, 'SAÍDA DE VENDAS'!$B$6:$B$500, 0)), "")&amp; IF(COUNTIF('SAÍDA DE VENDAS'!$B$6:$B$500, B419)&gt;1, " + " &amp; IFERROR(INDEX('SAÍDA DE VENDAS'!$H$6:$H$500 &amp; "x " &amp; 'SAÍDA DE VENDAS'!$G$6:$G$500, MATCH(B419, 'SAÍDA DE VENDAS'!$B$6:$B$500, 0)+1), ""), "")&amp; IF(COUNTIF('SAÍDA DE VENDAS'!$B$6:$B$500, B419)&gt;2, " + " &amp; IFERROR(INDEX('SAÍDA DE VENDAS'!$H$6:$H$500 &amp; "x " &amp; 'SAÍDA DE VENDAS'!$G$6:$G$500, MATCH(B419, 'SAÍDA DE VENDAS'!$B$6:$B$500, 0)+2), ""), "")&amp; IF(COUNTIF('SAÍDA DE VENDAS'!$B$6:$B$500, B419)&gt;3, " + " &amp; IFERROR(INDEX('SAÍDA DE VENDAS'!$H$6:$H$500 &amp; "x " &amp; 'SAÍDA DE VENDAS'!$G$6:$G$500, MATCH(B419, 'SAÍDA DE VENDAS'!$B$6:$B$500, 0)+3), ""), "")&amp; IF(COUNTIF('SAÍDA DE VENDAS'!$B$6:$B$500, B419)&gt;4, " + " &amp; IFERROR(INDEX('SAÍDA DE VENDAS'!$H$6:$H$500 &amp; "x " &amp; 'SAÍDA DE VENDAS'!$G$6:$G$500, MATCH(B419, 'SAÍDA DE VENDAS'!$B$6:$B$500, 0)+4), ""), "")&amp; IF(COUNTIF('SAÍDA DE VENDAS'!$B$6:$B$500, B419)&gt;5, " + " &amp; IFERROR(INDEX('SAÍDA DE VENDAS'!$H$6:$H$500 &amp; "x " &amp; 'SAÍDA DE VENDAS'!$G$6:$G$500, MATCH(B419, 'SAÍDA DE VENDAS'!$B$6:$B$500, 0)+5), ""), ""))</f>
        <v/>
      </c>
      <c r="G419" s="34">
        <f>IFERROR(VLOOKUP(B419,'SAÍDA DE VENDAS'!$B$6:$P$500,10,FALSE),"")</f>
        <v>0</v>
      </c>
      <c r="H419" s="34" t="str">
        <f>IF(OR(ISBLANK(B419),B419=""), "", IF(B419=B418, (VALUE(LEFT(H418,FIND("/",H418)-1))+1)&amp;"/"&amp;RIGHT(H418,LEN(H418)-FIND("/",H418)), "1/"&amp;IFERROR(VLOOKUP(B419,'SAÍDA DE VENDAS'!$B$6:$P$500,13,FALSE),"1")))</f>
        <v/>
      </c>
      <c r="I419" s="35" t="str">
        <f t="shared" si="12"/>
        <v/>
      </c>
      <c r="J419" s="39" t="str">
        <f>IFERROR(VLOOKUP(B419,'SAÍDA DE VENDAS'!$B$6:$P$500,15,FALSE),"")</f>
        <v/>
      </c>
      <c r="K419" s="34" t="str">
        <f t="shared" ca="1" si="13"/>
        <v/>
      </c>
      <c r="L419" s="34"/>
      <c r="M419" s="34"/>
    </row>
    <row r="420" spans="2:13" ht="15" customHeight="1" x14ac:dyDescent="0.3">
      <c r="B420" s="28" t="str">
        <f>IF(B419="","", IF(VALUE(LEFT(H419,FIND("/",H419)-1)) &lt; VALUE(RIGHT(H419,LEN(H419)-FIND("/",H419))), B419, IFERROR(INDEX('SAÍDA DE VENDAS'!$B$6:$B$500, MATCH(B419,'SAÍDA DE VENDAS'!$B$6:$B$500,0)+COUNTIF('SAÍDA DE VENDAS'!$B$6:$B$500, B419)),"")))</f>
        <v/>
      </c>
      <c r="C420" s="29">
        <f>IFERROR(VLOOKUP(B420,'SAÍDA DE VENDAS'!$B$6:$P$500,3,FALSE),"")</f>
        <v>0</v>
      </c>
      <c r="D420" s="28">
        <f>IFERROR(VLOOKUP(B420,'SAÍDA DE VENDAS'!$B$6:$P$500,4,FALSE),"")</f>
        <v>0</v>
      </c>
      <c r="E420" s="28" t="str">
        <f>IFERROR(VLOOKUP(B420,'SAÍDA DE VENDAS'!$B$6:$P$500,5,FALSE),"")</f>
        <v/>
      </c>
      <c r="F420" s="28" t="str">
        <f>IF(OR(ISBLANK(B420),B420=""), "", IFERROR(INDEX('SAÍDA DE VENDAS'!$H$6:$H$500 &amp; "x " &amp; 'SAÍDA DE VENDAS'!$G$6:$G$500, MATCH(B420, 'SAÍDA DE VENDAS'!$B$6:$B$500, 0)), "")&amp; IF(COUNTIF('SAÍDA DE VENDAS'!$B$6:$B$500, B420)&gt;1, " + " &amp; IFERROR(INDEX('SAÍDA DE VENDAS'!$H$6:$H$500 &amp; "x " &amp; 'SAÍDA DE VENDAS'!$G$6:$G$500, MATCH(B420, 'SAÍDA DE VENDAS'!$B$6:$B$500, 0)+1), ""), "")&amp; IF(COUNTIF('SAÍDA DE VENDAS'!$B$6:$B$500, B420)&gt;2, " + " &amp; IFERROR(INDEX('SAÍDA DE VENDAS'!$H$6:$H$500 &amp; "x " &amp; 'SAÍDA DE VENDAS'!$G$6:$G$500, MATCH(B420, 'SAÍDA DE VENDAS'!$B$6:$B$500, 0)+2), ""), "")&amp; IF(COUNTIF('SAÍDA DE VENDAS'!$B$6:$B$500, B420)&gt;3, " + " &amp; IFERROR(INDEX('SAÍDA DE VENDAS'!$H$6:$H$500 &amp; "x " &amp; 'SAÍDA DE VENDAS'!$G$6:$G$500, MATCH(B420, 'SAÍDA DE VENDAS'!$B$6:$B$500, 0)+3), ""), "")&amp; IF(COUNTIF('SAÍDA DE VENDAS'!$B$6:$B$500, B420)&gt;4, " + " &amp; IFERROR(INDEX('SAÍDA DE VENDAS'!$H$6:$H$500 &amp; "x " &amp; 'SAÍDA DE VENDAS'!$G$6:$G$500, MATCH(B420, 'SAÍDA DE VENDAS'!$B$6:$B$500, 0)+4), ""), "")&amp; IF(COUNTIF('SAÍDA DE VENDAS'!$B$6:$B$500, B420)&gt;5, " + " &amp; IFERROR(INDEX('SAÍDA DE VENDAS'!$H$6:$H$500 &amp; "x " &amp; 'SAÍDA DE VENDAS'!$G$6:$G$500, MATCH(B420, 'SAÍDA DE VENDAS'!$B$6:$B$500, 0)+5), ""), ""))</f>
        <v/>
      </c>
      <c r="G420" s="28">
        <f>IFERROR(VLOOKUP(B420,'SAÍDA DE VENDAS'!$B$6:$P$500,10,FALSE),"")</f>
        <v>0</v>
      </c>
      <c r="H420" s="28" t="str">
        <f>IF(OR(ISBLANK(B420),B420=""), "", IF(B420=B419, (VALUE(LEFT(H419,FIND("/",H419)-1))+1)&amp;"/"&amp;RIGHT(H419,LEN(H419)-FIND("/",H419)), "1/"&amp;IFERROR(VLOOKUP(B420,'SAÍDA DE VENDAS'!$B$6:$P$500,13,FALSE),"1")))</f>
        <v/>
      </c>
      <c r="I420" s="69" t="str">
        <f t="shared" si="12"/>
        <v/>
      </c>
      <c r="J420" s="33" t="str">
        <f>IFERROR(VLOOKUP(B420,'SAÍDA DE VENDAS'!$B$6:$P$500,15,FALSE),"")</f>
        <v/>
      </c>
      <c r="K420" s="28" t="str">
        <f t="shared" ca="1" si="13"/>
        <v/>
      </c>
      <c r="L420" s="28"/>
      <c r="M420" s="28"/>
    </row>
    <row r="421" spans="2:13" ht="15" customHeight="1" x14ac:dyDescent="0.3">
      <c r="B421" s="34" t="str">
        <f>IF(B420="","", IF(VALUE(LEFT(H420,FIND("/",H420)-1)) &lt; VALUE(RIGHT(H420,LEN(H420)-FIND("/",H420))), B420, IFERROR(INDEX('SAÍDA DE VENDAS'!$B$6:$B$500, MATCH(B420,'SAÍDA DE VENDAS'!$B$6:$B$500,0)+COUNTIF('SAÍDA DE VENDAS'!$B$6:$B$500, B420)),"")))</f>
        <v/>
      </c>
      <c r="C421" s="35">
        <f>IFERROR(VLOOKUP(B421,'SAÍDA DE VENDAS'!$B$6:$P$500,3,FALSE),"")</f>
        <v>0</v>
      </c>
      <c r="D421" s="34">
        <f>IFERROR(VLOOKUP(B421,'SAÍDA DE VENDAS'!$B$6:$P$500,4,FALSE),"")</f>
        <v>0</v>
      </c>
      <c r="E421" s="34" t="str">
        <f>IFERROR(VLOOKUP(B421,'SAÍDA DE VENDAS'!$B$6:$P$500,5,FALSE),"")</f>
        <v/>
      </c>
      <c r="F421" s="34" t="str">
        <f>IF(OR(ISBLANK(B421),B421=""), "", IFERROR(INDEX('SAÍDA DE VENDAS'!$H$6:$H$500 &amp; "x " &amp; 'SAÍDA DE VENDAS'!$G$6:$G$500, MATCH(B421, 'SAÍDA DE VENDAS'!$B$6:$B$500, 0)), "")&amp; IF(COUNTIF('SAÍDA DE VENDAS'!$B$6:$B$500, B421)&gt;1, " + " &amp; IFERROR(INDEX('SAÍDA DE VENDAS'!$H$6:$H$500 &amp; "x " &amp; 'SAÍDA DE VENDAS'!$G$6:$G$500, MATCH(B421, 'SAÍDA DE VENDAS'!$B$6:$B$500, 0)+1), ""), "")&amp; IF(COUNTIF('SAÍDA DE VENDAS'!$B$6:$B$500, B421)&gt;2, " + " &amp; IFERROR(INDEX('SAÍDA DE VENDAS'!$H$6:$H$500 &amp; "x " &amp; 'SAÍDA DE VENDAS'!$G$6:$G$500, MATCH(B421, 'SAÍDA DE VENDAS'!$B$6:$B$500, 0)+2), ""), "")&amp; IF(COUNTIF('SAÍDA DE VENDAS'!$B$6:$B$500, B421)&gt;3, " + " &amp; IFERROR(INDEX('SAÍDA DE VENDAS'!$H$6:$H$500 &amp; "x " &amp; 'SAÍDA DE VENDAS'!$G$6:$G$500, MATCH(B421, 'SAÍDA DE VENDAS'!$B$6:$B$500, 0)+3), ""), "")&amp; IF(COUNTIF('SAÍDA DE VENDAS'!$B$6:$B$500, B421)&gt;4, " + " &amp; IFERROR(INDEX('SAÍDA DE VENDAS'!$H$6:$H$500 &amp; "x " &amp; 'SAÍDA DE VENDAS'!$G$6:$G$500, MATCH(B421, 'SAÍDA DE VENDAS'!$B$6:$B$500, 0)+4), ""), "")&amp; IF(COUNTIF('SAÍDA DE VENDAS'!$B$6:$B$500, B421)&gt;5, " + " &amp; IFERROR(INDEX('SAÍDA DE VENDAS'!$H$6:$H$500 &amp; "x " &amp; 'SAÍDA DE VENDAS'!$G$6:$G$500, MATCH(B421, 'SAÍDA DE VENDAS'!$B$6:$B$500, 0)+5), ""), ""))</f>
        <v/>
      </c>
      <c r="G421" s="34">
        <f>IFERROR(VLOOKUP(B421,'SAÍDA DE VENDAS'!$B$6:$P$500,10,FALSE),"")</f>
        <v>0</v>
      </c>
      <c r="H421" s="34" t="str">
        <f>IF(OR(ISBLANK(B421),B421=""), "", IF(B421=B420, (VALUE(LEFT(H420,FIND("/",H420)-1))+1)&amp;"/"&amp;RIGHT(H420,LEN(H420)-FIND("/",H420)), "1/"&amp;IFERROR(VLOOKUP(B421,'SAÍDA DE VENDAS'!$B$6:$P$500,13,FALSE),"1")))</f>
        <v/>
      </c>
      <c r="I421" s="35" t="str">
        <f t="shared" si="12"/>
        <v/>
      </c>
      <c r="J421" s="39" t="str">
        <f>IFERROR(VLOOKUP(B421,'SAÍDA DE VENDAS'!$B$6:$P$500,15,FALSE),"")</f>
        <v/>
      </c>
      <c r="K421" s="34" t="str">
        <f t="shared" ca="1" si="13"/>
        <v/>
      </c>
      <c r="L421" s="34"/>
      <c r="M421" s="34"/>
    </row>
    <row r="422" spans="2:13" ht="15" customHeight="1" x14ac:dyDescent="0.3">
      <c r="B422" s="28" t="str">
        <f>IF(B421="","", IF(VALUE(LEFT(H421,FIND("/",H421)-1)) &lt; VALUE(RIGHT(H421,LEN(H421)-FIND("/",H421))), B421, IFERROR(INDEX('SAÍDA DE VENDAS'!$B$6:$B$500, MATCH(B421,'SAÍDA DE VENDAS'!$B$6:$B$500,0)+COUNTIF('SAÍDA DE VENDAS'!$B$6:$B$500, B421)),"")))</f>
        <v/>
      </c>
      <c r="C422" s="29">
        <f>IFERROR(VLOOKUP(B422,'SAÍDA DE VENDAS'!$B$6:$P$500,3,FALSE),"")</f>
        <v>0</v>
      </c>
      <c r="D422" s="28">
        <f>IFERROR(VLOOKUP(B422,'SAÍDA DE VENDAS'!$B$6:$P$500,4,FALSE),"")</f>
        <v>0</v>
      </c>
      <c r="E422" s="28" t="str">
        <f>IFERROR(VLOOKUP(B422,'SAÍDA DE VENDAS'!$B$6:$P$500,5,FALSE),"")</f>
        <v/>
      </c>
      <c r="F422" s="28" t="str">
        <f>IF(OR(ISBLANK(B422),B422=""), "", IFERROR(INDEX('SAÍDA DE VENDAS'!$H$6:$H$500 &amp; "x " &amp; 'SAÍDA DE VENDAS'!$G$6:$G$500, MATCH(B422, 'SAÍDA DE VENDAS'!$B$6:$B$500, 0)), "")&amp; IF(COUNTIF('SAÍDA DE VENDAS'!$B$6:$B$500, B422)&gt;1, " + " &amp; IFERROR(INDEX('SAÍDA DE VENDAS'!$H$6:$H$500 &amp; "x " &amp; 'SAÍDA DE VENDAS'!$G$6:$G$500, MATCH(B422, 'SAÍDA DE VENDAS'!$B$6:$B$500, 0)+1), ""), "")&amp; IF(COUNTIF('SAÍDA DE VENDAS'!$B$6:$B$500, B422)&gt;2, " + " &amp; IFERROR(INDEX('SAÍDA DE VENDAS'!$H$6:$H$500 &amp; "x " &amp; 'SAÍDA DE VENDAS'!$G$6:$G$500, MATCH(B422, 'SAÍDA DE VENDAS'!$B$6:$B$500, 0)+2), ""), "")&amp; IF(COUNTIF('SAÍDA DE VENDAS'!$B$6:$B$500, B422)&gt;3, " + " &amp; IFERROR(INDEX('SAÍDA DE VENDAS'!$H$6:$H$500 &amp; "x " &amp; 'SAÍDA DE VENDAS'!$G$6:$G$500, MATCH(B422, 'SAÍDA DE VENDAS'!$B$6:$B$500, 0)+3), ""), "")&amp; IF(COUNTIF('SAÍDA DE VENDAS'!$B$6:$B$500, B422)&gt;4, " + " &amp; IFERROR(INDEX('SAÍDA DE VENDAS'!$H$6:$H$500 &amp; "x " &amp; 'SAÍDA DE VENDAS'!$G$6:$G$500, MATCH(B422, 'SAÍDA DE VENDAS'!$B$6:$B$500, 0)+4), ""), "")&amp; IF(COUNTIF('SAÍDA DE VENDAS'!$B$6:$B$500, B422)&gt;5, " + " &amp; IFERROR(INDEX('SAÍDA DE VENDAS'!$H$6:$H$500 &amp; "x " &amp; 'SAÍDA DE VENDAS'!$G$6:$G$500, MATCH(B422, 'SAÍDA DE VENDAS'!$B$6:$B$500, 0)+5), ""), ""))</f>
        <v/>
      </c>
      <c r="G422" s="28">
        <f>IFERROR(VLOOKUP(B422,'SAÍDA DE VENDAS'!$B$6:$P$500,10,FALSE),"")</f>
        <v>0</v>
      </c>
      <c r="H422" s="28" t="str">
        <f>IF(OR(ISBLANK(B422),B422=""), "", IF(B422=B421, (VALUE(LEFT(H421,FIND("/",H421)-1))+1)&amp;"/"&amp;RIGHT(H421,LEN(H421)-FIND("/",H421)), "1/"&amp;IFERROR(VLOOKUP(B422,'SAÍDA DE VENDAS'!$B$6:$P$500,13,FALSE),"1")))</f>
        <v/>
      </c>
      <c r="I422" s="69" t="str">
        <f t="shared" si="12"/>
        <v/>
      </c>
      <c r="J422" s="33" t="str">
        <f>IFERROR(VLOOKUP(B422,'SAÍDA DE VENDAS'!$B$6:$P$500,15,FALSE),"")</f>
        <v/>
      </c>
      <c r="K422" s="28" t="str">
        <f t="shared" ca="1" si="13"/>
        <v/>
      </c>
      <c r="L422" s="28"/>
      <c r="M422" s="28"/>
    </row>
    <row r="423" spans="2:13" ht="15" customHeight="1" x14ac:dyDescent="0.3">
      <c r="B423" s="34" t="str">
        <f>IF(B422="","", IF(VALUE(LEFT(H422,FIND("/",H422)-1)) &lt; VALUE(RIGHT(H422,LEN(H422)-FIND("/",H422))), B422, IFERROR(INDEX('SAÍDA DE VENDAS'!$B$6:$B$500, MATCH(B422,'SAÍDA DE VENDAS'!$B$6:$B$500,0)+COUNTIF('SAÍDA DE VENDAS'!$B$6:$B$500, B422)),"")))</f>
        <v/>
      </c>
      <c r="C423" s="35">
        <f>IFERROR(VLOOKUP(B423,'SAÍDA DE VENDAS'!$B$6:$P$500,3,FALSE),"")</f>
        <v>0</v>
      </c>
      <c r="D423" s="34">
        <f>IFERROR(VLOOKUP(B423,'SAÍDA DE VENDAS'!$B$6:$P$500,4,FALSE),"")</f>
        <v>0</v>
      </c>
      <c r="E423" s="34" t="str">
        <f>IFERROR(VLOOKUP(B423,'SAÍDA DE VENDAS'!$B$6:$P$500,5,FALSE),"")</f>
        <v/>
      </c>
      <c r="F423" s="34" t="str">
        <f>IF(OR(ISBLANK(B423),B423=""), "", IFERROR(INDEX('SAÍDA DE VENDAS'!$H$6:$H$500 &amp; "x " &amp; 'SAÍDA DE VENDAS'!$G$6:$G$500, MATCH(B423, 'SAÍDA DE VENDAS'!$B$6:$B$500, 0)), "")&amp; IF(COUNTIF('SAÍDA DE VENDAS'!$B$6:$B$500, B423)&gt;1, " + " &amp; IFERROR(INDEX('SAÍDA DE VENDAS'!$H$6:$H$500 &amp; "x " &amp; 'SAÍDA DE VENDAS'!$G$6:$G$500, MATCH(B423, 'SAÍDA DE VENDAS'!$B$6:$B$500, 0)+1), ""), "")&amp; IF(COUNTIF('SAÍDA DE VENDAS'!$B$6:$B$500, B423)&gt;2, " + " &amp; IFERROR(INDEX('SAÍDA DE VENDAS'!$H$6:$H$500 &amp; "x " &amp; 'SAÍDA DE VENDAS'!$G$6:$G$500, MATCH(B423, 'SAÍDA DE VENDAS'!$B$6:$B$500, 0)+2), ""), "")&amp; IF(COUNTIF('SAÍDA DE VENDAS'!$B$6:$B$500, B423)&gt;3, " + " &amp; IFERROR(INDEX('SAÍDA DE VENDAS'!$H$6:$H$500 &amp; "x " &amp; 'SAÍDA DE VENDAS'!$G$6:$G$500, MATCH(B423, 'SAÍDA DE VENDAS'!$B$6:$B$500, 0)+3), ""), "")&amp; IF(COUNTIF('SAÍDA DE VENDAS'!$B$6:$B$500, B423)&gt;4, " + " &amp; IFERROR(INDEX('SAÍDA DE VENDAS'!$H$6:$H$500 &amp; "x " &amp; 'SAÍDA DE VENDAS'!$G$6:$G$500, MATCH(B423, 'SAÍDA DE VENDAS'!$B$6:$B$500, 0)+4), ""), "")&amp; IF(COUNTIF('SAÍDA DE VENDAS'!$B$6:$B$500, B423)&gt;5, " + " &amp; IFERROR(INDEX('SAÍDA DE VENDAS'!$H$6:$H$500 &amp; "x " &amp; 'SAÍDA DE VENDAS'!$G$6:$G$500, MATCH(B423, 'SAÍDA DE VENDAS'!$B$6:$B$500, 0)+5), ""), ""))</f>
        <v/>
      </c>
      <c r="G423" s="34">
        <f>IFERROR(VLOOKUP(B423,'SAÍDA DE VENDAS'!$B$6:$P$500,10,FALSE),"")</f>
        <v>0</v>
      </c>
      <c r="H423" s="34" t="str">
        <f>IF(OR(ISBLANK(B423),B423=""), "", IF(B423=B422, (VALUE(LEFT(H422,FIND("/",H422)-1))+1)&amp;"/"&amp;RIGHT(H422,LEN(H422)-FIND("/",H422)), "1/"&amp;IFERROR(VLOOKUP(B423,'SAÍDA DE VENDAS'!$B$6:$P$500,13,FALSE),"1")))</f>
        <v/>
      </c>
      <c r="I423" s="35" t="str">
        <f t="shared" si="12"/>
        <v/>
      </c>
      <c r="J423" s="39" t="str">
        <f>IFERROR(VLOOKUP(B423,'SAÍDA DE VENDAS'!$B$6:$P$500,15,FALSE),"")</f>
        <v/>
      </c>
      <c r="K423" s="34" t="str">
        <f t="shared" ca="1" si="13"/>
        <v/>
      </c>
      <c r="L423" s="34"/>
      <c r="M423" s="34"/>
    </row>
    <row r="424" spans="2:13" ht="15" customHeight="1" x14ac:dyDescent="0.3">
      <c r="B424" s="28" t="str">
        <f>IF(B423="","", IF(VALUE(LEFT(H423,FIND("/",H423)-1)) &lt; VALUE(RIGHT(H423,LEN(H423)-FIND("/",H423))), B423, IFERROR(INDEX('SAÍDA DE VENDAS'!$B$6:$B$500, MATCH(B423,'SAÍDA DE VENDAS'!$B$6:$B$500,0)+COUNTIF('SAÍDA DE VENDAS'!$B$6:$B$500, B423)),"")))</f>
        <v/>
      </c>
      <c r="C424" s="29">
        <f>IFERROR(VLOOKUP(B424,'SAÍDA DE VENDAS'!$B$6:$P$500,3,FALSE),"")</f>
        <v>0</v>
      </c>
      <c r="D424" s="28">
        <f>IFERROR(VLOOKUP(B424,'SAÍDA DE VENDAS'!$B$6:$P$500,4,FALSE),"")</f>
        <v>0</v>
      </c>
      <c r="E424" s="28" t="str">
        <f>IFERROR(VLOOKUP(B424,'SAÍDA DE VENDAS'!$B$6:$P$500,5,FALSE),"")</f>
        <v/>
      </c>
      <c r="F424" s="28" t="str">
        <f>IF(OR(ISBLANK(B424),B424=""), "", IFERROR(INDEX('SAÍDA DE VENDAS'!$H$6:$H$500 &amp; "x " &amp; 'SAÍDA DE VENDAS'!$G$6:$G$500, MATCH(B424, 'SAÍDA DE VENDAS'!$B$6:$B$500, 0)), "")&amp; IF(COUNTIF('SAÍDA DE VENDAS'!$B$6:$B$500, B424)&gt;1, " + " &amp; IFERROR(INDEX('SAÍDA DE VENDAS'!$H$6:$H$500 &amp; "x " &amp; 'SAÍDA DE VENDAS'!$G$6:$G$500, MATCH(B424, 'SAÍDA DE VENDAS'!$B$6:$B$500, 0)+1), ""), "")&amp; IF(COUNTIF('SAÍDA DE VENDAS'!$B$6:$B$500, B424)&gt;2, " + " &amp; IFERROR(INDEX('SAÍDA DE VENDAS'!$H$6:$H$500 &amp; "x " &amp; 'SAÍDA DE VENDAS'!$G$6:$G$500, MATCH(B424, 'SAÍDA DE VENDAS'!$B$6:$B$500, 0)+2), ""), "")&amp; IF(COUNTIF('SAÍDA DE VENDAS'!$B$6:$B$500, B424)&gt;3, " + " &amp; IFERROR(INDEX('SAÍDA DE VENDAS'!$H$6:$H$500 &amp; "x " &amp; 'SAÍDA DE VENDAS'!$G$6:$G$500, MATCH(B424, 'SAÍDA DE VENDAS'!$B$6:$B$500, 0)+3), ""), "")&amp; IF(COUNTIF('SAÍDA DE VENDAS'!$B$6:$B$500, B424)&gt;4, " + " &amp; IFERROR(INDEX('SAÍDA DE VENDAS'!$H$6:$H$500 &amp; "x " &amp; 'SAÍDA DE VENDAS'!$G$6:$G$500, MATCH(B424, 'SAÍDA DE VENDAS'!$B$6:$B$500, 0)+4), ""), "")&amp; IF(COUNTIF('SAÍDA DE VENDAS'!$B$6:$B$500, B424)&gt;5, " + " &amp; IFERROR(INDEX('SAÍDA DE VENDAS'!$H$6:$H$500 &amp; "x " &amp; 'SAÍDA DE VENDAS'!$G$6:$G$500, MATCH(B424, 'SAÍDA DE VENDAS'!$B$6:$B$500, 0)+5), ""), ""))</f>
        <v/>
      </c>
      <c r="G424" s="28">
        <f>IFERROR(VLOOKUP(B424,'SAÍDA DE VENDAS'!$B$6:$P$500,10,FALSE),"")</f>
        <v>0</v>
      </c>
      <c r="H424" s="28" t="str">
        <f>IF(OR(ISBLANK(B424),B424=""), "", IF(B424=B423, (VALUE(LEFT(H423,FIND("/",H423)-1))+1)&amp;"/"&amp;RIGHT(H423,LEN(H423)-FIND("/",H423)), "1/"&amp;IFERROR(VLOOKUP(B424,'SAÍDA DE VENDAS'!$B$6:$P$500,13,FALSE),"1")))</f>
        <v/>
      </c>
      <c r="I424" s="69" t="str">
        <f t="shared" si="12"/>
        <v/>
      </c>
      <c r="J424" s="33" t="str">
        <f>IFERROR(VLOOKUP(B424,'SAÍDA DE VENDAS'!$B$6:$P$500,15,FALSE),"")</f>
        <v/>
      </c>
      <c r="K424" s="28" t="str">
        <f t="shared" ca="1" si="13"/>
        <v/>
      </c>
      <c r="L424" s="28"/>
      <c r="M424" s="28"/>
    </row>
    <row r="425" spans="2:13" ht="15" customHeight="1" x14ac:dyDescent="0.3">
      <c r="B425" s="34" t="str">
        <f>IF(B424="","", IF(VALUE(LEFT(H424,FIND("/",H424)-1)) &lt; VALUE(RIGHT(H424,LEN(H424)-FIND("/",H424))), B424, IFERROR(INDEX('SAÍDA DE VENDAS'!$B$6:$B$500, MATCH(B424,'SAÍDA DE VENDAS'!$B$6:$B$500,0)+COUNTIF('SAÍDA DE VENDAS'!$B$6:$B$500, B424)),"")))</f>
        <v/>
      </c>
      <c r="C425" s="35">
        <f>IFERROR(VLOOKUP(B425,'SAÍDA DE VENDAS'!$B$6:$P$500,3,FALSE),"")</f>
        <v>0</v>
      </c>
      <c r="D425" s="34">
        <f>IFERROR(VLOOKUP(B425,'SAÍDA DE VENDAS'!$B$6:$P$500,4,FALSE),"")</f>
        <v>0</v>
      </c>
      <c r="E425" s="34" t="str">
        <f>IFERROR(VLOOKUP(B425,'SAÍDA DE VENDAS'!$B$6:$P$500,5,FALSE),"")</f>
        <v/>
      </c>
      <c r="F425" s="34" t="str">
        <f>IF(OR(ISBLANK(B425),B425=""), "", IFERROR(INDEX('SAÍDA DE VENDAS'!$H$6:$H$500 &amp; "x " &amp; 'SAÍDA DE VENDAS'!$G$6:$G$500, MATCH(B425, 'SAÍDA DE VENDAS'!$B$6:$B$500, 0)), "")&amp; IF(COUNTIF('SAÍDA DE VENDAS'!$B$6:$B$500, B425)&gt;1, " + " &amp; IFERROR(INDEX('SAÍDA DE VENDAS'!$H$6:$H$500 &amp; "x " &amp; 'SAÍDA DE VENDAS'!$G$6:$G$500, MATCH(B425, 'SAÍDA DE VENDAS'!$B$6:$B$500, 0)+1), ""), "")&amp; IF(COUNTIF('SAÍDA DE VENDAS'!$B$6:$B$500, B425)&gt;2, " + " &amp; IFERROR(INDEX('SAÍDA DE VENDAS'!$H$6:$H$500 &amp; "x " &amp; 'SAÍDA DE VENDAS'!$G$6:$G$500, MATCH(B425, 'SAÍDA DE VENDAS'!$B$6:$B$500, 0)+2), ""), "")&amp; IF(COUNTIF('SAÍDA DE VENDAS'!$B$6:$B$500, B425)&gt;3, " + " &amp; IFERROR(INDEX('SAÍDA DE VENDAS'!$H$6:$H$500 &amp; "x " &amp; 'SAÍDA DE VENDAS'!$G$6:$G$500, MATCH(B425, 'SAÍDA DE VENDAS'!$B$6:$B$500, 0)+3), ""), "")&amp; IF(COUNTIF('SAÍDA DE VENDAS'!$B$6:$B$500, B425)&gt;4, " + " &amp; IFERROR(INDEX('SAÍDA DE VENDAS'!$H$6:$H$500 &amp; "x " &amp; 'SAÍDA DE VENDAS'!$G$6:$G$500, MATCH(B425, 'SAÍDA DE VENDAS'!$B$6:$B$500, 0)+4), ""), "")&amp; IF(COUNTIF('SAÍDA DE VENDAS'!$B$6:$B$500, B425)&gt;5, " + " &amp; IFERROR(INDEX('SAÍDA DE VENDAS'!$H$6:$H$500 &amp; "x " &amp; 'SAÍDA DE VENDAS'!$G$6:$G$500, MATCH(B425, 'SAÍDA DE VENDAS'!$B$6:$B$500, 0)+5), ""), ""))</f>
        <v/>
      </c>
      <c r="G425" s="34">
        <f>IFERROR(VLOOKUP(B425,'SAÍDA DE VENDAS'!$B$6:$P$500,10,FALSE),"")</f>
        <v>0</v>
      </c>
      <c r="H425" s="34" t="str">
        <f>IF(OR(ISBLANK(B425),B425=""), "", IF(B425=B424, (VALUE(LEFT(H424,FIND("/",H424)-1))+1)&amp;"/"&amp;RIGHT(H424,LEN(H424)-FIND("/",H424)), "1/"&amp;IFERROR(VLOOKUP(B425,'SAÍDA DE VENDAS'!$B$6:$P$500,13,FALSE),"1")))</f>
        <v/>
      </c>
      <c r="I425" s="35" t="str">
        <f t="shared" si="12"/>
        <v/>
      </c>
      <c r="J425" s="39" t="str">
        <f>IFERROR(VLOOKUP(B425,'SAÍDA DE VENDAS'!$B$6:$P$500,15,FALSE),"")</f>
        <v/>
      </c>
      <c r="K425" s="34" t="str">
        <f t="shared" ca="1" si="13"/>
        <v/>
      </c>
      <c r="L425" s="34"/>
      <c r="M425" s="34"/>
    </row>
    <row r="426" spans="2:13" ht="15" customHeight="1" x14ac:dyDescent="0.3">
      <c r="B426" s="28" t="str">
        <f>IF(B425="","", IF(VALUE(LEFT(H425,FIND("/",H425)-1)) &lt; VALUE(RIGHT(H425,LEN(H425)-FIND("/",H425))), B425, IFERROR(INDEX('SAÍDA DE VENDAS'!$B$6:$B$500, MATCH(B425,'SAÍDA DE VENDAS'!$B$6:$B$500,0)+COUNTIF('SAÍDA DE VENDAS'!$B$6:$B$500, B425)),"")))</f>
        <v/>
      </c>
      <c r="C426" s="29">
        <f>IFERROR(VLOOKUP(B426,'SAÍDA DE VENDAS'!$B$6:$P$500,3,FALSE),"")</f>
        <v>0</v>
      </c>
      <c r="D426" s="28">
        <f>IFERROR(VLOOKUP(B426,'SAÍDA DE VENDAS'!$B$6:$P$500,4,FALSE),"")</f>
        <v>0</v>
      </c>
      <c r="E426" s="28" t="str">
        <f>IFERROR(VLOOKUP(B426,'SAÍDA DE VENDAS'!$B$6:$P$500,5,FALSE),"")</f>
        <v/>
      </c>
      <c r="F426" s="28" t="str">
        <f>IF(OR(ISBLANK(B426),B426=""), "", IFERROR(INDEX('SAÍDA DE VENDAS'!$H$6:$H$500 &amp; "x " &amp; 'SAÍDA DE VENDAS'!$G$6:$G$500, MATCH(B426, 'SAÍDA DE VENDAS'!$B$6:$B$500, 0)), "")&amp; IF(COUNTIF('SAÍDA DE VENDAS'!$B$6:$B$500, B426)&gt;1, " + " &amp; IFERROR(INDEX('SAÍDA DE VENDAS'!$H$6:$H$500 &amp; "x " &amp; 'SAÍDA DE VENDAS'!$G$6:$G$500, MATCH(B426, 'SAÍDA DE VENDAS'!$B$6:$B$500, 0)+1), ""), "")&amp; IF(COUNTIF('SAÍDA DE VENDAS'!$B$6:$B$500, B426)&gt;2, " + " &amp; IFERROR(INDEX('SAÍDA DE VENDAS'!$H$6:$H$500 &amp; "x " &amp; 'SAÍDA DE VENDAS'!$G$6:$G$500, MATCH(B426, 'SAÍDA DE VENDAS'!$B$6:$B$500, 0)+2), ""), "")&amp; IF(COUNTIF('SAÍDA DE VENDAS'!$B$6:$B$500, B426)&gt;3, " + " &amp; IFERROR(INDEX('SAÍDA DE VENDAS'!$H$6:$H$500 &amp; "x " &amp; 'SAÍDA DE VENDAS'!$G$6:$G$500, MATCH(B426, 'SAÍDA DE VENDAS'!$B$6:$B$500, 0)+3), ""), "")&amp; IF(COUNTIF('SAÍDA DE VENDAS'!$B$6:$B$500, B426)&gt;4, " + " &amp; IFERROR(INDEX('SAÍDA DE VENDAS'!$H$6:$H$500 &amp; "x " &amp; 'SAÍDA DE VENDAS'!$G$6:$G$500, MATCH(B426, 'SAÍDA DE VENDAS'!$B$6:$B$500, 0)+4), ""), "")&amp; IF(COUNTIF('SAÍDA DE VENDAS'!$B$6:$B$500, B426)&gt;5, " + " &amp; IFERROR(INDEX('SAÍDA DE VENDAS'!$H$6:$H$500 &amp; "x " &amp; 'SAÍDA DE VENDAS'!$G$6:$G$500, MATCH(B426, 'SAÍDA DE VENDAS'!$B$6:$B$500, 0)+5), ""), ""))</f>
        <v/>
      </c>
      <c r="G426" s="28">
        <f>IFERROR(VLOOKUP(B426,'SAÍDA DE VENDAS'!$B$6:$P$500,10,FALSE),"")</f>
        <v>0</v>
      </c>
      <c r="H426" s="28" t="str">
        <f>IF(OR(ISBLANK(B426),B426=""), "", IF(B426=B425, (VALUE(LEFT(H425,FIND("/",H425)-1))+1)&amp;"/"&amp;RIGHT(H425,LEN(H425)-FIND("/",H425)), "1/"&amp;IFERROR(VLOOKUP(B426,'SAÍDA DE VENDAS'!$B$6:$P$500,13,FALSE),"1")))</f>
        <v/>
      </c>
      <c r="I426" s="69" t="str">
        <f t="shared" si="12"/>
        <v/>
      </c>
      <c r="J426" s="33" t="str">
        <f>IFERROR(VLOOKUP(B426,'SAÍDA DE VENDAS'!$B$6:$P$500,15,FALSE),"")</f>
        <v/>
      </c>
      <c r="K426" s="28" t="str">
        <f t="shared" ca="1" si="13"/>
        <v/>
      </c>
      <c r="L426" s="28"/>
      <c r="M426" s="28"/>
    </row>
    <row r="427" spans="2:13" ht="15" customHeight="1" x14ac:dyDescent="0.3">
      <c r="B427" s="34" t="str">
        <f>IF(B426="","", IF(VALUE(LEFT(H426,FIND("/",H426)-1)) &lt; VALUE(RIGHT(H426,LEN(H426)-FIND("/",H426))), B426, IFERROR(INDEX('SAÍDA DE VENDAS'!$B$6:$B$500, MATCH(B426,'SAÍDA DE VENDAS'!$B$6:$B$500,0)+COUNTIF('SAÍDA DE VENDAS'!$B$6:$B$500, B426)),"")))</f>
        <v/>
      </c>
      <c r="C427" s="35">
        <f>IFERROR(VLOOKUP(B427,'SAÍDA DE VENDAS'!$B$6:$P$500,3,FALSE),"")</f>
        <v>0</v>
      </c>
      <c r="D427" s="34">
        <f>IFERROR(VLOOKUP(B427,'SAÍDA DE VENDAS'!$B$6:$P$500,4,FALSE),"")</f>
        <v>0</v>
      </c>
      <c r="E427" s="34" t="str">
        <f>IFERROR(VLOOKUP(B427,'SAÍDA DE VENDAS'!$B$6:$P$500,5,FALSE),"")</f>
        <v/>
      </c>
      <c r="F427" s="34" t="str">
        <f>IF(OR(ISBLANK(B427),B427=""), "", IFERROR(INDEX('SAÍDA DE VENDAS'!$H$6:$H$500 &amp; "x " &amp; 'SAÍDA DE VENDAS'!$G$6:$G$500, MATCH(B427, 'SAÍDA DE VENDAS'!$B$6:$B$500, 0)), "")&amp; IF(COUNTIF('SAÍDA DE VENDAS'!$B$6:$B$500, B427)&gt;1, " + " &amp; IFERROR(INDEX('SAÍDA DE VENDAS'!$H$6:$H$500 &amp; "x " &amp; 'SAÍDA DE VENDAS'!$G$6:$G$500, MATCH(B427, 'SAÍDA DE VENDAS'!$B$6:$B$500, 0)+1), ""), "")&amp; IF(COUNTIF('SAÍDA DE VENDAS'!$B$6:$B$500, B427)&gt;2, " + " &amp; IFERROR(INDEX('SAÍDA DE VENDAS'!$H$6:$H$500 &amp; "x " &amp; 'SAÍDA DE VENDAS'!$G$6:$G$500, MATCH(B427, 'SAÍDA DE VENDAS'!$B$6:$B$500, 0)+2), ""), "")&amp; IF(COUNTIF('SAÍDA DE VENDAS'!$B$6:$B$500, B427)&gt;3, " + " &amp; IFERROR(INDEX('SAÍDA DE VENDAS'!$H$6:$H$500 &amp; "x " &amp; 'SAÍDA DE VENDAS'!$G$6:$G$500, MATCH(B427, 'SAÍDA DE VENDAS'!$B$6:$B$500, 0)+3), ""), "")&amp; IF(COUNTIF('SAÍDA DE VENDAS'!$B$6:$B$500, B427)&gt;4, " + " &amp; IFERROR(INDEX('SAÍDA DE VENDAS'!$H$6:$H$500 &amp; "x " &amp; 'SAÍDA DE VENDAS'!$G$6:$G$500, MATCH(B427, 'SAÍDA DE VENDAS'!$B$6:$B$500, 0)+4), ""), "")&amp; IF(COUNTIF('SAÍDA DE VENDAS'!$B$6:$B$500, B427)&gt;5, " + " &amp; IFERROR(INDEX('SAÍDA DE VENDAS'!$H$6:$H$500 &amp; "x " &amp; 'SAÍDA DE VENDAS'!$G$6:$G$500, MATCH(B427, 'SAÍDA DE VENDAS'!$B$6:$B$500, 0)+5), ""), ""))</f>
        <v/>
      </c>
      <c r="G427" s="34">
        <f>IFERROR(VLOOKUP(B427,'SAÍDA DE VENDAS'!$B$6:$P$500,10,FALSE),"")</f>
        <v>0</v>
      </c>
      <c r="H427" s="34" t="str">
        <f>IF(OR(ISBLANK(B427),B427=""), "", IF(B427=B426, (VALUE(LEFT(H426,FIND("/",H426)-1))+1)&amp;"/"&amp;RIGHT(H426,LEN(H426)-FIND("/",H426)), "1/"&amp;IFERROR(VLOOKUP(B427,'SAÍDA DE VENDAS'!$B$6:$P$500,13,FALSE),"1")))</f>
        <v/>
      </c>
      <c r="I427" s="35" t="str">
        <f t="shared" si="12"/>
        <v/>
      </c>
      <c r="J427" s="39" t="str">
        <f>IFERROR(VLOOKUP(B427,'SAÍDA DE VENDAS'!$B$6:$P$500,15,FALSE),"")</f>
        <v/>
      </c>
      <c r="K427" s="34" t="str">
        <f t="shared" ca="1" si="13"/>
        <v/>
      </c>
      <c r="L427" s="34"/>
      <c r="M427" s="34"/>
    </row>
    <row r="428" spans="2:13" ht="15" customHeight="1" x14ac:dyDescent="0.3">
      <c r="B428" s="28" t="str">
        <f>IF(B427="","", IF(VALUE(LEFT(H427,FIND("/",H427)-1)) &lt; VALUE(RIGHT(H427,LEN(H427)-FIND("/",H427))), B427, IFERROR(INDEX('SAÍDA DE VENDAS'!$B$6:$B$500, MATCH(B427,'SAÍDA DE VENDAS'!$B$6:$B$500,0)+COUNTIF('SAÍDA DE VENDAS'!$B$6:$B$500, B427)),"")))</f>
        <v/>
      </c>
      <c r="C428" s="29">
        <f>IFERROR(VLOOKUP(B428,'SAÍDA DE VENDAS'!$B$6:$P$500,3,FALSE),"")</f>
        <v>0</v>
      </c>
      <c r="D428" s="28">
        <f>IFERROR(VLOOKUP(B428,'SAÍDA DE VENDAS'!$B$6:$P$500,4,FALSE),"")</f>
        <v>0</v>
      </c>
      <c r="E428" s="28" t="str">
        <f>IFERROR(VLOOKUP(B428,'SAÍDA DE VENDAS'!$B$6:$P$500,5,FALSE),"")</f>
        <v/>
      </c>
      <c r="F428" s="28" t="str">
        <f>IF(OR(ISBLANK(B428),B428=""), "", IFERROR(INDEX('SAÍDA DE VENDAS'!$H$6:$H$500 &amp; "x " &amp; 'SAÍDA DE VENDAS'!$G$6:$G$500, MATCH(B428, 'SAÍDA DE VENDAS'!$B$6:$B$500, 0)), "")&amp; IF(COUNTIF('SAÍDA DE VENDAS'!$B$6:$B$500, B428)&gt;1, " + " &amp; IFERROR(INDEX('SAÍDA DE VENDAS'!$H$6:$H$500 &amp; "x " &amp; 'SAÍDA DE VENDAS'!$G$6:$G$500, MATCH(B428, 'SAÍDA DE VENDAS'!$B$6:$B$500, 0)+1), ""), "")&amp; IF(COUNTIF('SAÍDA DE VENDAS'!$B$6:$B$500, B428)&gt;2, " + " &amp; IFERROR(INDEX('SAÍDA DE VENDAS'!$H$6:$H$500 &amp; "x " &amp; 'SAÍDA DE VENDAS'!$G$6:$G$500, MATCH(B428, 'SAÍDA DE VENDAS'!$B$6:$B$500, 0)+2), ""), "")&amp; IF(COUNTIF('SAÍDA DE VENDAS'!$B$6:$B$500, B428)&gt;3, " + " &amp; IFERROR(INDEX('SAÍDA DE VENDAS'!$H$6:$H$500 &amp; "x " &amp; 'SAÍDA DE VENDAS'!$G$6:$G$500, MATCH(B428, 'SAÍDA DE VENDAS'!$B$6:$B$500, 0)+3), ""), "")&amp; IF(COUNTIF('SAÍDA DE VENDAS'!$B$6:$B$500, B428)&gt;4, " + " &amp; IFERROR(INDEX('SAÍDA DE VENDAS'!$H$6:$H$500 &amp; "x " &amp; 'SAÍDA DE VENDAS'!$G$6:$G$500, MATCH(B428, 'SAÍDA DE VENDAS'!$B$6:$B$500, 0)+4), ""), "")&amp; IF(COUNTIF('SAÍDA DE VENDAS'!$B$6:$B$500, B428)&gt;5, " + " &amp; IFERROR(INDEX('SAÍDA DE VENDAS'!$H$6:$H$500 &amp; "x " &amp; 'SAÍDA DE VENDAS'!$G$6:$G$500, MATCH(B428, 'SAÍDA DE VENDAS'!$B$6:$B$500, 0)+5), ""), ""))</f>
        <v/>
      </c>
      <c r="G428" s="28">
        <f>IFERROR(VLOOKUP(B428,'SAÍDA DE VENDAS'!$B$6:$P$500,10,FALSE),"")</f>
        <v>0</v>
      </c>
      <c r="H428" s="28" t="str">
        <f>IF(OR(ISBLANK(B428),B428=""), "", IF(B428=B427, (VALUE(LEFT(H427,FIND("/",H427)-1))+1)&amp;"/"&amp;RIGHT(H427,LEN(H427)-FIND("/",H427)), "1/"&amp;IFERROR(VLOOKUP(B428,'SAÍDA DE VENDAS'!$B$6:$P$500,13,FALSE),"1")))</f>
        <v/>
      </c>
      <c r="I428" s="69" t="str">
        <f t="shared" si="12"/>
        <v/>
      </c>
      <c r="J428" s="33" t="str">
        <f>IFERROR(VLOOKUP(B428,'SAÍDA DE VENDAS'!$B$6:$P$500,15,FALSE),"")</f>
        <v/>
      </c>
      <c r="K428" s="28" t="str">
        <f t="shared" ca="1" si="13"/>
        <v/>
      </c>
      <c r="L428" s="28"/>
      <c r="M428" s="28"/>
    </row>
    <row r="429" spans="2:13" ht="15" customHeight="1" x14ac:dyDescent="0.3">
      <c r="B429" s="34" t="str">
        <f>IF(B428="","", IF(VALUE(LEFT(H428,FIND("/",H428)-1)) &lt; VALUE(RIGHT(H428,LEN(H428)-FIND("/",H428))), B428, IFERROR(INDEX('SAÍDA DE VENDAS'!$B$6:$B$500, MATCH(B428,'SAÍDA DE VENDAS'!$B$6:$B$500,0)+COUNTIF('SAÍDA DE VENDAS'!$B$6:$B$500, B428)),"")))</f>
        <v/>
      </c>
      <c r="C429" s="35">
        <f>IFERROR(VLOOKUP(B429,'SAÍDA DE VENDAS'!$B$6:$P$500,3,FALSE),"")</f>
        <v>0</v>
      </c>
      <c r="D429" s="34">
        <f>IFERROR(VLOOKUP(B429,'SAÍDA DE VENDAS'!$B$6:$P$500,4,FALSE),"")</f>
        <v>0</v>
      </c>
      <c r="E429" s="34" t="str">
        <f>IFERROR(VLOOKUP(B429,'SAÍDA DE VENDAS'!$B$6:$P$500,5,FALSE),"")</f>
        <v/>
      </c>
      <c r="F429" s="34" t="str">
        <f>IF(OR(ISBLANK(B429),B429=""), "", IFERROR(INDEX('SAÍDA DE VENDAS'!$H$6:$H$500 &amp; "x " &amp; 'SAÍDA DE VENDAS'!$G$6:$G$500, MATCH(B429, 'SAÍDA DE VENDAS'!$B$6:$B$500, 0)), "")&amp; IF(COUNTIF('SAÍDA DE VENDAS'!$B$6:$B$500, B429)&gt;1, " + " &amp; IFERROR(INDEX('SAÍDA DE VENDAS'!$H$6:$H$500 &amp; "x " &amp; 'SAÍDA DE VENDAS'!$G$6:$G$500, MATCH(B429, 'SAÍDA DE VENDAS'!$B$6:$B$500, 0)+1), ""), "")&amp; IF(COUNTIF('SAÍDA DE VENDAS'!$B$6:$B$500, B429)&gt;2, " + " &amp; IFERROR(INDEX('SAÍDA DE VENDAS'!$H$6:$H$500 &amp; "x " &amp; 'SAÍDA DE VENDAS'!$G$6:$G$500, MATCH(B429, 'SAÍDA DE VENDAS'!$B$6:$B$500, 0)+2), ""), "")&amp; IF(COUNTIF('SAÍDA DE VENDAS'!$B$6:$B$500, B429)&gt;3, " + " &amp; IFERROR(INDEX('SAÍDA DE VENDAS'!$H$6:$H$500 &amp; "x " &amp; 'SAÍDA DE VENDAS'!$G$6:$G$500, MATCH(B429, 'SAÍDA DE VENDAS'!$B$6:$B$500, 0)+3), ""), "")&amp; IF(COUNTIF('SAÍDA DE VENDAS'!$B$6:$B$500, B429)&gt;4, " + " &amp; IFERROR(INDEX('SAÍDA DE VENDAS'!$H$6:$H$500 &amp; "x " &amp; 'SAÍDA DE VENDAS'!$G$6:$G$500, MATCH(B429, 'SAÍDA DE VENDAS'!$B$6:$B$500, 0)+4), ""), "")&amp; IF(COUNTIF('SAÍDA DE VENDAS'!$B$6:$B$500, B429)&gt;5, " + " &amp; IFERROR(INDEX('SAÍDA DE VENDAS'!$H$6:$H$500 &amp; "x " &amp; 'SAÍDA DE VENDAS'!$G$6:$G$500, MATCH(B429, 'SAÍDA DE VENDAS'!$B$6:$B$500, 0)+5), ""), ""))</f>
        <v/>
      </c>
      <c r="G429" s="34">
        <f>IFERROR(VLOOKUP(B429,'SAÍDA DE VENDAS'!$B$6:$P$500,10,FALSE),"")</f>
        <v>0</v>
      </c>
      <c r="H429" s="34" t="str">
        <f>IF(OR(ISBLANK(B429),B429=""), "", IF(B429=B428, (VALUE(LEFT(H428,FIND("/",H428)-1))+1)&amp;"/"&amp;RIGHT(H428,LEN(H428)-FIND("/",H428)), "1/"&amp;IFERROR(VLOOKUP(B429,'SAÍDA DE VENDAS'!$B$6:$P$500,13,FALSE),"1")))</f>
        <v/>
      </c>
      <c r="I429" s="35" t="str">
        <f t="shared" si="12"/>
        <v/>
      </c>
      <c r="J429" s="39" t="str">
        <f>IFERROR(VLOOKUP(B429,'SAÍDA DE VENDAS'!$B$6:$P$500,15,FALSE),"")</f>
        <v/>
      </c>
      <c r="K429" s="34" t="str">
        <f t="shared" ca="1" si="13"/>
        <v/>
      </c>
      <c r="L429" s="34"/>
      <c r="M429" s="34"/>
    </row>
    <row r="430" spans="2:13" ht="15" customHeight="1" x14ac:dyDescent="0.3">
      <c r="B430" s="28" t="str">
        <f>IF(B429="","", IF(VALUE(LEFT(H429,FIND("/",H429)-1)) &lt; VALUE(RIGHT(H429,LEN(H429)-FIND("/",H429))), B429, IFERROR(INDEX('SAÍDA DE VENDAS'!$B$6:$B$500, MATCH(B429,'SAÍDA DE VENDAS'!$B$6:$B$500,0)+COUNTIF('SAÍDA DE VENDAS'!$B$6:$B$500, B429)),"")))</f>
        <v/>
      </c>
      <c r="C430" s="29">
        <f>IFERROR(VLOOKUP(B430,'SAÍDA DE VENDAS'!$B$6:$P$500,3,FALSE),"")</f>
        <v>0</v>
      </c>
      <c r="D430" s="28">
        <f>IFERROR(VLOOKUP(B430,'SAÍDA DE VENDAS'!$B$6:$P$500,4,FALSE),"")</f>
        <v>0</v>
      </c>
      <c r="E430" s="28" t="str">
        <f>IFERROR(VLOOKUP(B430,'SAÍDA DE VENDAS'!$B$6:$P$500,5,FALSE),"")</f>
        <v/>
      </c>
      <c r="F430" s="28" t="str">
        <f>IF(OR(ISBLANK(B430),B430=""), "", IFERROR(INDEX('SAÍDA DE VENDAS'!$H$6:$H$500 &amp; "x " &amp; 'SAÍDA DE VENDAS'!$G$6:$G$500, MATCH(B430, 'SAÍDA DE VENDAS'!$B$6:$B$500, 0)), "")&amp; IF(COUNTIF('SAÍDA DE VENDAS'!$B$6:$B$500, B430)&gt;1, " + " &amp; IFERROR(INDEX('SAÍDA DE VENDAS'!$H$6:$H$500 &amp; "x " &amp; 'SAÍDA DE VENDAS'!$G$6:$G$500, MATCH(B430, 'SAÍDA DE VENDAS'!$B$6:$B$500, 0)+1), ""), "")&amp; IF(COUNTIF('SAÍDA DE VENDAS'!$B$6:$B$500, B430)&gt;2, " + " &amp; IFERROR(INDEX('SAÍDA DE VENDAS'!$H$6:$H$500 &amp; "x " &amp; 'SAÍDA DE VENDAS'!$G$6:$G$500, MATCH(B430, 'SAÍDA DE VENDAS'!$B$6:$B$500, 0)+2), ""), "")&amp; IF(COUNTIF('SAÍDA DE VENDAS'!$B$6:$B$500, B430)&gt;3, " + " &amp; IFERROR(INDEX('SAÍDA DE VENDAS'!$H$6:$H$500 &amp; "x " &amp; 'SAÍDA DE VENDAS'!$G$6:$G$500, MATCH(B430, 'SAÍDA DE VENDAS'!$B$6:$B$500, 0)+3), ""), "")&amp; IF(COUNTIF('SAÍDA DE VENDAS'!$B$6:$B$500, B430)&gt;4, " + " &amp; IFERROR(INDEX('SAÍDA DE VENDAS'!$H$6:$H$500 &amp; "x " &amp; 'SAÍDA DE VENDAS'!$G$6:$G$500, MATCH(B430, 'SAÍDA DE VENDAS'!$B$6:$B$500, 0)+4), ""), "")&amp; IF(COUNTIF('SAÍDA DE VENDAS'!$B$6:$B$500, B430)&gt;5, " + " &amp; IFERROR(INDEX('SAÍDA DE VENDAS'!$H$6:$H$500 &amp; "x " &amp; 'SAÍDA DE VENDAS'!$G$6:$G$500, MATCH(B430, 'SAÍDA DE VENDAS'!$B$6:$B$500, 0)+5), ""), ""))</f>
        <v/>
      </c>
      <c r="G430" s="28">
        <f>IFERROR(VLOOKUP(B430,'SAÍDA DE VENDAS'!$B$6:$P$500,10,FALSE),"")</f>
        <v>0</v>
      </c>
      <c r="H430" s="28" t="str">
        <f>IF(OR(ISBLANK(B430),B430=""), "", IF(B430=B429, (VALUE(LEFT(H429,FIND("/",H429)-1))+1)&amp;"/"&amp;RIGHT(H429,LEN(H429)-FIND("/",H429)), "1/"&amp;IFERROR(VLOOKUP(B430,'SAÍDA DE VENDAS'!$B$6:$P$500,13,FALSE),"1")))</f>
        <v/>
      </c>
      <c r="I430" s="69" t="str">
        <f t="shared" si="12"/>
        <v/>
      </c>
      <c r="J430" s="33" t="str">
        <f>IFERROR(VLOOKUP(B430,'SAÍDA DE VENDAS'!$B$6:$P$500,15,FALSE),"")</f>
        <v/>
      </c>
      <c r="K430" s="28" t="str">
        <f t="shared" ca="1" si="13"/>
        <v/>
      </c>
      <c r="L430" s="28"/>
      <c r="M430" s="28"/>
    </row>
    <row r="431" spans="2:13" ht="15" customHeight="1" x14ac:dyDescent="0.3">
      <c r="B431" s="34" t="str">
        <f>IF(B430="","", IF(VALUE(LEFT(H430,FIND("/",H430)-1)) &lt; VALUE(RIGHT(H430,LEN(H430)-FIND("/",H430))), B430, IFERROR(INDEX('SAÍDA DE VENDAS'!$B$6:$B$500, MATCH(B430,'SAÍDA DE VENDAS'!$B$6:$B$500,0)+COUNTIF('SAÍDA DE VENDAS'!$B$6:$B$500, B430)),"")))</f>
        <v/>
      </c>
      <c r="C431" s="35">
        <f>IFERROR(VLOOKUP(B431,'SAÍDA DE VENDAS'!$B$6:$P$500,3,FALSE),"")</f>
        <v>0</v>
      </c>
      <c r="D431" s="34">
        <f>IFERROR(VLOOKUP(B431,'SAÍDA DE VENDAS'!$B$6:$P$500,4,FALSE),"")</f>
        <v>0</v>
      </c>
      <c r="E431" s="34" t="str">
        <f>IFERROR(VLOOKUP(B431,'SAÍDA DE VENDAS'!$B$6:$P$500,5,FALSE),"")</f>
        <v/>
      </c>
      <c r="F431" s="34" t="str">
        <f>IF(OR(ISBLANK(B431),B431=""), "", IFERROR(INDEX('SAÍDA DE VENDAS'!$H$6:$H$500 &amp; "x " &amp; 'SAÍDA DE VENDAS'!$G$6:$G$500, MATCH(B431, 'SAÍDA DE VENDAS'!$B$6:$B$500, 0)), "")&amp; IF(COUNTIF('SAÍDA DE VENDAS'!$B$6:$B$500, B431)&gt;1, " + " &amp; IFERROR(INDEX('SAÍDA DE VENDAS'!$H$6:$H$500 &amp; "x " &amp; 'SAÍDA DE VENDAS'!$G$6:$G$500, MATCH(B431, 'SAÍDA DE VENDAS'!$B$6:$B$500, 0)+1), ""), "")&amp; IF(COUNTIF('SAÍDA DE VENDAS'!$B$6:$B$500, B431)&gt;2, " + " &amp; IFERROR(INDEX('SAÍDA DE VENDAS'!$H$6:$H$500 &amp; "x " &amp; 'SAÍDA DE VENDAS'!$G$6:$G$500, MATCH(B431, 'SAÍDA DE VENDAS'!$B$6:$B$500, 0)+2), ""), "")&amp; IF(COUNTIF('SAÍDA DE VENDAS'!$B$6:$B$500, B431)&gt;3, " + " &amp; IFERROR(INDEX('SAÍDA DE VENDAS'!$H$6:$H$500 &amp; "x " &amp; 'SAÍDA DE VENDAS'!$G$6:$G$500, MATCH(B431, 'SAÍDA DE VENDAS'!$B$6:$B$500, 0)+3), ""), "")&amp; IF(COUNTIF('SAÍDA DE VENDAS'!$B$6:$B$500, B431)&gt;4, " + " &amp; IFERROR(INDEX('SAÍDA DE VENDAS'!$H$6:$H$500 &amp; "x " &amp; 'SAÍDA DE VENDAS'!$G$6:$G$500, MATCH(B431, 'SAÍDA DE VENDAS'!$B$6:$B$500, 0)+4), ""), "")&amp; IF(COUNTIF('SAÍDA DE VENDAS'!$B$6:$B$500, B431)&gt;5, " + " &amp; IFERROR(INDEX('SAÍDA DE VENDAS'!$H$6:$H$500 &amp; "x " &amp; 'SAÍDA DE VENDAS'!$G$6:$G$500, MATCH(B431, 'SAÍDA DE VENDAS'!$B$6:$B$500, 0)+5), ""), ""))</f>
        <v/>
      </c>
      <c r="G431" s="34">
        <f>IFERROR(VLOOKUP(B431,'SAÍDA DE VENDAS'!$B$6:$P$500,10,FALSE),"")</f>
        <v>0</v>
      </c>
      <c r="H431" s="34" t="str">
        <f>IF(OR(ISBLANK(B431),B431=""), "", IF(B431=B430, (VALUE(LEFT(H430,FIND("/",H430)-1))+1)&amp;"/"&amp;RIGHT(H430,LEN(H430)-FIND("/",H430)), "1/"&amp;IFERROR(VLOOKUP(B431,'SAÍDA DE VENDAS'!$B$6:$P$500,13,FALSE),"1")))</f>
        <v/>
      </c>
      <c r="I431" s="35" t="str">
        <f t="shared" si="12"/>
        <v/>
      </c>
      <c r="J431" s="39" t="str">
        <f>IFERROR(VLOOKUP(B431,'SAÍDA DE VENDAS'!$B$6:$P$500,15,FALSE),"")</f>
        <v/>
      </c>
      <c r="K431" s="34" t="str">
        <f t="shared" ca="1" si="13"/>
        <v/>
      </c>
      <c r="L431" s="34"/>
      <c r="M431" s="34"/>
    </row>
    <row r="432" spans="2:13" ht="15" customHeight="1" x14ac:dyDescent="0.3">
      <c r="B432" s="28" t="str">
        <f>IF(B431="","", IF(VALUE(LEFT(H431,FIND("/",H431)-1)) &lt; VALUE(RIGHT(H431,LEN(H431)-FIND("/",H431))), B431, IFERROR(INDEX('SAÍDA DE VENDAS'!$B$6:$B$500, MATCH(B431,'SAÍDA DE VENDAS'!$B$6:$B$500,0)+COUNTIF('SAÍDA DE VENDAS'!$B$6:$B$500, B431)),"")))</f>
        <v/>
      </c>
      <c r="C432" s="29">
        <f>IFERROR(VLOOKUP(B432,'SAÍDA DE VENDAS'!$B$6:$P$500,3,FALSE),"")</f>
        <v>0</v>
      </c>
      <c r="D432" s="28">
        <f>IFERROR(VLOOKUP(B432,'SAÍDA DE VENDAS'!$B$6:$P$500,4,FALSE),"")</f>
        <v>0</v>
      </c>
      <c r="E432" s="28" t="str">
        <f>IFERROR(VLOOKUP(B432,'SAÍDA DE VENDAS'!$B$6:$P$500,5,FALSE),"")</f>
        <v/>
      </c>
      <c r="F432" s="28" t="str">
        <f>IF(OR(ISBLANK(B432),B432=""), "", IFERROR(INDEX('SAÍDA DE VENDAS'!$H$6:$H$500 &amp; "x " &amp; 'SAÍDA DE VENDAS'!$G$6:$G$500, MATCH(B432, 'SAÍDA DE VENDAS'!$B$6:$B$500, 0)), "")&amp; IF(COUNTIF('SAÍDA DE VENDAS'!$B$6:$B$500, B432)&gt;1, " + " &amp; IFERROR(INDEX('SAÍDA DE VENDAS'!$H$6:$H$500 &amp; "x " &amp; 'SAÍDA DE VENDAS'!$G$6:$G$500, MATCH(B432, 'SAÍDA DE VENDAS'!$B$6:$B$500, 0)+1), ""), "")&amp; IF(COUNTIF('SAÍDA DE VENDAS'!$B$6:$B$500, B432)&gt;2, " + " &amp; IFERROR(INDEX('SAÍDA DE VENDAS'!$H$6:$H$500 &amp; "x " &amp; 'SAÍDA DE VENDAS'!$G$6:$G$500, MATCH(B432, 'SAÍDA DE VENDAS'!$B$6:$B$500, 0)+2), ""), "")&amp; IF(COUNTIF('SAÍDA DE VENDAS'!$B$6:$B$500, B432)&gt;3, " + " &amp; IFERROR(INDEX('SAÍDA DE VENDAS'!$H$6:$H$500 &amp; "x " &amp; 'SAÍDA DE VENDAS'!$G$6:$G$500, MATCH(B432, 'SAÍDA DE VENDAS'!$B$6:$B$500, 0)+3), ""), "")&amp; IF(COUNTIF('SAÍDA DE VENDAS'!$B$6:$B$500, B432)&gt;4, " + " &amp; IFERROR(INDEX('SAÍDA DE VENDAS'!$H$6:$H$500 &amp; "x " &amp; 'SAÍDA DE VENDAS'!$G$6:$G$500, MATCH(B432, 'SAÍDA DE VENDAS'!$B$6:$B$500, 0)+4), ""), "")&amp; IF(COUNTIF('SAÍDA DE VENDAS'!$B$6:$B$500, B432)&gt;5, " + " &amp; IFERROR(INDEX('SAÍDA DE VENDAS'!$H$6:$H$500 &amp; "x " &amp; 'SAÍDA DE VENDAS'!$G$6:$G$500, MATCH(B432, 'SAÍDA DE VENDAS'!$B$6:$B$500, 0)+5), ""), ""))</f>
        <v/>
      </c>
      <c r="G432" s="28">
        <f>IFERROR(VLOOKUP(B432,'SAÍDA DE VENDAS'!$B$6:$P$500,10,FALSE),"")</f>
        <v>0</v>
      </c>
      <c r="H432" s="28" t="str">
        <f>IF(OR(ISBLANK(B432),B432=""), "", IF(B432=B431, (VALUE(LEFT(H431,FIND("/",H431)-1))+1)&amp;"/"&amp;RIGHT(H431,LEN(H431)-FIND("/",H431)), "1/"&amp;IFERROR(VLOOKUP(B432,'SAÍDA DE VENDAS'!$B$6:$P$500,13,FALSE),"1")))</f>
        <v/>
      </c>
      <c r="I432" s="69" t="str">
        <f t="shared" si="12"/>
        <v/>
      </c>
      <c r="J432" s="33" t="str">
        <f>IFERROR(VLOOKUP(B432,'SAÍDA DE VENDAS'!$B$6:$P$500,15,FALSE),"")</f>
        <v/>
      </c>
      <c r="K432" s="28" t="str">
        <f t="shared" ca="1" si="13"/>
        <v/>
      </c>
      <c r="L432" s="28"/>
      <c r="M432" s="28"/>
    </row>
    <row r="433" spans="2:13" ht="15" customHeight="1" x14ac:dyDescent="0.3">
      <c r="B433" s="34" t="str">
        <f>IF(B432="","", IF(VALUE(LEFT(H432,FIND("/",H432)-1)) &lt; VALUE(RIGHT(H432,LEN(H432)-FIND("/",H432))), B432, IFERROR(INDEX('SAÍDA DE VENDAS'!$B$6:$B$500, MATCH(B432,'SAÍDA DE VENDAS'!$B$6:$B$500,0)+COUNTIF('SAÍDA DE VENDAS'!$B$6:$B$500, B432)),"")))</f>
        <v/>
      </c>
      <c r="C433" s="35">
        <f>IFERROR(VLOOKUP(B433,'SAÍDA DE VENDAS'!$B$6:$P$500,3,FALSE),"")</f>
        <v>0</v>
      </c>
      <c r="D433" s="34">
        <f>IFERROR(VLOOKUP(B433,'SAÍDA DE VENDAS'!$B$6:$P$500,4,FALSE),"")</f>
        <v>0</v>
      </c>
      <c r="E433" s="34" t="str">
        <f>IFERROR(VLOOKUP(B433,'SAÍDA DE VENDAS'!$B$6:$P$500,5,FALSE),"")</f>
        <v/>
      </c>
      <c r="F433" s="34" t="str">
        <f>IF(OR(ISBLANK(B433),B433=""), "", IFERROR(INDEX('SAÍDA DE VENDAS'!$H$6:$H$500 &amp; "x " &amp; 'SAÍDA DE VENDAS'!$G$6:$G$500, MATCH(B433, 'SAÍDA DE VENDAS'!$B$6:$B$500, 0)), "")&amp; IF(COUNTIF('SAÍDA DE VENDAS'!$B$6:$B$500, B433)&gt;1, " + " &amp; IFERROR(INDEX('SAÍDA DE VENDAS'!$H$6:$H$500 &amp; "x " &amp; 'SAÍDA DE VENDAS'!$G$6:$G$500, MATCH(B433, 'SAÍDA DE VENDAS'!$B$6:$B$500, 0)+1), ""), "")&amp; IF(COUNTIF('SAÍDA DE VENDAS'!$B$6:$B$500, B433)&gt;2, " + " &amp; IFERROR(INDEX('SAÍDA DE VENDAS'!$H$6:$H$500 &amp; "x " &amp; 'SAÍDA DE VENDAS'!$G$6:$G$500, MATCH(B433, 'SAÍDA DE VENDAS'!$B$6:$B$500, 0)+2), ""), "")&amp; IF(COUNTIF('SAÍDA DE VENDAS'!$B$6:$B$500, B433)&gt;3, " + " &amp; IFERROR(INDEX('SAÍDA DE VENDAS'!$H$6:$H$500 &amp; "x " &amp; 'SAÍDA DE VENDAS'!$G$6:$G$500, MATCH(B433, 'SAÍDA DE VENDAS'!$B$6:$B$500, 0)+3), ""), "")&amp; IF(COUNTIF('SAÍDA DE VENDAS'!$B$6:$B$500, B433)&gt;4, " + " &amp; IFERROR(INDEX('SAÍDA DE VENDAS'!$H$6:$H$500 &amp; "x " &amp; 'SAÍDA DE VENDAS'!$G$6:$G$500, MATCH(B433, 'SAÍDA DE VENDAS'!$B$6:$B$500, 0)+4), ""), "")&amp; IF(COUNTIF('SAÍDA DE VENDAS'!$B$6:$B$500, B433)&gt;5, " + " &amp; IFERROR(INDEX('SAÍDA DE VENDAS'!$H$6:$H$500 &amp; "x " &amp; 'SAÍDA DE VENDAS'!$G$6:$G$500, MATCH(B433, 'SAÍDA DE VENDAS'!$B$6:$B$500, 0)+5), ""), ""))</f>
        <v/>
      </c>
      <c r="G433" s="34">
        <f>IFERROR(VLOOKUP(B433,'SAÍDA DE VENDAS'!$B$6:$P$500,10,FALSE),"")</f>
        <v>0</v>
      </c>
      <c r="H433" s="34" t="str">
        <f>IF(OR(ISBLANK(B433),B433=""), "", IF(B433=B432, (VALUE(LEFT(H432,FIND("/",H432)-1))+1)&amp;"/"&amp;RIGHT(H432,LEN(H432)-FIND("/",H432)), "1/"&amp;IFERROR(VLOOKUP(B433,'SAÍDA DE VENDAS'!$B$6:$P$500,13,FALSE),"1")))</f>
        <v/>
      </c>
      <c r="I433" s="35" t="str">
        <f t="shared" si="12"/>
        <v/>
      </c>
      <c r="J433" s="39" t="str">
        <f>IFERROR(VLOOKUP(B433,'SAÍDA DE VENDAS'!$B$6:$P$500,15,FALSE),"")</f>
        <v/>
      </c>
      <c r="K433" s="34" t="str">
        <f t="shared" ca="1" si="13"/>
        <v/>
      </c>
      <c r="L433" s="34"/>
      <c r="M433" s="34"/>
    </row>
    <row r="434" spans="2:13" ht="15" customHeight="1" x14ac:dyDescent="0.3">
      <c r="B434" s="28" t="str">
        <f>IF(B433="","", IF(VALUE(LEFT(H433,FIND("/",H433)-1)) &lt; VALUE(RIGHT(H433,LEN(H433)-FIND("/",H433))), B433, IFERROR(INDEX('SAÍDA DE VENDAS'!$B$6:$B$500, MATCH(B433,'SAÍDA DE VENDAS'!$B$6:$B$500,0)+COUNTIF('SAÍDA DE VENDAS'!$B$6:$B$500, B433)),"")))</f>
        <v/>
      </c>
      <c r="C434" s="29">
        <f>IFERROR(VLOOKUP(B434,'SAÍDA DE VENDAS'!$B$6:$P$500,3,FALSE),"")</f>
        <v>0</v>
      </c>
      <c r="D434" s="28">
        <f>IFERROR(VLOOKUP(B434,'SAÍDA DE VENDAS'!$B$6:$P$500,4,FALSE),"")</f>
        <v>0</v>
      </c>
      <c r="E434" s="28" t="str">
        <f>IFERROR(VLOOKUP(B434,'SAÍDA DE VENDAS'!$B$6:$P$500,5,FALSE),"")</f>
        <v/>
      </c>
      <c r="F434" s="28" t="str">
        <f>IF(OR(ISBLANK(B434),B434=""), "", IFERROR(INDEX('SAÍDA DE VENDAS'!$H$6:$H$500 &amp; "x " &amp; 'SAÍDA DE VENDAS'!$G$6:$G$500, MATCH(B434, 'SAÍDA DE VENDAS'!$B$6:$B$500, 0)), "")&amp; IF(COUNTIF('SAÍDA DE VENDAS'!$B$6:$B$500, B434)&gt;1, " + " &amp; IFERROR(INDEX('SAÍDA DE VENDAS'!$H$6:$H$500 &amp; "x " &amp; 'SAÍDA DE VENDAS'!$G$6:$G$500, MATCH(B434, 'SAÍDA DE VENDAS'!$B$6:$B$500, 0)+1), ""), "")&amp; IF(COUNTIF('SAÍDA DE VENDAS'!$B$6:$B$500, B434)&gt;2, " + " &amp; IFERROR(INDEX('SAÍDA DE VENDAS'!$H$6:$H$500 &amp; "x " &amp; 'SAÍDA DE VENDAS'!$G$6:$G$500, MATCH(B434, 'SAÍDA DE VENDAS'!$B$6:$B$500, 0)+2), ""), "")&amp; IF(COUNTIF('SAÍDA DE VENDAS'!$B$6:$B$500, B434)&gt;3, " + " &amp; IFERROR(INDEX('SAÍDA DE VENDAS'!$H$6:$H$500 &amp; "x " &amp; 'SAÍDA DE VENDAS'!$G$6:$G$500, MATCH(B434, 'SAÍDA DE VENDAS'!$B$6:$B$500, 0)+3), ""), "")&amp; IF(COUNTIF('SAÍDA DE VENDAS'!$B$6:$B$500, B434)&gt;4, " + " &amp; IFERROR(INDEX('SAÍDA DE VENDAS'!$H$6:$H$500 &amp; "x " &amp; 'SAÍDA DE VENDAS'!$G$6:$G$500, MATCH(B434, 'SAÍDA DE VENDAS'!$B$6:$B$500, 0)+4), ""), "")&amp; IF(COUNTIF('SAÍDA DE VENDAS'!$B$6:$B$500, B434)&gt;5, " + " &amp; IFERROR(INDEX('SAÍDA DE VENDAS'!$H$6:$H$500 &amp; "x " &amp; 'SAÍDA DE VENDAS'!$G$6:$G$500, MATCH(B434, 'SAÍDA DE VENDAS'!$B$6:$B$500, 0)+5), ""), ""))</f>
        <v/>
      </c>
      <c r="G434" s="28">
        <f>IFERROR(VLOOKUP(B434,'SAÍDA DE VENDAS'!$B$6:$P$500,10,FALSE),"")</f>
        <v>0</v>
      </c>
      <c r="H434" s="28" t="str">
        <f>IF(OR(ISBLANK(B434),B434=""), "", IF(B434=B433, (VALUE(LEFT(H433,FIND("/",H433)-1))+1)&amp;"/"&amp;RIGHT(H433,LEN(H433)-FIND("/",H433)), "1/"&amp;IFERROR(VLOOKUP(B434,'SAÍDA DE VENDAS'!$B$6:$P$500,13,FALSE),"1")))</f>
        <v/>
      </c>
      <c r="I434" s="69" t="str">
        <f t="shared" si="12"/>
        <v/>
      </c>
      <c r="J434" s="33" t="str">
        <f>IFERROR(VLOOKUP(B434,'SAÍDA DE VENDAS'!$B$6:$P$500,15,FALSE),"")</f>
        <v/>
      </c>
      <c r="K434" s="28" t="str">
        <f t="shared" ca="1" si="13"/>
        <v/>
      </c>
      <c r="L434" s="28"/>
      <c r="M434" s="28"/>
    </row>
    <row r="435" spans="2:13" ht="15" customHeight="1" x14ac:dyDescent="0.3">
      <c r="B435" s="34" t="str">
        <f>IF(B434="","", IF(VALUE(LEFT(H434,FIND("/",H434)-1)) &lt; VALUE(RIGHT(H434,LEN(H434)-FIND("/",H434))), B434, IFERROR(INDEX('SAÍDA DE VENDAS'!$B$6:$B$500, MATCH(B434,'SAÍDA DE VENDAS'!$B$6:$B$500,0)+COUNTIF('SAÍDA DE VENDAS'!$B$6:$B$500, B434)),"")))</f>
        <v/>
      </c>
      <c r="C435" s="35">
        <f>IFERROR(VLOOKUP(B435,'SAÍDA DE VENDAS'!$B$6:$P$500,3,FALSE),"")</f>
        <v>0</v>
      </c>
      <c r="D435" s="34">
        <f>IFERROR(VLOOKUP(B435,'SAÍDA DE VENDAS'!$B$6:$P$500,4,FALSE),"")</f>
        <v>0</v>
      </c>
      <c r="E435" s="34" t="str">
        <f>IFERROR(VLOOKUP(B435,'SAÍDA DE VENDAS'!$B$6:$P$500,5,FALSE),"")</f>
        <v/>
      </c>
      <c r="F435" s="34" t="str">
        <f>IF(OR(ISBLANK(B435),B435=""), "", IFERROR(INDEX('SAÍDA DE VENDAS'!$H$6:$H$500 &amp; "x " &amp; 'SAÍDA DE VENDAS'!$G$6:$G$500, MATCH(B435, 'SAÍDA DE VENDAS'!$B$6:$B$500, 0)), "")&amp; IF(COUNTIF('SAÍDA DE VENDAS'!$B$6:$B$500, B435)&gt;1, " + " &amp; IFERROR(INDEX('SAÍDA DE VENDAS'!$H$6:$H$500 &amp; "x " &amp; 'SAÍDA DE VENDAS'!$G$6:$G$500, MATCH(B435, 'SAÍDA DE VENDAS'!$B$6:$B$500, 0)+1), ""), "")&amp; IF(COUNTIF('SAÍDA DE VENDAS'!$B$6:$B$500, B435)&gt;2, " + " &amp; IFERROR(INDEX('SAÍDA DE VENDAS'!$H$6:$H$500 &amp; "x " &amp; 'SAÍDA DE VENDAS'!$G$6:$G$500, MATCH(B435, 'SAÍDA DE VENDAS'!$B$6:$B$500, 0)+2), ""), "")&amp; IF(COUNTIF('SAÍDA DE VENDAS'!$B$6:$B$500, B435)&gt;3, " + " &amp; IFERROR(INDEX('SAÍDA DE VENDAS'!$H$6:$H$500 &amp; "x " &amp; 'SAÍDA DE VENDAS'!$G$6:$G$500, MATCH(B435, 'SAÍDA DE VENDAS'!$B$6:$B$500, 0)+3), ""), "")&amp; IF(COUNTIF('SAÍDA DE VENDAS'!$B$6:$B$500, B435)&gt;4, " + " &amp; IFERROR(INDEX('SAÍDA DE VENDAS'!$H$6:$H$500 &amp; "x " &amp; 'SAÍDA DE VENDAS'!$G$6:$G$500, MATCH(B435, 'SAÍDA DE VENDAS'!$B$6:$B$500, 0)+4), ""), "")&amp; IF(COUNTIF('SAÍDA DE VENDAS'!$B$6:$B$500, B435)&gt;5, " + " &amp; IFERROR(INDEX('SAÍDA DE VENDAS'!$H$6:$H$500 &amp; "x " &amp; 'SAÍDA DE VENDAS'!$G$6:$G$500, MATCH(B435, 'SAÍDA DE VENDAS'!$B$6:$B$500, 0)+5), ""), ""))</f>
        <v/>
      </c>
      <c r="G435" s="34">
        <f>IFERROR(VLOOKUP(B435,'SAÍDA DE VENDAS'!$B$6:$P$500,10,FALSE),"")</f>
        <v>0</v>
      </c>
      <c r="H435" s="34" t="str">
        <f>IF(OR(ISBLANK(B435),B435=""), "", IF(B435=B434, (VALUE(LEFT(H434,FIND("/",H434)-1))+1)&amp;"/"&amp;RIGHT(H434,LEN(H434)-FIND("/",H434)), "1/"&amp;IFERROR(VLOOKUP(B435,'SAÍDA DE VENDAS'!$B$6:$P$500,13,FALSE),"1")))</f>
        <v/>
      </c>
      <c r="I435" s="35" t="str">
        <f t="shared" si="12"/>
        <v/>
      </c>
      <c r="J435" s="39" t="str">
        <f>IFERROR(VLOOKUP(B435,'SAÍDA DE VENDAS'!$B$6:$P$500,15,FALSE),"")</f>
        <v/>
      </c>
      <c r="K435" s="34" t="str">
        <f t="shared" ca="1" si="13"/>
        <v/>
      </c>
      <c r="L435" s="34"/>
      <c r="M435" s="34"/>
    </row>
    <row r="436" spans="2:13" ht="15" customHeight="1" x14ac:dyDescent="0.3">
      <c r="B436" s="28" t="str">
        <f>IF(B435="","", IF(VALUE(LEFT(H435,FIND("/",H435)-1)) &lt; VALUE(RIGHT(H435,LEN(H435)-FIND("/",H435))), B435, IFERROR(INDEX('SAÍDA DE VENDAS'!$B$6:$B$500, MATCH(B435,'SAÍDA DE VENDAS'!$B$6:$B$500,0)+COUNTIF('SAÍDA DE VENDAS'!$B$6:$B$500, B435)),"")))</f>
        <v/>
      </c>
      <c r="C436" s="29">
        <f>IFERROR(VLOOKUP(B436,'SAÍDA DE VENDAS'!$B$6:$P$500,3,FALSE),"")</f>
        <v>0</v>
      </c>
      <c r="D436" s="28">
        <f>IFERROR(VLOOKUP(B436,'SAÍDA DE VENDAS'!$B$6:$P$500,4,FALSE),"")</f>
        <v>0</v>
      </c>
      <c r="E436" s="28" t="str">
        <f>IFERROR(VLOOKUP(B436,'SAÍDA DE VENDAS'!$B$6:$P$500,5,FALSE),"")</f>
        <v/>
      </c>
      <c r="F436" s="28" t="str">
        <f>IF(OR(ISBLANK(B436),B436=""), "", IFERROR(INDEX('SAÍDA DE VENDAS'!$H$6:$H$500 &amp; "x " &amp; 'SAÍDA DE VENDAS'!$G$6:$G$500, MATCH(B436, 'SAÍDA DE VENDAS'!$B$6:$B$500, 0)), "")&amp; IF(COUNTIF('SAÍDA DE VENDAS'!$B$6:$B$500, B436)&gt;1, " + " &amp; IFERROR(INDEX('SAÍDA DE VENDAS'!$H$6:$H$500 &amp; "x " &amp; 'SAÍDA DE VENDAS'!$G$6:$G$500, MATCH(B436, 'SAÍDA DE VENDAS'!$B$6:$B$500, 0)+1), ""), "")&amp; IF(COUNTIF('SAÍDA DE VENDAS'!$B$6:$B$500, B436)&gt;2, " + " &amp; IFERROR(INDEX('SAÍDA DE VENDAS'!$H$6:$H$500 &amp; "x " &amp; 'SAÍDA DE VENDAS'!$G$6:$G$500, MATCH(B436, 'SAÍDA DE VENDAS'!$B$6:$B$500, 0)+2), ""), "")&amp; IF(COUNTIF('SAÍDA DE VENDAS'!$B$6:$B$500, B436)&gt;3, " + " &amp; IFERROR(INDEX('SAÍDA DE VENDAS'!$H$6:$H$500 &amp; "x " &amp; 'SAÍDA DE VENDAS'!$G$6:$G$500, MATCH(B436, 'SAÍDA DE VENDAS'!$B$6:$B$500, 0)+3), ""), "")&amp; IF(COUNTIF('SAÍDA DE VENDAS'!$B$6:$B$500, B436)&gt;4, " + " &amp; IFERROR(INDEX('SAÍDA DE VENDAS'!$H$6:$H$500 &amp; "x " &amp; 'SAÍDA DE VENDAS'!$G$6:$G$500, MATCH(B436, 'SAÍDA DE VENDAS'!$B$6:$B$500, 0)+4), ""), "")&amp; IF(COUNTIF('SAÍDA DE VENDAS'!$B$6:$B$500, B436)&gt;5, " + " &amp; IFERROR(INDEX('SAÍDA DE VENDAS'!$H$6:$H$500 &amp; "x " &amp; 'SAÍDA DE VENDAS'!$G$6:$G$500, MATCH(B436, 'SAÍDA DE VENDAS'!$B$6:$B$500, 0)+5), ""), ""))</f>
        <v/>
      </c>
      <c r="G436" s="28">
        <f>IFERROR(VLOOKUP(B436,'SAÍDA DE VENDAS'!$B$6:$P$500,10,FALSE),"")</f>
        <v>0</v>
      </c>
      <c r="H436" s="28" t="str">
        <f>IF(OR(ISBLANK(B436),B436=""), "", IF(B436=B435, (VALUE(LEFT(H435,FIND("/",H435)-1))+1)&amp;"/"&amp;RIGHT(H435,LEN(H435)-FIND("/",H435)), "1/"&amp;IFERROR(VLOOKUP(B436,'SAÍDA DE VENDAS'!$B$6:$P$500,13,FALSE),"1")))</f>
        <v/>
      </c>
      <c r="I436" s="69" t="str">
        <f t="shared" si="12"/>
        <v/>
      </c>
      <c r="J436" s="33" t="str">
        <f>IFERROR(VLOOKUP(B436,'SAÍDA DE VENDAS'!$B$6:$P$500,15,FALSE),"")</f>
        <v/>
      </c>
      <c r="K436" s="28" t="str">
        <f t="shared" ca="1" si="13"/>
        <v/>
      </c>
      <c r="L436" s="28"/>
      <c r="M436" s="28"/>
    </row>
    <row r="437" spans="2:13" ht="15" customHeight="1" x14ac:dyDescent="0.3">
      <c r="B437" s="34" t="str">
        <f>IF(B436="","", IF(VALUE(LEFT(H436,FIND("/",H436)-1)) &lt; VALUE(RIGHT(H436,LEN(H436)-FIND("/",H436))), B436, IFERROR(INDEX('SAÍDA DE VENDAS'!$B$6:$B$500, MATCH(B436,'SAÍDA DE VENDAS'!$B$6:$B$500,0)+COUNTIF('SAÍDA DE VENDAS'!$B$6:$B$500, B436)),"")))</f>
        <v/>
      </c>
      <c r="C437" s="35">
        <f>IFERROR(VLOOKUP(B437,'SAÍDA DE VENDAS'!$B$6:$P$500,3,FALSE),"")</f>
        <v>0</v>
      </c>
      <c r="D437" s="34">
        <f>IFERROR(VLOOKUP(B437,'SAÍDA DE VENDAS'!$B$6:$P$500,4,FALSE),"")</f>
        <v>0</v>
      </c>
      <c r="E437" s="34" t="str">
        <f>IFERROR(VLOOKUP(B437,'SAÍDA DE VENDAS'!$B$6:$P$500,5,FALSE),"")</f>
        <v/>
      </c>
      <c r="F437" s="34" t="str">
        <f>IF(OR(ISBLANK(B437),B437=""), "", IFERROR(INDEX('SAÍDA DE VENDAS'!$H$6:$H$500 &amp; "x " &amp; 'SAÍDA DE VENDAS'!$G$6:$G$500, MATCH(B437, 'SAÍDA DE VENDAS'!$B$6:$B$500, 0)), "")&amp; IF(COUNTIF('SAÍDA DE VENDAS'!$B$6:$B$500, B437)&gt;1, " + " &amp; IFERROR(INDEX('SAÍDA DE VENDAS'!$H$6:$H$500 &amp; "x " &amp; 'SAÍDA DE VENDAS'!$G$6:$G$500, MATCH(B437, 'SAÍDA DE VENDAS'!$B$6:$B$500, 0)+1), ""), "")&amp; IF(COUNTIF('SAÍDA DE VENDAS'!$B$6:$B$500, B437)&gt;2, " + " &amp; IFERROR(INDEX('SAÍDA DE VENDAS'!$H$6:$H$500 &amp; "x " &amp; 'SAÍDA DE VENDAS'!$G$6:$G$500, MATCH(B437, 'SAÍDA DE VENDAS'!$B$6:$B$500, 0)+2), ""), "")&amp; IF(COUNTIF('SAÍDA DE VENDAS'!$B$6:$B$500, B437)&gt;3, " + " &amp; IFERROR(INDEX('SAÍDA DE VENDAS'!$H$6:$H$500 &amp; "x " &amp; 'SAÍDA DE VENDAS'!$G$6:$G$500, MATCH(B437, 'SAÍDA DE VENDAS'!$B$6:$B$500, 0)+3), ""), "")&amp; IF(COUNTIF('SAÍDA DE VENDAS'!$B$6:$B$500, B437)&gt;4, " + " &amp; IFERROR(INDEX('SAÍDA DE VENDAS'!$H$6:$H$500 &amp; "x " &amp; 'SAÍDA DE VENDAS'!$G$6:$G$500, MATCH(B437, 'SAÍDA DE VENDAS'!$B$6:$B$500, 0)+4), ""), "")&amp; IF(COUNTIF('SAÍDA DE VENDAS'!$B$6:$B$500, B437)&gt;5, " + " &amp; IFERROR(INDEX('SAÍDA DE VENDAS'!$H$6:$H$500 &amp; "x " &amp; 'SAÍDA DE VENDAS'!$G$6:$G$500, MATCH(B437, 'SAÍDA DE VENDAS'!$B$6:$B$500, 0)+5), ""), ""))</f>
        <v/>
      </c>
      <c r="G437" s="34">
        <f>IFERROR(VLOOKUP(B437,'SAÍDA DE VENDAS'!$B$6:$P$500,10,FALSE),"")</f>
        <v>0</v>
      </c>
      <c r="H437" s="34" t="str">
        <f>IF(OR(ISBLANK(B437),B437=""), "", IF(B437=B436, (VALUE(LEFT(H436,FIND("/",H436)-1))+1)&amp;"/"&amp;RIGHT(H436,LEN(H436)-FIND("/",H436)), "1/"&amp;IFERROR(VLOOKUP(B437,'SAÍDA DE VENDAS'!$B$6:$P$500,13,FALSE),"1")))</f>
        <v/>
      </c>
      <c r="I437" s="35" t="str">
        <f t="shared" si="12"/>
        <v/>
      </c>
      <c r="J437" s="39" t="str">
        <f>IFERROR(VLOOKUP(B437,'SAÍDA DE VENDAS'!$B$6:$P$500,15,FALSE),"")</f>
        <v/>
      </c>
      <c r="K437" s="34" t="str">
        <f t="shared" ca="1" si="13"/>
        <v/>
      </c>
      <c r="L437" s="34"/>
      <c r="M437" s="34"/>
    </row>
    <row r="438" spans="2:13" ht="15" customHeight="1" x14ac:dyDescent="0.3">
      <c r="B438" s="28" t="str">
        <f>IF(B437="","", IF(VALUE(LEFT(H437,FIND("/",H437)-1)) &lt; VALUE(RIGHT(H437,LEN(H437)-FIND("/",H437))), B437, IFERROR(INDEX('SAÍDA DE VENDAS'!$B$6:$B$500, MATCH(B437,'SAÍDA DE VENDAS'!$B$6:$B$500,0)+COUNTIF('SAÍDA DE VENDAS'!$B$6:$B$500, B437)),"")))</f>
        <v/>
      </c>
      <c r="C438" s="29">
        <f>IFERROR(VLOOKUP(B438,'SAÍDA DE VENDAS'!$B$6:$P$500,3,FALSE),"")</f>
        <v>0</v>
      </c>
      <c r="D438" s="28">
        <f>IFERROR(VLOOKUP(B438,'SAÍDA DE VENDAS'!$B$6:$P$500,4,FALSE),"")</f>
        <v>0</v>
      </c>
      <c r="E438" s="28" t="str">
        <f>IFERROR(VLOOKUP(B438,'SAÍDA DE VENDAS'!$B$6:$P$500,5,FALSE),"")</f>
        <v/>
      </c>
      <c r="F438" s="28" t="str">
        <f>IF(OR(ISBLANK(B438),B438=""), "", IFERROR(INDEX('SAÍDA DE VENDAS'!$H$6:$H$500 &amp; "x " &amp; 'SAÍDA DE VENDAS'!$G$6:$G$500, MATCH(B438, 'SAÍDA DE VENDAS'!$B$6:$B$500, 0)), "")&amp; IF(COUNTIF('SAÍDA DE VENDAS'!$B$6:$B$500, B438)&gt;1, " + " &amp; IFERROR(INDEX('SAÍDA DE VENDAS'!$H$6:$H$500 &amp; "x " &amp; 'SAÍDA DE VENDAS'!$G$6:$G$500, MATCH(B438, 'SAÍDA DE VENDAS'!$B$6:$B$500, 0)+1), ""), "")&amp; IF(COUNTIF('SAÍDA DE VENDAS'!$B$6:$B$500, B438)&gt;2, " + " &amp; IFERROR(INDEX('SAÍDA DE VENDAS'!$H$6:$H$500 &amp; "x " &amp; 'SAÍDA DE VENDAS'!$G$6:$G$500, MATCH(B438, 'SAÍDA DE VENDAS'!$B$6:$B$500, 0)+2), ""), "")&amp; IF(COUNTIF('SAÍDA DE VENDAS'!$B$6:$B$500, B438)&gt;3, " + " &amp; IFERROR(INDEX('SAÍDA DE VENDAS'!$H$6:$H$500 &amp; "x " &amp; 'SAÍDA DE VENDAS'!$G$6:$G$500, MATCH(B438, 'SAÍDA DE VENDAS'!$B$6:$B$500, 0)+3), ""), "")&amp; IF(COUNTIF('SAÍDA DE VENDAS'!$B$6:$B$500, B438)&gt;4, " + " &amp; IFERROR(INDEX('SAÍDA DE VENDAS'!$H$6:$H$500 &amp; "x " &amp; 'SAÍDA DE VENDAS'!$G$6:$G$500, MATCH(B438, 'SAÍDA DE VENDAS'!$B$6:$B$500, 0)+4), ""), "")&amp; IF(COUNTIF('SAÍDA DE VENDAS'!$B$6:$B$500, B438)&gt;5, " + " &amp; IFERROR(INDEX('SAÍDA DE VENDAS'!$H$6:$H$500 &amp; "x " &amp; 'SAÍDA DE VENDAS'!$G$6:$G$500, MATCH(B438, 'SAÍDA DE VENDAS'!$B$6:$B$500, 0)+5), ""), ""))</f>
        <v/>
      </c>
      <c r="G438" s="28">
        <f>IFERROR(VLOOKUP(B438,'SAÍDA DE VENDAS'!$B$6:$P$500,10,FALSE),"")</f>
        <v>0</v>
      </c>
      <c r="H438" s="28" t="str">
        <f>IF(OR(ISBLANK(B438),B438=""), "", IF(B438=B437, (VALUE(LEFT(H437,FIND("/",H437)-1))+1)&amp;"/"&amp;RIGHT(H437,LEN(H437)-FIND("/",H437)), "1/"&amp;IFERROR(VLOOKUP(B438,'SAÍDA DE VENDAS'!$B$6:$P$500,13,FALSE),"1")))</f>
        <v/>
      </c>
      <c r="I438" s="69" t="str">
        <f t="shared" si="12"/>
        <v/>
      </c>
      <c r="J438" s="33" t="str">
        <f>IFERROR(VLOOKUP(B438,'SAÍDA DE VENDAS'!$B$6:$P$500,15,FALSE),"")</f>
        <v/>
      </c>
      <c r="K438" s="28" t="str">
        <f t="shared" ca="1" si="13"/>
        <v/>
      </c>
      <c r="L438" s="28"/>
      <c r="M438" s="28"/>
    </row>
    <row r="439" spans="2:13" ht="15" customHeight="1" x14ac:dyDescent="0.3">
      <c r="B439" s="34" t="str">
        <f>IF(B438="","", IF(VALUE(LEFT(H438,FIND("/",H438)-1)) &lt; VALUE(RIGHT(H438,LEN(H438)-FIND("/",H438))), B438, IFERROR(INDEX('SAÍDA DE VENDAS'!$B$6:$B$500, MATCH(B438,'SAÍDA DE VENDAS'!$B$6:$B$500,0)+COUNTIF('SAÍDA DE VENDAS'!$B$6:$B$500, B438)),"")))</f>
        <v/>
      </c>
      <c r="C439" s="35">
        <f>IFERROR(VLOOKUP(B439,'SAÍDA DE VENDAS'!$B$6:$P$500,3,FALSE),"")</f>
        <v>0</v>
      </c>
      <c r="D439" s="34">
        <f>IFERROR(VLOOKUP(B439,'SAÍDA DE VENDAS'!$B$6:$P$500,4,FALSE),"")</f>
        <v>0</v>
      </c>
      <c r="E439" s="34" t="str">
        <f>IFERROR(VLOOKUP(B439,'SAÍDA DE VENDAS'!$B$6:$P$500,5,FALSE),"")</f>
        <v/>
      </c>
      <c r="F439" s="34" t="str">
        <f>IF(OR(ISBLANK(B439),B439=""), "", IFERROR(INDEX('SAÍDA DE VENDAS'!$H$6:$H$500 &amp; "x " &amp; 'SAÍDA DE VENDAS'!$G$6:$G$500, MATCH(B439, 'SAÍDA DE VENDAS'!$B$6:$B$500, 0)), "")&amp; IF(COUNTIF('SAÍDA DE VENDAS'!$B$6:$B$500, B439)&gt;1, " + " &amp; IFERROR(INDEX('SAÍDA DE VENDAS'!$H$6:$H$500 &amp; "x " &amp; 'SAÍDA DE VENDAS'!$G$6:$G$500, MATCH(B439, 'SAÍDA DE VENDAS'!$B$6:$B$500, 0)+1), ""), "")&amp; IF(COUNTIF('SAÍDA DE VENDAS'!$B$6:$B$500, B439)&gt;2, " + " &amp; IFERROR(INDEX('SAÍDA DE VENDAS'!$H$6:$H$500 &amp; "x " &amp; 'SAÍDA DE VENDAS'!$G$6:$G$500, MATCH(B439, 'SAÍDA DE VENDAS'!$B$6:$B$500, 0)+2), ""), "")&amp; IF(COUNTIF('SAÍDA DE VENDAS'!$B$6:$B$500, B439)&gt;3, " + " &amp; IFERROR(INDEX('SAÍDA DE VENDAS'!$H$6:$H$500 &amp; "x " &amp; 'SAÍDA DE VENDAS'!$G$6:$G$500, MATCH(B439, 'SAÍDA DE VENDAS'!$B$6:$B$500, 0)+3), ""), "")&amp; IF(COUNTIF('SAÍDA DE VENDAS'!$B$6:$B$500, B439)&gt;4, " + " &amp; IFERROR(INDEX('SAÍDA DE VENDAS'!$H$6:$H$500 &amp; "x " &amp; 'SAÍDA DE VENDAS'!$G$6:$G$500, MATCH(B439, 'SAÍDA DE VENDAS'!$B$6:$B$500, 0)+4), ""), "")&amp; IF(COUNTIF('SAÍDA DE VENDAS'!$B$6:$B$500, B439)&gt;5, " + " &amp; IFERROR(INDEX('SAÍDA DE VENDAS'!$H$6:$H$500 &amp; "x " &amp; 'SAÍDA DE VENDAS'!$G$6:$G$500, MATCH(B439, 'SAÍDA DE VENDAS'!$B$6:$B$500, 0)+5), ""), ""))</f>
        <v/>
      </c>
      <c r="G439" s="34">
        <f>IFERROR(VLOOKUP(B439,'SAÍDA DE VENDAS'!$B$6:$P$500,10,FALSE),"")</f>
        <v>0</v>
      </c>
      <c r="H439" s="34" t="str">
        <f>IF(OR(ISBLANK(B439),B439=""), "", IF(B439=B438, (VALUE(LEFT(H438,FIND("/",H438)-1))+1)&amp;"/"&amp;RIGHT(H438,LEN(H438)-FIND("/",H438)), "1/"&amp;IFERROR(VLOOKUP(B439,'SAÍDA DE VENDAS'!$B$6:$P$500,13,FALSE),"1")))</f>
        <v/>
      </c>
      <c r="I439" s="35" t="str">
        <f t="shared" si="12"/>
        <v/>
      </c>
      <c r="J439" s="39" t="str">
        <f>IFERROR(VLOOKUP(B439,'SAÍDA DE VENDAS'!$B$6:$P$500,15,FALSE),"")</f>
        <v/>
      </c>
      <c r="K439" s="34" t="str">
        <f t="shared" ca="1" si="13"/>
        <v/>
      </c>
      <c r="L439" s="34"/>
      <c r="M439" s="34"/>
    </row>
    <row r="440" spans="2:13" ht="15" customHeight="1" x14ac:dyDescent="0.3">
      <c r="B440" s="28" t="str">
        <f>IF(B439="","", IF(VALUE(LEFT(H439,FIND("/",H439)-1)) &lt; VALUE(RIGHT(H439,LEN(H439)-FIND("/",H439))), B439, IFERROR(INDEX('SAÍDA DE VENDAS'!$B$6:$B$500, MATCH(B439,'SAÍDA DE VENDAS'!$B$6:$B$500,0)+COUNTIF('SAÍDA DE VENDAS'!$B$6:$B$500, B439)),"")))</f>
        <v/>
      </c>
      <c r="C440" s="29">
        <f>IFERROR(VLOOKUP(B440,'SAÍDA DE VENDAS'!$B$6:$P$500,3,FALSE),"")</f>
        <v>0</v>
      </c>
      <c r="D440" s="28">
        <f>IFERROR(VLOOKUP(B440,'SAÍDA DE VENDAS'!$B$6:$P$500,4,FALSE),"")</f>
        <v>0</v>
      </c>
      <c r="E440" s="28" t="str">
        <f>IFERROR(VLOOKUP(B440,'SAÍDA DE VENDAS'!$B$6:$P$500,5,FALSE),"")</f>
        <v/>
      </c>
      <c r="F440" s="28" t="str">
        <f>IF(OR(ISBLANK(B440),B440=""), "", IFERROR(INDEX('SAÍDA DE VENDAS'!$H$6:$H$500 &amp; "x " &amp; 'SAÍDA DE VENDAS'!$G$6:$G$500, MATCH(B440, 'SAÍDA DE VENDAS'!$B$6:$B$500, 0)), "")&amp; IF(COUNTIF('SAÍDA DE VENDAS'!$B$6:$B$500, B440)&gt;1, " + " &amp; IFERROR(INDEX('SAÍDA DE VENDAS'!$H$6:$H$500 &amp; "x " &amp; 'SAÍDA DE VENDAS'!$G$6:$G$500, MATCH(B440, 'SAÍDA DE VENDAS'!$B$6:$B$500, 0)+1), ""), "")&amp; IF(COUNTIF('SAÍDA DE VENDAS'!$B$6:$B$500, B440)&gt;2, " + " &amp; IFERROR(INDEX('SAÍDA DE VENDAS'!$H$6:$H$500 &amp; "x " &amp; 'SAÍDA DE VENDAS'!$G$6:$G$500, MATCH(B440, 'SAÍDA DE VENDAS'!$B$6:$B$500, 0)+2), ""), "")&amp; IF(COUNTIF('SAÍDA DE VENDAS'!$B$6:$B$500, B440)&gt;3, " + " &amp; IFERROR(INDEX('SAÍDA DE VENDAS'!$H$6:$H$500 &amp; "x " &amp; 'SAÍDA DE VENDAS'!$G$6:$G$500, MATCH(B440, 'SAÍDA DE VENDAS'!$B$6:$B$500, 0)+3), ""), "")&amp; IF(COUNTIF('SAÍDA DE VENDAS'!$B$6:$B$500, B440)&gt;4, " + " &amp; IFERROR(INDEX('SAÍDA DE VENDAS'!$H$6:$H$500 &amp; "x " &amp; 'SAÍDA DE VENDAS'!$G$6:$G$500, MATCH(B440, 'SAÍDA DE VENDAS'!$B$6:$B$500, 0)+4), ""), "")&amp; IF(COUNTIF('SAÍDA DE VENDAS'!$B$6:$B$500, B440)&gt;5, " + " &amp; IFERROR(INDEX('SAÍDA DE VENDAS'!$H$6:$H$500 &amp; "x " &amp; 'SAÍDA DE VENDAS'!$G$6:$G$500, MATCH(B440, 'SAÍDA DE VENDAS'!$B$6:$B$500, 0)+5), ""), ""))</f>
        <v/>
      </c>
      <c r="G440" s="28">
        <f>IFERROR(VLOOKUP(B440,'SAÍDA DE VENDAS'!$B$6:$P$500,10,FALSE),"")</f>
        <v>0</v>
      </c>
      <c r="H440" s="28" t="str">
        <f>IF(OR(ISBLANK(B440),B440=""), "", IF(B440=B439, (VALUE(LEFT(H439,FIND("/",H439)-1))+1)&amp;"/"&amp;RIGHT(H439,LEN(H439)-FIND("/",H439)), "1/"&amp;IFERROR(VLOOKUP(B440,'SAÍDA DE VENDAS'!$B$6:$P$500,13,FALSE),"1")))</f>
        <v/>
      </c>
      <c r="I440" s="69" t="str">
        <f t="shared" si="12"/>
        <v/>
      </c>
      <c r="J440" s="33" t="str">
        <f>IFERROR(VLOOKUP(B440,'SAÍDA DE VENDAS'!$B$6:$P$500,15,FALSE),"")</f>
        <v/>
      </c>
      <c r="K440" s="28" t="str">
        <f t="shared" ca="1" si="13"/>
        <v/>
      </c>
      <c r="L440" s="28"/>
      <c r="M440" s="28"/>
    </row>
    <row r="441" spans="2:13" ht="15" customHeight="1" x14ac:dyDescent="0.3">
      <c r="B441" s="34" t="str">
        <f>IF(B440="","", IF(VALUE(LEFT(H440,FIND("/",H440)-1)) &lt; VALUE(RIGHT(H440,LEN(H440)-FIND("/",H440))), B440, IFERROR(INDEX('SAÍDA DE VENDAS'!$B$6:$B$500, MATCH(B440,'SAÍDA DE VENDAS'!$B$6:$B$500,0)+COUNTIF('SAÍDA DE VENDAS'!$B$6:$B$500, B440)),"")))</f>
        <v/>
      </c>
      <c r="C441" s="35">
        <f>IFERROR(VLOOKUP(B441,'SAÍDA DE VENDAS'!$B$6:$P$500,3,FALSE),"")</f>
        <v>0</v>
      </c>
      <c r="D441" s="34">
        <f>IFERROR(VLOOKUP(B441,'SAÍDA DE VENDAS'!$B$6:$P$500,4,FALSE),"")</f>
        <v>0</v>
      </c>
      <c r="E441" s="34" t="str">
        <f>IFERROR(VLOOKUP(B441,'SAÍDA DE VENDAS'!$B$6:$P$500,5,FALSE),"")</f>
        <v/>
      </c>
      <c r="F441" s="34" t="str">
        <f>IF(OR(ISBLANK(B441),B441=""), "", IFERROR(INDEX('SAÍDA DE VENDAS'!$H$6:$H$500 &amp; "x " &amp; 'SAÍDA DE VENDAS'!$G$6:$G$500, MATCH(B441, 'SAÍDA DE VENDAS'!$B$6:$B$500, 0)), "")&amp; IF(COUNTIF('SAÍDA DE VENDAS'!$B$6:$B$500, B441)&gt;1, " + " &amp; IFERROR(INDEX('SAÍDA DE VENDAS'!$H$6:$H$500 &amp; "x " &amp; 'SAÍDA DE VENDAS'!$G$6:$G$500, MATCH(B441, 'SAÍDA DE VENDAS'!$B$6:$B$500, 0)+1), ""), "")&amp; IF(COUNTIF('SAÍDA DE VENDAS'!$B$6:$B$500, B441)&gt;2, " + " &amp; IFERROR(INDEX('SAÍDA DE VENDAS'!$H$6:$H$500 &amp; "x " &amp; 'SAÍDA DE VENDAS'!$G$6:$G$500, MATCH(B441, 'SAÍDA DE VENDAS'!$B$6:$B$500, 0)+2), ""), "")&amp; IF(COUNTIF('SAÍDA DE VENDAS'!$B$6:$B$500, B441)&gt;3, " + " &amp; IFERROR(INDEX('SAÍDA DE VENDAS'!$H$6:$H$500 &amp; "x " &amp; 'SAÍDA DE VENDAS'!$G$6:$G$500, MATCH(B441, 'SAÍDA DE VENDAS'!$B$6:$B$500, 0)+3), ""), "")&amp; IF(COUNTIF('SAÍDA DE VENDAS'!$B$6:$B$500, B441)&gt;4, " + " &amp; IFERROR(INDEX('SAÍDA DE VENDAS'!$H$6:$H$500 &amp; "x " &amp; 'SAÍDA DE VENDAS'!$G$6:$G$500, MATCH(B441, 'SAÍDA DE VENDAS'!$B$6:$B$500, 0)+4), ""), "")&amp; IF(COUNTIF('SAÍDA DE VENDAS'!$B$6:$B$500, B441)&gt;5, " + " &amp; IFERROR(INDEX('SAÍDA DE VENDAS'!$H$6:$H$500 &amp; "x " &amp; 'SAÍDA DE VENDAS'!$G$6:$G$500, MATCH(B441, 'SAÍDA DE VENDAS'!$B$6:$B$500, 0)+5), ""), ""))</f>
        <v/>
      </c>
      <c r="G441" s="34">
        <f>IFERROR(VLOOKUP(B441,'SAÍDA DE VENDAS'!$B$6:$P$500,10,FALSE),"")</f>
        <v>0</v>
      </c>
      <c r="H441" s="34" t="str">
        <f>IF(OR(ISBLANK(B441),B441=""), "", IF(B441=B440, (VALUE(LEFT(H440,FIND("/",H440)-1))+1)&amp;"/"&amp;RIGHT(H440,LEN(H440)-FIND("/",H440)), "1/"&amp;IFERROR(VLOOKUP(B441,'SAÍDA DE VENDAS'!$B$6:$P$500,13,FALSE),"1")))</f>
        <v/>
      </c>
      <c r="I441" s="35" t="str">
        <f t="shared" si="12"/>
        <v/>
      </c>
      <c r="J441" s="39" t="str">
        <f>IFERROR(VLOOKUP(B441,'SAÍDA DE VENDAS'!$B$6:$P$500,15,FALSE),"")</f>
        <v/>
      </c>
      <c r="K441" s="34" t="str">
        <f t="shared" ca="1" si="13"/>
        <v/>
      </c>
      <c r="L441" s="34"/>
      <c r="M441" s="34"/>
    </row>
    <row r="442" spans="2:13" ht="15" customHeight="1" x14ac:dyDescent="0.3">
      <c r="B442" s="28" t="str">
        <f>IF(B441="","", IF(VALUE(LEFT(H441,FIND("/",H441)-1)) &lt; VALUE(RIGHT(H441,LEN(H441)-FIND("/",H441))), B441, IFERROR(INDEX('SAÍDA DE VENDAS'!$B$6:$B$500, MATCH(B441,'SAÍDA DE VENDAS'!$B$6:$B$500,0)+COUNTIF('SAÍDA DE VENDAS'!$B$6:$B$500, B441)),"")))</f>
        <v/>
      </c>
      <c r="C442" s="29">
        <f>IFERROR(VLOOKUP(B442,'SAÍDA DE VENDAS'!$B$6:$P$500,3,FALSE),"")</f>
        <v>0</v>
      </c>
      <c r="D442" s="28">
        <f>IFERROR(VLOOKUP(B442,'SAÍDA DE VENDAS'!$B$6:$P$500,4,FALSE),"")</f>
        <v>0</v>
      </c>
      <c r="E442" s="28" t="str">
        <f>IFERROR(VLOOKUP(B442,'SAÍDA DE VENDAS'!$B$6:$P$500,5,FALSE),"")</f>
        <v/>
      </c>
      <c r="F442" s="28" t="str">
        <f>IF(OR(ISBLANK(B442),B442=""), "", IFERROR(INDEX('SAÍDA DE VENDAS'!$H$6:$H$500 &amp; "x " &amp; 'SAÍDA DE VENDAS'!$G$6:$G$500, MATCH(B442, 'SAÍDA DE VENDAS'!$B$6:$B$500, 0)), "")&amp; IF(COUNTIF('SAÍDA DE VENDAS'!$B$6:$B$500, B442)&gt;1, " + " &amp; IFERROR(INDEX('SAÍDA DE VENDAS'!$H$6:$H$500 &amp; "x " &amp; 'SAÍDA DE VENDAS'!$G$6:$G$500, MATCH(B442, 'SAÍDA DE VENDAS'!$B$6:$B$500, 0)+1), ""), "")&amp; IF(COUNTIF('SAÍDA DE VENDAS'!$B$6:$B$500, B442)&gt;2, " + " &amp; IFERROR(INDEX('SAÍDA DE VENDAS'!$H$6:$H$500 &amp; "x " &amp; 'SAÍDA DE VENDAS'!$G$6:$G$500, MATCH(B442, 'SAÍDA DE VENDAS'!$B$6:$B$500, 0)+2), ""), "")&amp; IF(COUNTIF('SAÍDA DE VENDAS'!$B$6:$B$500, B442)&gt;3, " + " &amp; IFERROR(INDEX('SAÍDA DE VENDAS'!$H$6:$H$500 &amp; "x " &amp; 'SAÍDA DE VENDAS'!$G$6:$G$500, MATCH(B442, 'SAÍDA DE VENDAS'!$B$6:$B$500, 0)+3), ""), "")&amp; IF(COUNTIF('SAÍDA DE VENDAS'!$B$6:$B$500, B442)&gt;4, " + " &amp; IFERROR(INDEX('SAÍDA DE VENDAS'!$H$6:$H$500 &amp; "x " &amp; 'SAÍDA DE VENDAS'!$G$6:$G$500, MATCH(B442, 'SAÍDA DE VENDAS'!$B$6:$B$500, 0)+4), ""), "")&amp; IF(COUNTIF('SAÍDA DE VENDAS'!$B$6:$B$500, B442)&gt;5, " + " &amp; IFERROR(INDEX('SAÍDA DE VENDAS'!$H$6:$H$500 &amp; "x " &amp; 'SAÍDA DE VENDAS'!$G$6:$G$500, MATCH(B442, 'SAÍDA DE VENDAS'!$B$6:$B$500, 0)+5), ""), ""))</f>
        <v/>
      </c>
      <c r="G442" s="28">
        <f>IFERROR(VLOOKUP(B442,'SAÍDA DE VENDAS'!$B$6:$P$500,10,FALSE),"")</f>
        <v>0</v>
      </c>
      <c r="H442" s="28" t="str">
        <f>IF(OR(ISBLANK(B442),B442=""), "", IF(B442=B441, (VALUE(LEFT(H441,FIND("/",H441)-1))+1)&amp;"/"&amp;RIGHT(H441,LEN(H441)-FIND("/",H441)), "1/"&amp;IFERROR(VLOOKUP(B442,'SAÍDA DE VENDAS'!$B$6:$P$500,13,FALSE),"1")))</f>
        <v/>
      </c>
      <c r="I442" s="69" t="str">
        <f t="shared" si="12"/>
        <v/>
      </c>
      <c r="J442" s="33" t="str">
        <f>IFERROR(VLOOKUP(B442,'SAÍDA DE VENDAS'!$B$6:$P$500,15,FALSE),"")</f>
        <v/>
      </c>
      <c r="K442" s="28" t="str">
        <f t="shared" ca="1" si="13"/>
        <v/>
      </c>
      <c r="L442" s="28"/>
      <c r="M442" s="28"/>
    </row>
    <row r="443" spans="2:13" ht="15" customHeight="1" x14ac:dyDescent="0.3">
      <c r="B443" s="34" t="str">
        <f>IF(B442="","", IF(VALUE(LEFT(H442,FIND("/",H442)-1)) &lt; VALUE(RIGHT(H442,LEN(H442)-FIND("/",H442))), B442, IFERROR(INDEX('SAÍDA DE VENDAS'!$B$6:$B$500, MATCH(B442,'SAÍDA DE VENDAS'!$B$6:$B$500,0)+COUNTIF('SAÍDA DE VENDAS'!$B$6:$B$500, B442)),"")))</f>
        <v/>
      </c>
      <c r="C443" s="35">
        <f>IFERROR(VLOOKUP(B443,'SAÍDA DE VENDAS'!$B$6:$P$500,3,FALSE),"")</f>
        <v>0</v>
      </c>
      <c r="D443" s="34">
        <f>IFERROR(VLOOKUP(B443,'SAÍDA DE VENDAS'!$B$6:$P$500,4,FALSE),"")</f>
        <v>0</v>
      </c>
      <c r="E443" s="34" t="str">
        <f>IFERROR(VLOOKUP(B443,'SAÍDA DE VENDAS'!$B$6:$P$500,5,FALSE),"")</f>
        <v/>
      </c>
      <c r="F443" s="34" t="str">
        <f>IF(OR(ISBLANK(B443),B443=""), "", IFERROR(INDEX('SAÍDA DE VENDAS'!$H$6:$H$500 &amp; "x " &amp; 'SAÍDA DE VENDAS'!$G$6:$G$500, MATCH(B443, 'SAÍDA DE VENDAS'!$B$6:$B$500, 0)), "")&amp; IF(COUNTIF('SAÍDA DE VENDAS'!$B$6:$B$500, B443)&gt;1, " + " &amp; IFERROR(INDEX('SAÍDA DE VENDAS'!$H$6:$H$500 &amp; "x " &amp; 'SAÍDA DE VENDAS'!$G$6:$G$500, MATCH(B443, 'SAÍDA DE VENDAS'!$B$6:$B$500, 0)+1), ""), "")&amp; IF(COUNTIF('SAÍDA DE VENDAS'!$B$6:$B$500, B443)&gt;2, " + " &amp; IFERROR(INDEX('SAÍDA DE VENDAS'!$H$6:$H$500 &amp; "x " &amp; 'SAÍDA DE VENDAS'!$G$6:$G$500, MATCH(B443, 'SAÍDA DE VENDAS'!$B$6:$B$500, 0)+2), ""), "")&amp; IF(COUNTIF('SAÍDA DE VENDAS'!$B$6:$B$500, B443)&gt;3, " + " &amp; IFERROR(INDEX('SAÍDA DE VENDAS'!$H$6:$H$500 &amp; "x " &amp; 'SAÍDA DE VENDAS'!$G$6:$G$500, MATCH(B443, 'SAÍDA DE VENDAS'!$B$6:$B$500, 0)+3), ""), "")&amp; IF(COUNTIF('SAÍDA DE VENDAS'!$B$6:$B$500, B443)&gt;4, " + " &amp; IFERROR(INDEX('SAÍDA DE VENDAS'!$H$6:$H$500 &amp; "x " &amp; 'SAÍDA DE VENDAS'!$G$6:$G$500, MATCH(B443, 'SAÍDA DE VENDAS'!$B$6:$B$500, 0)+4), ""), "")&amp; IF(COUNTIF('SAÍDA DE VENDAS'!$B$6:$B$500, B443)&gt;5, " + " &amp; IFERROR(INDEX('SAÍDA DE VENDAS'!$H$6:$H$500 &amp; "x " &amp; 'SAÍDA DE VENDAS'!$G$6:$G$500, MATCH(B443, 'SAÍDA DE VENDAS'!$B$6:$B$500, 0)+5), ""), ""))</f>
        <v/>
      </c>
      <c r="G443" s="34">
        <f>IFERROR(VLOOKUP(B443,'SAÍDA DE VENDAS'!$B$6:$P$500,10,FALSE),"")</f>
        <v>0</v>
      </c>
      <c r="H443" s="34" t="str">
        <f>IF(OR(ISBLANK(B443),B443=""), "", IF(B443=B442, (VALUE(LEFT(H442,FIND("/",H442)-1))+1)&amp;"/"&amp;RIGHT(H442,LEN(H442)-FIND("/",H442)), "1/"&amp;IFERROR(VLOOKUP(B443,'SAÍDA DE VENDAS'!$B$6:$P$500,13,FALSE),"1")))</f>
        <v/>
      </c>
      <c r="I443" s="35" t="str">
        <f t="shared" si="12"/>
        <v/>
      </c>
      <c r="J443" s="39" t="str">
        <f>IFERROR(VLOOKUP(B443,'SAÍDA DE VENDAS'!$B$6:$P$500,15,FALSE),"")</f>
        <v/>
      </c>
      <c r="K443" s="34" t="str">
        <f t="shared" ca="1" si="13"/>
        <v/>
      </c>
      <c r="L443" s="34"/>
      <c r="M443" s="34"/>
    </row>
    <row r="444" spans="2:13" ht="15" customHeight="1" x14ac:dyDescent="0.3">
      <c r="B444" s="28" t="str">
        <f>IF(B443="","", IF(VALUE(LEFT(H443,FIND("/",H443)-1)) &lt; VALUE(RIGHT(H443,LEN(H443)-FIND("/",H443))), B443, IFERROR(INDEX('SAÍDA DE VENDAS'!$B$6:$B$500, MATCH(B443,'SAÍDA DE VENDAS'!$B$6:$B$500,0)+COUNTIF('SAÍDA DE VENDAS'!$B$6:$B$500, B443)),"")))</f>
        <v/>
      </c>
      <c r="C444" s="29">
        <f>IFERROR(VLOOKUP(B444,'SAÍDA DE VENDAS'!$B$6:$P$500,3,FALSE),"")</f>
        <v>0</v>
      </c>
      <c r="D444" s="28">
        <f>IFERROR(VLOOKUP(B444,'SAÍDA DE VENDAS'!$B$6:$P$500,4,FALSE),"")</f>
        <v>0</v>
      </c>
      <c r="E444" s="28" t="str">
        <f>IFERROR(VLOOKUP(B444,'SAÍDA DE VENDAS'!$B$6:$P$500,5,FALSE),"")</f>
        <v/>
      </c>
      <c r="F444" s="28" t="str">
        <f>IF(OR(ISBLANK(B444),B444=""), "", IFERROR(INDEX('SAÍDA DE VENDAS'!$H$6:$H$500 &amp; "x " &amp; 'SAÍDA DE VENDAS'!$G$6:$G$500, MATCH(B444, 'SAÍDA DE VENDAS'!$B$6:$B$500, 0)), "")&amp; IF(COUNTIF('SAÍDA DE VENDAS'!$B$6:$B$500, B444)&gt;1, " + " &amp; IFERROR(INDEX('SAÍDA DE VENDAS'!$H$6:$H$500 &amp; "x " &amp; 'SAÍDA DE VENDAS'!$G$6:$G$500, MATCH(B444, 'SAÍDA DE VENDAS'!$B$6:$B$500, 0)+1), ""), "")&amp; IF(COUNTIF('SAÍDA DE VENDAS'!$B$6:$B$500, B444)&gt;2, " + " &amp; IFERROR(INDEX('SAÍDA DE VENDAS'!$H$6:$H$500 &amp; "x " &amp; 'SAÍDA DE VENDAS'!$G$6:$G$500, MATCH(B444, 'SAÍDA DE VENDAS'!$B$6:$B$500, 0)+2), ""), "")&amp; IF(COUNTIF('SAÍDA DE VENDAS'!$B$6:$B$500, B444)&gt;3, " + " &amp; IFERROR(INDEX('SAÍDA DE VENDAS'!$H$6:$H$500 &amp; "x " &amp; 'SAÍDA DE VENDAS'!$G$6:$G$500, MATCH(B444, 'SAÍDA DE VENDAS'!$B$6:$B$500, 0)+3), ""), "")&amp; IF(COUNTIF('SAÍDA DE VENDAS'!$B$6:$B$500, B444)&gt;4, " + " &amp; IFERROR(INDEX('SAÍDA DE VENDAS'!$H$6:$H$500 &amp; "x " &amp; 'SAÍDA DE VENDAS'!$G$6:$G$500, MATCH(B444, 'SAÍDA DE VENDAS'!$B$6:$B$500, 0)+4), ""), "")&amp; IF(COUNTIF('SAÍDA DE VENDAS'!$B$6:$B$500, B444)&gt;5, " + " &amp; IFERROR(INDEX('SAÍDA DE VENDAS'!$H$6:$H$500 &amp; "x " &amp; 'SAÍDA DE VENDAS'!$G$6:$G$500, MATCH(B444, 'SAÍDA DE VENDAS'!$B$6:$B$500, 0)+5), ""), ""))</f>
        <v/>
      </c>
      <c r="G444" s="28">
        <f>IFERROR(VLOOKUP(B444,'SAÍDA DE VENDAS'!$B$6:$P$500,10,FALSE),"")</f>
        <v>0</v>
      </c>
      <c r="H444" s="28" t="str">
        <f>IF(OR(ISBLANK(B444),B444=""), "", IF(B444=B443, (VALUE(LEFT(H443,FIND("/",H443)-1))+1)&amp;"/"&amp;RIGHT(H443,LEN(H443)-FIND("/",H443)), "1/"&amp;IFERROR(VLOOKUP(B444,'SAÍDA DE VENDAS'!$B$6:$P$500,13,FALSE),"1")))</f>
        <v/>
      </c>
      <c r="I444" s="69" t="str">
        <f t="shared" si="12"/>
        <v/>
      </c>
      <c r="J444" s="33" t="str">
        <f>IFERROR(VLOOKUP(B444,'SAÍDA DE VENDAS'!$B$6:$P$500,15,FALSE),"")</f>
        <v/>
      </c>
      <c r="K444" s="28" t="str">
        <f t="shared" ca="1" si="13"/>
        <v/>
      </c>
      <c r="L444" s="28"/>
      <c r="M444" s="28"/>
    </row>
    <row r="445" spans="2:13" ht="15" customHeight="1" x14ac:dyDescent="0.3">
      <c r="B445" s="34" t="str">
        <f>IF(B444="","", IF(VALUE(LEFT(H444,FIND("/",H444)-1)) &lt; VALUE(RIGHT(H444,LEN(H444)-FIND("/",H444))), B444, IFERROR(INDEX('SAÍDA DE VENDAS'!$B$6:$B$500, MATCH(B444,'SAÍDA DE VENDAS'!$B$6:$B$500,0)+COUNTIF('SAÍDA DE VENDAS'!$B$6:$B$500, B444)),"")))</f>
        <v/>
      </c>
      <c r="C445" s="35">
        <f>IFERROR(VLOOKUP(B445,'SAÍDA DE VENDAS'!$B$6:$P$500,3,FALSE),"")</f>
        <v>0</v>
      </c>
      <c r="D445" s="34">
        <f>IFERROR(VLOOKUP(B445,'SAÍDA DE VENDAS'!$B$6:$P$500,4,FALSE),"")</f>
        <v>0</v>
      </c>
      <c r="E445" s="34" t="str">
        <f>IFERROR(VLOOKUP(B445,'SAÍDA DE VENDAS'!$B$6:$P$500,5,FALSE),"")</f>
        <v/>
      </c>
      <c r="F445" s="34" t="str">
        <f>IF(OR(ISBLANK(B445),B445=""), "", IFERROR(INDEX('SAÍDA DE VENDAS'!$H$6:$H$500 &amp; "x " &amp; 'SAÍDA DE VENDAS'!$G$6:$G$500, MATCH(B445, 'SAÍDA DE VENDAS'!$B$6:$B$500, 0)), "")&amp; IF(COUNTIF('SAÍDA DE VENDAS'!$B$6:$B$500, B445)&gt;1, " + " &amp; IFERROR(INDEX('SAÍDA DE VENDAS'!$H$6:$H$500 &amp; "x " &amp; 'SAÍDA DE VENDAS'!$G$6:$G$500, MATCH(B445, 'SAÍDA DE VENDAS'!$B$6:$B$500, 0)+1), ""), "")&amp; IF(COUNTIF('SAÍDA DE VENDAS'!$B$6:$B$500, B445)&gt;2, " + " &amp; IFERROR(INDEX('SAÍDA DE VENDAS'!$H$6:$H$500 &amp; "x " &amp; 'SAÍDA DE VENDAS'!$G$6:$G$500, MATCH(B445, 'SAÍDA DE VENDAS'!$B$6:$B$500, 0)+2), ""), "")&amp; IF(COUNTIF('SAÍDA DE VENDAS'!$B$6:$B$500, B445)&gt;3, " + " &amp; IFERROR(INDEX('SAÍDA DE VENDAS'!$H$6:$H$500 &amp; "x " &amp; 'SAÍDA DE VENDAS'!$G$6:$G$500, MATCH(B445, 'SAÍDA DE VENDAS'!$B$6:$B$500, 0)+3), ""), "")&amp; IF(COUNTIF('SAÍDA DE VENDAS'!$B$6:$B$500, B445)&gt;4, " + " &amp; IFERROR(INDEX('SAÍDA DE VENDAS'!$H$6:$H$500 &amp; "x " &amp; 'SAÍDA DE VENDAS'!$G$6:$G$500, MATCH(B445, 'SAÍDA DE VENDAS'!$B$6:$B$500, 0)+4), ""), "")&amp; IF(COUNTIF('SAÍDA DE VENDAS'!$B$6:$B$500, B445)&gt;5, " + " &amp; IFERROR(INDEX('SAÍDA DE VENDAS'!$H$6:$H$500 &amp; "x " &amp; 'SAÍDA DE VENDAS'!$G$6:$G$500, MATCH(B445, 'SAÍDA DE VENDAS'!$B$6:$B$500, 0)+5), ""), ""))</f>
        <v/>
      </c>
      <c r="G445" s="34">
        <f>IFERROR(VLOOKUP(B445,'SAÍDA DE VENDAS'!$B$6:$P$500,10,FALSE),"")</f>
        <v>0</v>
      </c>
      <c r="H445" s="34" t="str">
        <f>IF(OR(ISBLANK(B445),B445=""), "", IF(B445=B444, (VALUE(LEFT(H444,FIND("/",H444)-1))+1)&amp;"/"&amp;RIGHT(H444,LEN(H444)-FIND("/",H444)), "1/"&amp;IFERROR(VLOOKUP(B445,'SAÍDA DE VENDAS'!$B$6:$P$500,13,FALSE),"1")))</f>
        <v/>
      </c>
      <c r="I445" s="35" t="str">
        <f t="shared" si="12"/>
        <v/>
      </c>
      <c r="J445" s="39" t="str">
        <f>IFERROR(VLOOKUP(B445,'SAÍDA DE VENDAS'!$B$6:$P$500,15,FALSE),"")</f>
        <v/>
      </c>
      <c r="K445" s="34" t="str">
        <f t="shared" ca="1" si="13"/>
        <v/>
      </c>
      <c r="L445" s="34"/>
      <c r="M445" s="34"/>
    </row>
    <row r="446" spans="2:13" ht="15" customHeight="1" x14ac:dyDescent="0.3">
      <c r="B446" s="28" t="str">
        <f>IF(B445="","", IF(VALUE(LEFT(H445,FIND("/",H445)-1)) &lt; VALUE(RIGHT(H445,LEN(H445)-FIND("/",H445))), B445, IFERROR(INDEX('SAÍDA DE VENDAS'!$B$6:$B$500, MATCH(B445,'SAÍDA DE VENDAS'!$B$6:$B$500,0)+COUNTIF('SAÍDA DE VENDAS'!$B$6:$B$500, B445)),"")))</f>
        <v/>
      </c>
      <c r="C446" s="29">
        <f>IFERROR(VLOOKUP(B446,'SAÍDA DE VENDAS'!$B$6:$P$500,3,FALSE),"")</f>
        <v>0</v>
      </c>
      <c r="D446" s="28">
        <f>IFERROR(VLOOKUP(B446,'SAÍDA DE VENDAS'!$B$6:$P$500,4,FALSE),"")</f>
        <v>0</v>
      </c>
      <c r="E446" s="28" t="str">
        <f>IFERROR(VLOOKUP(B446,'SAÍDA DE VENDAS'!$B$6:$P$500,5,FALSE),"")</f>
        <v/>
      </c>
      <c r="F446" s="28" t="str">
        <f>IF(OR(ISBLANK(B446),B446=""), "", IFERROR(INDEX('SAÍDA DE VENDAS'!$H$6:$H$500 &amp; "x " &amp; 'SAÍDA DE VENDAS'!$G$6:$G$500, MATCH(B446, 'SAÍDA DE VENDAS'!$B$6:$B$500, 0)), "")&amp; IF(COUNTIF('SAÍDA DE VENDAS'!$B$6:$B$500, B446)&gt;1, " + " &amp; IFERROR(INDEX('SAÍDA DE VENDAS'!$H$6:$H$500 &amp; "x " &amp; 'SAÍDA DE VENDAS'!$G$6:$G$500, MATCH(B446, 'SAÍDA DE VENDAS'!$B$6:$B$500, 0)+1), ""), "")&amp; IF(COUNTIF('SAÍDA DE VENDAS'!$B$6:$B$500, B446)&gt;2, " + " &amp; IFERROR(INDEX('SAÍDA DE VENDAS'!$H$6:$H$500 &amp; "x " &amp; 'SAÍDA DE VENDAS'!$G$6:$G$500, MATCH(B446, 'SAÍDA DE VENDAS'!$B$6:$B$500, 0)+2), ""), "")&amp; IF(COUNTIF('SAÍDA DE VENDAS'!$B$6:$B$500, B446)&gt;3, " + " &amp; IFERROR(INDEX('SAÍDA DE VENDAS'!$H$6:$H$500 &amp; "x " &amp; 'SAÍDA DE VENDAS'!$G$6:$G$500, MATCH(B446, 'SAÍDA DE VENDAS'!$B$6:$B$500, 0)+3), ""), "")&amp; IF(COUNTIF('SAÍDA DE VENDAS'!$B$6:$B$500, B446)&gt;4, " + " &amp; IFERROR(INDEX('SAÍDA DE VENDAS'!$H$6:$H$500 &amp; "x " &amp; 'SAÍDA DE VENDAS'!$G$6:$G$500, MATCH(B446, 'SAÍDA DE VENDAS'!$B$6:$B$500, 0)+4), ""), "")&amp; IF(COUNTIF('SAÍDA DE VENDAS'!$B$6:$B$500, B446)&gt;5, " + " &amp; IFERROR(INDEX('SAÍDA DE VENDAS'!$H$6:$H$500 &amp; "x " &amp; 'SAÍDA DE VENDAS'!$G$6:$G$500, MATCH(B446, 'SAÍDA DE VENDAS'!$B$6:$B$500, 0)+5), ""), ""))</f>
        <v/>
      </c>
      <c r="G446" s="28">
        <f>IFERROR(VLOOKUP(B446,'SAÍDA DE VENDAS'!$B$6:$P$500,10,FALSE),"")</f>
        <v>0</v>
      </c>
      <c r="H446" s="28" t="str">
        <f>IF(OR(ISBLANK(B446),B446=""), "", IF(B446=B445, (VALUE(LEFT(H445,FIND("/",H445)-1))+1)&amp;"/"&amp;RIGHT(H445,LEN(H445)-FIND("/",H445)), "1/"&amp;IFERROR(VLOOKUP(B446,'SAÍDA DE VENDAS'!$B$6:$P$500,13,FALSE),"1")))</f>
        <v/>
      </c>
      <c r="I446" s="69" t="str">
        <f t="shared" si="12"/>
        <v/>
      </c>
      <c r="J446" s="33" t="str">
        <f>IFERROR(VLOOKUP(B446,'SAÍDA DE VENDAS'!$B$6:$P$500,15,FALSE),"")</f>
        <v/>
      </c>
      <c r="K446" s="28" t="str">
        <f t="shared" ca="1" si="13"/>
        <v/>
      </c>
      <c r="L446" s="28"/>
      <c r="M446" s="28"/>
    </row>
    <row r="447" spans="2:13" ht="15" customHeight="1" x14ac:dyDescent="0.3">
      <c r="B447" s="34" t="str">
        <f>IF(B446="","", IF(VALUE(LEFT(H446,FIND("/",H446)-1)) &lt; VALUE(RIGHT(H446,LEN(H446)-FIND("/",H446))), B446, IFERROR(INDEX('SAÍDA DE VENDAS'!$B$6:$B$500, MATCH(B446,'SAÍDA DE VENDAS'!$B$6:$B$500,0)+COUNTIF('SAÍDA DE VENDAS'!$B$6:$B$500, B446)),"")))</f>
        <v/>
      </c>
      <c r="C447" s="35">
        <f>IFERROR(VLOOKUP(B447,'SAÍDA DE VENDAS'!$B$6:$P$500,3,FALSE),"")</f>
        <v>0</v>
      </c>
      <c r="D447" s="34">
        <f>IFERROR(VLOOKUP(B447,'SAÍDA DE VENDAS'!$B$6:$P$500,4,FALSE),"")</f>
        <v>0</v>
      </c>
      <c r="E447" s="34" t="str">
        <f>IFERROR(VLOOKUP(B447,'SAÍDA DE VENDAS'!$B$6:$P$500,5,FALSE),"")</f>
        <v/>
      </c>
      <c r="F447" s="34" t="str">
        <f>IF(OR(ISBLANK(B447),B447=""), "", IFERROR(INDEX('SAÍDA DE VENDAS'!$H$6:$H$500 &amp; "x " &amp; 'SAÍDA DE VENDAS'!$G$6:$G$500, MATCH(B447, 'SAÍDA DE VENDAS'!$B$6:$B$500, 0)), "")&amp; IF(COUNTIF('SAÍDA DE VENDAS'!$B$6:$B$500, B447)&gt;1, " + " &amp; IFERROR(INDEX('SAÍDA DE VENDAS'!$H$6:$H$500 &amp; "x " &amp; 'SAÍDA DE VENDAS'!$G$6:$G$500, MATCH(B447, 'SAÍDA DE VENDAS'!$B$6:$B$500, 0)+1), ""), "")&amp; IF(COUNTIF('SAÍDA DE VENDAS'!$B$6:$B$500, B447)&gt;2, " + " &amp; IFERROR(INDEX('SAÍDA DE VENDAS'!$H$6:$H$500 &amp; "x " &amp; 'SAÍDA DE VENDAS'!$G$6:$G$500, MATCH(B447, 'SAÍDA DE VENDAS'!$B$6:$B$500, 0)+2), ""), "")&amp; IF(COUNTIF('SAÍDA DE VENDAS'!$B$6:$B$500, B447)&gt;3, " + " &amp; IFERROR(INDEX('SAÍDA DE VENDAS'!$H$6:$H$500 &amp; "x " &amp; 'SAÍDA DE VENDAS'!$G$6:$G$500, MATCH(B447, 'SAÍDA DE VENDAS'!$B$6:$B$500, 0)+3), ""), "")&amp; IF(COUNTIF('SAÍDA DE VENDAS'!$B$6:$B$500, B447)&gt;4, " + " &amp; IFERROR(INDEX('SAÍDA DE VENDAS'!$H$6:$H$500 &amp; "x " &amp; 'SAÍDA DE VENDAS'!$G$6:$G$500, MATCH(B447, 'SAÍDA DE VENDAS'!$B$6:$B$500, 0)+4), ""), "")&amp; IF(COUNTIF('SAÍDA DE VENDAS'!$B$6:$B$500, B447)&gt;5, " + " &amp; IFERROR(INDEX('SAÍDA DE VENDAS'!$H$6:$H$500 &amp; "x " &amp; 'SAÍDA DE VENDAS'!$G$6:$G$500, MATCH(B447, 'SAÍDA DE VENDAS'!$B$6:$B$500, 0)+5), ""), ""))</f>
        <v/>
      </c>
      <c r="G447" s="34">
        <f>IFERROR(VLOOKUP(B447,'SAÍDA DE VENDAS'!$B$6:$P$500,10,FALSE),"")</f>
        <v>0</v>
      </c>
      <c r="H447" s="34" t="str">
        <f>IF(OR(ISBLANK(B447),B447=""), "", IF(B447=B446, (VALUE(LEFT(H446,FIND("/",H446)-1))+1)&amp;"/"&amp;RIGHT(H446,LEN(H446)-FIND("/",H446)), "1/"&amp;IFERROR(VLOOKUP(B447,'SAÍDA DE VENDAS'!$B$6:$P$500,13,FALSE),"1")))</f>
        <v/>
      </c>
      <c r="I447" s="35" t="str">
        <f t="shared" si="12"/>
        <v/>
      </c>
      <c r="J447" s="39" t="str">
        <f>IFERROR(VLOOKUP(B447,'SAÍDA DE VENDAS'!$B$6:$P$500,15,FALSE),"")</f>
        <v/>
      </c>
      <c r="K447" s="34" t="str">
        <f t="shared" ca="1" si="13"/>
        <v/>
      </c>
      <c r="L447" s="34"/>
      <c r="M447" s="34"/>
    </row>
    <row r="448" spans="2:13" ht="15" customHeight="1" x14ac:dyDescent="0.3">
      <c r="B448" s="28" t="str">
        <f>IF(B447="","", IF(VALUE(LEFT(H447,FIND("/",H447)-1)) &lt; VALUE(RIGHT(H447,LEN(H447)-FIND("/",H447))), B447, IFERROR(INDEX('SAÍDA DE VENDAS'!$B$6:$B$500, MATCH(B447,'SAÍDA DE VENDAS'!$B$6:$B$500,0)+COUNTIF('SAÍDA DE VENDAS'!$B$6:$B$500, B447)),"")))</f>
        <v/>
      </c>
      <c r="C448" s="29">
        <f>IFERROR(VLOOKUP(B448,'SAÍDA DE VENDAS'!$B$6:$P$500,3,FALSE),"")</f>
        <v>0</v>
      </c>
      <c r="D448" s="28">
        <f>IFERROR(VLOOKUP(B448,'SAÍDA DE VENDAS'!$B$6:$P$500,4,FALSE),"")</f>
        <v>0</v>
      </c>
      <c r="E448" s="28" t="str">
        <f>IFERROR(VLOOKUP(B448,'SAÍDA DE VENDAS'!$B$6:$P$500,5,FALSE),"")</f>
        <v/>
      </c>
      <c r="F448" s="28" t="str">
        <f>IF(OR(ISBLANK(B448),B448=""), "", IFERROR(INDEX('SAÍDA DE VENDAS'!$H$6:$H$500 &amp; "x " &amp; 'SAÍDA DE VENDAS'!$G$6:$G$500, MATCH(B448, 'SAÍDA DE VENDAS'!$B$6:$B$500, 0)), "")&amp; IF(COUNTIF('SAÍDA DE VENDAS'!$B$6:$B$500, B448)&gt;1, " + " &amp; IFERROR(INDEX('SAÍDA DE VENDAS'!$H$6:$H$500 &amp; "x " &amp; 'SAÍDA DE VENDAS'!$G$6:$G$500, MATCH(B448, 'SAÍDA DE VENDAS'!$B$6:$B$500, 0)+1), ""), "")&amp; IF(COUNTIF('SAÍDA DE VENDAS'!$B$6:$B$500, B448)&gt;2, " + " &amp; IFERROR(INDEX('SAÍDA DE VENDAS'!$H$6:$H$500 &amp; "x " &amp; 'SAÍDA DE VENDAS'!$G$6:$G$500, MATCH(B448, 'SAÍDA DE VENDAS'!$B$6:$B$500, 0)+2), ""), "")&amp; IF(COUNTIF('SAÍDA DE VENDAS'!$B$6:$B$500, B448)&gt;3, " + " &amp; IFERROR(INDEX('SAÍDA DE VENDAS'!$H$6:$H$500 &amp; "x " &amp; 'SAÍDA DE VENDAS'!$G$6:$G$500, MATCH(B448, 'SAÍDA DE VENDAS'!$B$6:$B$500, 0)+3), ""), "")&amp; IF(COUNTIF('SAÍDA DE VENDAS'!$B$6:$B$500, B448)&gt;4, " + " &amp; IFERROR(INDEX('SAÍDA DE VENDAS'!$H$6:$H$500 &amp; "x " &amp; 'SAÍDA DE VENDAS'!$G$6:$G$500, MATCH(B448, 'SAÍDA DE VENDAS'!$B$6:$B$500, 0)+4), ""), "")&amp; IF(COUNTIF('SAÍDA DE VENDAS'!$B$6:$B$500, B448)&gt;5, " + " &amp; IFERROR(INDEX('SAÍDA DE VENDAS'!$H$6:$H$500 &amp; "x " &amp; 'SAÍDA DE VENDAS'!$G$6:$G$500, MATCH(B448, 'SAÍDA DE VENDAS'!$B$6:$B$500, 0)+5), ""), ""))</f>
        <v/>
      </c>
      <c r="G448" s="28">
        <f>IFERROR(VLOOKUP(B448,'SAÍDA DE VENDAS'!$B$6:$P$500,10,FALSE),"")</f>
        <v>0</v>
      </c>
      <c r="H448" s="28" t="str">
        <f>IF(OR(ISBLANK(B448),B448=""), "", IF(B448=B447, (VALUE(LEFT(H447,FIND("/",H447)-1))+1)&amp;"/"&amp;RIGHT(H447,LEN(H447)-FIND("/",H447)), "1/"&amp;IFERROR(VLOOKUP(B448,'SAÍDA DE VENDAS'!$B$6:$P$500,13,FALSE),"1")))</f>
        <v/>
      </c>
      <c r="I448" s="69" t="str">
        <f t="shared" si="12"/>
        <v/>
      </c>
      <c r="J448" s="33" t="str">
        <f>IFERROR(VLOOKUP(B448,'SAÍDA DE VENDAS'!$B$6:$P$500,15,FALSE),"")</f>
        <v/>
      </c>
      <c r="K448" s="28" t="str">
        <f t="shared" ca="1" si="13"/>
        <v/>
      </c>
      <c r="L448" s="28"/>
      <c r="M448" s="28"/>
    </row>
    <row r="449" spans="2:13" ht="15" customHeight="1" x14ac:dyDescent="0.3">
      <c r="B449" s="34" t="str">
        <f>IF(B448="","", IF(VALUE(LEFT(H448,FIND("/",H448)-1)) &lt; VALUE(RIGHT(H448,LEN(H448)-FIND("/",H448))), B448, IFERROR(INDEX('SAÍDA DE VENDAS'!$B$6:$B$500, MATCH(B448,'SAÍDA DE VENDAS'!$B$6:$B$500,0)+COUNTIF('SAÍDA DE VENDAS'!$B$6:$B$500, B448)),"")))</f>
        <v/>
      </c>
      <c r="C449" s="35">
        <f>IFERROR(VLOOKUP(B449,'SAÍDA DE VENDAS'!$B$6:$P$500,3,FALSE),"")</f>
        <v>0</v>
      </c>
      <c r="D449" s="34">
        <f>IFERROR(VLOOKUP(B449,'SAÍDA DE VENDAS'!$B$6:$P$500,4,FALSE),"")</f>
        <v>0</v>
      </c>
      <c r="E449" s="34" t="str">
        <f>IFERROR(VLOOKUP(B449,'SAÍDA DE VENDAS'!$B$6:$P$500,5,FALSE),"")</f>
        <v/>
      </c>
      <c r="F449" s="34" t="str">
        <f>IF(OR(ISBLANK(B449),B449=""), "", IFERROR(INDEX('SAÍDA DE VENDAS'!$H$6:$H$500 &amp; "x " &amp; 'SAÍDA DE VENDAS'!$G$6:$G$500, MATCH(B449, 'SAÍDA DE VENDAS'!$B$6:$B$500, 0)), "")&amp; IF(COUNTIF('SAÍDA DE VENDAS'!$B$6:$B$500, B449)&gt;1, " + " &amp; IFERROR(INDEX('SAÍDA DE VENDAS'!$H$6:$H$500 &amp; "x " &amp; 'SAÍDA DE VENDAS'!$G$6:$G$500, MATCH(B449, 'SAÍDA DE VENDAS'!$B$6:$B$500, 0)+1), ""), "")&amp; IF(COUNTIF('SAÍDA DE VENDAS'!$B$6:$B$500, B449)&gt;2, " + " &amp; IFERROR(INDEX('SAÍDA DE VENDAS'!$H$6:$H$500 &amp; "x " &amp; 'SAÍDA DE VENDAS'!$G$6:$G$500, MATCH(B449, 'SAÍDA DE VENDAS'!$B$6:$B$500, 0)+2), ""), "")&amp; IF(COUNTIF('SAÍDA DE VENDAS'!$B$6:$B$500, B449)&gt;3, " + " &amp; IFERROR(INDEX('SAÍDA DE VENDAS'!$H$6:$H$500 &amp; "x " &amp; 'SAÍDA DE VENDAS'!$G$6:$G$500, MATCH(B449, 'SAÍDA DE VENDAS'!$B$6:$B$500, 0)+3), ""), "")&amp; IF(COUNTIF('SAÍDA DE VENDAS'!$B$6:$B$500, B449)&gt;4, " + " &amp; IFERROR(INDEX('SAÍDA DE VENDAS'!$H$6:$H$500 &amp; "x " &amp; 'SAÍDA DE VENDAS'!$G$6:$G$500, MATCH(B449, 'SAÍDA DE VENDAS'!$B$6:$B$500, 0)+4), ""), "")&amp; IF(COUNTIF('SAÍDA DE VENDAS'!$B$6:$B$500, B449)&gt;5, " + " &amp; IFERROR(INDEX('SAÍDA DE VENDAS'!$H$6:$H$500 &amp; "x " &amp; 'SAÍDA DE VENDAS'!$G$6:$G$500, MATCH(B449, 'SAÍDA DE VENDAS'!$B$6:$B$500, 0)+5), ""), ""))</f>
        <v/>
      </c>
      <c r="G449" s="34">
        <f>IFERROR(VLOOKUP(B449,'SAÍDA DE VENDAS'!$B$6:$P$500,10,FALSE),"")</f>
        <v>0</v>
      </c>
      <c r="H449" s="34" t="str">
        <f>IF(OR(ISBLANK(B449),B449=""), "", IF(B449=B448, (VALUE(LEFT(H448,FIND("/",H448)-1))+1)&amp;"/"&amp;RIGHT(H448,LEN(H448)-FIND("/",H448)), "1/"&amp;IFERROR(VLOOKUP(B449,'SAÍDA DE VENDAS'!$B$6:$P$500,13,FALSE),"1")))</f>
        <v/>
      </c>
      <c r="I449" s="35" t="str">
        <f t="shared" si="12"/>
        <v/>
      </c>
      <c r="J449" s="39" t="str">
        <f>IFERROR(VLOOKUP(B449,'SAÍDA DE VENDAS'!$B$6:$P$500,15,FALSE),"")</f>
        <v/>
      </c>
      <c r="K449" s="34" t="str">
        <f t="shared" ca="1" si="13"/>
        <v/>
      </c>
      <c r="L449" s="34"/>
      <c r="M449" s="34"/>
    </row>
    <row r="450" spans="2:13" ht="15" customHeight="1" x14ac:dyDescent="0.3">
      <c r="B450" s="28" t="str">
        <f>IF(B449="","", IF(VALUE(LEFT(H449,FIND("/",H449)-1)) &lt; VALUE(RIGHT(H449,LEN(H449)-FIND("/",H449))), B449, IFERROR(INDEX('SAÍDA DE VENDAS'!$B$6:$B$500, MATCH(B449,'SAÍDA DE VENDAS'!$B$6:$B$500,0)+COUNTIF('SAÍDA DE VENDAS'!$B$6:$B$500, B449)),"")))</f>
        <v/>
      </c>
      <c r="C450" s="29">
        <f>IFERROR(VLOOKUP(B450,'SAÍDA DE VENDAS'!$B$6:$P$500,3,FALSE),"")</f>
        <v>0</v>
      </c>
      <c r="D450" s="28">
        <f>IFERROR(VLOOKUP(B450,'SAÍDA DE VENDAS'!$B$6:$P$500,4,FALSE),"")</f>
        <v>0</v>
      </c>
      <c r="E450" s="28" t="str">
        <f>IFERROR(VLOOKUP(B450,'SAÍDA DE VENDAS'!$B$6:$P$500,5,FALSE),"")</f>
        <v/>
      </c>
      <c r="F450" s="28" t="str">
        <f>IF(OR(ISBLANK(B450),B450=""), "", IFERROR(INDEX('SAÍDA DE VENDAS'!$H$6:$H$500 &amp; "x " &amp; 'SAÍDA DE VENDAS'!$G$6:$G$500, MATCH(B450, 'SAÍDA DE VENDAS'!$B$6:$B$500, 0)), "")&amp; IF(COUNTIF('SAÍDA DE VENDAS'!$B$6:$B$500, B450)&gt;1, " + " &amp; IFERROR(INDEX('SAÍDA DE VENDAS'!$H$6:$H$500 &amp; "x " &amp; 'SAÍDA DE VENDAS'!$G$6:$G$500, MATCH(B450, 'SAÍDA DE VENDAS'!$B$6:$B$500, 0)+1), ""), "")&amp; IF(COUNTIF('SAÍDA DE VENDAS'!$B$6:$B$500, B450)&gt;2, " + " &amp; IFERROR(INDEX('SAÍDA DE VENDAS'!$H$6:$H$500 &amp; "x " &amp; 'SAÍDA DE VENDAS'!$G$6:$G$500, MATCH(B450, 'SAÍDA DE VENDAS'!$B$6:$B$500, 0)+2), ""), "")&amp; IF(COUNTIF('SAÍDA DE VENDAS'!$B$6:$B$500, B450)&gt;3, " + " &amp; IFERROR(INDEX('SAÍDA DE VENDAS'!$H$6:$H$500 &amp; "x " &amp; 'SAÍDA DE VENDAS'!$G$6:$G$500, MATCH(B450, 'SAÍDA DE VENDAS'!$B$6:$B$500, 0)+3), ""), "")&amp; IF(COUNTIF('SAÍDA DE VENDAS'!$B$6:$B$500, B450)&gt;4, " + " &amp; IFERROR(INDEX('SAÍDA DE VENDAS'!$H$6:$H$500 &amp; "x " &amp; 'SAÍDA DE VENDAS'!$G$6:$G$500, MATCH(B450, 'SAÍDA DE VENDAS'!$B$6:$B$500, 0)+4), ""), "")&amp; IF(COUNTIF('SAÍDA DE VENDAS'!$B$6:$B$500, B450)&gt;5, " + " &amp; IFERROR(INDEX('SAÍDA DE VENDAS'!$H$6:$H$500 &amp; "x " &amp; 'SAÍDA DE VENDAS'!$G$6:$G$500, MATCH(B450, 'SAÍDA DE VENDAS'!$B$6:$B$500, 0)+5), ""), ""))</f>
        <v/>
      </c>
      <c r="G450" s="28">
        <f>IFERROR(VLOOKUP(B450,'SAÍDA DE VENDAS'!$B$6:$P$500,10,FALSE),"")</f>
        <v>0</v>
      </c>
      <c r="H450" s="28" t="str">
        <f>IF(OR(ISBLANK(B450),B450=""), "", IF(B450=B449, (VALUE(LEFT(H449,FIND("/",H449)-1))+1)&amp;"/"&amp;RIGHT(H449,LEN(H449)-FIND("/",H449)), "1/"&amp;IFERROR(VLOOKUP(B450,'SAÍDA DE VENDAS'!$B$6:$P$500,13,FALSE),"1")))</f>
        <v/>
      </c>
      <c r="I450" s="69" t="str">
        <f t="shared" si="12"/>
        <v/>
      </c>
      <c r="J450" s="33" t="str">
        <f>IFERROR(VLOOKUP(B450,'SAÍDA DE VENDAS'!$B$6:$P$500,15,FALSE),"")</f>
        <v/>
      </c>
      <c r="K450" s="28" t="str">
        <f t="shared" ca="1" si="13"/>
        <v/>
      </c>
      <c r="L450" s="28"/>
      <c r="M450" s="28"/>
    </row>
    <row r="451" spans="2:13" ht="15" customHeight="1" x14ac:dyDescent="0.3">
      <c r="B451" s="34" t="str">
        <f>IF(B450="","", IF(VALUE(LEFT(H450,FIND("/",H450)-1)) &lt; VALUE(RIGHT(H450,LEN(H450)-FIND("/",H450))), B450, IFERROR(INDEX('SAÍDA DE VENDAS'!$B$6:$B$500, MATCH(B450,'SAÍDA DE VENDAS'!$B$6:$B$500,0)+COUNTIF('SAÍDA DE VENDAS'!$B$6:$B$500, B450)),"")))</f>
        <v/>
      </c>
      <c r="C451" s="35">
        <f>IFERROR(VLOOKUP(B451,'SAÍDA DE VENDAS'!$B$6:$P$500,3,FALSE),"")</f>
        <v>0</v>
      </c>
      <c r="D451" s="34">
        <f>IFERROR(VLOOKUP(B451,'SAÍDA DE VENDAS'!$B$6:$P$500,4,FALSE),"")</f>
        <v>0</v>
      </c>
      <c r="E451" s="34" t="str">
        <f>IFERROR(VLOOKUP(B451,'SAÍDA DE VENDAS'!$B$6:$P$500,5,FALSE),"")</f>
        <v/>
      </c>
      <c r="F451" s="34" t="str">
        <f>IF(OR(ISBLANK(B451),B451=""), "", IFERROR(INDEX('SAÍDA DE VENDAS'!$H$6:$H$500 &amp; "x " &amp; 'SAÍDA DE VENDAS'!$G$6:$G$500, MATCH(B451, 'SAÍDA DE VENDAS'!$B$6:$B$500, 0)), "")&amp; IF(COUNTIF('SAÍDA DE VENDAS'!$B$6:$B$500, B451)&gt;1, " + " &amp; IFERROR(INDEX('SAÍDA DE VENDAS'!$H$6:$H$500 &amp; "x " &amp; 'SAÍDA DE VENDAS'!$G$6:$G$500, MATCH(B451, 'SAÍDA DE VENDAS'!$B$6:$B$500, 0)+1), ""), "")&amp; IF(COUNTIF('SAÍDA DE VENDAS'!$B$6:$B$500, B451)&gt;2, " + " &amp; IFERROR(INDEX('SAÍDA DE VENDAS'!$H$6:$H$500 &amp; "x " &amp; 'SAÍDA DE VENDAS'!$G$6:$G$500, MATCH(B451, 'SAÍDA DE VENDAS'!$B$6:$B$500, 0)+2), ""), "")&amp; IF(COUNTIF('SAÍDA DE VENDAS'!$B$6:$B$500, B451)&gt;3, " + " &amp; IFERROR(INDEX('SAÍDA DE VENDAS'!$H$6:$H$500 &amp; "x " &amp; 'SAÍDA DE VENDAS'!$G$6:$G$500, MATCH(B451, 'SAÍDA DE VENDAS'!$B$6:$B$500, 0)+3), ""), "")&amp; IF(COUNTIF('SAÍDA DE VENDAS'!$B$6:$B$500, B451)&gt;4, " + " &amp; IFERROR(INDEX('SAÍDA DE VENDAS'!$H$6:$H$500 &amp; "x " &amp; 'SAÍDA DE VENDAS'!$G$6:$G$500, MATCH(B451, 'SAÍDA DE VENDAS'!$B$6:$B$500, 0)+4), ""), "")&amp; IF(COUNTIF('SAÍDA DE VENDAS'!$B$6:$B$500, B451)&gt;5, " + " &amp; IFERROR(INDEX('SAÍDA DE VENDAS'!$H$6:$H$500 &amp; "x " &amp; 'SAÍDA DE VENDAS'!$G$6:$G$500, MATCH(B451, 'SAÍDA DE VENDAS'!$B$6:$B$500, 0)+5), ""), ""))</f>
        <v/>
      </c>
      <c r="G451" s="34">
        <f>IFERROR(VLOOKUP(B451,'SAÍDA DE VENDAS'!$B$6:$P$500,10,FALSE),"")</f>
        <v>0</v>
      </c>
      <c r="H451" s="34" t="str">
        <f>IF(OR(ISBLANK(B451),B451=""), "", IF(B451=B450, (VALUE(LEFT(H450,FIND("/",H450)-1))+1)&amp;"/"&amp;RIGHT(H450,LEN(H450)-FIND("/",H450)), "1/"&amp;IFERROR(VLOOKUP(B451,'SAÍDA DE VENDAS'!$B$6:$P$500,13,FALSE),"1")))</f>
        <v/>
      </c>
      <c r="I451" s="35" t="str">
        <f t="shared" si="12"/>
        <v/>
      </c>
      <c r="J451" s="39" t="str">
        <f>IFERROR(VLOOKUP(B451,'SAÍDA DE VENDAS'!$B$6:$P$500,15,FALSE),"")</f>
        <v/>
      </c>
      <c r="K451" s="34" t="str">
        <f t="shared" ca="1" si="13"/>
        <v/>
      </c>
      <c r="L451" s="34"/>
      <c r="M451" s="34"/>
    </row>
    <row r="452" spans="2:13" ht="15" customHeight="1" x14ac:dyDescent="0.3">
      <c r="B452" s="28" t="str">
        <f>IF(B451="","", IF(VALUE(LEFT(H451,FIND("/",H451)-1)) &lt; VALUE(RIGHT(H451,LEN(H451)-FIND("/",H451))), B451, IFERROR(INDEX('SAÍDA DE VENDAS'!$B$6:$B$500, MATCH(B451,'SAÍDA DE VENDAS'!$B$6:$B$500,0)+COUNTIF('SAÍDA DE VENDAS'!$B$6:$B$500, B451)),"")))</f>
        <v/>
      </c>
      <c r="C452" s="29">
        <f>IFERROR(VLOOKUP(B452,'SAÍDA DE VENDAS'!$B$6:$P$500,3,FALSE),"")</f>
        <v>0</v>
      </c>
      <c r="D452" s="28">
        <f>IFERROR(VLOOKUP(B452,'SAÍDA DE VENDAS'!$B$6:$P$500,4,FALSE),"")</f>
        <v>0</v>
      </c>
      <c r="E452" s="28" t="str">
        <f>IFERROR(VLOOKUP(B452,'SAÍDA DE VENDAS'!$B$6:$P$500,5,FALSE),"")</f>
        <v/>
      </c>
      <c r="F452" s="28" t="str">
        <f>IF(OR(ISBLANK(B452),B452=""), "", IFERROR(INDEX('SAÍDA DE VENDAS'!$H$6:$H$500 &amp; "x " &amp; 'SAÍDA DE VENDAS'!$G$6:$G$500, MATCH(B452, 'SAÍDA DE VENDAS'!$B$6:$B$500, 0)), "")&amp; IF(COUNTIF('SAÍDA DE VENDAS'!$B$6:$B$500, B452)&gt;1, " + " &amp; IFERROR(INDEX('SAÍDA DE VENDAS'!$H$6:$H$500 &amp; "x " &amp; 'SAÍDA DE VENDAS'!$G$6:$G$500, MATCH(B452, 'SAÍDA DE VENDAS'!$B$6:$B$500, 0)+1), ""), "")&amp; IF(COUNTIF('SAÍDA DE VENDAS'!$B$6:$B$500, B452)&gt;2, " + " &amp; IFERROR(INDEX('SAÍDA DE VENDAS'!$H$6:$H$500 &amp; "x " &amp; 'SAÍDA DE VENDAS'!$G$6:$G$500, MATCH(B452, 'SAÍDA DE VENDAS'!$B$6:$B$500, 0)+2), ""), "")&amp; IF(COUNTIF('SAÍDA DE VENDAS'!$B$6:$B$500, B452)&gt;3, " + " &amp; IFERROR(INDEX('SAÍDA DE VENDAS'!$H$6:$H$500 &amp; "x " &amp; 'SAÍDA DE VENDAS'!$G$6:$G$500, MATCH(B452, 'SAÍDA DE VENDAS'!$B$6:$B$500, 0)+3), ""), "")&amp; IF(COUNTIF('SAÍDA DE VENDAS'!$B$6:$B$500, B452)&gt;4, " + " &amp; IFERROR(INDEX('SAÍDA DE VENDAS'!$H$6:$H$500 &amp; "x " &amp; 'SAÍDA DE VENDAS'!$G$6:$G$500, MATCH(B452, 'SAÍDA DE VENDAS'!$B$6:$B$500, 0)+4), ""), "")&amp; IF(COUNTIF('SAÍDA DE VENDAS'!$B$6:$B$500, B452)&gt;5, " + " &amp; IFERROR(INDEX('SAÍDA DE VENDAS'!$H$6:$H$500 &amp; "x " &amp; 'SAÍDA DE VENDAS'!$G$6:$G$500, MATCH(B452, 'SAÍDA DE VENDAS'!$B$6:$B$500, 0)+5), ""), ""))</f>
        <v/>
      </c>
      <c r="G452" s="28">
        <f>IFERROR(VLOOKUP(B452,'SAÍDA DE VENDAS'!$B$6:$P$500,10,FALSE),"")</f>
        <v>0</v>
      </c>
      <c r="H452" s="28" t="str">
        <f>IF(OR(ISBLANK(B452),B452=""), "", IF(B452=B451, (VALUE(LEFT(H451,FIND("/",H451)-1))+1)&amp;"/"&amp;RIGHT(H451,LEN(H451)-FIND("/",H451)), "1/"&amp;IFERROR(VLOOKUP(B452,'SAÍDA DE VENDAS'!$B$6:$P$500,13,FALSE),"1")))</f>
        <v/>
      </c>
      <c r="I452" s="69" t="str">
        <f t="shared" si="12"/>
        <v/>
      </c>
      <c r="J452" s="33" t="str">
        <f>IFERROR(VLOOKUP(B452,'SAÍDA DE VENDAS'!$B$6:$P$500,15,FALSE),"")</f>
        <v/>
      </c>
      <c r="K452" s="28" t="str">
        <f t="shared" ca="1" si="13"/>
        <v/>
      </c>
      <c r="L452" s="28"/>
      <c r="M452" s="28"/>
    </row>
    <row r="453" spans="2:13" ht="15" customHeight="1" x14ac:dyDescent="0.3">
      <c r="B453" s="34" t="str">
        <f>IF(B452="","", IF(VALUE(LEFT(H452,FIND("/",H452)-1)) &lt; VALUE(RIGHT(H452,LEN(H452)-FIND("/",H452))), B452, IFERROR(INDEX('SAÍDA DE VENDAS'!$B$6:$B$500, MATCH(B452,'SAÍDA DE VENDAS'!$B$6:$B$500,0)+COUNTIF('SAÍDA DE VENDAS'!$B$6:$B$500, B452)),"")))</f>
        <v/>
      </c>
      <c r="C453" s="35">
        <f>IFERROR(VLOOKUP(B453,'SAÍDA DE VENDAS'!$B$6:$P$500,3,FALSE),"")</f>
        <v>0</v>
      </c>
      <c r="D453" s="34">
        <f>IFERROR(VLOOKUP(B453,'SAÍDA DE VENDAS'!$B$6:$P$500,4,FALSE),"")</f>
        <v>0</v>
      </c>
      <c r="E453" s="34" t="str">
        <f>IFERROR(VLOOKUP(B453,'SAÍDA DE VENDAS'!$B$6:$P$500,5,FALSE),"")</f>
        <v/>
      </c>
      <c r="F453" s="34" t="str">
        <f>IF(OR(ISBLANK(B453),B453=""), "", IFERROR(INDEX('SAÍDA DE VENDAS'!$H$6:$H$500 &amp; "x " &amp; 'SAÍDA DE VENDAS'!$G$6:$G$500, MATCH(B453, 'SAÍDA DE VENDAS'!$B$6:$B$500, 0)), "")&amp; IF(COUNTIF('SAÍDA DE VENDAS'!$B$6:$B$500, B453)&gt;1, " + " &amp; IFERROR(INDEX('SAÍDA DE VENDAS'!$H$6:$H$500 &amp; "x " &amp; 'SAÍDA DE VENDAS'!$G$6:$G$500, MATCH(B453, 'SAÍDA DE VENDAS'!$B$6:$B$500, 0)+1), ""), "")&amp; IF(COUNTIF('SAÍDA DE VENDAS'!$B$6:$B$500, B453)&gt;2, " + " &amp; IFERROR(INDEX('SAÍDA DE VENDAS'!$H$6:$H$500 &amp; "x " &amp; 'SAÍDA DE VENDAS'!$G$6:$G$500, MATCH(B453, 'SAÍDA DE VENDAS'!$B$6:$B$500, 0)+2), ""), "")&amp; IF(COUNTIF('SAÍDA DE VENDAS'!$B$6:$B$500, B453)&gt;3, " + " &amp; IFERROR(INDEX('SAÍDA DE VENDAS'!$H$6:$H$500 &amp; "x " &amp; 'SAÍDA DE VENDAS'!$G$6:$G$500, MATCH(B453, 'SAÍDA DE VENDAS'!$B$6:$B$500, 0)+3), ""), "")&amp; IF(COUNTIF('SAÍDA DE VENDAS'!$B$6:$B$500, B453)&gt;4, " + " &amp; IFERROR(INDEX('SAÍDA DE VENDAS'!$H$6:$H$500 &amp; "x " &amp; 'SAÍDA DE VENDAS'!$G$6:$G$500, MATCH(B453, 'SAÍDA DE VENDAS'!$B$6:$B$500, 0)+4), ""), "")&amp; IF(COUNTIF('SAÍDA DE VENDAS'!$B$6:$B$500, B453)&gt;5, " + " &amp; IFERROR(INDEX('SAÍDA DE VENDAS'!$H$6:$H$500 &amp; "x " &amp; 'SAÍDA DE VENDAS'!$G$6:$G$500, MATCH(B453, 'SAÍDA DE VENDAS'!$B$6:$B$500, 0)+5), ""), ""))</f>
        <v/>
      </c>
      <c r="G453" s="34">
        <f>IFERROR(VLOOKUP(B453,'SAÍDA DE VENDAS'!$B$6:$P$500,10,FALSE),"")</f>
        <v>0</v>
      </c>
      <c r="H453" s="34" t="str">
        <f>IF(OR(ISBLANK(B453),B453=""), "", IF(B453=B452, (VALUE(LEFT(H452,FIND("/",H452)-1))+1)&amp;"/"&amp;RIGHT(H452,LEN(H452)-FIND("/",H452)), "1/"&amp;IFERROR(VLOOKUP(B453,'SAÍDA DE VENDAS'!$B$6:$P$500,13,FALSE),"1")))</f>
        <v/>
      </c>
      <c r="I453" s="35" t="str">
        <f t="shared" si="12"/>
        <v/>
      </c>
      <c r="J453" s="39" t="str">
        <f>IFERROR(VLOOKUP(B453,'SAÍDA DE VENDAS'!$B$6:$P$500,15,FALSE),"")</f>
        <v/>
      </c>
      <c r="K453" s="34" t="str">
        <f t="shared" ca="1" si="13"/>
        <v/>
      </c>
      <c r="L453" s="34"/>
      <c r="M453" s="34"/>
    </row>
    <row r="454" spans="2:13" ht="15" customHeight="1" x14ac:dyDescent="0.3">
      <c r="B454" s="28" t="str">
        <f>IF(B453="","", IF(VALUE(LEFT(H453,FIND("/",H453)-1)) &lt; VALUE(RIGHT(H453,LEN(H453)-FIND("/",H453))), B453, IFERROR(INDEX('SAÍDA DE VENDAS'!$B$6:$B$500, MATCH(B453,'SAÍDA DE VENDAS'!$B$6:$B$500,0)+COUNTIF('SAÍDA DE VENDAS'!$B$6:$B$500, B453)),"")))</f>
        <v/>
      </c>
      <c r="C454" s="29">
        <f>IFERROR(VLOOKUP(B454,'SAÍDA DE VENDAS'!$B$6:$P$500,3,FALSE),"")</f>
        <v>0</v>
      </c>
      <c r="D454" s="28">
        <f>IFERROR(VLOOKUP(B454,'SAÍDA DE VENDAS'!$B$6:$P$500,4,FALSE),"")</f>
        <v>0</v>
      </c>
      <c r="E454" s="28" t="str">
        <f>IFERROR(VLOOKUP(B454,'SAÍDA DE VENDAS'!$B$6:$P$500,5,FALSE),"")</f>
        <v/>
      </c>
      <c r="F454" s="28" t="str">
        <f>IF(OR(ISBLANK(B454),B454=""), "", IFERROR(INDEX('SAÍDA DE VENDAS'!$H$6:$H$500 &amp; "x " &amp; 'SAÍDA DE VENDAS'!$G$6:$G$500, MATCH(B454, 'SAÍDA DE VENDAS'!$B$6:$B$500, 0)), "")&amp; IF(COUNTIF('SAÍDA DE VENDAS'!$B$6:$B$500, B454)&gt;1, " + " &amp; IFERROR(INDEX('SAÍDA DE VENDAS'!$H$6:$H$500 &amp; "x " &amp; 'SAÍDA DE VENDAS'!$G$6:$G$500, MATCH(B454, 'SAÍDA DE VENDAS'!$B$6:$B$500, 0)+1), ""), "")&amp; IF(COUNTIF('SAÍDA DE VENDAS'!$B$6:$B$500, B454)&gt;2, " + " &amp; IFERROR(INDEX('SAÍDA DE VENDAS'!$H$6:$H$500 &amp; "x " &amp; 'SAÍDA DE VENDAS'!$G$6:$G$500, MATCH(B454, 'SAÍDA DE VENDAS'!$B$6:$B$500, 0)+2), ""), "")&amp; IF(COUNTIF('SAÍDA DE VENDAS'!$B$6:$B$500, B454)&gt;3, " + " &amp; IFERROR(INDEX('SAÍDA DE VENDAS'!$H$6:$H$500 &amp; "x " &amp; 'SAÍDA DE VENDAS'!$G$6:$G$500, MATCH(B454, 'SAÍDA DE VENDAS'!$B$6:$B$500, 0)+3), ""), "")&amp; IF(COUNTIF('SAÍDA DE VENDAS'!$B$6:$B$500, B454)&gt;4, " + " &amp; IFERROR(INDEX('SAÍDA DE VENDAS'!$H$6:$H$500 &amp; "x " &amp; 'SAÍDA DE VENDAS'!$G$6:$G$500, MATCH(B454, 'SAÍDA DE VENDAS'!$B$6:$B$500, 0)+4), ""), "")&amp; IF(COUNTIF('SAÍDA DE VENDAS'!$B$6:$B$500, B454)&gt;5, " + " &amp; IFERROR(INDEX('SAÍDA DE VENDAS'!$H$6:$H$500 &amp; "x " &amp; 'SAÍDA DE VENDAS'!$G$6:$G$500, MATCH(B454, 'SAÍDA DE VENDAS'!$B$6:$B$500, 0)+5), ""), ""))</f>
        <v/>
      </c>
      <c r="G454" s="28">
        <f>IFERROR(VLOOKUP(B454,'SAÍDA DE VENDAS'!$B$6:$P$500,10,FALSE),"")</f>
        <v>0</v>
      </c>
      <c r="H454" s="28" t="str">
        <f>IF(OR(ISBLANK(B454),B454=""), "", IF(B454=B453, (VALUE(LEFT(H453,FIND("/",H453)-1))+1)&amp;"/"&amp;RIGHT(H453,LEN(H453)-FIND("/",H453)), "1/"&amp;IFERROR(VLOOKUP(B454,'SAÍDA DE VENDAS'!$B$6:$P$500,13,FALSE),"1")))</f>
        <v/>
      </c>
      <c r="I454" s="69" t="str">
        <f t="shared" ref="I454:I517" si="14">IF(OR(ISBLANK(B454), B454="", C454=""), "", C454 + (IFERROR(VALUE(LEFT(H454, FIND("/", H454)-1)), 1) * 30))</f>
        <v/>
      </c>
      <c r="J454" s="33" t="str">
        <f>IFERROR(VLOOKUP(B454,'SAÍDA DE VENDAS'!$B$6:$P$500,15,FALSE),"")</f>
        <v/>
      </c>
      <c r="K454" s="28" t="str">
        <f t="shared" ref="K454:K517" ca="1" si="15">IF(B454="","", IF(OR(G454="À Vista", L454&lt;&gt;""), "Pago", IF(AND(I454&lt;&gt;"", I454&lt;TODAY()), "Atrasado", "Pendente")))</f>
        <v/>
      </c>
      <c r="L454" s="28"/>
      <c r="M454" s="28"/>
    </row>
    <row r="455" spans="2:13" ht="15" customHeight="1" x14ac:dyDescent="0.3">
      <c r="B455" s="34" t="str">
        <f>IF(B454="","", IF(VALUE(LEFT(H454,FIND("/",H454)-1)) &lt; VALUE(RIGHT(H454,LEN(H454)-FIND("/",H454))), B454, IFERROR(INDEX('SAÍDA DE VENDAS'!$B$6:$B$500, MATCH(B454,'SAÍDA DE VENDAS'!$B$6:$B$500,0)+COUNTIF('SAÍDA DE VENDAS'!$B$6:$B$500, B454)),"")))</f>
        <v/>
      </c>
      <c r="C455" s="35">
        <f>IFERROR(VLOOKUP(B455,'SAÍDA DE VENDAS'!$B$6:$P$500,3,FALSE),"")</f>
        <v>0</v>
      </c>
      <c r="D455" s="34">
        <f>IFERROR(VLOOKUP(B455,'SAÍDA DE VENDAS'!$B$6:$P$500,4,FALSE),"")</f>
        <v>0</v>
      </c>
      <c r="E455" s="34" t="str">
        <f>IFERROR(VLOOKUP(B455,'SAÍDA DE VENDAS'!$B$6:$P$500,5,FALSE),"")</f>
        <v/>
      </c>
      <c r="F455" s="34" t="str">
        <f>IF(OR(ISBLANK(B455),B455=""), "", IFERROR(INDEX('SAÍDA DE VENDAS'!$H$6:$H$500 &amp; "x " &amp; 'SAÍDA DE VENDAS'!$G$6:$G$500, MATCH(B455, 'SAÍDA DE VENDAS'!$B$6:$B$500, 0)), "")&amp; IF(COUNTIF('SAÍDA DE VENDAS'!$B$6:$B$500, B455)&gt;1, " + " &amp; IFERROR(INDEX('SAÍDA DE VENDAS'!$H$6:$H$500 &amp; "x " &amp; 'SAÍDA DE VENDAS'!$G$6:$G$500, MATCH(B455, 'SAÍDA DE VENDAS'!$B$6:$B$500, 0)+1), ""), "")&amp; IF(COUNTIF('SAÍDA DE VENDAS'!$B$6:$B$500, B455)&gt;2, " + " &amp; IFERROR(INDEX('SAÍDA DE VENDAS'!$H$6:$H$500 &amp; "x " &amp; 'SAÍDA DE VENDAS'!$G$6:$G$500, MATCH(B455, 'SAÍDA DE VENDAS'!$B$6:$B$500, 0)+2), ""), "")&amp; IF(COUNTIF('SAÍDA DE VENDAS'!$B$6:$B$500, B455)&gt;3, " + " &amp; IFERROR(INDEX('SAÍDA DE VENDAS'!$H$6:$H$500 &amp; "x " &amp; 'SAÍDA DE VENDAS'!$G$6:$G$500, MATCH(B455, 'SAÍDA DE VENDAS'!$B$6:$B$500, 0)+3), ""), "")&amp; IF(COUNTIF('SAÍDA DE VENDAS'!$B$6:$B$500, B455)&gt;4, " + " &amp; IFERROR(INDEX('SAÍDA DE VENDAS'!$H$6:$H$500 &amp; "x " &amp; 'SAÍDA DE VENDAS'!$G$6:$G$500, MATCH(B455, 'SAÍDA DE VENDAS'!$B$6:$B$500, 0)+4), ""), "")&amp; IF(COUNTIF('SAÍDA DE VENDAS'!$B$6:$B$500, B455)&gt;5, " + " &amp; IFERROR(INDEX('SAÍDA DE VENDAS'!$H$6:$H$500 &amp; "x " &amp; 'SAÍDA DE VENDAS'!$G$6:$G$500, MATCH(B455, 'SAÍDA DE VENDAS'!$B$6:$B$500, 0)+5), ""), ""))</f>
        <v/>
      </c>
      <c r="G455" s="34">
        <f>IFERROR(VLOOKUP(B455,'SAÍDA DE VENDAS'!$B$6:$P$500,10,FALSE),"")</f>
        <v>0</v>
      </c>
      <c r="H455" s="34" t="str">
        <f>IF(OR(ISBLANK(B455),B455=""), "", IF(B455=B454, (VALUE(LEFT(H454,FIND("/",H454)-1))+1)&amp;"/"&amp;RIGHT(H454,LEN(H454)-FIND("/",H454)), "1/"&amp;IFERROR(VLOOKUP(B455,'SAÍDA DE VENDAS'!$B$6:$P$500,13,FALSE),"1")))</f>
        <v/>
      </c>
      <c r="I455" s="35" t="str">
        <f t="shared" si="14"/>
        <v/>
      </c>
      <c r="J455" s="39" t="str">
        <f>IFERROR(VLOOKUP(B455,'SAÍDA DE VENDAS'!$B$6:$P$500,15,FALSE),"")</f>
        <v/>
      </c>
      <c r="K455" s="34" t="str">
        <f t="shared" ca="1" si="15"/>
        <v/>
      </c>
      <c r="L455" s="34"/>
      <c r="M455" s="34"/>
    </row>
    <row r="456" spans="2:13" ht="15" customHeight="1" x14ac:dyDescent="0.3">
      <c r="B456" s="28" t="str">
        <f>IF(B455="","", IF(VALUE(LEFT(H455,FIND("/",H455)-1)) &lt; VALUE(RIGHT(H455,LEN(H455)-FIND("/",H455))), B455, IFERROR(INDEX('SAÍDA DE VENDAS'!$B$6:$B$500, MATCH(B455,'SAÍDA DE VENDAS'!$B$6:$B$500,0)+COUNTIF('SAÍDA DE VENDAS'!$B$6:$B$500, B455)),"")))</f>
        <v/>
      </c>
      <c r="C456" s="29">
        <f>IFERROR(VLOOKUP(B456,'SAÍDA DE VENDAS'!$B$6:$P$500,3,FALSE),"")</f>
        <v>0</v>
      </c>
      <c r="D456" s="28">
        <f>IFERROR(VLOOKUP(B456,'SAÍDA DE VENDAS'!$B$6:$P$500,4,FALSE),"")</f>
        <v>0</v>
      </c>
      <c r="E456" s="28" t="str">
        <f>IFERROR(VLOOKUP(B456,'SAÍDA DE VENDAS'!$B$6:$P$500,5,FALSE),"")</f>
        <v/>
      </c>
      <c r="F456" s="28" t="str">
        <f>IF(OR(ISBLANK(B456),B456=""), "", IFERROR(INDEX('SAÍDA DE VENDAS'!$H$6:$H$500 &amp; "x " &amp; 'SAÍDA DE VENDAS'!$G$6:$G$500, MATCH(B456, 'SAÍDA DE VENDAS'!$B$6:$B$500, 0)), "")&amp; IF(COUNTIF('SAÍDA DE VENDAS'!$B$6:$B$500, B456)&gt;1, " + " &amp; IFERROR(INDEX('SAÍDA DE VENDAS'!$H$6:$H$500 &amp; "x " &amp; 'SAÍDA DE VENDAS'!$G$6:$G$500, MATCH(B456, 'SAÍDA DE VENDAS'!$B$6:$B$500, 0)+1), ""), "")&amp; IF(COUNTIF('SAÍDA DE VENDAS'!$B$6:$B$500, B456)&gt;2, " + " &amp; IFERROR(INDEX('SAÍDA DE VENDAS'!$H$6:$H$500 &amp; "x " &amp; 'SAÍDA DE VENDAS'!$G$6:$G$500, MATCH(B456, 'SAÍDA DE VENDAS'!$B$6:$B$500, 0)+2), ""), "")&amp; IF(COUNTIF('SAÍDA DE VENDAS'!$B$6:$B$500, B456)&gt;3, " + " &amp; IFERROR(INDEX('SAÍDA DE VENDAS'!$H$6:$H$500 &amp; "x " &amp; 'SAÍDA DE VENDAS'!$G$6:$G$500, MATCH(B456, 'SAÍDA DE VENDAS'!$B$6:$B$500, 0)+3), ""), "")&amp; IF(COUNTIF('SAÍDA DE VENDAS'!$B$6:$B$500, B456)&gt;4, " + " &amp; IFERROR(INDEX('SAÍDA DE VENDAS'!$H$6:$H$500 &amp; "x " &amp; 'SAÍDA DE VENDAS'!$G$6:$G$500, MATCH(B456, 'SAÍDA DE VENDAS'!$B$6:$B$500, 0)+4), ""), "")&amp; IF(COUNTIF('SAÍDA DE VENDAS'!$B$6:$B$500, B456)&gt;5, " + " &amp; IFERROR(INDEX('SAÍDA DE VENDAS'!$H$6:$H$500 &amp; "x " &amp; 'SAÍDA DE VENDAS'!$G$6:$G$500, MATCH(B456, 'SAÍDA DE VENDAS'!$B$6:$B$500, 0)+5), ""), ""))</f>
        <v/>
      </c>
      <c r="G456" s="28">
        <f>IFERROR(VLOOKUP(B456,'SAÍDA DE VENDAS'!$B$6:$P$500,10,FALSE),"")</f>
        <v>0</v>
      </c>
      <c r="H456" s="28" t="str">
        <f>IF(OR(ISBLANK(B456),B456=""), "", IF(B456=B455, (VALUE(LEFT(H455,FIND("/",H455)-1))+1)&amp;"/"&amp;RIGHT(H455,LEN(H455)-FIND("/",H455)), "1/"&amp;IFERROR(VLOOKUP(B456,'SAÍDA DE VENDAS'!$B$6:$P$500,13,FALSE),"1")))</f>
        <v/>
      </c>
      <c r="I456" s="69" t="str">
        <f t="shared" si="14"/>
        <v/>
      </c>
      <c r="J456" s="33" t="str">
        <f>IFERROR(VLOOKUP(B456,'SAÍDA DE VENDAS'!$B$6:$P$500,15,FALSE),"")</f>
        <v/>
      </c>
      <c r="K456" s="28" t="str">
        <f t="shared" ca="1" si="15"/>
        <v/>
      </c>
      <c r="L456" s="28"/>
      <c r="M456" s="28"/>
    </row>
    <row r="457" spans="2:13" ht="15" customHeight="1" x14ac:dyDescent="0.3">
      <c r="B457" s="34" t="str">
        <f>IF(B456="","", IF(VALUE(LEFT(H456,FIND("/",H456)-1)) &lt; VALUE(RIGHT(H456,LEN(H456)-FIND("/",H456))), B456, IFERROR(INDEX('SAÍDA DE VENDAS'!$B$6:$B$500, MATCH(B456,'SAÍDA DE VENDAS'!$B$6:$B$500,0)+COUNTIF('SAÍDA DE VENDAS'!$B$6:$B$500, B456)),"")))</f>
        <v/>
      </c>
      <c r="C457" s="35">
        <f>IFERROR(VLOOKUP(B457,'SAÍDA DE VENDAS'!$B$6:$P$500,3,FALSE),"")</f>
        <v>0</v>
      </c>
      <c r="D457" s="34">
        <f>IFERROR(VLOOKUP(B457,'SAÍDA DE VENDAS'!$B$6:$P$500,4,FALSE),"")</f>
        <v>0</v>
      </c>
      <c r="E457" s="34" t="str">
        <f>IFERROR(VLOOKUP(B457,'SAÍDA DE VENDAS'!$B$6:$P$500,5,FALSE),"")</f>
        <v/>
      </c>
      <c r="F457" s="34" t="str">
        <f>IF(OR(ISBLANK(B457),B457=""), "", IFERROR(INDEX('SAÍDA DE VENDAS'!$H$6:$H$500 &amp; "x " &amp; 'SAÍDA DE VENDAS'!$G$6:$G$500, MATCH(B457, 'SAÍDA DE VENDAS'!$B$6:$B$500, 0)), "")&amp; IF(COUNTIF('SAÍDA DE VENDAS'!$B$6:$B$500, B457)&gt;1, " + " &amp; IFERROR(INDEX('SAÍDA DE VENDAS'!$H$6:$H$500 &amp; "x " &amp; 'SAÍDA DE VENDAS'!$G$6:$G$500, MATCH(B457, 'SAÍDA DE VENDAS'!$B$6:$B$500, 0)+1), ""), "")&amp; IF(COUNTIF('SAÍDA DE VENDAS'!$B$6:$B$500, B457)&gt;2, " + " &amp; IFERROR(INDEX('SAÍDA DE VENDAS'!$H$6:$H$500 &amp; "x " &amp; 'SAÍDA DE VENDAS'!$G$6:$G$500, MATCH(B457, 'SAÍDA DE VENDAS'!$B$6:$B$500, 0)+2), ""), "")&amp; IF(COUNTIF('SAÍDA DE VENDAS'!$B$6:$B$500, B457)&gt;3, " + " &amp; IFERROR(INDEX('SAÍDA DE VENDAS'!$H$6:$H$500 &amp; "x " &amp; 'SAÍDA DE VENDAS'!$G$6:$G$500, MATCH(B457, 'SAÍDA DE VENDAS'!$B$6:$B$500, 0)+3), ""), "")&amp; IF(COUNTIF('SAÍDA DE VENDAS'!$B$6:$B$500, B457)&gt;4, " + " &amp; IFERROR(INDEX('SAÍDA DE VENDAS'!$H$6:$H$500 &amp; "x " &amp; 'SAÍDA DE VENDAS'!$G$6:$G$500, MATCH(B457, 'SAÍDA DE VENDAS'!$B$6:$B$500, 0)+4), ""), "")&amp; IF(COUNTIF('SAÍDA DE VENDAS'!$B$6:$B$500, B457)&gt;5, " + " &amp; IFERROR(INDEX('SAÍDA DE VENDAS'!$H$6:$H$500 &amp; "x " &amp; 'SAÍDA DE VENDAS'!$G$6:$G$500, MATCH(B457, 'SAÍDA DE VENDAS'!$B$6:$B$500, 0)+5), ""), ""))</f>
        <v/>
      </c>
      <c r="G457" s="34">
        <f>IFERROR(VLOOKUP(B457,'SAÍDA DE VENDAS'!$B$6:$P$500,10,FALSE),"")</f>
        <v>0</v>
      </c>
      <c r="H457" s="34" t="str">
        <f>IF(OR(ISBLANK(B457),B457=""), "", IF(B457=B456, (VALUE(LEFT(H456,FIND("/",H456)-1))+1)&amp;"/"&amp;RIGHT(H456,LEN(H456)-FIND("/",H456)), "1/"&amp;IFERROR(VLOOKUP(B457,'SAÍDA DE VENDAS'!$B$6:$P$500,13,FALSE),"1")))</f>
        <v/>
      </c>
      <c r="I457" s="35" t="str">
        <f t="shared" si="14"/>
        <v/>
      </c>
      <c r="J457" s="39" t="str">
        <f>IFERROR(VLOOKUP(B457,'SAÍDA DE VENDAS'!$B$6:$P$500,15,FALSE),"")</f>
        <v/>
      </c>
      <c r="K457" s="34" t="str">
        <f t="shared" ca="1" si="15"/>
        <v/>
      </c>
      <c r="L457" s="34"/>
      <c r="M457" s="34"/>
    </row>
    <row r="458" spans="2:13" ht="15" customHeight="1" x14ac:dyDescent="0.3">
      <c r="B458" s="28" t="str">
        <f>IF(B457="","", IF(VALUE(LEFT(H457,FIND("/",H457)-1)) &lt; VALUE(RIGHT(H457,LEN(H457)-FIND("/",H457))), B457, IFERROR(INDEX('SAÍDA DE VENDAS'!$B$6:$B$500, MATCH(B457,'SAÍDA DE VENDAS'!$B$6:$B$500,0)+COUNTIF('SAÍDA DE VENDAS'!$B$6:$B$500, B457)),"")))</f>
        <v/>
      </c>
      <c r="C458" s="29">
        <f>IFERROR(VLOOKUP(B458,'SAÍDA DE VENDAS'!$B$6:$P$500,3,FALSE),"")</f>
        <v>0</v>
      </c>
      <c r="D458" s="28">
        <f>IFERROR(VLOOKUP(B458,'SAÍDA DE VENDAS'!$B$6:$P$500,4,FALSE),"")</f>
        <v>0</v>
      </c>
      <c r="E458" s="28" t="str">
        <f>IFERROR(VLOOKUP(B458,'SAÍDA DE VENDAS'!$B$6:$P$500,5,FALSE),"")</f>
        <v/>
      </c>
      <c r="F458" s="28" t="str">
        <f>IF(OR(ISBLANK(B458),B458=""), "", IFERROR(INDEX('SAÍDA DE VENDAS'!$H$6:$H$500 &amp; "x " &amp; 'SAÍDA DE VENDAS'!$G$6:$G$500, MATCH(B458, 'SAÍDA DE VENDAS'!$B$6:$B$500, 0)), "")&amp; IF(COUNTIF('SAÍDA DE VENDAS'!$B$6:$B$500, B458)&gt;1, " + " &amp; IFERROR(INDEX('SAÍDA DE VENDAS'!$H$6:$H$500 &amp; "x " &amp; 'SAÍDA DE VENDAS'!$G$6:$G$500, MATCH(B458, 'SAÍDA DE VENDAS'!$B$6:$B$500, 0)+1), ""), "")&amp; IF(COUNTIF('SAÍDA DE VENDAS'!$B$6:$B$500, B458)&gt;2, " + " &amp; IFERROR(INDEX('SAÍDA DE VENDAS'!$H$6:$H$500 &amp; "x " &amp; 'SAÍDA DE VENDAS'!$G$6:$G$500, MATCH(B458, 'SAÍDA DE VENDAS'!$B$6:$B$500, 0)+2), ""), "")&amp; IF(COUNTIF('SAÍDA DE VENDAS'!$B$6:$B$500, B458)&gt;3, " + " &amp; IFERROR(INDEX('SAÍDA DE VENDAS'!$H$6:$H$500 &amp; "x " &amp; 'SAÍDA DE VENDAS'!$G$6:$G$500, MATCH(B458, 'SAÍDA DE VENDAS'!$B$6:$B$500, 0)+3), ""), "")&amp; IF(COUNTIF('SAÍDA DE VENDAS'!$B$6:$B$500, B458)&gt;4, " + " &amp; IFERROR(INDEX('SAÍDA DE VENDAS'!$H$6:$H$500 &amp; "x " &amp; 'SAÍDA DE VENDAS'!$G$6:$G$500, MATCH(B458, 'SAÍDA DE VENDAS'!$B$6:$B$500, 0)+4), ""), "")&amp; IF(COUNTIF('SAÍDA DE VENDAS'!$B$6:$B$500, B458)&gt;5, " + " &amp; IFERROR(INDEX('SAÍDA DE VENDAS'!$H$6:$H$500 &amp; "x " &amp; 'SAÍDA DE VENDAS'!$G$6:$G$500, MATCH(B458, 'SAÍDA DE VENDAS'!$B$6:$B$500, 0)+5), ""), ""))</f>
        <v/>
      </c>
      <c r="G458" s="28">
        <f>IFERROR(VLOOKUP(B458,'SAÍDA DE VENDAS'!$B$6:$P$500,10,FALSE),"")</f>
        <v>0</v>
      </c>
      <c r="H458" s="28" t="str">
        <f>IF(OR(ISBLANK(B458),B458=""), "", IF(B458=B457, (VALUE(LEFT(H457,FIND("/",H457)-1))+1)&amp;"/"&amp;RIGHT(H457,LEN(H457)-FIND("/",H457)), "1/"&amp;IFERROR(VLOOKUP(B458,'SAÍDA DE VENDAS'!$B$6:$P$500,13,FALSE),"1")))</f>
        <v/>
      </c>
      <c r="I458" s="69" t="str">
        <f t="shared" si="14"/>
        <v/>
      </c>
      <c r="J458" s="33" t="str">
        <f>IFERROR(VLOOKUP(B458,'SAÍDA DE VENDAS'!$B$6:$P$500,15,FALSE),"")</f>
        <v/>
      </c>
      <c r="K458" s="28" t="str">
        <f t="shared" ca="1" si="15"/>
        <v/>
      </c>
      <c r="L458" s="28"/>
      <c r="M458" s="28"/>
    </row>
    <row r="459" spans="2:13" ht="15" customHeight="1" x14ac:dyDescent="0.3">
      <c r="B459" s="34" t="str">
        <f>IF(B458="","", IF(VALUE(LEFT(H458,FIND("/",H458)-1)) &lt; VALUE(RIGHT(H458,LEN(H458)-FIND("/",H458))), B458, IFERROR(INDEX('SAÍDA DE VENDAS'!$B$6:$B$500, MATCH(B458,'SAÍDA DE VENDAS'!$B$6:$B$500,0)+COUNTIF('SAÍDA DE VENDAS'!$B$6:$B$500, B458)),"")))</f>
        <v/>
      </c>
      <c r="C459" s="35">
        <f>IFERROR(VLOOKUP(B459,'SAÍDA DE VENDAS'!$B$6:$P$500,3,FALSE),"")</f>
        <v>0</v>
      </c>
      <c r="D459" s="34">
        <f>IFERROR(VLOOKUP(B459,'SAÍDA DE VENDAS'!$B$6:$P$500,4,FALSE),"")</f>
        <v>0</v>
      </c>
      <c r="E459" s="34" t="str">
        <f>IFERROR(VLOOKUP(B459,'SAÍDA DE VENDAS'!$B$6:$P$500,5,FALSE),"")</f>
        <v/>
      </c>
      <c r="F459" s="34" t="str">
        <f>IF(OR(ISBLANK(B459),B459=""), "", IFERROR(INDEX('SAÍDA DE VENDAS'!$H$6:$H$500 &amp; "x " &amp; 'SAÍDA DE VENDAS'!$G$6:$G$500, MATCH(B459, 'SAÍDA DE VENDAS'!$B$6:$B$500, 0)), "")&amp; IF(COUNTIF('SAÍDA DE VENDAS'!$B$6:$B$500, B459)&gt;1, " + " &amp; IFERROR(INDEX('SAÍDA DE VENDAS'!$H$6:$H$500 &amp; "x " &amp; 'SAÍDA DE VENDAS'!$G$6:$G$500, MATCH(B459, 'SAÍDA DE VENDAS'!$B$6:$B$500, 0)+1), ""), "")&amp; IF(COUNTIF('SAÍDA DE VENDAS'!$B$6:$B$500, B459)&gt;2, " + " &amp; IFERROR(INDEX('SAÍDA DE VENDAS'!$H$6:$H$500 &amp; "x " &amp; 'SAÍDA DE VENDAS'!$G$6:$G$500, MATCH(B459, 'SAÍDA DE VENDAS'!$B$6:$B$500, 0)+2), ""), "")&amp; IF(COUNTIF('SAÍDA DE VENDAS'!$B$6:$B$500, B459)&gt;3, " + " &amp; IFERROR(INDEX('SAÍDA DE VENDAS'!$H$6:$H$500 &amp; "x " &amp; 'SAÍDA DE VENDAS'!$G$6:$G$500, MATCH(B459, 'SAÍDA DE VENDAS'!$B$6:$B$500, 0)+3), ""), "")&amp; IF(COUNTIF('SAÍDA DE VENDAS'!$B$6:$B$500, B459)&gt;4, " + " &amp; IFERROR(INDEX('SAÍDA DE VENDAS'!$H$6:$H$500 &amp; "x " &amp; 'SAÍDA DE VENDAS'!$G$6:$G$500, MATCH(B459, 'SAÍDA DE VENDAS'!$B$6:$B$500, 0)+4), ""), "")&amp; IF(COUNTIF('SAÍDA DE VENDAS'!$B$6:$B$500, B459)&gt;5, " + " &amp; IFERROR(INDEX('SAÍDA DE VENDAS'!$H$6:$H$500 &amp; "x " &amp; 'SAÍDA DE VENDAS'!$G$6:$G$500, MATCH(B459, 'SAÍDA DE VENDAS'!$B$6:$B$500, 0)+5), ""), ""))</f>
        <v/>
      </c>
      <c r="G459" s="34">
        <f>IFERROR(VLOOKUP(B459,'SAÍDA DE VENDAS'!$B$6:$P$500,10,FALSE),"")</f>
        <v>0</v>
      </c>
      <c r="H459" s="34" t="str">
        <f>IF(OR(ISBLANK(B459),B459=""), "", IF(B459=B458, (VALUE(LEFT(H458,FIND("/",H458)-1))+1)&amp;"/"&amp;RIGHT(H458,LEN(H458)-FIND("/",H458)), "1/"&amp;IFERROR(VLOOKUP(B459,'SAÍDA DE VENDAS'!$B$6:$P$500,13,FALSE),"1")))</f>
        <v/>
      </c>
      <c r="I459" s="35" t="str">
        <f t="shared" si="14"/>
        <v/>
      </c>
      <c r="J459" s="39" t="str">
        <f>IFERROR(VLOOKUP(B459,'SAÍDA DE VENDAS'!$B$6:$P$500,15,FALSE),"")</f>
        <v/>
      </c>
      <c r="K459" s="34" t="str">
        <f t="shared" ca="1" si="15"/>
        <v/>
      </c>
      <c r="L459" s="34"/>
      <c r="M459" s="34"/>
    </row>
    <row r="460" spans="2:13" ht="15" customHeight="1" x14ac:dyDescent="0.3">
      <c r="B460" s="28" t="str">
        <f>IF(B459="","", IF(VALUE(LEFT(H459,FIND("/",H459)-1)) &lt; VALUE(RIGHT(H459,LEN(H459)-FIND("/",H459))), B459, IFERROR(INDEX('SAÍDA DE VENDAS'!$B$6:$B$500, MATCH(B459,'SAÍDA DE VENDAS'!$B$6:$B$500,0)+COUNTIF('SAÍDA DE VENDAS'!$B$6:$B$500, B459)),"")))</f>
        <v/>
      </c>
      <c r="C460" s="29">
        <f>IFERROR(VLOOKUP(B460,'SAÍDA DE VENDAS'!$B$6:$P$500,3,FALSE),"")</f>
        <v>0</v>
      </c>
      <c r="D460" s="28">
        <f>IFERROR(VLOOKUP(B460,'SAÍDA DE VENDAS'!$B$6:$P$500,4,FALSE),"")</f>
        <v>0</v>
      </c>
      <c r="E460" s="28" t="str">
        <f>IFERROR(VLOOKUP(B460,'SAÍDA DE VENDAS'!$B$6:$P$500,5,FALSE),"")</f>
        <v/>
      </c>
      <c r="F460" s="28" t="str">
        <f>IF(OR(ISBLANK(B460),B460=""), "", IFERROR(INDEX('SAÍDA DE VENDAS'!$H$6:$H$500 &amp; "x " &amp; 'SAÍDA DE VENDAS'!$G$6:$G$500, MATCH(B460, 'SAÍDA DE VENDAS'!$B$6:$B$500, 0)), "")&amp; IF(COUNTIF('SAÍDA DE VENDAS'!$B$6:$B$500, B460)&gt;1, " + " &amp; IFERROR(INDEX('SAÍDA DE VENDAS'!$H$6:$H$500 &amp; "x " &amp; 'SAÍDA DE VENDAS'!$G$6:$G$500, MATCH(B460, 'SAÍDA DE VENDAS'!$B$6:$B$500, 0)+1), ""), "")&amp; IF(COUNTIF('SAÍDA DE VENDAS'!$B$6:$B$500, B460)&gt;2, " + " &amp; IFERROR(INDEX('SAÍDA DE VENDAS'!$H$6:$H$500 &amp; "x " &amp; 'SAÍDA DE VENDAS'!$G$6:$G$500, MATCH(B460, 'SAÍDA DE VENDAS'!$B$6:$B$500, 0)+2), ""), "")&amp; IF(COUNTIF('SAÍDA DE VENDAS'!$B$6:$B$500, B460)&gt;3, " + " &amp; IFERROR(INDEX('SAÍDA DE VENDAS'!$H$6:$H$500 &amp; "x " &amp; 'SAÍDA DE VENDAS'!$G$6:$G$500, MATCH(B460, 'SAÍDA DE VENDAS'!$B$6:$B$500, 0)+3), ""), "")&amp; IF(COUNTIF('SAÍDA DE VENDAS'!$B$6:$B$500, B460)&gt;4, " + " &amp; IFERROR(INDEX('SAÍDA DE VENDAS'!$H$6:$H$500 &amp; "x " &amp; 'SAÍDA DE VENDAS'!$G$6:$G$500, MATCH(B460, 'SAÍDA DE VENDAS'!$B$6:$B$500, 0)+4), ""), "")&amp; IF(COUNTIF('SAÍDA DE VENDAS'!$B$6:$B$500, B460)&gt;5, " + " &amp; IFERROR(INDEX('SAÍDA DE VENDAS'!$H$6:$H$500 &amp; "x " &amp; 'SAÍDA DE VENDAS'!$G$6:$G$500, MATCH(B460, 'SAÍDA DE VENDAS'!$B$6:$B$500, 0)+5), ""), ""))</f>
        <v/>
      </c>
      <c r="G460" s="28">
        <f>IFERROR(VLOOKUP(B460,'SAÍDA DE VENDAS'!$B$6:$P$500,10,FALSE),"")</f>
        <v>0</v>
      </c>
      <c r="H460" s="28" t="str">
        <f>IF(OR(ISBLANK(B460),B460=""), "", IF(B460=B459, (VALUE(LEFT(H459,FIND("/",H459)-1))+1)&amp;"/"&amp;RIGHT(H459,LEN(H459)-FIND("/",H459)), "1/"&amp;IFERROR(VLOOKUP(B460,'SAÍDA DE VENDAS'!$B$6:$P$500,13,FALSE),"1")))</f>
        <v/>
      </c>
      <c r="I460" s="69" t="str">
        <f t="shared" si="14"/>
        <v/>
      </c>
      <c r="J460" s="33" t="str">
        <f>IFERROR(VLOOKUP(B460,'SAÍDA DE VENDAS'!$B$6:$P$500,15,FALSE),"")</f>
        <v/>
      </c>
      <c r="K460" s="28" t="str">
        <f t="shared" ca="1" si="15"/>
        <v/>
      </c>
      <c r="L460" s="28"/>
      <c r="M460" s="28"/>
    </row>
    <row r="461" spans="2:13" ht="15" customHeight="1" x14ac:dyDescent="0.3">
      <c r="B461" s="34" t="str">
        <f>IF(B460="","", IF(VALUE(LEFT(H460,FIND("/",H460)-1)) &lt; VALUE(RIGHT(H460,LEN(H460)-FIND("/",H460))), B460, IFERROR(INDEX('SAÍDA DE VENDAS'!$B$6:$B$500, MATCH(B460,'SAÍDA DE VENDAS'!$B$6:$B$500,0)+COUNTIF('SAÍDA DE VENDAS'!$B$6:$B$500, B460)),"")))</f>
        <v/>
      </c>
      <c r="C461" s="35">
        <f>IFERROR(VLOOKUP(B461,'SAÍDA DE VENDAS'!$B$6:$P$500,3,FALSE),"")</f>
        <v>0</v>
      </c>
      <c r="D461" s="34">
        <f>IFERROR(VLOOKUP(B461,'SAÍDA DE VENDAS'!$B$6:$P$500,4,FALSE),"")</f>
        <v>0</v>
      </c>
      <c r="E461" s="34" t="str">
        <f>IFERROR(VLOOKUP(B461,'SAÍDA DE VENDAS'!$B$6:$P$500,5,FALSE),"")</f>
        <v/>
      </c>
      <c r="F461" s="34" t="str">
        <f>IF(OR(ISBLANK(B461),B461=""), "", IFERROR(INDEX('SAÍDA DE VENDAS'!$H$6:$H$500 &amp; "x " &amp; 'SAÍDA DE VENDAS'!$G$6:$G$500, MATCH(B461, 'SAÍDA DE VENDAS'!$B$6:$B$500, 0)), "")&amp; IF(COUNTIF('SAÍDA DE VENDAS'!$B$6:$B$500, B461)&gt;1, " + " &amp; IFERROR(INDEX('SAÍDA DE VENDAS'!$H$6:$H$500 &amp; "x " &amp; 'SAÍDA DE VENDAS'!$G$6:$G$500, MATCH(B461, 'SAÍDA DE VENDAS'!$B$6:$B$500, 0)+1), ""), "")&amp; IF(COUNTIF('SAÍDA DE VENDAS'!$B$6:$B$500, B461)&gt;2, " + " &amp; IFERROR(INDEX('SAÍDA DE VENDAS'!$H$6:$H$500 &amp; "x " &amp; 'SAÍDA DE VENDAS'!$G$6:$G$500, MATCH(B461, 'SAÍDA DE VENDAS'!$B$6:$B$500, 0)+2), ""), "")&amp; IF(COUNTIF('SAÍDA DE VENDAS'!$B$6:$B$500, B461)&gt;3, " + " &amp; IFERROR(INDEX('SAÍDA DE VENDAS'!$H$6:$H$500 &amp; "x " &amp; 'SAÍDA DE VENDAS'!$G$6:$G$500, MATCH(B461, 'SAÍDA DE VENDAS'!$B$6:$B$500, 0)+3), ""), "")&amp; IF(COUNTIF('SAÍDA DE VENDAS'!$B$6:$B$500, B461)&gt;4, " + " &amp; IFERROR(INDEX('SAÍDA DE VENDAS'!$H$6:$H$500 &amp; "x " &amp; 'SAÍDA DE VENDAS'!$G$6:$G$500, MATCH(B461, 'SAÍDA DE VENDAS'!$B$6:$B$500, 0)+4), ""), "")&amp; IF(COUNTIF('SAÍDA DE VENDAS'!$B$6:$B$500, B461)&gt;5, " + " &amp; IFERROR(INDEX('SAÍDA DE VENDAS'!$H$6:$H$500 &amp; "x " &amp; 'SAÍDA DE VENDAS'!$G$6:$G$500, MATCH(B461, 'SAÍDA DE VENDAS'!$B$6:$B$500, 0)+5), ""), ""))</f>
        <v/>
      </c>
      <c r="G461" s="34">
        <f>IFERROR(VLOOKUP(B461,'SAÍDA DE VENDAS'!$B$6:$P$500,10,FALSE),"")</f>
        <v>0</v>
      </c>
      <c r="H461" s="34" t="str">
        <f>IF(OR(ISBLANK(B461),B461=""), "", IF(B461=B460, (VALUE(LEFT(H460,FIND("/",H460)-1))+1)&amp;"/"&amp;RIGHT(H460,LEN(H460)-FIND("/",H460)), "1/"&amp;IFERROR(VLOOKUP(B461,'SAÍDA DE VENDAS'!$B$6:$P$500,13,FALSE),"1")))</f>
        <v/>
      </c>
      <c r="I461" s="35" t="str">
        <f t="shared" si="14"/>
        <v/>
      </c>
      <c r="J461" s="39" t="str">
        <f>IFERROR(VLOOKUP(B461,'SAÍDA DE VENDAS'!$B$6:$P$500,15,FALSE),"")</f>
        <v/>
      </c>
      <c r="K461" s="34" t="str">
        <f t="shared" ca="1" si="15"/>
        <v/>
      </c>
      <c r="L461" s="34"/>
      <c r="M461" s="34"/>
    </row>
    <row r="462" spans="2:13" ht="15" customHeight="1" x14ac:dyDescent="0.3">
      <c r="B462" s="28" t="str">
        <f>IF(B461="","", IF(VALUE(LEFT(H461,FIND("/",H461)-1)) &lt; VALUE(RIGHT(H461,LEN(H461)-FIND("/",H461))), B461, IFERROR(INDEX('SAÍDA DE VENDAS'!$B$6:$B$500, MATCH(B461,'SAÍDA DE VENDAS'!$B$6:$B$500,0)+COUNTIF('SAÍDA DE VENDAS'!$B$6:$B$500, B461)),"")))</f>
        <v/>
      </c>
      <c r="C462" s="29">
        <f>IFERROR(VLOOKUP(B462,'SAÍDA DE VENDAS'!$B$6:$P$500,3,FALSE),"")</f>
        <v>0</v>
      </c>
      <c r="D462" s="28">
        <f>IFERROR(VLOOKUP(B462,'SAÍDA DE VENDAS'!$B$6:$P$500,4,FALSE),"")</f>
        <v>0</v>
      </c>
      <c r="E462" s="28" t="str">
        <f>IFERROR(VLOOKUP(B462,'SAÍDA DE VENDAS'!$B$6:$P$500,5,FALSE),"")</f>
        <v/>
      </c>
      <c r="F462" s="28" t="str">
        <f>IF(OR(ISBLANK(B462),B462=""), "", IFERROR(INDEX('SAÍDA DE VENDAS'!$H$6:$H$500 &amp; "x " &amp; 'SAÍDA DE VENDAS'!$G$6:$G$500, MATCH(B462, 'SAÍDA DE VENDAS'!$B$6:$B$500, 0)), "")&amp; IF(COUNTIF('SAÍDA DE VENDAS'!$B$6:$B$500, B462)&gt;1, " + " &amp; IFERROR(INDEX('SAÍDA DE VENDAS'!$H$6:$H$500 &amp; "x " &amp; 'SAÍDA DE VENDAS'!$G$6:$G$500, MATCH(B462, 'SAÍDA DE VENDAS'!$B$6:$B$500, 0)+1), ""), "")&amp; IF(COUNTIF('SAÍDA DE VENDAS'!$B$6:$B$500, B462)&gt;2, " + " &amp; IFERROR(INDEX('SAÍDA DE VENDAS'!$H$6:$H$500 &amp; "x " &amp; 'SAÍDA DE VENDAS'!$G$6:$G$500, MATCH(B462, 'SAÍDA DE VENDAS'!$B$6:$B$500, 0)+2), ""), "")&amp; IF(COUNTIF('SAÍDA DE VENDAS'!$B$6:$B$500, B462)&gt;3, " + " &amp; IFERROR(INDEX('SAÍDA DE VENDAS'!$H$6:$H$500 &amp; "x " &amp; 'SAÍDA DE VENDAS'!$G$6:$G$500, MATCH(B462, 'SAÍDA DE VENDAS'!$B$6:$B$500, 0)+3), ""), "")&amp; IF(COUNTIF('SAÍDA DE VENDAS'!$B$6:$B$500, B462)&gt;4, " + " &amp; IFERROR(INDEX('SAÍDA DE VENDAS'!$H$6:$H$500 &amp; "x " &amp; 'SAÍDA DE VENDAS'!$G$6:$G$500, MATCH(B462, 'SAÍDA DE VENDAS'!$B$6:$B$500, 0)+4), ""), "")&amp; IF(COUNTIF('SAÍDA DE VENDAS'!$B$6:$B$500, B462)&gt;5, " + " &amp; IFERROR(INDEX('SAÍDA DE VENDAS'!$H$6:$H$500 &amp; "x " &amp; 'SAÍDA DE VENDAS'!$G$6:$G$500, MATCH(B462, 'SAÍDA DE VENDAS'!$B$6:$B$500, 0)+5), ""), ""))</f>
        <v/>
      </c>
      <c r="G462" s="28">
        <f>IFERROR(VLOOKUP(B462,'SAÍDA DE VENDAS'!$B$6:$P$500,10,FALSE),"")</f>
        <v>0</v>
      </c>
      <c r="H462" s="28" t="str">
        <f>IF(OR(ISBLANK(B462),B462=""), "", IF(B462=B461, (VALUE(LEFT(H461,FIND("/",H461)-1))+1)&amp;"/"&amp;RIGHT(H461,LEN(H461)-FIND("/",H461)), "1/"&amp;IFERROR(VLOOKUP(B462,'SAÍDA DE VENDAS'!$B$6:$P$500,13,FALSE),"1")))</f>
        <v/>
      </c>
      <c r="I462" s="69" t="str">
        <f t="shared" si="14"/>
        <v/>
      </c>
      <c r="J462" s="33" t="str">
        <f>IFERROR(VLOOKUP(B462,'SAÍDA DE VENDAS'!$B$6:$P$500,15,FALSE),"")</f>
        <v/>
      </c>
      <c r="K462" s="28" t="str">
        <f t="shared" ca="1" si="15"/>
        <v/>
      </c>
      <c r="L462" s="28"/>
      <c r="M462" s="28"/>
    </row>
    <row r="463" spans="2:13" ht="15" customHeight="1" x14ac:dyDescent="0.3">
      <c r="B463" s="34" t="str">
        <f>IF(B462="","", IF(VALUE(LEFT(H462,FIND("/",H462)-1)) &lt; VALUE(RIGHT(H462,LEN(H462)-FIND("/",H462))), B462, IFERROR(INDEX('SAÍDA DE VENDAS'!$B$6:$B$500, MATCH(B462,'SAÍDA DE VENDAS'!$B$6:$B$500,0)+COUNTIF('SAÍDA DE VENDAS'!$B$6:$B$500, B462)),"")))</f>
        <v/>
      </c>
      <c r="C463" s="35">
        <f>IFERROR(VLOOKUP(B463,'SAÍDA DE VENDAS'!$B$6:$P$500,3,FALSE),"")</f>
        <v>0</v>
      </c>
      <c r="D463" s="34">
        <f>IFERROR(VLOOKUP(B463,'SAÍDA DE VENDAS'!$B$6:$P$500,4,FALSE),"")</f>
        <v>0</v>
      </c>
      <c r="E463" s="34" t="str">
        <f>IFERROR(VLOOKUP(B463,'SAÍDA DE VENDAS'!$B$6:$P$500,5,FALSE),"")</f>
        <v/>
      </c>
      <c r="F463" s="34" t="str">
        <f>IF(OR(ISBLANK(B463),B463=""), "", IFERROR(INDEX('SAÍDA DE VENDAS'!$H$6:$H$500 &amp; "x " &amp; 'SAÍDA DE VENDAS'!$G$6:$G$500, MATCH(B463, 'SAÍDA DE VENDAS'!$B$6:$B$500, 0)), "")&amp; IF(COUNTIF('SAÍDA DE VENDAS'!$B$6:$B$500, B463)&gt;1, " + " &amp; IFERROR(INDEX('SAÍDA DE VENDAS'!$H$6:$H$500 &amp; "x " &amp; 'SAÍDA DE VENDAS'!$G$6:$G$500, MATCH(B463, 'SAÍDA DE VENDAS'!$B$6:$B$500, 0)+1), ""), "")&amp; IF(COUNTIF('SAÍDA DE VENDAS'!$B$6:$B$500, B463)&gt;2, " + " &amp; IFERROR(INDEX('SAÍDA DE VENDAS'!$H$6:$H$500 &amp; "x " &amp; 'SAÍDA DE VENDAS'!$G$6:$G$500, MATCH(B463, 'SAÍDA DE VENDAS'!$B$6:$B$500, 0)+2), ""), "")&amp; IF(COUNTIF('SAÍDA DE VENDAS'!$B$6:$B$500, B463)&gt;3, " + " &amp; IFERROR(INDEX('SAÍDA DE VENDAS'!$H$6:$H$500 &amp; "x " &amp; 'SAÍDA DE VENDAS'!$G$6:$G$500, MATCH(B463, 'SAÍDA DE VENDAS'!$B$6:$B$500, 0)+3), ""), "")&amp; IF(COUNTIF('SAÍDA DE VENDAS'!$B$6:$B$500, B463)&gt;4, " + " &amp; IFERROR(INDEX('SAÍDA DE VENDAS'!$H$6:$H$500 &amp; "x " &amp; 'SAÍDA DE VENDAS'!$G$6:$G$500, MATCH(B463, 'SAÍDA DE VENDAS'!$B$6:$B$500, 0)+4), ""), "")&amp; IF(COUNTIF('SAÍDA DE VENDAS'!$B$6:$B$500, B463)&gt;5, " + " &amp; IFERROR(INDEX('SAÍDA DE VENDAS'!$H$6:$H$500 &amp; "x " &amp; 'SAÍDA DE VENDAS'!$G$6:$G$500, MATCH(B463, 'SAÍDA DE VENDAS'!$B$6:$B$500, 0)+5), ""), ""))</f>
        <v/>
      </c>
      <c r="G463" s="34">
        <f>IFERROR(VLOOKUP(B463,'SAÍDA DE VENDAS'!$B$6:$P$500,10,FALSE),"")</f>
        <v>0</v>
      </c>
      <c r="H463" s="34" t="str">
        <f>IF(OR(ISBLANK(B463),B463=""), "", IF(B463=B462, (VALUE(LEFT(H462,FIND("/",H462)-1))+1)&amp;"/"&amp;RIGHT(H462,LEN(H462)-FIND("/",H462)), "1/"&amp;IFERROR(VLOOKUP(B463,'SAÍDA DE VENDAS'!$B$6:$P$500,13,FALSE),"1")))</f>
        <v/>
      </c>
      <c r="I463" s="35" t="str">
        <f t="shared" si="14"/>
        <v/>
      </c>
      <c r="J463" s="39" t="str">
        <f>IFERROR(VLOOKUP(B463,'SAÍDA DE VENDAS'!$B$6:$P$500,15,FALSE),"")</f>
        <v/>
      </c>
      <c r="K463" s="34" t="str">
        <f t="shared" ca="1" si="15"/>
        <v/>
      </c>
      <c r="L463" s="34"/>
      <c r="M463" s="34"/>
    </row>
    <row r="464" spans="2:13" ht="15" customHeight="1" x14ac:dyDescent="0.3">
      <c r="B464" s="28" t="str">
        <f>IF(B463="","", IF(VALUE(LEFT(H463,FIND("/",H463)-1)) &lt; VALUE(RIGHT(H463,LEN(H463)-FIND("/",H463))), B463, IFERROR(INDEX('SAÍDA DE VENDAS'!$B$6:$B$500, MATCH(B463,'SAÍDA DE VENDAS'!$B$6:$B$500,0)+COUNTIF('SAÍDA DE VENDAS'!$B$6:$B$500, B463)),"")))</f>
        <v/>
      </c>
      <c r="C464" s="29">
        <f>IFERROR(VLOOKUP(B464,'SAÍDA DE VENDAS'!$B$6:$P$500,3,FALSE),"")</f>
        <v>0</v>
      </c>
      <c r="D464" s="28">
        <f>IFERROR(VLOOKUP(B464,'SAÍDA DE VENDAS'!$B$6:$P$500,4,FALSE),"")</f>
        <v>0</v>
      </c>
      <c r="E464" s="28" t="str">
        <f>IFERROR(VLOOKUP(B464,'SAÍDA DE VENDAS'!$B$6:$P$500,5,FALSE),"")</f>
        <v/>
      </c>
      <c r="F464" s="28" t="str">
        <f>IF(OR(ISBLANK(B464),B464=""), "", IFERROR(INDEX('SAÍDA DE VENDAS'!$H$6:$H$500 &amp; "x " &amp; 'SAÍDA DE VENDAS'!$G$6:$G$500, MATCH(B464, 'SAÍDA DE VENDAS'!$B$6:$B$500, 0)), "")&amp; IF(COUNTIF('SAÍDA DE VENDAS'!$B$6:$B$500, B464)&gt;1, " + " &amp; IFERROR(INDEX('SAÍDA DE VENDAS'!$H$6:$H$500 &amp; "x " &amp; 'SAÍDA DE VENDAS'!$G$6:$G$500, MATCH(B464, 'SAÍDA DE VENDAS'!$B$6:$B$500, 0)+1), ""), "")&amp; IF(COUNTIF('SAÍDA DE VENDAS'!$B$6:$B$500, B464)&gt;2, " + " &amp; IFERROR(INDEX('SAÍDA DE VENDAS'!$H$6:$H$500 &amp; "x " &amp; 'SAÍDA DE VENDAS'!$G$6:$G$500, MATCH(B464, 'SAÍDA DE VENDAS'!$B$6:$B$500, 0)+2), ""), "")&amp; IF(COUNTIF('SAÍDA DE VENDAS'!$B$6:$B$500, B464)&gt;3, " + " &amp; IFERROR(INDEX('SAÍDA DE VENDAS'!$H$6:$H$500 &amp; "x " &amp; 'SAÍDA DE VENDAS'!$G$6:$G$500, MATCH(B464, 'SAÍDA DE VENDAS'!$B$6:$B$500, 0)+3), ""), "")&amp; IF(COUNTIF('SAÍDA DE VENDAS'!$B$6:$B$500, B464)&gt;4, " + " &amp; IFERROR(INDEX('SAÍDA DE VENDAS'!$H$6:$H$500 &amp; "x " &amp; 'SAÍDA DE VENDAS'!$G$6:$G$500, MATCH(B464, 'SAÍDA DE VENDAS'!$B$6:$B$500, 0)+4), ""), "")&amp; IF(COUNTIF('SAÍDA DE VENDAS'!$B$6:$B$500, B464)&gt;5, " + " &amp; IFERROR(INDEX('SAÍDA DE VENDAS'!$H$6:$H$500 &amp; "x " &amp; 'SAÍDA DE VENDAS'!$G$6:$G$500, MATCH(B464, 'SAÍDA DE VENDAS'!$B$6:$B$500, 0)+5), ""), ""))</f>
        <v/>
      </c>
      <c r="G464" s="28">
        <f>IFERROR(VLOOKUP(B464,'SAÍDA DE VENDAS'!$B$6:$P$500,10,FALSE),"")</f>
        <v>0</v>
      </c>
      <c r="H464" s="28" t="str">
        <f>IF(OR(ISBLANK(B464),B464=""), "", IF(B464=B463, (VALUE(LEFT(H463,FIND("/",H463)-1))+1)&amp;"/"&amp;RIGHT(H463,LEN(H463)-FIND("/",H463)), "1/"&amp;IFERROR(VLOOKUP(B464,'SAÍDA DE VENDAS'!$B$6:$P$500,13,FALSE),"1")))</f>
        <v/>
      </c>
      <c r="I464" s="69" t="str">
        <f t="shared" si="14"/>
        <v/>
      </c>
      <c r="J464" s="33" t="str">
        <f>IFERROR(VLOOKUP(B464,'SAÍDA DE VENDAS'!$B$6:$P$500,15,FALSE),"")</f>
        <v/>
      </c>
      <c r="K464" s="28" t="str">
        <f t="shared" ca="1" si="15"/>
        <v/>
      </c>
      <c r="L464" s="28"/>
      <c r="M464" s="28"/>
    </row>
    <row r="465" spans="2:13" ht="15" customHeight="1" x14ac:dyDescent="0.3">
      <c r="B465" s="34" t="str">
        <f>IF(B464="","", IF(VALUE(LEFT(H464,FIND("/",H464)-1)) &lt; VALUE(RIGHT(H464,LEN(H464)-FIND("/",H464))), B464, IFERROR(INDEX('SAÍDA DE VENDAS'!$B$6:$B$500, MATCH(B464,'SAÍDA DE VENDAS'!$B$6:$B$500,0)+COUNTIF('SAÍDA DE VENDAS'!$B$6:$B$500, B464)),"")))</f>
        <v/>
      </c>
      <c r="C465" s="35">
        <f>IFERROR(VLOOKUP(B465,'SAÍDA DE VENDAS'!$B$6:$P$500,3,FALSE),"")</f>
        <v>0</v>
      </c>
      <c r="D465" s="34">
        <f>IFERROR(VLOOKUP(B465,'SAÍDA DE VENDAS'!$B$6:$P$500,4,FALSE),"")</f>
        <v>0</v>
      </c>
      <c r="E465" s="34" t="str">
        <f>IFERROR(VLOOKUP(B465,'SAÍDA DE VENDAS'!$B$6:$P$500,5,FALSE),"")</f>
        <v/>
      </c>
      <c r="F465" s="34" t="str">
        <f>IF(OR(ISBLANK(B465),B465=""), "", IFERROR(INDEX('SAÍDA DE VENDAS'!$H$6:$H$500 &amp; "x " &amp; 'SAÍDA DE VENDAS'!$G$6:$G$500, MATCH(B465, 'SAÍDA DE VENDAS'!$B$6:$B$500, 0)), "")&amp; IF(COUNTIF('SAÍDA DE VENDAS'!$B$6:$B$500, B465)&gt;1, " + " &amp; IFERROR(INDEX('SAÍDA DE VENDAS'!$H$6:$H$500 &amp; "x " &amp; 'SAÍDA DE VENDAS'!$G$6:$G$500, MATCH(B465, 'SAÍDA DE VENDAS'!$B$6:$B$500, 0)+1), ""), "")&amp; IF(COUNTIF('SAÍDA DE VENDAS'!$B$6:$B$500, B465)&gt;2, " + " &amp; IFERROR(INDEX('SAÍDA DE VENDAS'!$H$6:$H$500 &amp; "x " &amp; 'SAÍDA DE VENDAS'!$G$6:$G$500, MATCH(B465, 'SAÍDA DE VENDAS'!$B$6:$B$500, 0)+2), ""), "")&amp; IF(COUNTIF('SAÍDA DE VENDAS'!$B$6:$B$500, B465)&gt;3, " + " &amp; IFERROR(INDEX('SAÍDA DE VENDAS'!$H$6:$H$500 &amp; "x " &amp; 'SAÍDA DE VENDAS'!$G$6:$G$500, MATCH(B465, 'SAÍDA DE VENDAS'!$B$6:$B$500, 0)+3), ""), "")&amp; IF(COUNTIF('SAÍDA DE VENDAS'!$B$6:$B$500, B465)&gt;4, " + " &amp; IFERROR(INDEX('SAÍDA DE VENDAS'!$H$6:$H$500 &amp; "x " &amp; 'SAÍDA DE VENDAS'!$G$6:$G$500, MATCH(B465, 'SAÍDA DE VENDAS'!$B$6:$B$500, 0)+4), ""), "")&amp; IF(COUNTIF('SAÍDA DE VENDAS'!$B$6:$B$500, B465)&gt;5, " + " &amp; IFERROR(INDEX('SAÍDA DE VENDAS'!$H$6:$H$500 &amp; "x " &amp; 'SAÍDA DE VENDAS'!$G$6:$G$500, MATCH(B465, 'SAÍDA DE VENDAS'!$B$6:$B$500, 0)+5), ""), ""))</f>
        <v/>
      </c>
      <c r="G465" s="34">
        <f>IFERROR(VLOOKUP(B465,'SAÍDA DE VENDAS'!$B$6:$P$500,10,FALSE),"")</f>
        <v>0</v>
      </c>
      <c r="H465" s="34" t="str">
        <f>IF(OR(ISBLANK(B465),B465=""), "", IF(B465=B464, (VALUE(LEFT(H464,FIND("/",H464)-1))+1)&amp;"/"&amp;RIGHT(H464,LEN(H464)-FIND("/",H464)), "1/"&amp;IFERROR(VLOOKUP(B465,'SAÍDA DE VENDAS'!$B$6:$P$500,13,FALSE),"1")))</f>
        <v/>
      </c>
      <c r="I465" s="35" t="str">
        <f t="shared" si="14"/>
        <v/>
      </c>
      <c r="J465" s="39" t="str">
        <f>IFERROR(VLOOKUP(B465,'SAÍDA DE VENDAS'!$B$6:$P$500,15,FALSE),"")</f>
        <v/>
      </c>
      <c r="K465" s="34" t="str">
        <f t="shared" ca="1" si="15"/>
        <v/>
      </c>
      <c r="L465" s="34"/>
      <c r="M465" s="34"/>
    </row>
    <row r="466" spans="2:13" ht="15" customHeight="1" x14ac:dyDescent="0.3">
      <c r="B466" s="28" t="str">
        <f>IF(B465="","", IF(VALUE(LEFT(H465,FIND("/",H465)-1)) &lt; VALUE(RIGHT(H465,LEN(H465)-FIND("/",H465))), B465, IFERROR(INDEX('SAÍDA DE VENDAS'!$B$6:$B$500, MATCH(B465,'SAÍDA DE VENDAS'!$B$6:$B$500,0)+COUNTIF('SAÍDA DE VENDAS'!$B$6:$B$500, B465)),"")))</f>
        <v/>
      </c>
      <c r="C466" s="29">
        <f>IFERROR(VLOOKUP(B466,'SAÍDA DE VENDAS'!$B$6:$P$500,3,FALSE),"")</f>
        <v>0</v>
      </c>
      <c r="D466" s="28">
        <f>IFERROR(VLOOKUP(B466,'SAÍDA DE VENDAS'!$B$6:$P$500,4,FALSE),"")</f>
        <v>0</v>
      </c>
      <c r="E466" s="28" t="str">
        <f>IFERROR(VLOOKUP(B466,'SAÍDA DE VENDAS'!$B$6:$P$500,5,FALSE),"")</f>
        <v/>
      </c>
      <c r="F466" s="28" t="str">
        <f>IF(OR(ISBLANK(B466),B466=""), "", IFERROR(INDEX('SAÍDA DE VENDAS'!$H$6:$H$500 &amp; "x " &amp; 'SAÍDA DE VENDAS'!$G$6:$G$500, MATCH(B466, 'SAÍDA DE VENDAS'!$B$6:$B$500, 0)), "")&amp; IF(COUNTIF('SAÍDA DE VENDAS'!$B$6:$B$500, B466)&gt;1, " + " &amp; IFERROR(INDEX('SAÍDA DE VENDAS'!$H$6:$H$500 &amp; "x " &amp; 'SAÍDA DE VENDAS'!$G$6:$G$500, MATCH(B466, 'SAÍDA DE VENDAS'!$B$6:$B$500, 0)+1), ""), "")&amp; IF(COUNTIF('SAÍDA DE VENDAS'!$B$6:$B$500, B466)&gt;2, " + " &amp; IFERROR(INDEX('SAÍDA DE VENDAS'!$H$6:$H$500 &amp; "x " &amp; 'SAÍDA DE VENDAS'!$G$6:$G$500, MATCH(B466, 'SAÍDA DE VENDAS'!$B$6:$B$500, 0)+2), ""), "")&amp; IF(COUNTIF('SAÍDA DE VENDAS'!$B$6:$B$500, B466)&gt;3, " + " &amp; IFERROR(INDEX('SAÍDA DE VENDAS'!$H$6:$H$500 &amp; "x " &amp; 'SAÍDA DE VENDAS'!$G$6:$G$500, MATCH(B466, 'SAÍDA DE VENDAS'!$B$6:$B$500, 0)+3), ""), "")&amp; IF(COUNTIF('SAÍDA DE VENDAS'!$B$6:$B$500, B466)&gt;4, " + " &amp; IFERROR(INDEX('SAÍDA DE VENDAS'!$H$6:$H$500 &amp; "x " &amp; 'SAÍDA DE VENDAS'!$G$6:$G$500, MATCH(B466, 'SAÍDA DE VENDAS'!$B$6:$B$500, 0)+4), ""), "")&amp; IF(COUNTIF('SAÍDA DE VENDAS'!$B$6:$B$500, B466)&gt;5, " + " &amp; IFERROR(INDEX('SAÍDA DE VENDAS'!$H$6:$H$500 &amp; "x " &amp; 'SAÍDA DE VENDAS'!$G$6:$G$500, MATCH(B466, 'SAÍDA DE VENDAS'!$B$6:$B$500, 0)+5), ""), ""))</f>
        <v/>
      </c>
      <c r="G466" s="28">
        <f>IFERROR(VLOOKUP(B466,'SAÍDA DE VENDAS'!$B$6:$P$500,10,FALSE),"")</f>
        <v>0</v>
      </c>
      <c r="H466" s="28" t="str">
        <f>IF(OR(ISBLANK(B466),B466=""), "", IF(B466=B465, (VALUE(LEFT(H465,FIND("/",H465)-1))+1)&amp;"/"&amp;RIGHT(H465,LEN(H465)-FIND("/",H465)), "1/"&amp;IFERROR(VLOOKUP(B466,'SAÍDA DE VENDAS'!$B$6:$P$500,13,FALSE),"1")))</f>
        <v/>
      </c>
      <c r="I466" s="69" t="str">
        <f t="shared" si="14"/>
        <v/>
      </c>
      <c r="J466" s="33" t="str">
        <f>IFERROR(VLOOKUP(B466,'SAÍDA DE VENDAS'!$B$6:$P$500,15,FALSE),"")</f>
        <v/>
      </c>
      <c r="K466" s="28" t="str">
        <f t="shared" ca="1" si="15"/>
        <v/>
      </c>
      <c r="L466" s="28"/>
      <c r="M466" s="28"/>
    </row>
    <row r="467" spans="2:13" ht="15" customHeight="1" x14ac:dyDescent="0.3">
      <c r="B467" s="34" t="str">
        <f>IF(B466="","", IF(VALUE(LEFT(H466,FIND("/",H466)-1)) &lt; VALUE(RIGHT(H466,LEN(H466)-FIND("/",H466))), B466, IFERROR(INDEX('SAÍDA DE VENDAS'!$B$6:$B$500, MATCH(B466,'SAÍDA DE VENDAS'!$B$6:$B$500,0)+COUNTIF('SAÍDA DE VENDAS'!$B$6:$B$500, B466)),"")))</f>
        <v/>
      </c>
      <c r="C467" s="35">
        <f>IFERROR(VLOOKUP(B467,'SAÍDA DE VENDAS'!$B$6:$P$500,3,FALSE),"")</f>
        <v>0</v>
      </c>
      <c r="D467" s="34">
        <f>IFERROR(VLOOKUP(B467,'SAÍDA DE VENDAS'!$B$6:$P$500,4,FALSE),"")</f>
        <v>0</v>
      </c>
      <c r="E467" s="34" t="str">
        <f>IFERROR(VLOOKUP(B467,'SAÍDA DE VENDAS'!$B$6:$P$500,5,FALSE),"")</f>
        <v/>
      </c>
      <c r="F467" s="34" t="str">
        <f>IF(OR(ISBLANK(B467),B467=""), "", IFERROR(INDEX('SAÍDA DE VENDAS'!$H$6:$H$500 &amp; "x " &amp; 'SAÍDA DE VENDAS'!$G$6:$G$500, MATCH(B467, 'SAÍDA DE VENDAS'!$B$6:$B$500, 0)), "")&amp; IF(COUNTIF('SAÍDA DE VENDAS'!$B$6:$B$500, B467)&gt;1, " + " &amp; IFERROR(INDEX('SAÍDA DE VENDAS'!$H$6:$H$500 &amp; "x " &amp; 'SAÍDA DE VENDAS'!$G$6:$G$500, MATCH(B467, 'SAÍDA DE VENDAS'!$B$6:$B$500, 0)+1), ""), "")&amp; IF(COUNTIF('SAÍDA DE VENDAS'!$B$6:$B$500, B467)&gt;2, " + " &amp; IFERROR(INDEX('SAÍDA DE VENDAS'!$H$6:$H$500 &amp; "x " &amp; 'SAÍDA DE VENDAS'!$G$6:$G$500, MATCH(B467, 'SAÍDA DE VENDAS'!$B$6:$B$500, 0)+2), ""), "")&amp; IF(COUNTIF('SAÍDA DE VENDAS'!$B$6:$B$500, B467)&gt;3, " + " &amp; IFERROR(INDEX('SAÍDA DE VENDAS'!$H$6:$H$500 &amp; "x " &amp; 'SAÍDA DE VENDAS'!$G$6:$G$500, MATCH(B467, 'SAÍDA DE VENDAS'!$B$6:$B$500, 0)+3), ""), "")&amp; IF(COUNTIF('SAÍDA DE VENDAS'!$B$6:$B$500, B467)&gt;4, " + " &amp; IFERROR(INDEX('SAÍDA DE VENDAS'!$H$6:$H$500 &amp; "x " &amp; 'SAÍDA DE VENDAS'!$G$6:$G$500, MATCH(B467, 'SAÍDA DE VENDAS'!$B$6:$B$500, 0)+4), ""), "")&amp; IF(COUNTIF('SAÍDA DE VENDAS'!$B$6:$B$500, B467)&gt;5, " + " &amp; IFERROR(INDEX('SAÍDA DE VENDAS'!$H$6:$H$500 &amp; "x " &amp; 'SAÍDA DE VENDAS'!$G$6:$G$500, MATCH(B467, 'SAÍDA DE VENDAS'!$B$6:$B$500, 0)+5), ""), ""))</f>
        <v/>
      </c>
      <c r="G467" s="34">
        <f>IFERROR(VLOOKUP(B467,'SAÍDA DE VENDAS'!$B$6:$P$500,10,FALSE),"")</f>
        <v>0</v>
      </c>
      <c r="H467" s="34" t="str">
        <f>IF(OR(ISBLANK(B467),B467=""), "", IF(B467=B466, (VALUE(LEFT(H466,FIND("/",H466)-1))+1)&amp;"/"&amp;RIGHT(H466,LEN(H466)-FIND("/",H466)), "1/"&amp;IFERROR(VLOOKUP(B467,'SAÍDA DE VENDAS'!$B$6:$P$500,13,FALSE),"1")))</f>
        <v/>
      </c>
      <c r="I467" s="35" t="str">
        <f t="shared" si="14"/>
        <v/>
      </c>
      <c r="J467" s="39" t="str">
        <f>IFERROR(VLOOKUP(B467,'SAÍDA DE VENDAS'!$B$6:$P$500,15,FALSE),"")</f>
        <v/>
      </c>
      <c r="K467" s="34" t="str">
        <f t="shared" ca="1" si="15"/>
        <v/>
      </c>
      <c r="L467" s="34"/>
      <c r="M467" s="34"/>
    </row>
    <row r="468" spans="2:13" ht="15" customHeight="1" x14ac:dyDescent="0.3">
      <c r="B468" s="28" t="str">
        <f>IF(B467="","", IF(VALUE(LEFT(H467,FIND("/",H467)-1)) &lt; VALUE(RIGHT(H467,LEN(H467)-FIND("/",H467))), B467, IFERROR(INDEX('SAÍDA DE VENDAS'!$B$6:$B$500, MATCH(B467,'SAÍDA DE VENDAS'!$B$6:$B$500,0)+COUNTIF('SAÍDA DE VENDAS'!$B$6:$B$500, B467)),"")))</f>
        <v/>
      </c>
      <c r="C468" s="29">
        <f>IFERROR(VLOOKUP(B468,'SAÍDA DE VENDAS'!$B$6:$P$500,3,FALSE),"")</f>
        <v>0</v>
      </c>
      <c r="D468" s="28">
        <f>IFERROR(VLOOKUP(B468,'SAÍDA DE VENDAS'!$B$6:$P$500,4,FALSE),"")</f>
        <v>0</v>
      </c>
      <c r="E468" s="28" t="str">
        <f>IFERROR(VLOOKUP(B468,'SAÍDA DE VENDAS'!$B$6:$P$500,5,FALSE),"")</f>
        <v/>
      </c>
      <c r="F468" s="28" t="str">
        <f>IF(OR(ISBLANK(B468),B468=""), "", IFERROR(INDEX('SAÍDA DE VENDAS'!$H$6:$H$500 &amp; "x " &amp; 'SAÍDA DE VENDAS'!$G$6:$G$500, MATCH(B468, 'SAÍDA DE VENDAS'!$B$6:$B$500, 0)), "")&amp; IF(COUNTIF('SAÍDA DE VENDAS'!$B$6:$B$500, B468)&gt;1, " + " &amp; IFERROR(INDEX('SAÍDA DE VENDAS'!$H$6:$H$500 &amp; "x " &amp; 'SAÍDA DE VENDAS'!$G$6:$G$500, MATCH(B468, 'SAÍDA DE VENDAS'!$B$6:$B$500, 0)+1), ""), "")&amp; IF(COUNTIF('SAÍDA DE VENDAS'!$B$6:$B$500, B468)&gt;2, " + " &amp; IFERROR(INDEX('SAÍDA DE VENDAS'!$H$6:$H$500 &amp; "x " &amp; 'SAÍDA DE VENDAS'!$G$6:$G$500, MATCH(B468, 'SAÍDA DE VENDAS'!$B$6:$B$500, 0)+2), ""), "")&amp; IF(COUNTIF('SAÍDA DE VENDAS'!$B$6:$B$500, B468)&gt;3, " + " &amp; IFERROR(INDEX('SAÍDA DE VENDAS'!$H$6:$H$500 &amp; "x " &amp; 'SAÍDA DE VENDAS'!$G$6:$G$500, MATCH(B468, 'SAÍDA DE VENDAS'!$B$6:$B$500, 0)+3), ""), "")&amp; IF(COUNTIF('SAÍDA DE VENDAS'!$B$6:$B$500, B468)&gt;4, " + " &amp; IFERROR(INDEX('SAÍDA DE VENDAS'!$H$6:$H$500 &amp; "x " &amp; 'SAÍDA DE VENDAS'!$G$6:$G$500, MATCH(B468, 'SAÍDA DE VENDAS'!$B$6:$B$500, 0)+4), ""), "")&amp; IF(COUNTIF('SAÍDA DE VENDAS'!$B$6:$B$500, B468)&gt;5, " + " &amp; IFERROR(INDEX('SAÍDA DE VENDAS'!$H$6:$H$500 &amp; "x " &amp; 'SAÍDA DE VENDAS'!$G$6:$G$500, MATCH(B468, 'SAÍDA DE VENDAS'!$B$6:$B$500, 0)+5), ""), ""))</f>
        <v/>
      </c>
      <c r="G468" s="28">
        <f>IFERROR(VLOOKUP(B468,'SAÍDA DE VENDAS'!$B$6:$P$500,10,FALSE),"")</f>
        <v>0</v>
      </c>
      <c r="H468" s="28" t="str">
        <f>IF(OR(ISBLANK(B468),B468=""), "", IF(B468=B467, (VALUE(LEFT(H467,FIND("/",H467)-1))+1)&amp;"/"&amp;RIGHT(H467,LEN(H467)-FIND("/",H467)), "1/"&amp;IFERROR(VLOOKUP(B468,'SAÍDA DE VENDAS'!$B$6:$P$500,13,FALSE),"1")))</f>
        <v/>
      </c>
      <c r="I468" s="69" t="str">
        <f t="shared" si="14"/>
        <v/>
      </c>
      <c r="J468" s="33" t="str">
        <f>IFERROR(VLOOKUP(B468,'SAÍDA DE VENDAS'!$B$6:$P$500,15,FALSE),"")</f>
        <v/>
      </c>
      <c r="K468" s="28" t="str">
        <f t="shared" ca="1" si="15"/>
        <v/>
      </c>
      <c r="L468" s="28"/>
      <c r="M468" s="28"/>
    </row>
    <row r="469" spans="2:13" ht="15" customHeight="1" x14ac:dyDescent="0.3">
      <c r="B469" s="34" t="str">
        <f>IF(B468="","", IF(VALUE(LEFT(H468,FIND("/",H468)-1)) &lt; VALUE(RIGHT(H468,LEN(H468)-FIND("/",H468))), B468, IFERROR(INDEX('SAÍDA DE VENDAS'!$B$6:$B$500, MATCH(B468,'SAÍDA DE VENDAS'!$B$6:$B$500,0)+COUNTIF('SAÍDA DE VENDAS'!$B$6:$B$500, B468)),"")))</f>
        <v/>
      </c>
      <c r="C469" s="35">
        <f>IFERROR(VLOOKUP(B469,'SAÍDA DE VENDAS'!$B$6:$P$500,3,FALSE),"")</f>
        <v>0</v>
      </c>
      <c r="D469" s="34">
        <f>IFERROR(VLOOKUP(B469,'SAÍDA DE VENDAS'!$B$6:$P$500,4,FALSE),"")</f>
        <v>0</v>
      </c>
      <c r="E469" s="34" t="str">
        <f>IFERROR(VLOOKUP(B469,'SAÍDA DE VENDAS'!$B$6:$P$500,5,FALSE),"")</f>
        <v/>
      </c>
      <c r="F469" s="34" t="str">
        <f>IF(OR(ISBLANK(B469),B469=""), "", IFERROR(INDEX('SAÍDA DE VENDAS'!$H$6:$H$500 &amp; "x " &amp; 'SAÍDA DE VENDAS'!$G$6:$G$500, MATCH(B469, 'SAÍDA DE VENDAS'!$B$6:$B$500, 0)), "")&amp; IF(COUNTIF('SAÍDA DE VENDAS'!$B$6:$B$500, B469)&gt;1, " + " &amp; IFERROR(INDEX('SAÍDA DE VENDAS'!$H$6:$H$500 &amp; "x " &amp; 'SAÍDA DE VENDAS'!$G$6:$G$500, MATCH(B469, 'SAÍDA DE VENDAS'!$B$6:$B$500, 0)+1), ""), "")&amp; IF(COUNTIF('SAÍDA DE VENDAS'!$B$6:$B$500, B469)&gt;2, " + " &amp; IFERROR(INDEX('SAÍDA DE VENDAS'!$H$6:$H$500 &amp; "x " &amp; 'SAÍDA DE VENDAS'!$G$6:$G$500, MATCH(B469, 'SAÍDA DE VENDAS'!$B$6:$B$500, 0)+2), ""), "")&amp; IF(COUNTIF('SAÍDA DE VENDAS'!$B$6:$B$500, B469)&gt;3, " + " &amp; IFERROR(INDEX('SAÍDA DE VENDAS'!$H$6:$H$500 &amp; "x " &amp; 'SAÍDA DE VENDAS'!$G$6:$G$500, MATCH(B469, 'SAÍDA DE VENDAS'!$B$6:$B$500, 0)+3), ""), "")&amp; IF(COUNTIF('SAÍDA DE VENDAS'!$B$6:$B$500, B469)&gt;4, " + " &amp; IFERROR(INDEX('SAÍDA DE VENDAS'!$H$6:$H$500 &amp; "x " &amp; 'SAÍDA DE VENDAS'!$G$6:$G$500, MATCH(B469, 'SAÍDA DE VENDAS'!$B$6:$B$500, 0)+4), ""), "")&amp; IF(COUNTIF('SAÍDA DE VENDAS'!$B$6:$B$500, B469)&gt;5, " + " &amp; IFERROR(INDEX('SAÍDA DE VENDAS'!$H$6:$H$500 &amp; "x " &amp; 'SAÍDA DE VENDAS'!$G$6:$G$500, MATCH(B469, 'SAÍDA DE VENDAS'!$B$6:$B$500, 0)+5), ""), ""))</f>
        <v/>
      </c>
      <c r="G469" s="34">
        <f>IFERROR(VLOOKUP(B469,'SAÍDA DE VENDAS'!$B$6:$P$500,10,FALSE),"")</f>
        <v>0</v>
      </c>
      <c r="H469" s="34" t="str">
        <f>IF(OR(ISBLANK(B469),B469=""), "", IF(B469=B468, (VALUE(LEFT(H468,FIND("/",H468)-1))+1)&amp;"/"&amp;RIGHT(H468,LEN(H468)-FIND("/",H468)), "1/"&amp;IFERROR(VLOOKUP(B469,'SAÍDA DE VENDAS'!$B$6:$P$500,13,FALSE),"1")))</f>
        <v/>
      </c>
      <c r="I469" s="35" t="str">
        <f t="shared" si="14"/>
        <v/>
      </c>
      <c r="J469" s="39" t="str">
        <f>IFERROR(VLOOKUP(B469,'SAÍDA DE VENDAS'!$B$6:$P$500,15,FALSE),"")</f>
        <v/>
      </c>
      <c r="K469" s="34" t="str">
        <f t="shared" ca="1" si="15"/>
        <v/>
      </c>
      <c r="L469" s="34"/>
      <c r="M469" s="34"/>
    </row>
    <row r="470" spans="2:13" ht="15" customHeight="1" x14ac:dyDescent="0.3">
      <c r="B470" s="28" t="str">
        <f>IF(B469="","", IF(VALUE(LEFT(H469,FIND("/",H469)-1)) &lt; VALUE(RIGHT(H469,LEN(H469)-FIND("/",H469))), B469, IFERROR(INDEX('SAÍDA DE VENDAS'!$B$6:$B$500, MATCH(B469,'SAÍDA DE VENDAS'!$B$6:$B$500,0)+COUNTIF('SAÍDA DE VENDAS'!$B$6:$B$500, B469)),"")))</f>
        <v/>
      </c>
      <c r="C470" s="29">
        <f>IFERROR(VLOOKUP(B470,'SAÍDA DE VENDAS'!$B$6:$P$500,3,FALSE),"")</f>
        <v>0</v>
      </c>
      <c r="D470" s="28">
        <f>IFERROR(VLOOKUP(B470,'SAÍDA DE VENDAS'!$B$6:$P$500,4,FALSE),"")</f>
        <v>0</v>
      </c>
      <c r="E470" s="28" t="str">
        <f>IFERROR(VLOOKUP(B470,'SAÍDA DE VENDAS'!$B$6:$P$500,5,FALSE),"")</f>
        <v/>
      </c>
      <c r="F470" s="28" t="str">
        <f>IF(OR(ISBLANK(B470),B470=""), "", IFERROR(INDEX('SAÍDA DE VENDAS'!$H$6:$H$500 &amp; "x " &amp; 'SAÍDA DE VENDAS'!$G$6:$G$500, MATCH(B470, 'SAÍDA DE VENDAS'!$B$6:$B$500, 0)), "")&amp; IF(COUNTIF('SAÍDA DE VENDAS'!$B$6:$B$500, B470)&gt;1, " + " &amp; IFERROR(INDEX('SAÍDA DE VENDAS'!$H$6:$H$500 &amp; "x " &amp; 'SAÍDA DE VENDAS'!$G$6:$G$500, MATCH(B470, 'SAÍDA DE VENDAS'!$B$6:$B$500, 0)+1), ""), "")&amp; IF(COUNTIF('SAÍDA DE VENDAS'!$B$6:$B$500, B470)&gt;2, " + " &amp; IFERROR(INDEX('SAÍDA DE VENDAS'!$H$6:$H$500 &amp; "x " &amp; 'SAÍDA DE VENDAS'!$G$6:$G$500, MATCH(B470, 'SAÍDA DE VENDAS'!$B$6:$B$500, 0)+2), ""), "")&amp; IF(COUNTIF('SAÍDA DE VENDAS'!$B$6:$B$500, B470)&gt;3, " + " &amp; IFERROR(INDEX('SAÍDA DE VENDAS'!$H$6:$H$500 &amp; "x " &amp; 'SAÍDA DE VENDAS'!$G$6:$G$500, MATCH(B470, 'SAÍDA DE VENDAS'!$B$6:$B$500, 0)+3), ""), "")&amp; IF(COUNTIF('SAÍDA DE VENDAS'!$B$6:$B$500, B470)&gt;4, " + " &amp; IFERROR(INDEX('SAÍDA DE VENDAS'!$H$6:$H$500 &amp; "x " &amp; 'SAÍDA DE VENDAS'!$G$6:$G$500, MATCH(B470, 'SAÍDA DE VENDAS'!$B$6:$B$500, 0)+4), ""), "")&amp; IF(COUNTIF('SAÍDA DE VENDAS'!$B$6:$B$500, B470)&gt;5, " + " &amp; IFERROR(INDEX('SAÍDA DE VENDAS'!$H$6:$H$500 &amp; "x " &amp; 'SAÍDA DE VENDAS'!$G$6:$G$500, MATCH(B470, 'SAÍDA DE VENDAS'!$B$6:$B$500, 0)+5), ""), ""))</f>
        <v/>
      </c>
      <c r="G470" s="28">
        <f>IFERROR(VLOOKUP(B470,'SAÍDA DE VENDAS'!$B$6:$P$500,10,FALSE),"")</f>
        <v>0</v>
      </c>
      <c r="H470" s="28" t="str">
        <f>IF(OR(ISBLANK(B470),B470=""), "", IF(B470=B469, (VALUE(LEFT(H469,FIND("/",H469)-1))+1)&amp;"/"&amp;RIGHT(H469,LEN(H469)-FIND("/",H469)), "1/"&amp;IFERROR(VLOOKUP(B470,'SAÍDA DE VENDAS'!$B$6:$P$500,13,FALSE),"1")))</f>
        <v/>
      </c>
      <c r="I470" s="69" t="str">
        <f t="shared" si="14"/>
        <v/>
      </c>
      <c r="J470" s="33" t="str">
        <f>IFERROR(VLOOKUP(B470,'SAÍDA DE VENDAS'!$B$6:$P$500,15,FALSE),"")</f>
        <v/>
      </c>
      <c r="K470" s="28" t="str">
        <f t="shared" ca="1" si="15"/>
        <v/>
      </c>
      <c r="L470" s="28"/>
      <c r="M470" s="28"/>
    </row>
    <row r="471" spans="2:13" ht="15" customHeight="1" x14ac:dyDescent="0.3">
      <c r="B471" s="34" t="str">
        <f>IF(B470="","", IF(VALUE(LEFT(H470,FIND("/",H470)-1)) &lt; VALUE(RIGHT(H470,LEN(H470)-FIND("/",H470))), B470, IFERROR(INDEX('SAÍDA DE VENDAS'!$B$6:$B$500, MATCH(B470,'SAÍDA DE VENDAS'!$B$6:$B$500,0)+COUNTIF('SAÍDA DE VENDAS'!$B$6:$B$500, B470)),"")))</f>
        <v/>
      </c>
      <c r="C471" s="35">
        <f>IFERROR(VLOOKUP(B471,'SAÍDA DE VENDAS'!$B$6:$P$500,3,FALSE),"")</f>
        <v>0</v>
      </c>
      <c r="D471" s="34">
        <f>IFERROR(VLOOKUP(B471,'SAÍDA DE VENDAS'!$B$6:$P$500,4,FALSE),"")</f>
        <v>0</v>
      </c>
      <c r="E471" s="34" t="str">
        <f>IFERROR(VLOOKUP(B471,'SAÍDA DE VENDAS'!$B$6:$P$500,5,FALSE),"")</f>
        <v/>
      </c>
      <c r="F471" s="34" t="str">
        <f>IF(OR(ISBLANK(B471),B471=""), "", IFERROR(INDEX('SAÍDA DE VENDAS'!$H$6:$H$500 &amp; "x " &amp; 'SAÍDA DE VENDAS'!$G$6:$G$500, MATCH(B471, 'SAÍDA DE VENDAS'!$B$6:$B$500, 0)), "")&amp; IF(COUNTIF('SAÍDA DE VENDAS'!$B$6:$B$500, B471)&gt;1, " + " &amp; IFERROR(INDEX('SAÍDA DE VENDAS'!$H$6:$H$500 &amp; "x " &amp; 'SAÍDA DE VENDAS'!$G$6:$G$500, MATCH(B471, 'SAÍDA DE VENDAS'!$B$6:$B$500, 0)+1), ""), "")&amp; IF(COUNTIF('SAÍDA DE VENDAS'!$B$6:$B$500, B471)&gt;2, " + " &amp; IFERROR(INDEX('SAÍDA DE VENDAS'!$H$6:$H$500 &amp; "x " &amp; 'SAÍDA DE VENDAS'!$G$6:$G$500, MATCH(B471, 'SAÍDA DE VENDAS'!$B$6:$B$500, 0)+2), ""), "")&amp; IF(COUNTIF('SAÍDA DE VENDAS'!$B$6:$B$500, B471)&gt;3, " + " &amp; IFERROR(INDEX('SAÍDA DE VENDAS'!$H$6:$H$500 &amp; "x " &amp; 'SAÍDA DE VENDAS'!$G$6:$G$500, MATCH(B471, 'SAÍDA DE VENDAS'!$B$6:$B$500, 0)+3), ""), "")&amp; IF(COUNTIF('SAÍDA DE VENDAS'!$B$6:$B$500, B471)&gt;4, " + " &amp; IFERROR(INDEX('SAÍDA DE VENDAS'!$H$6:$H$500 &amp; "x " &amp; 'SAÍDA DE VENDAS'!$G$6:$G$500, MATCH(B471, 'SAÍDA DE VENDAS'!$B$6:$B$500, 0)+4), ""), "")&amp; IF(COUNTIF('SAÍDA DE VENDAS'!$B$6:$B$500, B471)&gt;5, " + " &amp; IFERROR(INDEX('SAÍDA DE VENDAS'!$H$6:$H$500 &amp; "x " &amp; 'SAÍDA DE VENDAS'!$G$6:$G$500, MATCH(B471, 'SAÍDA DE VENDAS'!$B$6:$B$500, 0)+5), ""), ""))</f>
        <v/>
      </c>
      <c r="G471" s="34">
        <f>IFERROR(VLOOKUP(B471,'SAÍDA DE VENDAS'!$B$6:$P$500,10,FALSE),"")</f>
        <v>0</v>
      </c>
      <c r="H471" s="34" t="str">
        <f>IF(OR(ISBLANK(B471),B471=""), "", IF(B471=B470, (VALUE(LEFT(H470,FIND("/",H470)-1))+1)&amp;"/"&amp;RIGHT(H470,LEN(H470)-FIND("/",H470)), "1/"&amp;IFERROR(VLOOKUP(B471,'SAÍDA DE VENDAS'!$B$6:$P$500,13,FALSE),"1")))</f>
        <v/>
      </c>
      <c r="I471" s="35" t="str">
        <f t="shared" si="14"/>
        <v/>
      </c>
      <c r="J471" s="39" t="str">
        <f>IFERROR(VLOOKUP(B471,'SAÍDA DE VENDAS'!$B$6:$P$500,15,FALSE),"")</f>
        <v/>
      </c>
      <c r="K471" s="34" t="str">
        <f t="shared" ca="1" si="15"/>
        <v/>
      </c>
      <c r="L471" s="34"/>
      <c r="M471" s="34"/>
    </row>
    <row r="472" spans="2:13" ht="15" customHeight="1" x14ac:dyDescent="0.3">
      <c r="B472" s="28" t="str">
        <f>IF(B471="","", IF(VALUE(LEFT(H471,FIND("/",H471)-1)) &lt; VALUE(RIGHT(H471,LEN(H471)-FIND("/",H471))), B471, IFERROR(INDEX('SAÍDA DE VENDAS'!$B$6:$B$500, MATCH(B471,'SAÍDA DE VENDAS'!$B$6:$B$500,0)+COUNTIF('SAÍDA DE VENDAS'!$B$6:$B$500, B471)),"")))</f>
        <v/>
      </c>
      <c r="C472" s="29">
        <f>IFERROR(VLOOKUP(B472,'SAÍDA DE VENDAS'!$B$6:$P$500,3,FALSE),"")</f>
        <v>0</v>
      </c>
      <c r="D472" s="28">
        <f>IFERROR(VLOOKUP(B472,'SAÍDA DE VENDAS'!$B$6:$P$500,4,FALSE),"")</f>
        <v>0</v>
      </c>
      <c r="E472" s="28" t="str">
        <f>IFERROR(VLOOKUP(B472,'SAÍDA DE VENDAS'!$B$6:$P$500,5,FALSE),"")</f>
        <v/>
      </c>
      <c r="F472" s="28" t="str">
        <f>IF(OR(ISBLANK(B472),B472=""), "", IFERROR(INDEX('SAÍDA DE VENDAS'!$H$6:$H$500 &amp; "x " &amp; 'SAÍDA DE VENDAS'!$G$6:$G$500, MATCH(B472, 'SAÍDA DE VENDAS'!$B$6:$B$500, 0)), "")&amp; IF(COUNTIF('SAÍDA DE VENDAS'!$B$6:$B$500, B472)&gt;1, " + " &amp; IFERROR(INDEX('SAÍDA DE VENDAS'!$H$6:$H$500 &amp; "x " &amp; 'SAÍDA DE VENDAS'!$G$6:$G$500, MATCH(B472, 'SAÍDA DE VENDAS'!$B$6:$B$500, 0)+1), ""), "")&amp; IF(COUNTIF('SAÍDA DE VENDAS'!$B$6:$B$500, B472)&gt;2, " + " &amp; IFERROR(INDEX('SAÍDA DE VENDAS'!$H$6:$H$500 &amp; "x " &amp; 'SAÍDA DE VENDAS'!$G$6:$G$500, MATCH(B472, 'SAÍDA DE VENDAS'!$B$6:$B$500, 0)+2), ""), "")&amp; IF(COUNTIF('SAÍDA DE VENDAS'!$B$6:$B$500, B472)&gt;3, " + " &amp; IFERROR(INDEX('SAÍDA DE VENDAS'!$H$6:$H$500 &amp; "x " &amp; 'SAÍDA DE VENDAS'!$G$6:$G$500, MATCH(B472, 'SAÍDA DE VENDAS'!$B$6:$B$500, 0)+3), ""), "")&amp; IF(COUNTIF('SAÍDA DE VENDAS'!$B$6:$B$500, B472)&gt;4, " + " &amp; IFERROR(INDEX('SAÍDA DE VENDAS'!$H$6:$H$500 &amp; "x " &amp; 'SAÍDA DE VENDAS'!$G$6:$G$500, MATCH(B472, 'SAÍDA DE VENDAS'!$B$6:$B$500, 0)+4), ""), "")&amp; IF(COUNTIF('SAÍDA DE VENDAS'!$B$6:$B$500, B472)&gt;5, " + " &amp; IFERROR(INDEX('SAÍDA DE VENDAS'!$H$6:$H$500 &amp; "x " &amp; 'SAÍDA DE VENDAS'!$G$6:$G$500, MATCH(B472, 'SAÍDA DE VENDAS'!$B$6:$B$500, 0)+5), ""), ""))</f>
        <v/>
      </c>
      <c r="G472" s="28">
        <f>IFERROR(VLOOKUP(B472,'SAÍDA DE VENDAS'!$B$6:$P$500,10,FALSE),"")</f>
        <v>0</v>
      </c>
      <c r="H472" s="28" t="str">
        <f>IF(OR(ISBLANK(B472),B472=""), "", IF(B472=B471, (VALUE(LEFT(H471,FIND("/",H471)-1))+1)&amp;"/"&amp;RIGHT(H471,LEN(H471)-FIND("/",H471)), "1/"&amp;IFERROR(VLOOKUP(B472,'SAÍDA DE VENDAS'!$B$6:$P$500,13,FALSE),"1")))</f>
        <v/>
      </c>
      <c r="I472" s="69" t="str">
        <f t="shared" si="14"/>
        <v/>
      </c>
      <c r="J472" s="33" t="str">
        <f>IFERROR(VLOOKUP(B472,'SAÍDA DE VENDAS'!$B$6:$P$500,15,FALSE),"")</f>
        <v/>
      </c>
      <c r="K472" s="28" t="str">
        <f t="shared" ca="1" si="15"/>
        <v/>
      </c>
      <c r="L472" s="28"/>
      <c r="M472" s="28"/>
    </row>
    <row r="473" spans="2:13" ht="15" customHeight="1" x14ac:dyDescent="0.3">
      <c r="B473" s="34" t="str">
        <f>IF(B472="","", IF(VALUE(LEFT(H472,FIND("/",H472)-1)) &lt; VALUE(RIGHT(H472,LEN(H472)-FIND("/",H472))), B472, IFERROR(INDEX('SAÍDA DE VENDAS'!$B$6:$B$500, MATCH(B472,'SAÍDA DE VENDAS'!$B$6:$B$500,0)+COUNTIF('SAÍDA DE VENDAS'!$B$6:$B$500, B472)),"")))</f>
        <v/>
      </c>
      <c r="C473" s="35">
        <f>IFERROR(VLOOKUP(B473,'SAÍDA DE VENDAS'!$B$6:$P$500,3,FALSE),"")</f>
        <v>0</v>
      </c>
      <c r="D473" s="34">
        <f>IFERROR(VLOOKUP(B473,'SAÍDA DE VENDAS'!$B$6:$P$500,4,FALSE),"")</f>
        <v>0</v>
      </c>
      <c r="E473" s="34" t="str">
        <f>IFERROR(VLOOKUP(B473,'SAÍDA DE VENDAS'!$B$6:$P$500,5,FALSE),"")</f>
        <v/>
      </c>
      <c r="F473" s="34" t="str">
        <f>IF(OR(ISBLANK(B473),B473=""), "", IFERROR(INDEX('SAÍDA DE VENDAS'!$H$6:$H$500 &amp; "x " &amp; 'SAÍDA DE VENDAS'!$G$6:$G$500, MATCH(B473, 'SAÍDA DE VENDAS'!$B$6:$B$500, 0)), "")&amp; IF(COUNTIF('SAÍDA DE VENDAS'!$B$6:$B$500, B473)&gt;1, " + " &amp; IFERROR(INDEX('SAÍDA DE VENDAS'!$H$6:$H$500 &amp; "x " &amp; 'SAÍDA DE VENDAS'!$G$6:$G$500, MATCH(B473, 'SAÍDA DE VENDAS'!$B$6:$B$500, 0)+1), ""), "")&amp; IF(COUNTIF('SAÍDA DE VENDAS'!$B$6:$B$500, B473)&gt;2, " + " &amp; IFERROR(INDEX('SAÍDA DE VENDAS'!$H$6:$H$500 &amp; "x " &amp; 'SAÍDA DE VENDAS'!$G$6:$G$500, MATCH(B473, 'SAÍDA DE VENDAS'!$B$6:$B$500, 0)+2), ""), "")&amp; IF(COUNTIF('SAÍDA DE VENDAS'!$B$6:$B$500, B473)&gt;3, " + " &amp; IFERROR(INDEX('SAÍDA DE VENDAS'!$H$6:$H$500 &amp; "x " &amp; 'SAÍDA DE VENDAS'!$G$6:$G$500, MATCH(B473, 'SAÍDA DE VENDAS'!$B$6:$B$500, 0)+3), ""), "")&amp; IF(COUNTIF('SAÍDA DE VENDAS'!$B$6:$B$500, B473)&gt;4, " + " &amp; IFERROR(INDEX('SAÍDA DE VENDAS'!$H$6:$H$500 &amp; "x " &amp; 'SAÍDA DE VENDAS'!$G$6:$G$500, MATCH(B473, 'SAÍDA DE VENDAS'!$B$6:$B$500, 0)+4), ""), "")&amp; IF(COUNTIF('SAÍDA DE VENDAS'!$B$6:$B$500, B473)&gt;5, " + " &amp; IFERROR(INDEX('SAÍDA DE VENDAS'!$H$6:$H$500 &amp; "x " &amp; 'SAÍDA DE VENDAS'!$G$6:$G$500, MATCH(B473, 'SAÍDA DE VENDAS'!$B$6:$B$500, 0)+5), ""), ""))</f>
        <v/>
      </c>
      <c r="G473" s="34">
        <f>IFERROR(VLOOKUP(B473,'SAÍDA DE VENDAS'!$B$6:$P$500,10,FALSE),"")</f>
        <v>0</v>
      </c>
      <c r="H473" s="34" t="str">
        <f>IF(OR(ISBLANK(B473),B473=""), "", IF(B473=B472, (VALUE(LEFT(H472,FIND("/",H472)-1))+1)&amp;"/"&amp;RIGHT(H472,LEN(H472)-FIND("/",H472)), "1/"&amp;IFERROR(VLOOKUP(B473,'SAÍDA DE VENDAS'!$B$6:$P$500,13,FALSE),"1")))</f>
        <v/>
      </c>
      <c r="I473" s="35" t="str">
        <f t="shared" si="14"/>
        <v/>
      </c>
      <c r="J473" s="39" t="str">
        <f>IFERROR(VLOOKUP(B473,'SAÍDA DE VENDAS'!$B$6:$P$500,15,FALSE),"")</f>
        <v/>
      </c>
      <c r="K473" s="34" t="str">
        <f t="shared" ca="1" si="15"/>
        <v/>
      </c>
      <c r="L473" s="34"/>
      <c r="M473" s="34"/>
    </row>
    <row r="474" spans="2:13" ht="15" customHeight="1" x14ac:dyDescent="0.3">
      <c r="B474" s="28" t="str">
        <f>IF(B473="","", IF(VALUE(LEFT(H473,FIND("/",H473)-1)) &lt; VALUE(RIGHT(H473,LEN(H473)-FIND("/",H473))), B473, IFERROR(INDEX('SAÍDA DE VENDAS'!$B$6:$B$500, MATCH(B473,'SAÍDA DE VENDAS'!$B$6:$B$500,0)+COUNTIF('SAÍDA DE VENDAS'!$B$6:$B$500, B473)),"")))</f>
        <v/>
      </c>
      <c r="C474" s="29">
        <f>IFERROR(VLOOKUP(B474,'SAÍDA DE VENDAS'!$B$6:$P$500,3,FALSE),"")</f>
        <v>0</v>
      </c>
      <c r="D474" s="28">
        <f>IFERROR(VLOOKUP(B474,'SAÍDA DE VENDAS'!$B$6:$P$500,4,FALSE),"")</f>
        <v>0</v>
      </c>
      <c r="E474" s="28" t="str">
        <f>IFERROR(VLOOKUP(B474,'SAÍDA DE VENDAS'!$B$6:$P$500,5,FALSE),"")</f>
        <v/>
      </c>
      <c r="F474" s="28" t="str">
        <f>IF(OR(ISBLANK(B474),B474=""), "", IFERROR(INDEX('SAÍDA DE VENDAS'!$H$6:$H$500 &amp; "x " &amp; 'SAÍDA DE VENDAS'!$G$6:$G$500, MATCH(B474, 'SAÍDA DE VENDAS'!$B$6:$B$500, 0)), "")&amp; IF(COUNTIF('SAÍDA DE VENDAS'!$B$6:$B$500, B474)&gt;1, " + " &amp; IFERROR(INDEX('SAÍDA DE VENDAS'!$H$6:$H$500 &amp; "x " &amp; 'SAÍDA DE VENDAS'!$G$6:$G$500, MATCH(B474, 'SAÍDA DE VENDAS'!$B$6:$B$500, 0)+1), ""), "")&amp; IF(COUNTIF('SAÍDA DE VENDAS'!$B$6:$B$500, B474)&gt;2, " + " &amp; IFERROR(INDEX('SAÍDA DE VENDAS'!$H$6:$H$500 &amp; "x " &amp; 'SAÍDA DE VENDAS'!$G$6:$G$500, MATCH(B474, 'SAÍDA DE VENDAS'!$B$6:$B$500, 0)+2), ""), "")&amp; IF(COUNTIF('SAÍDA DE VENDAS'!$B$6:$B$500, B474)&gt;3, " + " &amp; IFERROR(INDEX('SAÍDA DE VENDAS'!$H$6:$H$500 &amp; "x " &amp; 'SAÍDA DE VENDAS'!$G$6:$G$500, MATCH(B474, 'SAÍDA DE VENDAS'!$B$6:$B$500, 0)+3), ""), "")&amp; IF(COUNTIF('SAÍDA DE VENDAS'!$B$6:$B$500, B474)&gt;4, " + " &amp; IFERROR(INDEX('SAÍDA DE VENDAS'!$H$6:$H$500 &amp; "x " &amp; 'SAÍDA DE VENDAS'!$G$6:$G$500, MATCH(B474, 'SAÍDA DE VENDAS'!$B$6:$B$500, 0)+4), ""), "")&amp; IF(COUNTIF('SAÍDA DE VENDAS'!$B$6:$B$500, B474)&gt;5, " + " &amp; IFERROR(INDEX('SAÍDA DE VENDAS'!$H$6:$H$500 &amp; "x " &amp; 'SAÍDA DE VENDAS'!$G$6:$G$500, MATCH(B474, 'SAÍDA DE VENDAS'!$B$6:$B$500, 0)+5), ""), ""))</f>
        <v/>
      </c>
      <c r="G474" s="28">
        <f>IFERROR(VLOOKUP(B474,'SAÍDA DE VENDAS'!$B$6:$P$500,10,FALSE),"")</f>
        <v>0</v>
      </c>
      <c r="H474" s="28" t="str">
        <f>IF(OR(ISBLANK(B474),B474=""), "", IF(B474=B473, (VALUE(LEFT(H473,FIND("/",H473)-1))+1)&amp;"/"&amp;RIGHT(H473,LEN(H473)-FIND("/",H473)), "1/"&amp;IFERROR(VLOOKUP(B474,'SAÍDA DE VENDAS'!$B$6:$P$500,13,FALSE),"1")))</f>
        <v/>
      </c>
      <c r="I474" s="69" t="str">
        <f t="shared" si="14"/>
        <v/>
      </c>
      <c r="J474" s="33" t="str">
        <f>IFERROR(VLOOKUP(B474,'SAÍDA DE VENDAS'!$B$6:$P$500,15,FALSE),"")</f>
        <v/>
      </c>
      <c r="K474" s="28" t="str">
        <f t="shared" ca="1" si="15"/>
        <v/>
      </c>
      <c r="L474" s="28"/>
      <c r="M474" s="28"/>
    </row>
    <row r="475" spans="2:13" ht="15" customHeight="1" x14ac:dyDescent="0.3">
      <c r="B475" s="34" t="str">
        <f>IF(B474="","", IF(VALUE(LEFT(H474,FIND("/",H474)-1)) &lt; VALUE(RIGHT(H474,LEN(H474)-FIND("/",H474))), B474, IFERROR(INDEX('SAÍDA DE VENDAS'!$B$6:$B$500, MATCH(B474,'SAÍDA DE VENDAS'!$B$6:$B$500,0)+COUNTIF('SAÍDA DE VENDAS'!$B$6:$B$500, B474)),"")))</f>
        <v/>
      </c>
      <c r="C475" s="35">
        <f>IFERROR(VLOOKUP(B475,'SAÍDA DE VENDAS'!$B$6:$P$500,3,FALSE),"")</f>
        <v>0</v>
      </c>
      <c r="D475" s="34">
        <f>IFERROR(VLOOKUP(B475,'SAÍDA DE VENDAS'!$B$6:$P$500,4,FALSE),"")</f>
        <v>0</v>
      </c>
      <c r="E475" s="34" t="str">
        <f>IFERROR(VLOOKUP(B475,'SAÍDA DE VENDAS'!$B$6:$P$500,5,FALSE),"")</f>
        <v/>
      </c>
      <c r="F475" s="34" t="str">
        <f>IF(OR(ISBLANK(B475),B475=""), "", IFERROR(INDEX('SAÍDA DE VENDAS'!$H$6:$H$500 &amp; "x " &amp; 'SAÍDA DE VENDAS'!$G$6:$G$500, MATCH(B475, 'SAÍDA DE VENDAS'!$B$6:$B$500, 0)), "")&amp; IF(COUNTIF('SAÍDA DE VENDAS'!$B$6:$B$500, B475)&gt;1, " + " &amp; IFERROR(INDEX('SAÍDA DE VENDAS'!$H$6:$H$500 &amp; "x " &amp; 'SAÍDA DE VENDAS'!$G$6:$G$500, MATCH(B475, 'SAÍDA DE VENDAS'!$B$6:$B$500, 0)+1), ""), "")&amp; IF(COUNTIF('SAÍDA DE VENDAS'!$B$6:$B$500, B475)&gt;2, " + " &amp; IFERROR(INDEX('SAÍDA DE VENDAS'!$H$6:$H$500 &amp; "x " &amp; 'SAÍDA DE VENDAS'!$G$6:$G$500, MATCH(B475, 'SAÍDA DE VENDAS'!$B$6:$B$500, 0)+2), ""), "")&amp; IF(COUNTIF('SAÍDA DE VENDAS'!$B$6:$B$500, B475)&gt;3, " + " &amp; IFERROR(INDEX('SAÍDA DE VENDAS'!$H$6:$H$500 &amp; "x " &amp; 'SAÍDA DE VENDAS'!$G$6:$G$500, MATCH(B475, 'SAÍDA DE VENDAS'!$B$6:$B$500, 0)+3), ""), "")&amp; IF(COUNTIF('SAÍDA DE VENDAS'!$B$6:$B$500, B475)&gt;4, " + " &amp; IFERROR(INDEX('SAÍDA DE VENDAS'!$H$6:$H$500 &amp; "x " &amp; 'SAÍDA DE VENDAS'!$G$6:$G$500, MATCH(B475, 'SAÍDA DE VENDAS'!$B$6:$B$500, 0)+4), ""), "")&amp; IF(COUNTIF('SAÍDA DE VENDAS'!$B$6:$B$500, B475)&gt;5, " + " &amp; IFERROR(INDEX('SAÍDA DE VENDAS'!$H$6:$H$500 &amp; "x " &amp; 'SAÍDA DE VENDAS'!$G$6:$G$500, MATCH(B475, 'SAÍDA DE VENDAS'!$B$6:$B$500, 0)+5), ""), ""))</f>
        <v/>
      </c>
      <c r="G475" s="34">
        <f>IFERROR(VLOOKUP(B475,'SAÍDA DE VENDAS'!$B$6:$P$500,10,FALSE),"")</f>
        <v>0</v>
      </c>
      <c r="H475" s="34" t="str">
        <f>IF(OR(ISBLANK(B475),B475=""), "", IF(B475=B474, (VALUE(LEFT(H474,FIND("/",H474)-1))+1)&amp;"/"&amp;RIGHT(H474,LEN(H474)-FIND("/",H474)), "1/"&amp;IFERROR(VLOOKUP(B475,'SAÍDA DE VENDAS'!$B$6:$P$500,13,FALSE),"1")))</f>
        <v/>
      </c>
      <c r="I475" s="35" t="str">
        <f t="shared" si="14"/>
        <v/>
      </c>
      <c r="J475" s="39" t="str">
        <f>IFERROR(VLOOKUP(B475,'SAÍDA DE VENDAS'!$B$6:$P$500,15,FALSE),"")</f>
        <v/>
      </c>
      <c r="K475" s="34" t="str">
        <f t="shared" ca="1" si="15"/>
        <v/>
      </c>
      <c r="L475" s="34"/>
      <c r="M475" s="34"/>
    </row>
    <row r="476" spans="2:13" ht="15" customHeight="1" x14ac:dyDescent="0.3">
      <c r="B476" s="28" t="str">
        <f>IF(B475="","", IF(VALUE(LEFT(H475,FIND("/",H475)-1)) &lt; VALUE(RIGHT(H475,LEN(H475)-FIND("/",H475))), B475, IFERROR(INDEX('SAÍDA DE VENDAS'!$B$6:$B$500, MATCH(B475,'SAÍDA DE VENDAS'!$B$6:$B$500,0)+COUNTIF('SAÍDA DE VENDAS'!$B$6:$B$500, B475)),"")))</f>
        <v/>
      </c>
      <c r="C476" s="29">
        <f>IFERROR(VLOOKUP(B476,'SAÍDA DE VENDAS'!$B$6:$P$500,3,FALSE),"")</f>
        <v>0</v>
      </c>
      <c r="D476" s="28">
        <f>IFERROR(VLOOKUP(B476,'SAÍDA DE VENDAS'!$B$6:$P$500,4,FALSE),"")</f>
        <v>0</v>
      </c>
      <c r="E476" s="28" t="str">
        <f>IFERROR(VLOOKUP(B476,'SAÍDA DE VENDAS'!$B$6:$P$500,5,FALSE),"")</f>
        <v/>
      </c>
      <c r="F476" s="28" t="str">
        <f>IF(OR(ISBLANK(B476),B476=""), "", IFERROR(INDEX('SAÍDA DE VENDAS'!$H$6:$H$500 &amp; "x " &amp; 'SAÍDA DE VENDAS'!$G$6:$G$500, MATCH(B476, 'SAÍDA DE VENDAS'!$B$6:$B$500, 0)), "")&amp; IF(COUNTIF('SAÍDA DE VENDAS'!$B$6:$B$500, B476)&gt;1, " + " &amp; IFERROR(INDEX('SAÍDA DE VENDAS'!$H$6:$H$500 &amp; "x " &amp; 'SAÍDA DE VENDAS'!$G$6:$G$500, MATCH(B476, 'SAÍDA DE VENDAS'!$B$6:$B$500, 0)+1), ""), "")&amp; IF(COUNTIF('SAÍDA DE VENDAS'!$B$6:$B$500, B476)&gt;2, " + " &amp; IFERROR(INDEX('SAÍDA DE VENDAS'!$H$6:$H$500 &amp; "x " &amp; 'SAÍDA DE VENDAS'!$G$6:$G$500, MATCH(B476, 'SAÍDA DE VENDAS'!$B$6:$B$500, 0)+2), ""), "")&amp; IF(COUNTIF('SAÍDA DE VENDAS'!$B$6:$B$500, B476)&gt;3, " + " &amp; IFERROR(INDEX('SAÍDA DE VENDAS'!$H$6:$H$500 &amp; "x " &amp; 'SAÍDA DE VENDAS'!$G$6:$G$500, MATCH(B476, 'SAÍDA DE VENDAS'!$B$6:$B$500, 0)+3), ""), "")&amp; IF(COUNTIF('SAÍDA DE VENDAS'!$B$6:$B$500, B476)&gt;4, " + " &amp; IFERROR(INDEX('SAÍDA DE VENDAS'!$H$6:$H$500 &amp; "x " &amp; 'SAÍDA DE VENDAS'!$G$6:$G$500, MATCH(B476, 'SAÍDA DE VENDAS'!$B$6:$B$500, 0)+4), ""), "")&amp; IF(COUNTIF('SAÍDA DE VENDAS'!$B$6:$B$500, B476)&gt;5, " + " &amp; IFERROR(INDEX('SAÍDA DE VENDAS'!$H$6:$H$500 &amp; "x " &amp; 'SAÍDA DE VENDAS'!$G$6:$G$500, MATCH(B476, 'SAÍDA DE VENDAS'!$B$6:$B$500, 0)+5), ""), ""))</f>
        <v/>
      </c>
      <c r="G476" s="28">
        <f>IFERROR(VLOOKUP(B476,'SAÍDA DE VENDAS'!$B$6:$P$500,10,FALSE),"")</f>
        <v>0</v>
      </c>
      <c r="H476" s="28" t="str">
        <f>IF(OR(ISBLANK(B476),B476=""), "", IF(B476=B475, (VALUE(LEFT(H475,FIND("/",H475)-1))+1)&amp;"/"&amp;RIGHT(H475,LEN(H475)-FIND("/",H475)), "1/"&amp;IFERROR(VLOOKUP(B476,'SAÍDA DE VENDAS'!$B$6:$P$500,13,FALSE),"1")))</f>
        <v/>
      </c>
      <c r="I476" s="69" t="str">
        <f t="shared" si="14"/>
        <v/>
      </c>
      <c r="J476" s="33" t="str">
        <f>IFERROR(VLOOKUP(B476,'SAÍDA DE VENDAS'!$B$6:$P$500,15,FALSE),"")</f>
        <v/>
      </c>
      <c r="K476" s="28" t="str">
        <f t="shared" ca="1" si="15"/>
        <v/>
      </c>
      <c r="L476" s="28"/>
      <c r="M476" s="28"/>
    </row>
    <row r="477" spans="2:13" ht="15" customHeight="1" x14ac:dyDescent="0.3">
      <c r="B477" s="34" t="str">
        <f>IF(B476="","", IF(VALUE(LEFT(H476,FIND("/",H476)-1)) &lt; VALUE(RIGHT(H476,LEN(H476)-FIND("/",H476))), B476, IFERROR(INDEX('SAÍDA DE VENDAS'!$B$6:$B$500, MATCH(B476,'SAÍDA DE VENDAS'!$B$6:$B$500,0)+COUNTIF('SAÍDA DE VENDAS'!$B$6:$B$500, B476)),"")))</f>
        <v/>
      </c>
      <c r="C477" s="35">
        <f>IFERROR(VLOOKUP(B477,'SAÍDA DE VENDAS'!$B$6:$P$500,3,FALSE),"")</f>
        <v>0</v>
      </c>
      <c r="D477" s="34">
        <f>IFERROR(VLOOKUP(B477,'SAÍDA DE VENDAS'!$B$6:$P$500,4,FALSE),"")</f>
        <v>0</v>
      </c>
      <c r="E477" s="34" t="str">
        <f>IFERROR(VLOOKUP(B477,'SAÍDA DE VENDAS'!$B$6:$P$500,5,FALSE),"")</f>
        <v/>
      </c>
      <c r="F477" s="34" t="str">
        <f>IF(OR(ISBLANK(B477),B477=""), "", IFERROR(INDEX('SAÍDA DE VENDAS'!$H$6:$H$500 &amp; "x " &amp; 'SAÍDA DE VENDAS'!$G$6:$G$500, MATCH(B477, 'SAÍDA DE VENDAS'!$B$6:$B$500, 0)), "")&amp; IF(COUNTIF('SAÍDA DE VENDAS'!$B$6:$B$500, B477)&gt;1, " + " &amp; IFERROR(INDEX('SAÍDA DE VENDAS'!$H$6:$H$500 &amp; "x " &amp; 'SAÍDA DE VENDAS'!$G$6:$G$500, MATCH(B477, 'SAÍDA DE VENDAS'!$B$6:$B$500, 0)+1), ""), "")&amp; IF(COUNTIF('SAÍDA DE VENDAS'!$B$6:$B$500, B477)&gt;2, " + " &amp; IFERROR(INDEX('SAÍDA DE VENDAS'!$H$6:$H$500 &amp; "x " &amp; 'SAÍDA DE VENDAS'!$G$6:$G$500, MATCH(B477, 'SAÍDA DE VENDAS'!$B$6:$B$500, 0)+2), ""), "")&amp; IF(COUNTIF('SAÍDA DE VENDAS'!$B$6:$B$500, B477)&gt;3, " + " &amp; IFERROR(INDEX('SAÍDA DE VENDAS'!$H$6:$H$500 &amp; "x " &amp; 'SAÍDA DE VENDAS'!$G$6:$G$500, MATCH(B477, 'SAÍDA DE VENDAS'!$B$6:$B$500, 0)+3), ""), "")&amp; IF(COUNTIF('SAÍDA DE VENDAS'!$B$6:$B$500, B477)&gt;4, " + " &amp; IFERROR(INDEX('SAÍDA DE VENDAS'!$H$6:$H$500 &amp; "x " &amp; 'SAÍDA DE VENDAS'!$G$6:$G$500, MATCH(B477, 'SAÍDA DE VENDAS'!$B$6:$B$500, 0)+4), ""), "")&amp; IF(COUNTIF('SAÍDA DE VENDAS'!$B$6:$B$500, B477)&gt;5, " + " &amp; IFERROR(INDEX('SAÍDA DE VENDAS'!$H$6:$H$500 &amp; "x " &amp; 'SAÍDA DE VENDAS'!$G$6:$G$500, MATCH(B477, 'SAÍDA DE VENDAS'!$B$6:$B$500, 0)+5), ""), ""))</f>
        <v/>
      </c>
      <c r="G477" s="34">
        <f>IFERROR(VLOOKUP(B477,'SAÍDA DE VENDAS'!$B$6:$P$500,10,FALSE),"")</f>
        <v>0</v>
      </c>
      <c r="H477" s="34" t="str">
        <f>IF(OR(ISBLANK(B477),B477=""), "", IF(B477=B476, (VALUE(LEFT(H476,FIND("/",H476)-1))+1)&amp;"/"&amp;RIGHT(H476,LEN(H476)-FIND("/",H476)), "1/"&amp;IFERROR(VLOOKUP(B477,'SAÍDA DE VENDAS'!$B$6:$P$500,13,FALSE),"1")))</f>
        <v/>
      </c>
      <c r="I477" s="35" t="str">
        <f t="shared" si="14"/>
        <v/>
      </c>
      <c r="J477" s="39" t="str">
        <f>IFERROR(VLOOKUP(B477,'SAÍDA DE VENDAS'!$B$6:$P$500,15,FALSE),"")</f>
        <v/>
      </c>
      <c r="K477" s="34" t="str">
        <f t="shared" ca="1" si="15"/>
        <v/>
      </c>
      <c r="L477" s="34"/>
      <c r="M477" s="34"/>
    </row>
    <row r="478" spans="2:13" ht="15" customHeight="1" x14ac:dyDescent="0.3">
      <c r="B478" s="28" t="str">
        <f>IF(B477="","", IF(VALUE(LEFT(H477,FIND("/",H477)-1)) &lt; VALUE(RIGHT(H477,LEN(H477)-FIND("/",H477))), B477, IFERROR(INDEX('SAÍDA DE VENDAS'!$B$6:$B$500, MATCH(B477,'SAÍDA DE VENDAS'!$B$6:$B$500,0)+COUNTIF('SAÍDA DE VENDAS'!$B$6:$B$500, B477)),"")))</f>
        <v/>
      </c>
      <c r="C478" s="29">
        <f>IFERROR(VLOOKUP(B478,'SAÍDA DE VENDAS'!$B$6:$P$500,3,FALSE),"")</f>
        <v>0</v>
      </c>
      <c r="D478" s="28">
        <f>IFERROR(VLOOKUP(B478,'SAÍDA DE VENDAS'!$B$6:$P$500,4,FALSE),"")</f>
        <v>0</v>
      </c>
      <c r="E478" s="28" t="str">
        <f>IFERROR(VLOOKUP(B478,'SAÍDA DE VENDAS'!$B$6:$P$500,5,FALSE),"")</f>
        <v/>
      </c>
      <c r="F478" s="28" t="str">
        <f>IF(OR(ISBLANK(B478),B478=""), "", IFERROR(INDEX('SAÍDA DE VENDAS'!$H$6:$H$500 &amp; "x " &amp; 'SAÍDA DE VENDAS'!$G$6:$G$500, MATCH(B478, 'SAÍDA DE VENDAS'!$B$6:$B$500, 0)), "")&amp; IF(COUNTIF('SAÍDA DE VENDAS'!$B$6:$B$500, B478)&gt;1, " + " &amp; IFERROR(INDEX('SAÍDA DE VENDAS'!$H$6:$H$500 &amp; "x " &amp; 'SAÍDA DE VENDAS'!$G$6:$G$500, MATCH(B478, 'SAÍDA DE VENDAS'!$B$6:$B$500, 0)+1), ""), "")&amp; IF(COUNTIF('SAÍDA DE VENDAS'!$B$6:$B$500, B478)&gt;2, " + " &amp; IFERROR(INDEX('SAÍDA DE VENDAS'!$H$6:$H$500 &amp; "x " &amp; 'SAÍDA DE VENDAS'!$G$6:$G$500, MATCH(B478, 'SAÍDA DE VENDAS'!$B$6:$B$500, 0)+2), ""), "")&amp; IF(COUNTIF('SAÍDA DE VENDAS'!$B$6:$B$500, B478)&gt;3, " + " &amp; IFERROR(INDEX('SAÍDA DE VENDAS'!$H$6:$H$500 &amp; "x " &amp; 'SAÍDA DE VENDAS'!$G$6:$G$500, MATCH(B478, 'SAÍDA DE VENDAS'!$B$6:$B$500, 0)+3), ""), "")&amp; IF(COUNTIF('SAÍDA DE VENDAS'!$B$6:$B$500, B478)&gt;4, " + " &amp; IFERROR(INDEX('SAÍDA DE VENDAS'!$H$6:$H$500 &amp; "x " &amp; 'SAÍDA DE VENDAS'!$G$6:$G$500, MATCH(B478, 'SAÍDA DE VENDAS'!$B$6:$B$500, 0)+4), ""), "")&amp; IF(COUNTIF('SAÍDA DE VENDAS'!$B$6:$B$500, B478)&gt;5, " + " &amp; IFERROR(INDEX('SAÍDA DE VENDAS'!$H$6:$H$500 &amp; "x " &amp; 'SAÍDA DE VENDAS'!$G$6:$G$500, MATCH(B478, 'SAÍDA DE VENDAS'!$B$6:$B$500, 0)+5), ""), ""))</f>
        <v/>
      </c>
      <c r="G478" s="28">
        <f>IFERROR(VLOOKUP(B478,'SAÍDA DE VENDAS'!$B$6:$P$500,10,FALSE),"")</f>
        <v>0</v>
      </c>
      <c r="H478" s="28" t="str">
        <f>IF(OR(ISBLANK(B478),B478=""), "", IF(B478=B477, (VALUE(LEFT(H477,FIND("/",H477)-1))+1)&amp;"/"&amp;RIGHT(H477,LEN(H477)-FIND("/",H477)), "1/"&amp;IFERROR(VLOOKUP(B478,'SAÍDA DE VENDAS'!$B$6:$P$500,13,FALSE),"1")))</f>
        <v/>
      </c>
      <c r="I478" s="69" t="str">
        <f t="shared" si="14"/>
        <v/>
      </c>
      <c r="J478" s="33" t="str">
        <f>IFERROR(VLOOKUP(B478,'SAÍDA DE VENDAS'!$B$6:$P$500,15,FALSE),"")</f>
        <v/>
      </c>
      <c r="K478" s="28" t="str">
        <f t="shared" ca="1" si="15"/>
        <v/>
      </c>
      <c r="L478" s="28"/>
      <c r="M478" s="28"/>
    </row>
    <row r="479" spans="2:13" ht="15" customHeight="1" x14ac:dyDescent="0.3">
      <c r="B479" s="34" t="str">
        <f>IF(B478="","", IF(VALUE(LEFT(H478,FIND("/",H478)-1)) &lt; VALUE(RIGHT(H478,LEN(H478)-FIND("/",H478))), B478, IFERROR(INDEX('SAÍDA DE VENDAS'!$B$6:$B$500, MATCH(B478,'SAÍDA DE VENDAS'!$B$6:$B$500,0)+COUNTIF('SAÍDA DE VENDAS'!$B$6:$B$500, B478)),"")))</f>
        <v/>
      </c>
      <c r="C479" s="35">
        <f>IFERROR(VLOOKUP(B479,'SAÍDA DE VENDAS'!$B$6:$P$500,3,FALSE),"")</f>
        <v>0</v>
      </c>
      <c r="D479" s="34">
        <f>IFERROR(VLOOKUP(B479,'SAÍDA DE VENDAS'!$B$6:$P$500,4,FALSE),"")</f>
        <v>0</v>
      </c>
      <c r="E479" s="34" t="str">
        <f>IFERROR(VLOOKUP(B479,'SAÍDA DE VENDAS'!$B$6:$P$500,5,FALSE),"")</f>
        <v/>
      </c>
      <c r="F479" s="34" t="str">
        <f>IF(OR(ISBLANK(B479),B479=""), "", IFERROR(INDEX('SAÍDA DE VENDAS'!$H$6:$H$500 &amp; "x " &amp; 'SAÍDA DE VENDAS'!$G$6:$G$500, MATCH(B479, 'SAÍDA DE VENDAS'!$B$6:$B$500, 0)), "")&amp; IF(COUNTIF('SAÍDA DE VENDAS'!$B$6:$B$500, B479)&gt;1, " + " &amp; IFERROR(INDEX('SAÍDA DE VENDAS'!$H$6:$H$500 &amp; "x " &amp; 'SAÍDA DE VENDAS'!$G$6:$G$500, MATCH(B479, 'SAÍDA DE VENDAS'!$B$6:$B$500, 0)+1), ""), "")&amp; IF(COUNTIF('SAÍDA DE VENDAS'!$B$6:$B$500, B479)&gt;2, " + " &amp; IFERROR(INDEX('SAÍDA DE VENDAS'!$H$6:$H$500 &amp; "x " &amp; 'SAÍDA DE VENDAS'!$G$6:$G$500, MATCH(B479, 'SAÍDA DE VENDAS'!$B$6:$B$500, 0)+2), ""), "")&amp; IF(COUNTIF('SAÍDA DE VENDAS'!$B$6:$B$500, B479)&gt;3, " + " &amp; IFERROR(INDEX('SAÍDA DE VENDAS'!$H$6:$H$500 &amp; "x " &amp; 'SAÍDA DE VENDAS'!$G$6:$G$500, MATCH(B479, 'SAÍDA DE VENDAS'!$B$6:$B$500, 0)+3), ""), "")&amp; IF(COUNTIF('SAÍDA DE VENDAS'!$B$6:$B$500, B479)&gt;4, " + " &amp; IFERROR(INDEX('SAÍDA DE VENDAS'!$H$6:$H$500 &amp; "x " &amp; 'SAÍDA DE VENDAS'!$G$6:$G$500, MATCH(B479, 'SAÍDA DE VENDAS'!$B$6:$B$500, 0)+4), ""), "")&amp; IF(COUNTIF('SAÍDA DE VENDAS'!$B$6:$B$500, B479)&gt;5, " + " &amp; IFERROR(INDEX('SAÍDA DE VENDAS'!$H$6:$H$500 &amp; "x " &amp; 'SAÍDA DE VENDAS'!$G$6:$G$500, MATCH(B479, 'SAÍDA DE VENDAS'!$B$6:$B$500, 0)+5), ""), ""))</f>
        <v/>
      </c>
      <c r="G479" s="34">
        <f>IFERROR(VLOOKUP(B479,'SAÍDA DE VENDAS'!$B$6:$P$500,10,FALSE),"")</f>
        <v>0</v>
      </c>
      <c r="H479" s="34" t="str">
        <f>IF(OR(ISBLANK(B479),B479=""), "", IF(B479=B478, (VALUE(LEFT(H478,FIND("/",H478)-1))+1)&amp;"/"&amp;RIGHT(H478,LEN(H478)-FIND("/",H478)), "1/"&amp;IFERROR(VLOOKUP(B479,'SAÍDA DE VENDAS'!$B$6:$P$500,13,FALSE),"1")))</f>
        <v/>
      </c>
      <c r="I479" s="35" t="str">
        <f t="shared" si="14"/>
        <v/>
      </c>
      <c r="J479" s="39" t="str">
        <f>IFERROR(VLOOKUP(B479,'SAÍDA DE VENDAS'!$B$6:$P$500,15,FALSE),"")</f>
        <v/>
      </c>
      <c r="K479" s="34" t="str">
        <f t="shared" ca="1" si="15"/>
        <v/>
      </c>
      <c r="L479" s="34"/>
      <c r="M479" s="34"/>
    </row>
    <row r="480" spans="2:13" ht="15" customHeight="1" x14ac:dyDescent="0.3">
      <c r="B480" s="28" t="str">
        <f>IF(B479="","", IF(VALUE(LEFT(H479,FIND("/",H479)-1)) &lt; VALUE(RIGHT(H479,LEN(H479)-FIND("/",H479))), B479, IFERROR(INDEX('SAÍDA DE VENDAS'!$B$6:$B$500, MATCH(B479,'SAÍDA DE VENDAS'!$B$6:$B$500,0)+COUNTIF('SAÍDA DE VENDAS'!$B$6:$B$500, B479)),"")))</f>
        <v/>
      </c>
      <c r="C480" s="29">
        <f>IFERROR(VLOOKUP(B480,'SAÍDA DE VENDAS'!$B$6:$P$500,3,FALSE),"")</f>
        <v>0</v>
      </c>
      <c r="D480" s="28">
        <f>IFERROR(VLOOKUP(B480,'SAÍDA DE VENDAS'!$B$6:$P$500,4,FALSE),"")</f>
        <v>0</v>
      </c>
      <c r="E480" s="28" t="str">
        <f>IFERROR(VLOOKUP(B480,'SAÍDA DE VENDAS'!$B$6:$P$500,5,FALSE),"")</f>
        <v/>
      </c>
      <c r="F480" s="28" t="str">
        <f>IF(OR(ISBLANK(B480),B480=""), "", IFERROR(INDEX('SAÍDA DE VENDAS'!$H$6:$H$500 &amp; "x " &amp; 'SAÍDA DE VENDAS'!$G$6:$G$500, MATCH(B480, 'SAÍDA DE VENDAS'!$B$6:$B$500, 0)), "")&amp; IF(COUNTIF('SAÍDA DE VENDAS'!$B$6:$B$500, B480)&gt;1, " + " &amp; IFERROR(INDEX('SAÍDA DE VENDAS'!$H$6:$H$500 &amp; "x " &amp; 'SAÍDA DE VENDAS'!$G$6:$G$500, MATCH(B480, 'SAÍDA DE VENDAS'!$B$6:$B$500, 0)+1), ""), "")&amp; IF(COUNTIF('SAÍDA DE VENDAS'!$B$6:$B$500, B480)&gt;2, " + " &amp; IFERROR(INDEX('SAÍDA DE VENDAS'!$H$6:$H$500 &amp; "x " &amp; 'SAÍDA DE VENDAS'!$G$6:$G$500, MATCH(B480, 'SAÍDA DE VENDAS'!$B$6:$B$500, 0)+2), ""), "")&amp; IF(COUNTIF('SAÍDA DE VENDAS'!$B$6:$B$500, B480)&gt;3, " + " &amp; IFERROR(INDEX('SAÍDA DE VENDAS'!$H$6:$H$500 &amp; "x " &amp; 'SAÍDA DE VENDAS'!$G$6:$G$500, MATCH(B480, 'SAÍDA DE VENDAS'!$B$6:$B$500, 0)+3), ""), "")&amp; IF(COUNTIF('SAÍDA DE VENDAS'!$B$6:$B$500, B480)&gt;4, " + " &amp; IFERROR(INDEX('SAÍDA DE VENDAS'!$H$6:$H$500 &amp; "x " &amp; 'SAÍDA DE VENDAS'!$G$6:$G$500, MATCH(B480, 'SAÍDA DE VENDAS'!$B$6:$B$500, 0)+4), ""), "")&amp; IF(COUNTIF('SAÍDA DE VENDAS'!$B$6:$B$500, B480)&gt;5, " + " &amp; IFERROR(INDEX('SAÍDA DE VENDAS'!$H$6:$H$500 &amp; "x " &amp; 'SAÍDA DE VENDAS'!$G$6:$G$500, MATCH(B480, 'SAÍDA DE VENDAS'!$B$6:$B$500, 0)+5), ""), ""))</f>
        <v/>
      </c>
      <c r="G480" s="28">
        <f>IFERROR(VLOOKUP(B480,'SAÍDA DE VENDAS'!$B$6:$P$500,10,FALSE),"")</f>
        <v>0</v>
      </c>
      <c r="H480" s="28" t="str">
        <f>IF(OR(ISBLANK(B480),B480=""), "", IF(B480=B479, (VALUE(LEFT(H479,FIND("/",H479)-1))+1)&amp;"/"&amp;RIGHT(H479,LEN(H479)-FIND("/",H479)), "1/"&amp;IFERROR(VLOOKUP(B480,'SAÍDA DE VENDAS'!$B$6:$P$500,13,FALSE),"1")))</f>
        <v/>
      </c>
      <c r="I480" s="69" t="str">
        <f t="shared" si="14"/>
        <v/>
      </c>
      <c r="J480" s="33" t="str">
        <f>IFERROR(VLOOKUP(B480,'SAÍDA DE VENDAS'!$B$6:$P$500,15,FALSE),"")</f>
        <v/>
      </c>
      <c r="K480" s="28" t="str">
        <f t="shared" ca="1" si="15"/>
        <v/>
      </c>
      <c r="L480" s="28"/>
      <c r="M480" s="28"/>
    </row>
    <row r="481" spans="2:13" ht="15" customHeight="1" x14ac:dyDescent="0.3">
      <c r="B481" s="34" t="str">
        <f>IF(B480="","", IF(VALUE(LEFT(H480,FIND("/",H480)-1)) &lt; VALUE(RIGHT(H480,LEN(H480)-FIND("/",H480))), B480, IFERROR(INDEX('SAÍDA DE VENDAS'!$B$6:$B$500, MATCH(B480,'SAÍDA DE VENDAS'!$B$6:$B$500,0)+COUNTIF('SAÍDA DE VENDAS'!$B$6:$B$500, B480)),"")))</f>
        <v/>
      </c>
      <c r="C481" s="35">
        <f>IFERROR(VLOOKUP(B481,'SAÍDA DE VENDAS'!$B$6:$P$500,3,FALSE),"")</f>
        <v>0</v>
      </c>
      <c r="D481" s="34">
        <f>IFERROR(VLOOKUP(B481,'SAÍDA DE VENDAS'!$B$6:$P$500,4,FALSE),"")</f>
        <v>0</v>
      </c>
      <c r="E481" s="34" t="str">
        <f>IFERROR(VLOOKUP(B481,'SAÍDA DE VENDAS'!$B$6:$P$500,5,FALSE),"")</f>
        <v/>
      </c>
      <c r="F481" s="34" t="str">
        <f>IF(OR(ISBLANK(B481),B481=""), "", IFERROR(INDEX('SAÍDA DE VENDAS'!$H$6:$H$500 &amp; "x " &amp; 'SAÍDA DE VENDAS'!$G$6:$G$500, MATCH(B481, 'SAÍDA DE VENDAS'!$B$6:$B$500, 0)), "")&amp; IF(COUNTIF('SAÍDA DE VENDAS'!$B$6:$B$500, B481)&gt;1, " + " &amp; IFERROR(INDEX('SAÍDA DE VENDAS'!$H$6:$H$500 &amp; "x " &amp; 'SAÍDA DE VENDAS'!$G$6:$G$500, MATCH(B481, 'SAÍDA DE VENDAS'!$B$6:$B$500, 0)+1), ""), "")&amp; IF(COUNTIF('SAÍDA DE VENDAS'!$B$6:$B$500, B481)&gt;2, " + " &amp; IFERROR(INDEX('SAÍDA DE VENDAS'!$H$6:$H$500 &amp; "x " &amp; 'SAÍDA DE VENDAS'!$G$6:$G$500, MATCH(B481, 'SAÍDA DE VENDAS'!$B$6:$B$500, 0)+2), ""), "")&amp; IF(COUNTIF('SAÍDA DE VENDAS'!$B$6:$B$500, B481)&gt;3, " + " &amp; IFERROR(INDEX('SAÍDA DE VENDAS'!$H$6:$H$500 &amp; "x " &amp; 'SAÍDA DE VENDAS'!$G$6:$G$500, MATCH(B481, 'SAÍDA DE VENDAS'!$B$6:$B$500, 0)+3), ""), "")&amp; IF(COUNTIF('SAÍDA DE VENDAS'!$B$6:$B$500, B481)&gt;4, " + " &amp; IFERROR(INDEX('SAÍDA DE VENDAS'!$H$6:$H$500 &amp; "x " &amp; 'SAÍDA DE VENDAS'!$G$6:$G$500, MATCH(B481, 'SAÍDA DE VENDAS'!$B$6:$B$500, 0)+4), ""), "")&amp; IF(COUNTIF('SAÍDA DE VENDAS'!$B$6:$B$500, B481)&gt;5, " + " &amp; IFERROR(INDEX('SAÍDA DE VENDAS'!$H$6:$H$500 &amp; "x " &amp; 'SAÍDA DE VENDAS'!$G$6:$G$500, MATCH(B481, 'SAÍDA DE VENDAS'!$B$6:$B$500, 0)+5), ""), ""))</f>
        <v/>
      </c>
      <c r="G481" s="34">
        <f>IFERROR(VLOOKUP(B481,'SAÍDA DE VENDAS'!$B$6:$P$500,10,FALSE),"")</f>
        <v>0</v>
      </c>
      <c r="H481" s="34" t="str">
        <f>IF(OR(ISBLANK(B481),B481=""), "", IF(B481=B480, (VALUE(LEFT(H480,FIND("/",H480)-1))+1)&amp;"/"&amp;RIGHT(H480,LEN(H480)-FIND("/",H480)), "1/"&amp;IFERROR(VLOOKUP(B481,'SAÍDA DE VENDAS'!$B$6:$P$500,13,FALSE),"1")))</f>
        <v/>
      </c>
      <c r="I481" s="35" t="str">
        <f t="shared" si="14"/>
        <v/>
      </c>
      <c r="J481" s="39" t="str">
        <f>IFERROR(VLOOKUP(B481,'SAÍDA DE VENDAS'!$B$6:$P$500,15,FALSE),"")</f>
        <v/>
      </c>
      <c r="K481" s="34" t="str">
        <f t="shared" ca="1" si="15"/>
        <v/>
      </c>
      <c r="L481" s="34"/>
      <c r="M481" s="34"/>
    </row>
    <row r="482" spans="2:13" ht="15" customHeight="1" x14ac:dyDescent="0.3">
      <c r="B482" s="28" t="str">
        <f>IF(B481="","", IF(VALUE(LEFT(H481,FIND("/",H481)-1)) &lt; VALUE(RIGHT(H481,LEN(H481)-FIND("/",H481))), B481, IFERROR(INDEX('SAÍDA DE VENDAS'!$B$6:$B$500, MATCH(B481,'SAÍDA DE VENDAS'!$B$6:$B$500,0)+COUNTIF('SAÍDA DE VENDAS'!$B$6:$B$500, B481)),"")))</f>
        <v/>
      </c>
      <c r="C482" s="29">
        <f>IFERROR(VLOOKUP(B482,'SAÍDA DE VENDAS'!$B$6:$P$500,3,FALSE),"")</f>
        <v>0</v>
      </c>
      <c r="D482" s="28">
        <f>IFERROR(VLOOKUP(B482,'SAÍDA DE VENDAS'!$B$6:$P$500,4,FALSE),"")</f>
        <v>0</v>
      </c>
      <c r="E482" s="28" t="str">
        <f>IFERROR(VLOOKUP(B482,'SAÍDA DE VENDAS'!$B$6:$P$500,5,FALSE),"")</f>
        <v/>
      </c>
      <c r="F482" s="28" t="str">
        <f>IF(OR(ISBLANK(B482),B482=""), "", IFERROR(INDEX('SAÍDA DE VENDAS'!$H$6:$H$500 &amp; "x " &amp; 'SAÍDA DE VENDAS'!$G$6:$G$500, MATCH(B482, 'SAÍDA DE VENDAS'!$B$6:$B$500, 0)), "")&amp; IF(COUNTIF('SAÍDA DE VENDAS'!$B$6:$B$500, B482)&gt;1, " + " &amp; IFERROR(INDEX('SAÍDA DE VENDAS'!$H$6:$H$500 &amp; "x " &amp; 'SAÍDA DE VENDAS'!$G$6:$G$500, MATCH(B482, 'SAÍDA DE VENDAS'!$B$6:$B$500, 0)+1), ""), "")&amp; IF(COUNTIF('SAÍDA DE VENDAS'!$B$6:$B$500, B482)&gt;2, " + " &amp; IFERROR(INDEX('SAÍDA DE VENDAS'!$H$6:$H$500 &amp; "x " &amp; 'SAÍDA DE VENDAS'!$G$6:$G$500, MATCH(B482, 'SAÍDA DE VENDAS'!$B$6:$B$500, 0)+2), ""), "")&amp; IF(COUNTIF('SAÍDA DE VENDAS'!$B$6:$B$500, B482)&gt;3, " + " &amp; IFERROR(INDEX('SAÍDA DE VENDAS'!$H$6:$H$500 &amp; "x " &amp; 'SAÍDA DE VENDAS'!$G$6:$G$500, MATCH(B482, 'SAÍDA DE VENDAS'!$B$6:$B$500, 0)+3), ""), "")&amp; IF(COUNTIF('SAÍDA DE VENDAS'!$B$6:$B$500, B482)&gt;4, " + " &amp; IFERROR(INDEX('SAÍDA DE VENDAS'!$H$6:$H$500 &amp; "x " &amp; 'SAÍDA DE VENDAS'!$G$6:$G$500, MATCH(B482, 'SAÍDA DE VENDAS'!$B$6:$B$500, 0)+4), ""), "")&amp; IF(COUNTIF('SAÍDA DE VENDAS'!$B$6:$B$500, B482)&gt;5, " + " &amp; IFERROR(INDEX('SAÍDA DE VENDAS'!$H$6:$H$500 &amp; "x " &amp; 'SAÍDA DE VENDAS'!$G$6:$G$500, MATCH(B482, 'SAÍDA DE VENDAS'!$B$6:$B$500, 0)+5), ""), ""))</f>
        <v/>
      </c>
      <c r="G482" s="28">
        <f>IFERROR(VLOOKUP(B482,'SAÍDA DE VENDAS'!$B$6:$P$500,10,FALSE),"")</f>
        <v>0</v>
      </c>
      <c r="H482" s="28" t="str">
        <f>IF(OR(ISBLANK(B482),B482=""), "", IF(B482=B481, (VALUE(LEFT(H481,FIND("/",H481)-1))+1)&amp;"/"&amp;RIGHT(H481,LEN(H481)-FIND("/",H481)), "1/"&amp;IFERROR(VLOOKUP(B482,'SAÍDA DE VENDAS'!$B$6:$P$500,13,FALSE),"1")))</f>
        <v/>
      </c>
      <c r="I482" s="69" t="str">
        <f t="shared" si="14"/>
        <v/>
      </c>
      <c r="J482" s="33" t="str">
        <f>IFERROR(VLOOKUP(B482,'SAÍDA DE VENDAS'!$B$6:$P$500,15,FALSE),"")</f>
        <v/>
      </c>
      <c r="K482" s="28" t="str">
        <f t="shared" ca="1" si="15"/>
        <v/>
      </c>
      <c r="L482" s="28"/>
      <c r="M482" s="28"/>
    </row>
    <row r="483" spans="2:13" ht="15" customHeight="1" x14ac:dyDescent="0.3">
      <c r="B483" s="34" t="str">
        <f>IF(B482="","", IF(VALUE(LEFT(H482,FIND("/",H482)-1)) &lt; VALUE(RIGHT(H482,LEN(H482)-FIND("/",H482))), B482, IFERROR(INDEX('SAÍDA DE VENDAS'!$B$6:$B$500, MATCH(B482,'SAÍDA DE VENDAS'!$B$6:$B$500,0)+COUNTIF('SAÍDA DE VENDAS'!$B$6:$B$500, B482)),"")))</f>
        <v/>
      </c>
      <c r="C483" s="35">
        <f>IFERROR(VLOOKUP(B483,'SAÍDA DE VENDAS'!$B$6:$P$500,3,FALSE),"")</f>
        <v>0</v>
      </c>
      <c r="D483" s="34">
        <f>IFERROR(VLOOKUP(B483,'SAÍDA DE VENDAS'!$B$6:$P$500,4,FALSE),"")</f>
        <v>0</v>
      </c>
      <c r="E483" s="34" t="str">
        <f>IFERROR(VLOOKUP(B483,'SAÍDA DE VENDAS'!$B$6:$P$500,5,FALSE),"")</f>
        <v/>
      </c>
      <c r="F483" s="34" t="str">
        <f>IF(OR(ISBLANK(B483),B483=""), "", IFERROR(INDEX('SAÍDA DE VENDAS'!$H$6:$H$500 &amp; "x " &amp; 'SAÍDA DE VENDAS'!$G$6:$G$500, MATCH(B483, 'SAÍDA DE VENDAS'!$B$6:$B$500, 0)), "")&amp; IF(COUNTIF('SAÍDA DE VENDAS'!$B$6:$B$500, B483)&gt;1, " + " &amp; IFERROR(INDEX('SAÍDA DE VENDAS'!$H$6:$H$500 &amp; "x " &amp; 'SAÍDA DE VENDAS'!$G$6:$G$500, MATCH(B483, 'SAÍDA DE VENDAS'!$B$6:$B$500, 0)+1), ""), "")&amp; IF(COUNTIF('SAÍDA DE VENDAS'!$B$6:$B$500, B483)&gt;2, " + " &amp; IFERROR(INDEX('SAÍDA DE VENDAS'!$H$6:$H$500 &amp; "x " &amp; 'SAÍDA DE VENDAS'!$G$6:$G$500, MATCH(B483, 'SAÍDA DE VENDAS'!$B$6:$B$500, 0)+2), ""), "")&amp; IF(COUNTIF('SAÍDA DE VENDAS'!$B$6:$B$500, B483)&gt;3, " + " &amp; IFERROR(INDEX('SAÍDA DE VENDAS'!$H$6:$H$500 &amp; "x " &amp; 'SAÍDA DE VENDAS'!$G$6:$G$500, MATCH(B483, 'SAÍDA DE VENDAS'!$B$6:$B$500, 0)+3), ""), "")&amp; IF(COUNTIF('SAÍDA DE VENDAS'!$B$6:$B$500, B483)&gt;4, " + " &amp; IFERROR(INDEX('SAÍDA DE VENDAS'!$H$6:$H$500 &amp; "x " &amp; 'SAÍDA DE VENDAS'!$G$6:$G$500, MATCH(B483, 'SAÍDA DE VENDAS'!$B$6:$B$500, 0)+4), ""), "")&amp; IF(COUNTIF('SAÍDA DE VENDAS'!$B$6:$B$500, B483)&gt;5, " + " &amp; IFERROR(INDEX('SAÍDA DE VENDAS'!$H$6:$H$500 &amp; "x " &amp; 'SAÍDA DE VENDAS'!$G$6:$G$500, MATCH(B483, 'SAÍDA DE VENDAS'!$B$6:$B$500, 0)+5), ""), ""))</f>
        <v/>
      </c>
      <c r="G483" s="34">
        <f>IFERROR(VLOOKUP(B483,'SAÍDA DE VENDAS'!$B$6:$P$500,10,FALSE),"")</f>
        <v>0</v>
      </c>
      <c r="H483" s="34" t="str">
        <f>IF(OR(ISBLANK(B483),B483=""), "", IF(B483=B482, (VALUE(LEFT(H482,FIND("/",H482)-1))+1)&amp;"/"&amp;RIGHT(H482,LEN(H482)-FIND("/",H482)), "1/"&amp;IFERROR(VLOOKUP(B483,'SAÍDA DE VENDAS'!$B$6:$P$500,13,FALSE),"1")))</f>
        <v/>
      </c>
      <c r="I483" s="35" t="str">
        <f t="shared" si="14"/>
        <v/>
      </c>
      <c r="J483" s="39" t="str">
        <f>IFERROR(VLOOKUP(B483,'SAÍDA DE VENDAS'!$B$6:$P$500,15,FALSE),"")</f>
        <v/>
      </c>
      <c r="K483" s="34" t="str">
        <f t="shared" ca="1" si="15"/>
        <v/>
      </c>
      <c r="L483" s="34"/>
      <c r="M483" s="34"/>
    </row>
    <row r="484" spans="2:13" ht="15" customHeight="1" x14ac:dyDescent="0.3">
      <c r="B484" s="28" t="str">
        <f>IF(B483="","", IF(VALUE(LEFT(H483,FIND("/",H483)-1)) &lt; VALUE(RIGHT(H483,LEN(H483)-FIND("/",H483))), B483, IFERROR(INDEX('SAÍDA DE VENDAS'!$B$6:$B$500, MATCH(B483,'SAÍDA DE VENDAS'!$B$6:$B$500,0)+COUNTIF('SAÍDA DE VENDAS'!$B$6:$B$500, B483)),"")))</f>
        <v/>
      </c>
      <c r="C484" s="29">
        <f>IFERROR(VLOOKUP(B484,'SAÍDA DE VENDAS'!$B$6:$P$500,3,FALSE),"")</f>
        <v>0</v>
      </c>
      <c r="D484" s="28">
        <f>IFERROR(VLOOKUP(B484,'SAÍDA DE VENDAS'!$B$6:$P$500,4,FALSE),"")</f>
        <v>0</v>
      </c>
      <c r="E484" s="28" t="str">
        <f>IFERROR(VLOOKUP(B484,'SAÍDA DE VENDAS'!$B$6:$P$500,5,FALSE),"")</f>
        <v/>
      </c>
      <c r="F484" s="28" t="str">
        <f>IF(OR(ISBLANK(B484),B484=""), "", IFERROR(INDEX('SAÍDA DE VENDAS'!$H$6:$H$500 &amp; "x " &amp; 'SAÍDA DE VENDAS'!$G$6:$G$500, MATCH(B484, 'SAÍDA DE VENDAS'!$B$6:$B$500, 0)), "")&amp; IF(COUNTIF('SAÍDA DE VENDAS'!$B$6:$B$500, B484)&gt;1, " + " &amp; IFERROR(INDEX('SAÍDA DE VENDAS'!$H$6:$H$500 &amp; "x " &amp; 'SAÍDA DE VENDAS'!$G$6:$G$500, MATCH(B484, 'SAÍDA DE VENDAS'!$B$6:$B$500, 0)+1), ""), "")&amp; IF(COUNTIF('SAÍDA DE VENDAS'!$B$6:$B$500, B484)&gt;2, " + " &amp; IFERROR(INDEX('SAÍDA DE VENDAS'!$H$6:$H$500 &amp; "x " &amp; 'SAÍDA DE VENDAS'!$G$6:$G$500, MATCH(B484, 'SAÍDA DE VENDAS'!$B$6:$B$500, 0)+2), ""), "")&amp; IF(COUNTIF('SAÍDA DE VENDAS'!$B$6:$B$500, B484)&gt;3, " + " &amp; IFERROR(INDEX('SAÍDA DE VENDAS'!$H$6:$H$500 &amp; "x " &amp; 'SAÍDA DE VENDAS'!$G$6:$G$500, MATCH(B484, 'SAÍDA DE VENDAS'!$B$6:$B$500, 0)+3), ""), "")&amp; IF(COUNTIF('SAÍDA DE VENDAS'!$B$6:$B$500, B484)&gt;4, " + " &amp; IFERROR(INDEX('SAÍDA DE VENDAS'!$H$6:$H$500 &amp; "x " &amp; 'SAÍDA DE VENDAS'!$G$6:$G$500, MATCH(B484, 'SAÍDA DE VENDAS'!$B$6:$B$500, 0)+4), ""), "")&amp; IF(COUNTIF('SAÍDA DE VENDAS'!$B$6:$B$500, B484)&gt;5, " + " &amp; IFERROR(INDEX('SAÍDA DE VENDAS'!$H$6:$H$500 &amp; "x " &amp; 'SAÍDA DE VENDAS'!$G$6:$G$500, MATCH(B484, 'SAÍDA DE VENDAS'!$B$6:$B$500, 0)+5), ""), ""))</f>
        <v/>
      </c>
      <c r="G484" s="28">
        <f>IFERROR(VLOOKUP(B484,'SAÍDA DE VENDAS'!$B$6:$P$500,10,FALSE),"")</f>
        <v>0</v>
      </c>
      <c r="H484" s="28" t="str">
        <f>IF(OR(ISBLANK(B484),B484=""), "", IF(B484=B483, (VALUE(LEFT(H483,FIND("/",H483)-1))+1)&amp;"/"&amp;RIGHT(H483,LEN(H483)-FIND("/",H483)), "1/"&amp;IFERROR(VLOOKUP(B484,'SAÍDA DE VENDAS'!$B$6:$P$500,13,FALSE),"1")))</f>
        <v/>
      </c>
      <c r="I484" s="69" t="str">
        <f t="shared" si="14"/>
        <v/>
      </c>
      <c r="J484" s="33" t="str">
        <f>IFERROR(VLOOKUP(B484,'SAÍDA DE VENDAS'!$B$6:$P$500,15,FALSE),"")</f>
        <v/>
      </c>
      <c r="K484" s="28" t="str">
        <f t="shared" ca="1" si="15"/>
        <v/>
      </c>
      <c r="L484" s="28"/>
      <c r="M484" s="28"/>
    </row>
    <row r="485" spans="2:13" ht="15" customHeight="1" x14ac:dyDescent="0.3">
      <c r="B485" s="34" t="str">
        <f>IF(B484="","", IF(VALUE(LEFT(H484,FIND("/",H484)-1)) &lt; VALUE(RIGHT(H484,LEN(H484)-FIND("/",H484))), B484, IFERROR(INDEX('SAÍDA DE VENDAS'!$B$6:$B$500, MATCH(B484,'SAÍDA DE VENDAS'!$B$6:$B$500,0)+COUNTIF('SAÍDA DE VENDAS'!$B$6:$B$500, B484)),"")))</f>
        <v/>
      </c>
      <c r="C485" s="35">
        <f>IFERROR(VLOOKUP(B485,'SAÍDA DE VENDAS'!$B$6:$P$500,3,FALSE),"")</f>
        <v>0</v>
      </c>
      <c r="D485" s="34">
        <f>IFERROR(VLOOKUP(B485,'SAÍDA DE VENDAS'!$B$6:$P$500,4,FALSE),"")</f>
        <v>0</v>
      </c>
      <c r="E485" s="34" t="str">
        <f>IFERROR(VLOOKUP(B485,'SAÍDA DE VENDAS'!$B$6:$P$500,5,FALSE),"")</f>
        <v/>
      </c>
      <c r="F485" s="34" t="str">
        <f>IF(OR(ISBLANK(B485),B485=""), "", IFERROR(INDEX('SAÍDA DE VENDAS'!$H$6:$H$500 &amp; "x " &amp; 'SAÍDA DE VENDAS'!$G$6:$G$500, MATCH(B485, 'SAÍDA DE VENDAS'!$B$6:$B$500, 0)), "")&amp; IF(COUNTIF('SAÍDA DE VENDAS'!$B$6:$B$500, B485)&gt;1, " + " &amp; IFERROR(INDEX('SAÍDA DE VENDAS'!$H$6:$H$500 &amp; "x " &amp; 'SAÍDA DE VENDAS'!$G$6:$G$500, MATCH(B485, 'SAÍDA DE VENDAS'!$B$6:$B$500, 0)+1), ""), "")&amp; IF(COUNTIF('SAÍDA DE VENDAS'!$B$6:$B$500, B485)&gt;2, " + " &amp; IFERROR(INDEX('SAÍDA DE VENDAS'!$H$6:$H$500 &amp; "x " &amp; 'SAÍDA DE VENDAS'!$G$6:$G$500, MATCH(B485, 'SAÍDA DE VENDAS'!$B$6:$B$500, 0)+2), ""), "")&amp; IF(COUNTIF('SAÍDA DE VENDAS'!$B$6:$B$500, B485)&gt;3, " + " &amp; IFERROR(INDEX('SAÍDA DE VENDAS'!$H$6:$H$500 &amp; "x " &amp; 'SAÍDA DE VENDAS'!$G$6:$G$500, MATCH(B485, 'SAÍDA DE VENDAS'!$B$6:$B$500, 0)+3), ""), "")&amp; IF(COUNTIF('SAÍDA DE VENDAS'!$B$6:$B$500, B485)&gt;4, " + " &amp; IFERROR(INDEX('SAÍDA DE VENDAS'!$H$6:$H$500 &amp; "x " &amp; 'SAÍDA DE VENDAS'!$G$6:$G$500, MATCH(B485, 'SAÍDA DE VENDAS'!$B$6:$B$500, 0)+4), ""), "")&amp; IF(COUNTIF('SAÍDA DE VENDAS'!$B$6:$B$500, B485)&gt;5, " + " &amp; IFERROR(INDEX('SAÍDA DE VENDAS'!$H$6:$H$500 &amp; "x " &amp; 'SAÍDA DE VENDAS'!$G$6:$G$500, MATCH(B485, 'SAÍDA DE VENDAS'!$B$6:$B$500, 0)+5), ""), ""))</f>
        <v/>
      </c>
      <c r="G485" s="34">
        <f>IFERROR(VLOOKUP(B485,'SAÍDA DE VENDAS'!$B$6:$P$500,10,FALSE),"")</f>
        <v>0</v>
      </c>
      <c r="H485" s="34" t="str">
        <f>IF(OR(ISBLANK(B485),B485=""), "", IF(B485=B484, (VALUE(LEFT(H484,FIND("/",H484)-1))+1)&amp;"/"&amp;RIGHT(H484,LEN(H484)-FIND("/",H484)), "1/"&amp;IFERROR(VLOOKUP(B485,'SAÍDA DE VENDAS'!$B$6:$P$500,13,FALSE),"1")))</f>
        <v/>
      </c>
      <c r="I485" s="35" t="str">
        <f t="shared" si="14"/>
        <v/>
      </c>
      <c r="J485" s="39" t="str">
        <f>IFERROR(VLOOKUP(B485,'SAÍDA DE VENDAS'!$B$6:$P$500,15,FALSE),"")</f>
        <v/>
      </c>
      <c r="K485" s="34" t="str">
        <f t="shared" ca="1" si="15"/>
        <v/>
      </c>
      <c r="L485" s="34"/>
      <c r="M485" s="34"/>
    </row>
    <row r="486" spans="2:13" ht="15" customHeight="1" x14ac:dyDescent="0.3">
      <c r="B486" s="28" t="str">
        <f>IF(B485="","", IF(VALUE(LEFT(H485,FIND("/",H485)-1)) &lt; VALUE(RIGHT(H485,LEN(H485)-FIND("/",H485))), B485, IFERROR(INDEX('SAÍDA DE VENDAS'!$B$6:$B$500, MATCH(B485,'SAÍDA DE VENDAS'!$B$6:$B$500,0)+COUNTIF('SAÍDA DE VENDAS'!$B$6:$B$500, B485)),"")))</f>
        <v/>
      </c>
      <c r="C486" s="29">
        <f>IFERROR(VLOOKUP(B486,'SAÍDA DE VENDAS'!$B$6:$P$500,3,FALSE),"")</f>
        <v>0</v>
      </c>
      <c r="D486" s="28">
        <f>IFERROR(VLOOKUP(B486,'SAÍDA DE VENDAS'!$B$6:$P$500,4,FALSE),"")</f>
        <v>0</v>
      </c>
      <c r="E486" s="28" t="str">
        <f>IFERROR(VLOOKUP(B486,'SAÍDA DE VENDAS'!$B$6:$P$500,5,FALSE),"")</f>
        <v/>
      </c>
      <c r="F486" s="28" t="str">
        <f>IF(OR(ISBLANK(B486),B486=""), "", IFERROR(INDEX('SAÍDA DE VENDAS'!$H$6:$H$500 &amp; "x " &amp; 'SAÍDA DE VENDAS'!$G$6:$G$500, MATCH(B486, 'SAÍDA DE VENDAS'!$B$6:$B$500, 0)), "")&amp; IF(COUNTIF('SAÍDA DE VENDAS'!$B$6:$B$500, B486)&gt;1, " + " &amp; IFERROR(INDEX('SAÍDA DE VENDAS'!$H$6:$H$500 &amp; "x " &amp; 'SAÍDA DE VENDAS'!$G$6:$G$500, MATCH(B486, 'SAÍDA DE VENDAS'!$B$6:$B$500, 0)+1), ""), "")&amp; IF(COUNTIF('SAÍDA DE VENDAS'!$B$6:$B$500, B486)&gt;2, " + " &amp; IFERROR(INDEX('SAÍDA DE VENDAS'!$H$6:$H$500 &amp; "x " &amp; 'SAÍDA DE VENDAS'!$G$6:$G$500, MATCH(B486, 'SAÍDA DE VENDAS'!$B$6:$B$500, 0)+2), ""), "")&amp; IF(COUNTIF('SAÍDA DE VENDAS'!$B$6:$B$500, B486)&gt;3, " + " &amp; IFERROR(INDEX('SAÍDA DE VENDAS'!$H$6:$H$500 &amp; "x " &amp; 'SAÍDA DE VENDAS'!$G$6:$G$500, MATCH(B486, 'SAÍDA DE VENDAS'!$B$6:$B$500, 0)+3), ""), "")&amp; IF(COUNTIF('SAÍDA DE VENDAS'!$B$6:$B$500, B486)&gt;4, " + " &amp; IFERROR(INDEX('SAÍDA DE VENDAS'!$H$6:$H$500 &amp; "x " &amp; 'SAÍDA DE VENDAS'!$G$6:$G$500, MATCH(B486, 'SAÍDA DE VENDAS'!$B$6:$B$500, 0)+4), ""), "")&amp; IF(COUNTIF('SAÍDA DE VENDAS'!$B$6:$B$500, B486)&gt;5, " + " &amp; IFERROR(INDEX('SAÍDA DE VENDAS'!$H$6:$H$500 &amp; "x " &amp; 'SAÍDA DE VENDAS'!$G$6:$G$500, MATCH(B486, 'SAÍDA DE VENDAS'!$B$6:$B$500, 0)+5), ""), ""))</f>
        <v/>
      </c>
      <c r="G486" s="28">
        <f>IFERROR(VLOOKUP(B486,'SAÍDA DE VENDAS'!$B$6:$P$500,10,FALSE),"")</f>
        <v>0</v>
      </c>
      <c r="H486" s="28" t="str">
        <f>IF(OR(ISBLANK(B486),B486=""), "", IF(B486=B485, (VALUE(LEFT(H485,FIND("/",H485)-1))+1)&amp;"/"&amp;RIGHT(H485,LEN(H485)-FIND("/",H485)), "1/"&amp;IFERROR(VLOOKUP(B486,'SAÍDA DE VENDAS'!$B$6:$P$500,13,FALSE),"1")))</f>
        <v/>
      </c>
      <c r="I486" s="69" t="str">
        <f t="shared" si="14"/>
        <v/>
      </c>
      <c r="J486" s="33" t="str">
        <f>IFERROR(VLOOKUP(B486,'SAÍDA DE VENDAS'!$B$6:$P$500,15,FALSE),"")</f>
        <v/>
      </c>
      <c r="K486" s="28" t="str">
        <f t="shared" ca="1" si="15"/>
        <v/>
      </c>
      <c r="L486" s="28"/>
      <c r="M486" s="28"/>
    </row>
    <row r="487" spans="2:13" ht="15" customHeight="1" x14ac:dyDescent="0.3">
      <c r="B487" s="34" t="str">
        <f>IF(B486="","", IF(VALUE(LEFT(H486,FIND("/",H486)-1)) &lt; VALUE(RIGHT(H486,LEN(H486)-FIND("/",H486))), B486, IFERROR(INDEX('SAÍDA DE VENDAS'!$B$6:$B$500, MATCH(B486,'SAÍDA DE VENDAS'!$B$6:$B$500,0)+COUNTIF('SAÍDA DE VENDAS'!$B$6:$B$500, B486)),"")))</f>
        <v/>
      </c>
      <c r="C487" s="35">
        <f>IFERROR(VLOOKUP(B487,'SAÍDA DE VENDAS'!$B$6:$P$500,3,FALSE),"")</f>
        <v>0</v>
      </c>
      <c r="D487" s="34">
        <f>IFERROR(VLOOKUP(B487,'SAÍDA DE VENDAS'!$B$6:$P$500,4,FALSE),"")</f>
        <v>0</v>
      </c>
      <c r="E487" s="34" t="str">
        <f>IFERROR(VLOOKUP(B487,'SAÍDA DE VENDAS'!$B$6:$P$500,5,FALSE),"")</f>
        <v/>
      </c>
      <c r="F487" s="34" t="str">
        <f>IF(OR(ISBLANK(B487),B487=""), "", IFERROR(INDEX('SAÍDA DE VENDAS'!$H$6:$H$500 &amp; "x " &amp; 'SAÍDA DE VENDAS'!$G$6:$G$500, MATCH(B487, 'SAÍDA DE VENDAS'!$B$6:$B$500, 0)), "")&amp; IF(COUNTIF('SAÍDA DE VENDAS'!$B$6:$B$500, B487)&gt;1, " + " &amp; IFERROR(INDEX('SAÍDA DE VENDAS'!$H$6:$H$500 &amp; "x " &amp; 'SAÍDA DE VENDAS'!$G$6:$G$500, MATCH(B487, 'SAÍDA DE VENDAS'!$B$6:$B$500, 0)+1), ""), "")&amp; IF(COUNTIF('SAÍDA DE VENDAS'!$B$6:$B$500, B487)&gt;2, " + " &amp; IFERROR(INDEX('SAÍDA DE VENDAS'!$H$6:$H$500 &amp; "x " &amp; 'SAÍDA DE VENDAS'!$G$6:$G$500, MATCH(B487, 'SAÍDA DE VENDAS'!$B$6:$B$500, 0)+2), ""), "")&amp; IF(COUNTIF('SAÍDA DE VENDAS'!$B$6:$B$500, B487)&gt;3, " + " &amp; IFERROR(INDEX('SAÍDA DE VENDAS'!$H$6:$H$500 &amp; "x " &amp; 'SAÍDA DE VENDAS'!$G$6:$G$500, MATCH(B487, 'SAÍDA DE VENDAS'!$B$6:$B$500, 0)+3), ""), "")&amp; IF(COUNTIF('SAÍDA DE VENDAS'!$B$6:$B$500, B487)&gt;4, " + " &amp; IFERROR(INDEX('SAÍDA DE VENDAS'!$H$6:$H$500 &amp; "x " &amp; 'SAÍDA DE VENDAS'!$G$6:$G$500, MATCH(B487, 'SAÍDA DE VENDAS'!$B$6:$B$500, 0)+4), ""), "")&amp; IF(COUNTIF('SAÍDA DE VENDAS'!$B$6:$B$500, B487)&gt;5, " + " &amp; IFERROR(INDEX('SAÍDA DE VENDAS'!$H$6:$H$500 &amp; "x " &amp; 'SAÍDA DE VENDAS'!$G$6:$G$500, MATCH(B487, 'SAÍDA DE VENDAS'!$B$6:$B$500, 0)+5), ""), ""))</f>
        <v/>
      </c>
      <c r="G487" s="34">
        <f>IFERROR(VLOOKUP(B487,'SAÍDA DE VENDAS'!$B$6:$P$500,10,FALSE),"")</f>
        <v>0</v>
      </c>
      <c r="H487" s="34" t="str">
        <f>IF(OR(ISBLANK(B487),B487=""), "", IF(B487=B486, (VALUE(LEFT(H486,FIND("/",H486)-1))+1)&amp;"/"&amp;RIGHT(H486,LEN(H486)-FIND("/",H486)), "1/"&amp;IFERROR(VLOOKUP(B487,'SAÍDA DE VENDAS'!$B$6:$P$500,13,FALSE),"1")))</f>
        <v/>
      </c>
      <c r="I487" s="35" t="str">
        <f t="shared" si="14"/>
        <v/>
      </c>
      <c r="J487" s="39" t="str">
        <f>IFERROR(VLOOKUP(B487,'SAÍDA DE VENDAS'!$B$6:$P$500,15,FALSE),"")</f>
        <v/>
      </c>
      <c r="K487" s="34" t="str">
        <f t="shared" ca="1" si="15"/>
        <v/>
      </c>
      <c r="L487" s="34"/>
      <c r="M487" s="34"/>
    </row>
    <row r="488" spans="2:13" ht="15" customHeight="1" x14ac:dyDescent="0.3">
      <c r="B488" s="28" t="str">
        <f>IF(B487="","", IF(VALUE(LEFT(H487,FIND("/",H487)-1)) &lt; VALUE(RIGHT(H487,LEN(H487)-FIND("/",H487))), B487, IFERROR(INDEX('SAÍDA DE VENDAS'!$B$6:$B$500, MATCH(B487,'SAÍDA DE VENDAS'!$B$6:$B$500,0)+COUNTIF('SAÍDA DE VENDAS'!$B$6:$B$500, B487)),"")))</f>
        <v/>
      </c>
      <c r="C488" s="29">
        <f>IFERROR(VLOOKUP(B488,'SAÍDA DE VENDAS'!$B$6:$P$500,3,FALSE),"")</f>
        <v>0</v>
      </c>
      <c r="D488" s="28">
        <f>IFERROR(VLOOKUP(B488,'SAÍDA DE VENDAS'!$B$6:$P$500,4,FALSE),"")</f>
        <v>0</v>
      </c>
      <c r="E488" s="28" t="str">
        <f>IFERROR(VLOOKUP(B488,'SAÍDA DE VENDAS'!$B$6:$P$500,5,FALSE),"")</f>
        <v/>
      </c>
      <c r="F488" s="28" t="str">
        <f>IF(OR(ISBLANK(B488),B488=""), "", IFERROR(INDEX('SAÍDA DE VENDAS'!$H$6:$H$500 &amp; "x " &amp; 'SAÍDA DE VENDAS'!$G$6:$G$500, MATCH(B488, 'SAÍDA DE VENDAS'!$B$6:$B$500, 0)), "")&amp; IF(COUNTIF('SAÍDA DE VENDAS'!$B$6:$B$500, B488)&gt;1, " + " &amp; IFERROR(INDEX('SAÍDA DE VENDAS'!$H$6:$H$500 &amp; "x " &amp; 'SAÍDA DE VENDAS'!$G$6:$G$500, MATCH(B488, 'SAÍDA DE VENDAS'!$B$6:$B$500, 0)+1), ""), "")&amp; IF(COUNTIF('SAÍDA DE VENDAS'!$B$6:$B$500, B488)&gt;2, " + " &amp; IFERROR(INDEX('SAÍDA DE VENDAS'!$H$6:$H$500 &amp; "x " &amp; 'SAÍDA DE VENDAS'!$G$6:$G$500, MATCH(B488, 'SAÍDA DE VENDAS'!$B$6:$B$500, 0)+2), ""), "")&amp; IF(COUNTIF('SAÍDA DE VENDAS'!$B$6:$B$500, B488)&gt;3, " + " &amp; IFERROR(INDEX('SAÍDA DE VENDAS'!$H$6:$H$500 &amp; "x " &amp; 'SAÍDA DE VENDAS'!$G$6:$G$500, MATCH(B488, 'SAÍDA DE VENDAS'!$B$6:$B$500, 0)+3), ""), "")&amp; IF(COUNTIF('SAÍDA DE VENDAS'!$B$6:$B$500, B488)&gt;4, " + " &amp; IFERROR(INDEX('SAÍDA DE VENDAS'!$H$6:$H$500 &amp; "x " &amp; 'SAÍDA DE VENDAS'!$G$6:$G$500, MATCH(B488, 'SAÍDA DE VENDAS'!$B$6:$B$500, 0)+4), ""), "")&amp; IF(COUNTIF('SAÍDA DE VENDAS'!$B$6:$B$500, B488)&gt;5, " + " &amp; IFERROR(INDEX('SAÍDA DE VENDAS'!$H$6:$H$500 &amp; "x " &amp; 'SAÍDA DE VENDAS'!$G$6:$G$500, MATCH(B488, 'SAÍDA DE VENDAS'!$B$6:$B$500, 0)+5), ""), ""))</f>
        <v/>
      </c>
      <c r="G488" s="28">
        <f>IFERROR(VLOOKUP(B488,'SAÍDA DE VENDAS'!$B$6:$P$500,10,FALSE),"")</f>
        <v>0</v>
      </c>
      <c r="H488" s="28" t="str">
        <f>IF(OR(ISBLANK(B488),B488=""), "", IF(B488=B487, (VALUE(LEFT(H487,FIND("/",H487)-1))+1)&amp;"/"&amp;RIGHT(H487,LEN(H487)-FIND("/",H487)), "1/"&amp;IFERROR(VLOOKUP(B488,'SAÍDA DE VENDAS'!$B$6:$P$500,13,FALSE),"1")))</f>
        <v/>
      </c>
      <c r="I488" s="69" t="str">
        <f t="shared" si="14"/>
        <v/>
      </c>
      <c r="J488" s="33" t="str">
        <f>IFERROR(VLOOKUP(B488,'SAÍDA DE VENDAS'!$B$6:$P$500,15,FALSE),"")</f>
        <v/>
      </c>
      <c r="K488" s="28" t="str">
        <f t="shared" ca="1" si="15"/>
        <v/>
      </c>
      <c r="L488" s="28"/>
      <c r="M488" s="28"/>
    </row>
    <row r="489" spans="2:13" ht="15" customHeight="1" x14ac:dyDescent="0.3">
      <c r="B489" s="34" t="str">
        <f>IF(B488="","", IF(VALUE(LEFT(H488,FIND("/",H488)-1)) &lt; VALUE(RIGHT(H488,LEN(H488)-FIND("/",H488))), B488, IFERROR(INDEX('SAÍDA DE VENDAS'!$B$6:$B$500, MATCH(B488,'SAÍDA DE VENDAS'!$B$6:$B$500,0)+COUNTIF('SAÍDA DE VENDAS'!$B$6:$B$500, B488)),"")))</f>
        <v/>
      </c>
      <c r="C489" s="35">
        <f>IFERROR(VLOOKUP(B489,'SAÍDA DE VENDAS'!$B$6:$P$500,3,FALSE),"")</f>
        <v>0</v>
      </c>
      <c r="D489" s="34">
        <f>IFERROR(VLOOKUP(B489,'SAÍDA DE VENDAS'!$B$6:$P$500,4,FALSE),"")</f>
        <v>0</v>
      </c>
      <c r="E489" s="34" t="str">
        <f>IFERROR(VLOOKUP(B489,'SAÍDA DE VENDAS'!$B$6:$P$500,5,FALSE),"")</f>
        <v/>
      </c>
      <c r="F489" s="34" t="str">
        <f>IF(OR(ISBLANK(B489),B489=""), "", IFERROR(INDEX('SAÍDA DE VENDAS'!$H$6:$H$500 &amp; "x " &amp; 'SAÍDA DE VENDAS'!$G$6:$G$500, MATCH(B489, 'SAÍDA DE VENDAS'!$B$6:$B$500, 0)), "")&amp; IF(COUNTIF('SAÍDA DE VENDAS'!$B$6:$B$500, B489)&gt;1, " + " &amp; IFERROR(INDEX('SAÍDA DE VENDAS'!$H$6:$H$500 &amp; "x " &amp; 'SAÍDA DE VENDAS'!$G$6:$G$500, MATCH(B489, 'SAÍDA DE VENDAS'!$B$6:$B$500, 0)+1), ""), "")&amp; IF(COUNTIF('SAÍDA DE VENDAS'!$B$6:$B$500, B489)&gt;2, " + " &amp; IFERROR(INDEX('SAÍDA DE VENDAS'!$H$6:$H$500 &amp; "x " &amp; 'SAÍDA DE VENDAS'!$G$6:$G$500, MATCH(B489, 'SAÍDA DE VENDAS'!$B$6:$B$500, 0)+2), ""), "")&amp; IF(COUNTIF('SAÍDA DE VENDAS'!$B$6:$B$500, B489)&gt;3, " + " &amp; IFERROR(INDEX('SAÍDA DE VENDAS'!$H$6:$H$500 &amp; "x " &amp; 'SAÍDA DE VENDAS'!$G$6:$G$500, MATCH(B489, 'SAÍDA DE VENDAS'!$B$6:$B$500, 0)+3), ""), "")&amp; IF(COUNTIF('SAÍDA DE VENDAS'!$B$6:$B$500, B489)&gt;4, " + " &amp; IFERROR(INDEX('SAÍDA DE VENDAS'!$H$6:$H$500 &amp; "x " &amp; 'SAÍDA DE VENDAS'!$G$6:$G$500, MATCH(B489, 'SAÍDA DE VENDAS'!$B$6:$B$500, 0)+4), ""), "")&amp; IF(COUNTIF('SAÍDA DE VENDAS'!$B$6:$B$500, B489)&gt;5, " + " &amp; IFERROR(INDEX('SAÍDA DE VENDAS'!$H$6:$H$500 &amp; "x " &amp; 'SAÍDA DE VENDAS'!$G$6:$G$500, MATCH(B489, 'SAÍDA DE VENDAS'!$B$6:$B$500, 0)+5), ""), ""))</f>
        <v/>
      </c>
      <c r="G489" s="34">
        <f>IFERROR(VLOOKUP(B489,'SAÍDA DE VENDAS'!$B$6:$P$500,10,FALSE),"")</f>
        <v>0</v>
      </c>
      <c r="H489" s="34" t="str">
        <f>IF(OR(ISBLANK(B489),B489=""), "", IF(B489=B488, (VALUE(LEFT(H488,FIND("/",H488)-1))+1)&amp;"/"&amp;RIGHT(H488,LEN(H488)-FIND("/",H488)), "1/"&amp;IFERROR(VLOOKUP(B489,'SAÍDA DE VENDAS'!$B$6:$P$500,13,FALSE),"1")))</f>
        <v/>
      </c>
      <c r="I489" s="35" t="str">
        <f t="shared" si="14"/>
        <v/>
      </c>
      <c r="J489" s="39" t="str">
        <f>IFERROR(VLOOKUP(B489,'SAÍDA DE VENDAS'!$B$6:$P$500,15,FALSE),"")</f>
        <v/>
      </c>
      <c r="K489" s="34" t="str">
        <f t="shared" ca="1" si="15"/>
        <v/>
      </c>
      <c r="L489" s="34"/>
      <c r="M489" s="34"/>
    </row>
    <row r="490" spans="2:13" ht="15" customHeight="1" x14ac:dyDescent="0.3">
      <c r="B490" s="28" t="str">
        <f>IF(B489="","", IF(VALUE(LEFT(H489,FIND("/",H489)-1)) &lt; VALUE(RIGHT(H489,LEN(H489)-FIND("/",H489))), B489, IFERROR(INDEX('SAÍDA DE VENDAS'!$B$6:$B$500, MATCH(B489,'SAÍDA DE VENDAS'!$B$6:$B$500,0)+COUNTIF('SAÍDA DE VENDAS'!$B$6:$B$500, B489)),"")))</f>
        <v/>
      </c>
      <c r="C490" s="29">
        <f>IFERROR(VLOOKUP(B490,'SAÍDA DE VENDAS'!$B$6:$P$500,3,FALSE),"")</f>
        <v>0</v>
      </c>
      <c r="D490" s="28">
        <f>IFERROR(VLOOKUP(B490,'SAÍDA DE VENDAS'!$B$6:$P$500,4,FALSE),"")</f>
        <v>0</v>
      </c>
      <c r="E490" s="28" t="str">
        <f>IFERROR(VLOOKUP(B490,'SAÍDA DE VENDAS'!$B$6:$P$500,5,FALSE),"")</f>
        <v/>
      </c>
      <c r="F490" s="28" t="str">
        <f>IF(OR(ISBLANK(B490),B490=""), "", IFERROR(INDEX('SAÍDA DE VENDAS'!$H$6:$H$500 &amp; "x " &amp; 'SAÍDA DE VENDAS'!$G$6:$G$500, MATCH(B490, 'SAÍDA DE VENDAS'!$B$6:$B$500, 0)), "")&amp; IF(COUNTIF('SAÍDA DE VENDAS'!$B$6:$B$500, B490)&gt;1, " + " &amp; IFERROR(INDEX('SAÍDA DE VENDAS'!$H$6:$H$500 &amp; "x " &amp; 'SAÍDA DE VENDAS'!$G$6:$G$500, MATCH(B490, 'SAÍDA DE VENDAS'!$B$6:$B$500, 0)+1), ""), "")&amp; IF(COUNTIF('SAÍDA DE VENDAS'!$B$6:$B$500, B490)&gt;2, " + " &amp; IFERROR(INDEX('SAÍDA DE VENDAS'!$H$6:$H$500 &amp; "x " &amp; 'SAÍDA DE VENDAS'!$G$6:$G$500, MATCH(B490, 'SAÍDA DE VENDAS'!$B$6:$B$500, 0)+2), ""), "")&amp; IF(COUNTIF('SAÍDA DE VENDAS'!$B$6:$B$500, B490)&gt;3, " + " &amp; IFERROR(INDEX('SAÍDA DE VENDAS'!$H$6:$H$500 &amp; "x " &amp; 'SAÍDA DE VENDAS'!$G$6:$G$500, MATCH(B490, 'SAÍDA DE VENDAS'!$B$6:$B$500, 0)+3), ""), "")&amp; IF(COUNTIF('SAÍDA DE VENDAS'!$B$6:$B$500, B490)&gt;4, " + " &amp; IFERROR(INDEX('SAÍDA DE VENDAS'!$H$6:$H$500 &amp; "x " &amp; 'SAÍDA DE VENDAS'!$G$6:$G$500, MATCH(B490, 'SAÍDA DE VENDAS'!$B$6:$B$500, 0)+4), ""), "")&amp; IF(COUNTIF('SAÍDA DE VENDAS'!$B$6:$B$500, B490)&gt;5, " + " &amp; IFERROR(INDEX('SAÍDA DE VENDAS'!$H$6:$H$500 &amp; "x " &amp; 'SAÍDA DE VENDAS'!$G$6:$G$500, MATCH(B490, 'SAÍDA DE VENDAS'!$B$6:$B$500, 0)+5), ""), ""))</f>
        <v/>
      </c>
      <c r="G490" s="28">
        <f>IFERROR(VLOOKUP(B490,'SAÍDA DE VENDAS'!$B$6:$P$500,10,FALSE),"")</f>
        <v>0</v>
      </c>
      <c r="H490" s="28" t="str">
        <f>IF(OR(ISBLANK(B490),B490=""), "", IF(B490=B489, (VALUE(LEFT(H489,FIND("/",H489)-1))+1)&amp;"/"&amp;RIGHT(H489,LEN(H489)-FIND("/",H489)), "1/"&amp;IFERROR(VLOOKUP(B490,'SAÍDA DE VENDAS'!$B$6:$P$500,13,FALSE),"1")))</f>
        <v/>
      </c>
      <c r="I490" s="69" t="str">
        <f t="shared" si="14"/>
        <v/>
      </c>
      <c r="J490" s="33" t="str">
        <f>IFERROR(VLOOKUP(B490,'SAÍDA DE VENDAS'!$B$6:$P$500,15,FALSE),"")</f>
        <v/>
      </c>
      <c r="K490" s="28" t="str">
        <f t="shared" ca="1" si="15"/>
        <v/>
      </c>
      <c r="L490" s="28"/>
      <c r="M490" s="28"/>
    </row>
    <row r="491" spans="2:13" ht="15" customHeight="1" x14ac:dyDescent="0.3">
      <c r="B491" s="34" t="str">
        <f>IF(B490="","", IF(VALUE(LEFT(H490,FIND("/",H490)-1)) &lt; VALUE(RIGHT(H490,LEN(H490)-FIND("/",H490))), B490, IFERROR(INDEX('SAÍDA DE VENDAS'!$B$6:$B$500, MATCH(B490,'SAÍDA DE VENDAS'!$B$6:$B$500,0)+COUNTIF('SAÍDA DE VENDAS'!$B$6:$B$500, B490)),"")))</f>
        <v/>
      </c>
      <c r="C491" s="35">
        <f>IFERROR(VLOOKUP(B491,'SAÍDA DE VENDAS'!$B$6:$P$500,3,FALSE),"")</f>
        <v>0</v>
      </c>
      <c r="D491" s="34">
        <f>IFERROR(VLOOKUP(B491,'SAÍDA DE VENDAS'!$B$6:$P$500,4,FALSE),"")</f>
        <v>0</v>
      </c>
      <c r="E491" s="34" t="str">
        <f>IFERROR(VLOOKUP(B491,'SAÍDA DE VENDAS'!$B$6:$P$500,5,FALSE),"")</f>
        <v/>
      </c>
      <c r="F491" s="34" t="str">
        <f>IF(OR(ISBLANK(B491),B491=""), "", IFERROR(INDEX('SAÍDA DE VENDAS'!$H$6:$H$500 &amp; "x " &amp; 'SAÍDA DE VENDAS'!$G$6:$G$500, MATCH(B491, 'SAÍDA DE VENDAS'!$B$6:$B$500, 0)), "")&amp; IF(COUNTIF('SAÍDA DE VENDAS'!$B$6:$B$500, B491)&gt;1, " + " &amp; IFERROR(INDEX('SAÍDA DE VENDAS'!$H$6:$H$500 &amp; "x " &amp; 'SAÍDA DE VENDAS'!$G$6:$G$500, MATCH(B491, 'SAÍDA DE VENDAS'!$B$6:$B$500, 0)+1), ""), "")&amp; IF(COUNTIF('SAÍDA DE VENDAS'!$B$6:$B$500, B491)&gt;2, " + " &amp; IFERROR(INDEX('SAÍDA DE VENDAS'!$H$6:$H$500 &amp; "x " &amp; 'SAÍDA DE VENDAS'!$G$6:$G$500, MATCH(B491, 'SAÍDA DE VENDAS'!$B$6:$B$500, 0)+2), ""), "")&amp; IF(COUNTIF('SAÍDA DE VENDAS'!$B$6:$B$500, B491)&gt;3, " + " &amp; IFERROR(INDEX('SAÍDA DE VENDAS'!$H$6:$H$500 &amp; "x " &amp; 'SAÍDA DE VENDAS'!$G$6:$G$500, MATCH(B491, 'SAÍDA DE VENDAS'!$B$6:$B$500, 0)+3), ""), "")&amp; IF(COUNTIF('SAÍDA DE VENDAS'!$B$6:$B$500, B491)&gt;4, " + " &amp; IFERROR(INDEX('SAÍDA DE VENDAS'!$H$6:$H$500 &amp; "x " &amp; 'SAÍDA DE VENDAS'!$G$6:$G$500, MATCH(B491, 'SAÍDA DE VENDAS'!$B$6:$B$500, 0)+4), ""), "")&amp; IF(COUNTIF('SAÍDA DE VENDAS'!$B$6:$B$500, B491)&gt;5, " + " &amp; IFERROR(INDEX('SAÍDA DE VENDAS'!$H$6:$H$500 &amp; "x " &amp; 'SAÍDA DE VENDAS'!$G$6:$G$500, MATCH(B491, 'SAÍDA DE VENDAS'!$B$6:$B$500, 0)+5), ""), ""))</f>
        <v/>
      </c>
      <c r="G491" s="34">
        <f>IFERROR(VLOOKUP(B491,'SAÍDA DE VENDAS'!$B$6:$P$500,10,FALSE),"")</f>
        <v>0</v>
      </c>
      <c r="H491" s="34" t="str">
        <f>IF(OR(ISBLANK(B491),B491=""), "", IF(B491=B490, (VALUE(LEFT(H490,FIND("/",H490)-1))+1)&amp;"/"&amp;RIGHT(H490,LEN(H490)-FIND("/",H490)), "1/"&amp;IFERROR(VLOOKUP(B491,'SAÍDA DE VENDAS'!$B$6:$P$500,13,FALSE),"1")))</f>
        <v/>
      </c>
      <c r="I491" s="35" t="str">
        <f t="shared" si="14"/>
        <v/>
      </c>
      <c r="J491" s="39" t="str">
        <f>IFERROR(VLOOKUP(B491,'SAÍDA DE VENDAS'!$B$6:$P$500,15,FALSE),"")</f>
        <v/>
      </c>
      <c r="K491" s="34" t="str">
        <f t="shared" ca="1" si="15"/>
        <v/>
      </c>
      <c r="L491" s="34"/>
      <c r="M491" s="34"/>
    </row>
    <row r="492" spans="2:13" ht="15" customHeight="1" x14ac:dyDescent="0.3">
      <c r="B492" s="28" t="str">
        <f>IF(B491="","", IF(VALUE(LEFT(H491,FIND("/",H491)-1)) &lt; VALUE(RIGHT(H491,LEN(H491)-FIND("/",H491))), B491, IFERROR(INDEX('SAÍDA DE VENDAS'!$B$6:$B$500, MATCH(B491,'SAÍDA DE VENDAS'!$B$6:$B$500,0)+COUNTIF('SAÍDA DE VENDAS'!$B$6:$B$500, B491)),"")))</f>
        <v/>
      </c>
      <c r="C492" s="29">
        <f>IFERROR(VLOOKUP(B492,'SAÍDA DE VENDAS'!$B$6:$P$500,3,FALSE),"")</f>
        <v>0</v>
      </c>
      <c r="D492" s="28">
        <f>IFERROR(VLOOKUP(B492,'SAÍDA DE VENDAS'!$B$6:$P$500,4,FALSE),"")</f>
        <v>0</v>
      </c>
      <c r="E492" s="28" t="str">
        <f>IFERROR(VLOOKUP(B492,'SAÍDA DE VENDAS'!$B$6:$P$500,5,FALSE),"")</f>
        <v/>
      </c>
      <c r="F492" s="28" t="str">
        <f>IF(OR(ISBLANK(B492),B492=""), "", IFERROR(INDEX('SAÍDA DE VENDAS'!$H$6:$H$500 &amp; "x " &amp; 'SAÍDA DE VENDAS'!$G$6:$G$500, MATCH(B492, 'SAÍDA DE VENDAS'!$B$6:$B$500, 0)), "")&amp; IF(COUNTIF('SAÍDA DE VENDAS'!$B$6:$B$500, B492)&gt;1, " + " &amp; IFERROR(INDEX('SAÍDA DE VENDAS'!$H$6:$H$500 &amp; "x " &amp; 'SAÍDA DE VENDAS'!$G$6:$G$500, MATCH(B492, 'SAÍDA DE VENDAS'!$B$6:$B$500, 0)+1), ""), "")&amp; IF(COUNTIF('SAÍDA DE VENDAS'!$B$6:$B$500, B492)&gt;2, " + " &amp; IFERROR(INDEX('SAÍDA DE VENDAS'!$H$6:$H$500 &amp; "x " &amp; 'SAÍDA DE VENDAS'!$G$6:$G$500, MATCH(B492, 'SAÍDA DE VENDAS'!$B$6:$B$500, 0)+2), ""), "")&amp; IF(COUNTIF('SAÍDA DE VENDAS'!$B$6:$B$500, B492)&gt;3, " + " &amp; IFERROR(INDEX('SAÍDA DE VENDAS'!$H$6:$H$500 &amp; "x " &amp; 'SAÍDA DE VENDAS'!$G$6:$G$500, MATCH(B492, 'SAÍDA DE VENDAS'!$B$6:$B$500, 0)+3), ""), "")&amp; IF(COUNTIF('SAÍDA DE VENDAS'!$B$6:$B$500, B492)&gt;4, " + " &amp; IFERROR(INDEX('SAÍDA DE VENDAS'!$H$6:$H$500 &amp; "x " &amp; 'SAÍDA DE VENDAS'!$G$6:$G$500, MATCH(B492, 'SAÍDA DE VENDAS'!$B$6:$B$500, 0)+4), ""), "")&amp; IF(COUNTIF('SAÍDA DE VENDAS'!$B$6:$B$500, B492)&gt;5, " + " &amp; IFERROR(INDEX('SAÍDA DE VENDAS'!$H$6:$H$500 &amp; "x " &amp; 'SAÍDA DE VENDAS'!$G$6:$G$500, MATCH(B492, 'SAÍDA DE VENDAS'!$B$6:$B$500, 0)+5), ""), ""))</f>
        <v/>
      </c>
      <c r="G492" s="28">
        <f>IFERROR(VLOOKUP(B492,'SAÍDA DE VENDAS'!$B$6:$P$500,10,FALSE),"")</f>
        <v>0</v>
      </c>
      <c r="H492" s="28" t="str">
        <f>IF(OR(ISBLANK(B492),B492=""), "", IF(B492=B491, (VALUE(LEFT(H491,FIND("/",H491)-1))+1)&amp;"/"&amp;RIGHT(H491,LEN(H491)-FIND("/",H491)), "1/"&amp;IFERROR(VLOOKUP(B492,'SAÍDA DE VENDAS'!$B$6:$P$500,13,FALSE),"1")))</f>
        <v/>
      </c>
      <c r="I492" s="69" t="str">
        <f t="shared" si="14"/>
        <v/>
      </c>
      <c r="J492" s="33" t="str">
        <f>IFERROR(VLOOKUP(B492,'SAÍDA DE VENDAS'!$B$6:$P$500,15,FALSE),"")</f>
        <v/>
      </c>
      <c r="K492" s="28" t="str">
        <f t="shared" ca="1" si="15"/>
        <v/>
      </c>
      <c r="L492" s="28"/>
      <c r="M492" s="28"/>
    </row>
    <row r="493" spans="2:13" ht="15" customHeight="1" x14ac:dyDescent="0.3">
      <c r="B493" s="34" t="str">
        <f>IF(B492="","", IF(VALUE(LEFT(H492,FIND("/",H492)-1)) &lt; VALUE(RIGHT(H492,LEN(H492)-FIND("/",H492))), B492, IFERROR(INDEX('SAÍDA DE VENDAS'!$B$6:$B$500, MATCH(B492,'SAÍDA DE VENDAS'!$B$6:$B$500,0)+COUNTIF('SAÍDA DE VENDAS'!$B$6:$B$500, B492)),"")))</f>
        <v/>
      </c>
      <c r="C493" s="35">
        <f>IFERROR(VLOOKUP(B493,'SAÍDA DE VENDAS'!$B$6:$P$500,3,FALSE),"")</f>
        <v>0</v>
      </c>
      <c r="D493" s="34">
        <f>IFERROR(VLOOKUP(B493,'SAÍDA DE VENDAS'!$B$6:$P$500,4,FALSE),"")</f>
        <v>0</v>
      </c>
      <c r="E493" s="34" t="str">
        <f>IFERROR(VLOOKUP(B493,'SAÍDA DE VENDAS'!$B$6:$P$500,5,FALSE),"")</f>
        <v/>
      </c>
      <c r="F493" s="34" t="str">
        <f>IF(OR(ISBLANK(B493),B493=""), "", IFERROR(INDEX('SAÍDA DE VENDAS'!$H$6:$H$500 &amp; "x " &amp; 'SAÍDA DE VENDAS'!$G$6:$G$500, MATCH(B493, 'SAÍDA DE VENDAS'!$B$6:$B$500, 0)), "")&amp; IF(COUNTIF('SAÍDA DE VENDAS'!$B$6:$B$500, B493)&gt;1, " + " &amp; IFERROR(INDEX('SAÍDA DE VENDAS'!$H$6:$H$500 &amp; "x " &amp; 'SAÍDA DE VENDAS'!$G$6:$G$500, MATCH(B493, 'SAÍDA DE VENDAS'!$B$6:$B$500, 0)+1), ""), "")&amp; IF(COUNTIF('SAÍDA DE VENDAS'!$B$6:$B$500, B493)&gt;2, " + " &amp; IFERROR(INDEX('SAÍDA DE VENDAS'!$H$6:$H$500 &amp; "x " &amp; 'SAÍDA DE VENDAS'!$G$6:$G$500, MATCH(B493, 'SAÍDA DE VENDAS'!$B$6:$B$500, 0)+2), ""), "")&amp; IF(COUNTIF('SAÍDA DE VENDAS'!$B$6:$B$500, B493)&gt;3, " + " &amp; IFERROR(INDEX('SAÍDA DE VENDAS'!$H$6:$H$500 &amp; "x " &amp; 'SAÍDA DE VENDAS'!$G$6:$G$500, MATCH(B493, 'SAÍDA DE VENDAS'!$B$6:$B$500, 0)+3), ""), "")&amp; IF(COUNTIF('SAÍDA DE VENDAS'!$B$6:$B$500, B493)&gt;4, " + " &amp; IFERROR(INDEX('SAÍDA DE VENDAS'!$H$6:$H$500 &amp; "x " &amp; 'SAÍDA DE VENDAS'!$G$6:$G$500, MATCH(B493, 'SAÍDA DE VENDAS'!$B$6:$B$500, 0)+4), ""), "")&amp; IF(COUNTIF('SAÍDA DE VENDAS'!$B$6:$B$500, B493)&gt;5, " + " &amp; IFERROR(INDEX('SAÍDA DE VENDAS'!$H$6:$H$500 &amp; "x " &amp; 'SAÍDA DE VENDAS'!$G$6:$G$500, MATCH(B493, 'SAÍDA DE VENDAS'!$B$6:$B$500, 0)+5), ""), ""))</f>
        <v/>
      </c>
      <c r="G493" s="34">
        <f>IFERROR(VLOOKUP(B493,'SAÍDA DE VENDAS'!$B$6:$P$500,10,FALSE),"")</f>
        <v>0</v>
      </c>
      <c r="H493" s="34" t="str">
        <f>IF(OR(ISBLANK(B493),B493=""), "", IF(B493=B492, (VALUE(LEFT(H492,FIND("/",H492)-1))+1)&amp;"/"&amp;RIGHT(H492,LEN(H492)-FIND("/",H492)), "1/"&amp;IFERROR(VLOOKUP(B493,'SAÍDA DE VENDAS'!$B$6:$P$500,13,FALSE),"1")))</f>
        <v/>
      </c>
      <c r="I493" s="35" t="str">
        <f t="shared" si="14"/>
        <v/>
      </c>
      <c r="J493" s="39" t="str">
        <f>IFERROR(VLOOKUP(B493,'SAÍDA DE VENDAS'!$B$6:$P$500,15,FALSE),"")</f>
        <v/>
      </c>
      <c r="K493" s="34" t="str">
        <f t="shared" ca="1" si="15"/>
        <v/>
      </c>
      <c r="L493" s="34"/>
      <c r="M493" s="34"/>
    </row>
    <row r="494" spans="2:13" ht="15" customHeight="1" x14ac:dyDescent="0.3">
      <c r="B494" s="28" t="str">
        <f>IF(B493="","", IF(VALUE(LEFT(H493,FIND("/",H493)-1)) &lt; VALUE(RIGHT(H493,LEN(H493)-FIND("/",H493))), B493, IFERROR(INDEX('SAÍDA DE VENDAS'!$B$6:$B$500, MATCH(B493,'SAÍDA DE VENDAS'!$B$6:$B$500,0)+COUNTIF('SAÍDA DE VENDAS'!$B$6:$B$500, B493)),"")))</f>
        <v/>
      </c>
      <c r="C494" s="29">
        <f>IFERROR(VLOOKUP(B494,'SAÍDA DE VENDAS'!$B$6:$P$500,3,FALSE),"")</f>
        <v>0</v>
      </c>
      <c r="D494" s="28">
        <f>IFERROR(VLOOKUP(B494,'SAÍDA DE VENDAS'!$B$6:$P$500,4,FALSE),"")</f>
        <v>0</v>
      </c>
      <c r="E494" s="28" t="str">
        <f>IFERROR(VLOOKUP(B494,'SAÍDA DE VENDAS'!$B$6:$P$500,5,FALSE),"")</f>
        <v/>
      </c>
      <c r="F494" s="28" t="str">
        <f>IF(OR(ISBLANK(B494),B494=""), "", IFERROR(INDEX('SAÍDA DE VENDAS'!$H$6:$H$500 &amp; "x " &amp; 'SAÍDA DE VENDAS'!$G$6:$G$500, MATCH(B494, 'SAÍDA DE VENDAS'!$B$6:$B$500, 0)), "")&amp; IF(COUNTIF('SAÍDA DE VENDAS'!$B$6:$B$500, B494)&gt;1, " + " &amp; IFERROR(INDEX('SAÍDA DE VENDAS'!$H$6:$H$500 &amp; "x " &amp; 'SAÍDA DE VENDAS'!$G$6:$G$500, MATCH(B494, 'SAÍDA DE VENDAS'!$B$6:$B$500, 0)+1), ""), "")&amp; IF(COUNTIF('SAÍDA DE VENDAS'!$B$6:$B$500, B494)&gt;2, " + " &amp; IFERROR(INDEX('SAÍDA DE VENDAS'!$H$6:$H$500 &amp; "x " &amp; 'SAÍDA DE VENDAS'!$G$6:$G$500, MATCH(B494, 'SAÍDA DE VENDAS'!$B$6:$B$500, 0)+2), ""), "")&amp; IF(COUNTIF('SAÍDA DE VENDAS'!$B$6:$B$500, B494)&gt;3, " + " &amp; IFERROR(INDEX('SAÍDA DE VENDAS'!$H$6:$H$500 &amp; "x " &amp; 'SAÍDA DE VENDAS'!$G$6:$G$500, MATCH(B494, 'SAÍDA DE VENDAS'!$B$6:$B$500, 0)+3), ""), "")&amp; IF(COUNTIF('SAÍDA DE VENDAS'!$B$6:$B$500, B494)&gt;4, " + " &amp; IFERROR(INDEX('SAÍDA DE VENDAS'!$H$6:$H$500 &amp; "x " &amp; 'SAÍDA DE VENDAS'!$G$6:$G$500, MATCH(B494, 'SAÍDA DE VENDAS'!$B$6:$B$500, 0)+4), ""), "")&amp; IF(COUNTIF('SAÍDA DE VENDAS'!$B$6:$B$500, B494)&gt;5, " + " &amp; IFERROR(INDEX('SAÍDA DE VENDAS'!$H$6:$H$500 &amp; "x " &amp; 'SAÍDA DE VENDAS'!$G$6:$G$500, MATCH(B494, 'SAÍDA DE VENDAS'!$B$6:$B$500, 0)+5), ""), ""))</f>
        <v/>
      </c>
      <c r="G494" s="28">
        <f>IFERROR(VLOOKUP(B494,'SAÍDA DE VENDAS'!$B$6:$P$500,10,FALSE),"")</f>
        <v>0</v>
      </c>
      <c r="H494" s="28" t="str">
        <f>IF(OR(ISBLANK(B494),B494=""), "", IF(B494=B493, (VALUE(LEFT(H493,FIND("/",H493)-1))+1)&amp;"/"&amp;RIGHT(H493,LEN(H493)-FIND("/",H493)), "1/"&amp;IFERROR(VLOOKUP(B494,'SAÍDA DE VENDAS'!$B$6:$P$500,13,FALSE),"1")))</f>
        <v/>
      </c>
      <c r="I494" s="69" t="str">
        <f t="shared" si="14"/>
        <v/>
      </c>
      <c r="J494" s="33" t="str">
        <f>IFERROR(VLOOKUP(B494,'SAÍDA DE VENDAS'!$B$6:$P$500,15,FALSE),"")</f>
        <v/>
      </c>
      <c r="K494" s="28" t="str">
        <f t="shared" ca="1" si="15"/>
        <v/>
      </c>
      <c r="L494" s="28"/>
      <c r="M494" s="28"/>
    </row>
    <row r="495" spans="2:13" ht="15" customHeight="1" x14ac:dyDescent="0.3">
      <c r="B495" s="34" t="str">
        <f>IF(B494="","", IF(VALUE(LEFT(H494,FIND("/",H494)-1)) &lt; VALUE(RIGHT(H494,LEN(H494)-FIND("/",H494))), B494, IFERROR(INDEX('SAÍDA DE VENDAS'!$B$6:$B$500, MATCH(B494,'SAÍDA DE VENDAS'!$B$6:$B$500,0)+COUNTIF('SAÍDA DE VENDAS'!$B$6:$B$500, B494)),"")))</f>
        <v/>
      </c>
      <c r="C495" s="35">
        <f>IFERROR(VLOOKUP(B495,'SAÍDA DE VENDAS'!$B$6:$P$500,3,FALSE),"")</f>
        <v>0</v>
      </c>
      <c r="D495" s="34">
        <f>IFERROR(VLOOKUP(B495,'SAÍDA DE VENDAS'!$B$6:$P$500,4,FALSE),"")</f>
        <v>0</v>
      </c>
      <c r="E495" s="34" t="str">
        <f>IFERROR(VLOOKUP(B495,'SAÍDA DE VENDAS'!$B$6:$P$500,5,FALSE),"")</f>
        <v/>
      </c>
      <c r="F495" s="34" t="str">
        <f>IF(OR(ISBLANK(B495),B495=""), "", IFERROR(INDEX('SAÍDA DE VENDAS'!$H$6:$H$500 &amp; "x " &amp; 'SAÍDA DE VENDAS'!$G$6:$G$500, MATCH(B495, 'SAÍDA DE VENDAS'!$B$6:$B$500, 0)), "")&amp; IF(COUNTIF('SAÍDA DE VENDAS'!$B$6:$B$500, B495)&gt;1, " + " &amp; IFERROR(INDEX('SAÍDA DE VENDAS'!$H$6:$H$500 &amp; "x " &amp; 'SAÍDA DE VENDAS'!$G$6:$G$500, MATCH(B495, 'SAÍDA DE VENDAS'!$B$6:$B$500, 0)+1), ""), "")&amp; IF(COUNTIF('SAÍDA DE VENDAS'!$B$6:$B$500, B495)&gt;2, " + " &amp; IFERROR(INDEX('SAÍDA DE VENDAS'!$H$6:$H$500 &amp; "x " &amp; 'SAÍDA DE VENDAS'!$G$6:$G$500, MATCH(B495, 'SAÍDA DE VENDAS'!$B$6:$B$500, 0)+2), ""), "")&amp; IF(COUNTIF('SAÍDA DE VENDAS'!$B$6:$B$500, B495)&gt;3, " + " &amp; IFERROR(INDEX('SAÍDA DE VENDAS'!$H$6:$H$500 &amp; "x " &amp; 'SAÍDA DE VENDAS'!$G$6:$G$500, MATCH(B495, 'SAÍDA DE VENDAS'!$B$6:$B$500, 0)+3), ""), "")&amp; IF(COUNTIF('SAÍDA DE VENDAS'!$B$6:$B$500, B495)&gt;4, " + " &amp; IFERROR(INDEX('SAÍDA DE VENDAS'!$H$6:$H$500 &amp; "x " &amp; 'SAÍDA DE VENDAS'!$G$6:$G$500, MATCH(B495, 'SAÍDA DE VENDAS'!$B$6:$B$500, 0)+4), ""), "")&amp; IF(COUNTIF('SAÍDA DE VENDAS'!$B$6:$B$500, B495)&gt;5, " + " &amp; IFERROR(INDEX('SAÍDA DE VENDAS'!$H$6:$H$500 &amp; "x " &amp; 'SAÍDA DE VENDAS'!$G$6:$G$500, MATCH(B495, 'SAÍDA DE VENDAS'!$B$6:$B$500, 0)+5), ""), ""))</f>
        <v/>
      </c>
      <c r="G495" s="34">
        <f>IFERROR(VLOOKUP(B495,'SAÍDA DE VENDAS'!$B$6:$P$500,10,FALSE),"")</f>
        <v>0</v>
      </c>
      <c r="H495" s="34" t="str">
        <f>IF(OR(ISBLANK(B495),B495=""), "", IF(B495=B494, (VALUE(LEFT(H494,FIND("/",H494)-1))+1)&amp;"/"&amp;RIGHT(H494,LEN(H494)-FIND("/",H494)), "1/"&amp;IFERROR(VLOOKUP(B495,'SAÍDA DE VENDAS'!$B$6:$P$500,13,FALSE),"1")))</f>
        <v/>
      </c>
      <c r="I495" s="35" t="str">
        <f t="shared" si="14"/>
        <v/>
      </c>
      <c r="J495" s="39" t="str">
        <f>IFERROR(VLOOKUP(B495,'SAÍDA DE VENDAS'!$B$6:$P$500,15,FALSE),"")</f>
        <v/>
      </c>
      <c r="K495" s="34" t="str">
        <f t="shared" ca="1" si="15"/>
        <v/>
      </c>
      <c r="L495" s="34"/>
      <c r="M495" s="34"/>
    </row>
    <row r="496" spans="2:13" ht="15" customHeight="1" x14ac:dyDescent="0.3">
      <c r="B496" s="28" t="str">
        <f>IF(B495="","", IF(VALUE(LEFT(H495,FIND("/",H495)-1)) &lt; VALUE(RIGHT(H495,LEN(H495)-FIND("/",H495))), B495, IFERROR(INDEX('SAÍDA DE VENDAS'!$B$6:$B$500, MATCH(B495,'SAÍDA DE VENDAS'!$B$6:$B$500,0)+COUNTIF('SAÍDA DE VENDAS'!$B$6:$B$500, B495)),"")))</f>
        <v/>
      </c>
      <c r="C496" s="29">
        <f>IFERROR(VLOOKUP(B496,'SAÍDA DE VENDAS'!$B$6:$P$500,3,FALSE),"")</f>
        <v>0</v>
      </c>
      <c r="D496" s="28">
        <f>IFERROR(VLOOKUP(B496,'SAÍDA DE VENDAS'!$B$6:$P$500,4,FALSE),"")</f>
        <v>0</v>
      </c>
      <c r="E496" s="28" t="str">
        <f>IFERROR(VLOOKUP(B496,'SAÍDA DE VENDAS'!$B$6:$P$500,5,FALSE),"")</f>
        <v/>
      </c>
      <c r="F496" s="28" t="str">
        <f>IF(OR(ISBLANK(B496),B496=""), "", IFERROR(INDEX('SAÍDA DE VENDAS'!$H$6:$H$500 &amp; "x " &amp; 'SAÍDA DE VENDAS'!$G$6:$G$500, MATCH(B496, 'SAÍDA DE VENDAS'!$B$6:$B$500, 0)), "")&amp; IF(COUNTIF('SAÍDA DE VENDAS'!$B$6:$B$500, B496)&gt;1, " + " &amp; IFERROR(INDEX('SAÍDA DE VENDAS'!$H$6:$H$500 &amp; "x " &amp; 'SAÍDA DE VENDAS'!$G$6:$G$500, MATCH(B496, 'SAÍDA DE VENDAS'!$B$6:$B$500, 0)+1), ""), "")&amp; IF(COUNTIF('SAÍDA DE VENDAS'!$B$6:$B$500, B496)&gt;2, " + " &amp; IFERROR(INDEX('SAÍDA DE VENDAS'!$H$6:$H$500 &amp; "x " &amp; 'SAÍDA DE VENDAS'!$G$6:$G$500, MATCH(B496, 'SAÍDA DE VENDAS'!$B$6:$B$500, 0)+2), ""), "")&amp; IF(COUNTIF('SAÍDA DE VENDAS'!$B$6:$B$500, B496)&gt;3, " + " &amp; IFERROR(INDEX('SAÍDA DE VENDAS'!$H$6:$H$500 &amp; "x " &amp; 'SAÍDA DE VENDAS'!$G$6:$G$500, MATCH(B496, 'SAÍDA DE VENDAS'!$B$6:$B$500, 0)+3), ""), "")&amp; IF(COUNTIF('SAÍDA DE VENDAS'!$B$6:$B$500, B496)&gt;4, " + " &amp; IFERROR(INDEX('SAÍDA DE VENDAS'!$H$6:$H$500 &amp; "x " &amp; 'SAÍDA DE VENDAS'!$G$6:$G$500, MATCH(B496, 'SAÍDA DE VENDAS'!$B$6:$B$500, 0)+4), ""), "")&amp; IF(COUNTIF('SAÍDA DE VENDAS'!$B$6:$B$500, B496)&gt;5, " + " &amp; IFERROR(INDEX('SAÍDA DE VENDAS'!$H$6:$H$500 &amp; "x " &amp; 'SAÍDA DE VENDAS'!$G$6:$G$500, MATCH(B496, 'SAÍDA DE VENDAS'!$B$6:$B$500, 0)+5), ""), ""))</f>
        <v/>
      </c>
      <c r="G496" s="28">
        <f>IFERROR(VLOOKUP(B496,'SAÍDA DE VENDAS'!$B$6:$P$500,10,FALSE),"")</f>
        <v>0</v>
      </c>
      <c r="H496" s="28" t="str">
        <f>IF(OR(ISBLANK(B496),B496=""), "", IF(B496=B495, (VALUE(LEFT(H495,FIND("/",H495)-1))+1)&amp;"/"&amp;RIGHT(H495,LEN(H495)-FIND("/",H495)), "1/"&amp;IFERROR(VLOOKUP(B496,'SAÍDA DE VENDAS'!$B$6:$P$500,13,FALSE),"1")))</f>
        <v/>
      </c>
      <c r="I496" s="69" t="str">
        <f t="shared" si="14"/>
        <v/>
      </c>
      <c r="J496" s="33" t="str">
        <f>IFERROR(VLOOKUP(B496,'SAÍDA DE VENDAS'!$B$6:$P$500,15,FALSE),"")</f>
        <v/>
      </c>
      <c r="K496" s="28" t="str">
        <f t="shared" ca="1" si="15"/>
        <v/>
      </c>
      <c r="L496" s="28"/>
      <c r="M496" s="28"/>
    </row>
    <row r="497" spans="2:13" ht="15" customHeight="1" x14ac:dyDescent="0.3">
      <c r="B497" s="34" t="str">
        <f>IF(B496="","", IF(VALUE(LEFT(H496,FIND("/",H496)-1)) &lt; VALUE(RIGHT(H496,LEN(H496)-FIND("/",H496))), B496, IFERROR(INDEX('SAÍDA DE VENDAS'!$B$6:$B$500, MATCH(B496,'SAÍDA DE VENDAS'!$B$6:$B$500,0)+COUNTIF('SAÍDA DE VENDAS'!$B$6:$B$500, B496)),"")))</f>
        <v/>
      </c>
      <c r="C497" s="35">
        <f>IFERROR(VLOOKUP(B497,'SAÍDA DE VENDAS'!$B$6:$P$500,3,FALSE),"")</f>
        <v>0</v>
      </c>
      <c r="D497" s="34">
        <f>IFERROR(VLOOKUP(B497,'SAÍDA DE VENDAS'!$B$6:$P$500,4,FALSE),"")</f>
        <v>0</v>
      </c>
      <c r="E497" s="34" t="str">
        <f>IFERROR(VLOOKUP(B497,'SAÍDA DE VENDAS'!$B$6:$P$500,5,FALSE),"")</f>
        <v/>
      </c>
      <c r="F497" s="34" t="str">
        <f>IF(OR(ISBLANK(B497),B497=""), "", IFERROR(INDEX('SAÍDA DE VENDAS'!$H$6:$H$500 &amp; "x " &amp; 'SAÍDA DE VENDAS'!$G$6:$G$500, MATCH(B497, 'SAÍDA DE VENDAS'!$B$6:$B$500, 0)), "")&amp; IF(COUNTIF('SAÍDA DE VENDAS'!$B$6:$B$500, B497)&gt;1, " + " &amp; IFERROR(INDEX('SAÍDA DE VENDAS'!$H$6:$H$500 &amp; "x " &amp; 'SAÍDA DE VENDAS'!$G$6:$G$500, MATCH(B497, 'SAÍDA DE VENDAS'!$B$6:$B$500, 0)+1), ""), "")&amp; IF(COUNTIF('SAÍDA DE VENDAS'!$B$6:$B$500, B497)&gt;2, " + " &amp; IFERROR(INDEX('SAÍDA DE VENDAS'!$H$6:$H$500 &amp; "x " &amp; 'SAÍDA DE VENDAS'!$G$6:$G$500, MATCH(B497, 'SAÍDA DE VENDAS'!$B$6:$B$500, 0)+2), ""), "")&amp; IF(COUNTIF('SAÍDA DE VENDAS'!$B$6:$B$500, B497)&gt;3, " + " &amp; IFERROR(INDEX('SAÍDA DE VENDAS'!$H$6:$H$500 &amp; "x " &amp; 'SAÍDA DE VENDAS'!$G$6:$G$500, MATCH(B497, 'SAÍDA DE VENDAS'!$B$6:$B$500, 0)+3), ""), "")&amp; IF(COUNTIF('SAÍDA DE VENDAS'!$B$6:$B$500, B497)&gt;4, " + " &amp; IFERROR(INDEX('SAÍDA DE VENDAS'!$H$6:$H$500 &amp; "x " &amp; 'SAÍDA DE VENDAS'!$G$6:$G$500, MATCH(B497, 'SAÍDA DE VENDAS'!$B$6:$B$500, 0)+4), ""), "")&amp; IF(COUNTIF('SAÍDA DE VENDAS'!$B$6:$B$500, B497)&gt;5, " + " &amp; IFERROR(INDEX('SAÍDA DE VENDAS'!$H$6:$H$500 &amp; "x " &amp; 'SAÍDA DE VENDAS'!$G$6:$G$500, MATCH(B497, 'SAÍDA DE VENDAS'!$B$6:$B$500, 0)+5), ""), ""))</f>
        <v/>
      </c>
      <c r="G497" s="34">
        <f>IFERROR(VLOOKUP(B497,'SAÍDA DE VENDAS'!$B$6:$P$500,10,FALSE),"")</f>
        <v>0</v>
      </c>
      <c r="H497" s="34" t="str">
        <f>IF(OR(ISBLANK(B497),B497=""), "", IF(B497=B496, (VALUE(LEFT(H496,FIND("/",H496)-1))+1)&amp;"/"&amp;RIGHT(H496,LEN(H496)-FIND("/",H496)), "1/"&amp;IFERROR(VLOOKUP(B497,'SAÍDA DE VENDAS'!$B$6:$P$500,13,FALSE),"1")))</f>
        <v/>
      </c>
      <c r="I497" s="35" t="str">
        <f t="shared" si="14"/>
        <v/>
      </c>
      <c r="J497" s="39" t="str">
        <f>IFERROR(VLOOKUP(B497,'SAÍDA DE VENDAS'!$B$6:$P$500,15,FALSE),"")</f>
        <v/>
      </c>
      <c r="K497" s="34" t="str">
        <f t="shared" ca="1" si="15"/>
        <v/>
      </c>
      <c r="L497" s="34"/>
      <c r="M497" s="34"/>
    </row>
    <row r="498" spans="2:13" ht="15" customHeight="1" x14ac:dyDescent="0.3">
      <c r="B498" s="28" t="str">
        <f>IF(B497="","", IF(VALUE(LEFT(H497,FIND("/",H497)-1)) &lt; VALUE(RIGHT(H497,LEN(H497)-FIND("/",H497))), B497, IFERROR(INDEX('SAÍDA DE VENDAS'!$B$6:$B$500, MATCH(B497,'SAÍDA DE VENDAS'!$B$6:$B$500,0)+COUNTIF('SAÍDA DE VENDAS'!$B$6:$B$500, B497)),"")))</f>
        <v/>
      </c>
      <c r="C498" s="29">
        <f>IFERROR(VLOOKUP(B498,'SAÍDA DE VENDAS'!$B$6:$P$500,3,FALSE),"")</f>
        <v>0</v>
      </c>
      <c r="D498" s="28">
        <f>IFERROR(VLOOKUP(B498,'SAÍDA DE VENDAS'!$B$6:$P$500,4,FALSE),"")</f>
        <v>0</v>
      </c>
      <c r="E498" s="28" t="str">
        <f>IFERROR(VLOOKUP(B498,'SAÍDA DE VENDAS'!$B$6:$P$500,5,FALSE),"")</f>
        <v/>
      </c>
      <c r="F498" s="28" t="str">
        <f>IF(OR(ISBLANK(B498),B498=""), "", IFERROR(INDEX('SAÍDA DE VENDAS'!$H$6:$H$500 &amp; "x " &amp; 'SAÍDA DE VENDAS'!$G$6:$G$500, MATCH(B498, 'SAÍDA DE VENDAS'!$B$6:$B$500, 0)), "")&amp; IF(COUNTIF('SAÍDA DE VENDAS'!$B$6:$B$500, B498)&gt;1, " + " &amp; IFERROR(INDEX('SAÍDA DE VENDAS'!$H$6:$H$500 &amp; "x " &amp; 'SAÍDA DE VENDAS'!$G$6:$G$500, MATCH(B498, 'SAÍDA DE VENDAS'!$B$6:$B$500, 0)+1), ""), "")&amp; IF(COUNTIF('SAÍDA DE VENDAS'!$B$6:$B$500, B498)&gt;2, " + " &amp; IFERROR(INDEX('SAÍDA DE VENDAS'!$H$6:$H$500 &amp; "x " &amp; 'SAÍDA DE VENDAS'!$G$6:$G$500, MATCH(B498, 'SAÍDA DE VENDAS'!$B$6:$B$500, 0)+2), ""), "")&amp; IF(COUNTIF('SAÍDA DE VENDAS'!$B$6:$B$500, B498)&gt;3, " + " &amp; IFERROR(INDEX('SAÍDA DE VENDAS'!$H$6:$H$500 &amp; "x " &amp; 'SAÍDA DE VENDAS'!$G$6:$G$500, MATCH(B498, 'SAÍDA DE VENDAS'!$B$6:$B$500, 0)+3), ""), "")&amp; IF(COUNTIF('SAÍDA DE VENDAS'!$B$6:$B$500, B498)&gt;4, " + " &amp; IFERROR(INDEX('SAÍDA DE VENDAS'!$H$6:$H$500 &amp; "x " &amp; 'SAÍDA DE VENDAS'!$G$6:$G$500, MATCH(B498, 'SAÍDA DE VENDAS'!$B$6:$B$500, 0)+4), ""), "")&amp; IF(COUNTIF('SAÍDA DE VENDAS'!$B$6:$B$500, B498)&gt;5, " + " &amp; IFERROR(INDEX('SAÍDA DE VENDAS'!$H$6:$H$500 &amp; "x " &amp; 'SAÍDA DE VENDAS'!$G$6:$G$500, MATCH(B498, 'SAÍDA DE VENDAS'!$B$6:$B$500, 0)+5), ""), ""))</f>
        <v/>
      </c>
      <c r="G498" s="28">
        <f>IFERROR(VLOOKUP(B498,'SAÍDA DE VENDAS'!$B$6:$P$500,10,FALSE),"")</f>
        <v>0</v>
      </c>
      <c r="H498" s="28" t="str">
        <f>IF(OR(ISBLANK(B498),B498=""), "", IF(B498=B497, (VALUE(LEFT(H497,FIND("/",H497)-1))+1)&amp;"/"&amp;RIGHT(H497,LEN(H497)-FIND("/",H497)), "1/"&amp;IFERROR(VLOOKUP(B498,'SAÍDA DE VENDAS'!$B$6:$P$500,13,FALSE),"1")))</f>
        <v/>
      </c>
      <c r="I498" s="69" t="str">
        <f t="shared" si="14"/>
        <v/>
      </c>
      <c r="J498" s="33" t="str">
        <f>IFERROR(VLOOKUP(B498,'SAÍDA DE VENDAS'!$B$6:$P$500,15,FALSE),"")</f>
        <v/>
      </c>
      <c r="K498" s="28" t="str">
        <f t="shared" ca="1" si="15"/>
        <v/>
      </c>
      <c r="L498" s="28"/>
      <c r="M498" s="28"/>
    </row>
    <row r="499" spans="2:13" ht="15" customHeight="1" x14ac:dyDescent="0.3">
      <c r="B499" s="34" t="str">
        <f>IF(B498="","", IF(VALUE(LEFT(H498,FIND("/",H498)-1)) &lt; VALUE(RIGHT(H498,LEN(H498)-FIND("/",H498))), B498, IFERROR(INDEX('SAÍDA DE VENDAS'!$B$6:$B$500, MATCH(B498,'SAÍDA DE VENDAS'!$B$6:$B$500,0)+COUNTIF('SAÍDA DE VENDAS'!$B$6:$B$500, B498)),"")))</f>
        <v/>
      </c>
      <c r="C499" s="35">
        <f>IFERROR(VLOOKUP(B499,'SAÍDA DE VENDAS'!$B$6:$P$500,3,FALSE),"")</f>
        <v>0</v>
      </c>
      <c r="D499" s="34">
        <f>IFERROR(VLOOKUP(B499,'SAÍDA DE VENDAS'!$B$6:$P$500,4,FALSE),"")</f>
        <v>0</v>
      </c>
      <c r="E499" s="34" t="str">
        <f>IFERROR(VLOOKUP(B499,'SAÍDA DE VENDAS'!$B$6:$P$500,5,FALSE),"")</f>
        <v/>
      </c>
      <c r="F499" s="34" t="str">
        <f>IF(OR(ISBLANK(B499),B499=""), "", IFERROR(INDEX('SAÍDA DE VENDAS'!$H$6:$H$500 &amp; "x " &amp; 'SAÍDA DE VENDAS'!$G$6:$G$500, MATCH(B499, 'SAÍDA DE VENDAS'!$B$6:$B$500, 0)), "")&amp; IF(COUNTIF('SAÍDA DE VENDAS'!$B$6:$B$500, B499)&gt;1, " + " &amp; IFERROR(INDEX('SAÍDA DE VENDAS'!$H$6:$H$500 &amp; "x " &amp; 'SAÍDA DE VENDAS'!$G$6:$G$500, MATCH(B499, 'SAÍDA DE VENDAS'!$B$6:$B$500, 0)+1), ""), "")&amp; IF(COUNTIF('SAÍDA DE VENDAS'!$B$6:$B$500, B499)&gt;2, " + " &amp; IFERROR(INDEX('SAÍDA DE VENDAS'!$H$6:$H$500 &amp; "x " &amp; 'SAÍDA DE VENDAS'!$G$6:$G$500, MATCH(B499, 'SAÍDA DE VENDAS'!$B$6:$B$500, 0)+2), ""), "")&amp; IF(COUNTIF('SAÍDA DE VENDAS'!$B$6:$B$500, B499)&gt;3, " + " &amp; IFERROR(INDEX('SAÍDA DE VENDAS'!$H$6:$H$500 &amp; "x " &amp; 'SAÍDA DE VENDAS'!$G$6:$G$500, MATCH(B499, 'SAÍDA DE VENDAS'!$B$6:$B$500, 0)+3), ""), "")&amp; IF(COUNTIF('SAÍDA DE VENDAS'!$B$6:$B$500, B499)&gt;4, " + " &amp; IFERROR(INDEX('SAÍDA DE VENDAS'!$H$6:$H$500 &amp; "x " &amp; 'SAÍDA DE VENDAS'!$G$6:$G$500, MATCH(B499, 'SAÍDA DE VENDAS'!$B$6:$B$500, 0)+4), ""), "")&amp; IF(COUNTIF('SAÍDA DE VENDAS'!$B$6:$B$500, B499)&gt;5, " + " &amp; IFERROR(INDEX('SAÍDA DE VENDAS'!$H$6:$H$500 &amp; "x " &amp; 'SAÍDA DE VENDAS'!$G$6:$G$500, MATCH(B499, 'SAÍDA DE VENDAS'!$B$6:$B$500, 0)+5), ""), ""))</f>
        <v/>
      </c>
      <c r="G499" s="34">
        <f>IFERROR(VLOOKUP(B499,'SAÍDA DE VENDAS'!$B$6:$P$500,10,FALSE),"")</f>
        <v>0</v>
      </c>
      <c r="H499" s="34" t="str">
        <f>IF(OR(ISBLANK(B499),B499=""), "", IF(B499=B498, (VALUE(LEFT(H498,FIND("/",H498)-1))+1)&amp;"/"&amp;RIGHT(H498,LEN(H498)-FIND("/",H498)), "1/"&amp;IFERROR(VLOOKUP(B499,'SAÍDA DE VENDAS'!$B$6:$P$500,13,FALSE),"1")))</f>
        <v/>
      </c>
      <c r="I499" s="35" t="str">
        <f t="shared" si="14"/>
        <v/>
      </c>
      <c r="J499" s="39" t="str">
        <f>IFERROR(VLOOKUP(B499,'SAÍDA DE VENDAS'!$B$6:$P$500,15,FALSE),"")</f>
        <v/>
      </c>
      <c r="K499" s="34" t="str">
        <f t="shared" ca="1" si="15"/>
        <v/>
      </c>
      <c r="L499" s="34"/>
      <c r="M499" s="34"/>
    </row>
    <row r="500" spans="2:13" ht="15" customHeight="1" x14ac:dyDescent="0.3">
      <c r="B500" s="28" t="str">
        <f>IF(B499="","", IF(VALUE(LEFT(H499,FIND("/",H499)-1)) &lt; VALUE(RIGHT(H499,LEN(H499)-FIND("/",H499))), B499, IFERROR(INDEX('SAÍDA DE VENDAS'!$B$6:$B$500, MATCH(B499,'SAÍDA DE VENDAS'!$B$6:$B$500,0)+COUNTIF('SAÍDA DE VENDAS'!$B$6:$B$500, B499)),"")))</f>
        <v/>
      </c>
      <c r="C500" s="29">
        <f>IFERROR(VLOOKUP(B500,'SAÍDA DE VENDAS'!$B$6:$P$500,3,FALSE),"")</f>
        <v>0</v>
      </c>
      <c r="D500" s="28">
        <f>IFERROR(VLOOKUP(B500,'SAÍDA DE VENDAS'!$B$6:$P$500,4,FALSE),"")</f>
        <v>0</v>
      </c>
      <c r="E500" s="28" t="str">
        <f>IFERROR(VLOOKUP(B500,'SAÍDA DE VENDAS'!$B$6:$P$500,5,FALSE),"")</f>
        <v/>
      </c>
      <c r="F500" s="28" t="str">
        <f>IF(OR(ISBLANK(B500),B500=""), "", IFERROR(INDEX('SAÍDA DE VENDAS'!$H$6:$H$500 &amp; "x " &amp; 'SAÍDA DE VENDAS'!$G$6:$G$500, MATCH(B500, 'SAÍDA DE VENDAS'!$B$6:$B$500, 0)), "")&amp; IF(COUNTIF('SAÍDA DE VENDAS'!$B$6:$B$500, B500)&gt;1, " + " &amp; IFERROR(INDEX('SAÍDA DE VENDAS'!$H$6:$H$500 &amp; "x " &amp; 'SAÍDA DE VENDAS'!$G$6:$G$500, MATCH(B500, 'SAÍDA DE VENDAS'!$B$6:$B$500, 0)+1), ""), "")&amp; IF(COUNTIF('SAÍDA DE VENDAS'!$B$6:$B$500, B500)&gt;2, " + " &amp; IFERROR(INDEX('SAÍDA DE VENDAS'!$H$6:$H$500 &amp; "x " &amp; 'SAÍDA DE VENDAS'!$G$6:$G$500, MATCH(B500, 'SAÍDA DE VENDAS'!$B$6:$B$500, 0)+2), ""), "")&amp; IF(COUNTIF('SAÍDA DE VENDAS'!$B$6:$B$500, B500)&gt;3, " + " &amp; IFERROR(INDEX('SAÍDA DE VENDAS'!$H$6:$H$500 &amp; "x " &amp; 'SAÍDA DE VENDAS'!$G$6:$G$500, MATCH(B500, 'SAÍDA DE VENDAS'!$B$6:$B$500, 0)+3), ""), "")&amp; IF(COUNTIF('SAÍDA DE VENDAS'!$B$6:$B$500, B500)&gt;4, " + " &amp; IFERROR(INDEX('SAÍDA DE VENDAS'!$H$6:$H$500 &amp; "x " &amp; 'SAÍDA DE VENDAS'!$G$6:$G$500, MATCH(B500, 'SAÍDA DE VENDAS'!$B$6:$B$500, 0)+4), ""), "")&amp; IF(COUNTIF('SAÍDA DE VENDAS'!$B$6:$B$500, B500)&gt;5, " + " &amp; IFERROR(INDEX('SAÍDA DE VENDAS'!$H$6:$H$500 &amp; "x " &amp; 'SAÍDA DE VENDAS'!$G$6:$G$500, MATCH(B500, 'SAÍDA DE VENDAS'!$B$6:$B$500, 0)+5), ""), ""))</f>
        <v/>
      </c>
      <c r="G500" s="28">
        <f>IFERROR(VLOOKUP(B500,'SAÍDA DE VENDAS'!$B$6:$P$500,10,FALSE),"")</f>
        <v>0</v>
      </c>
      <c r="H500" s="28" t="str">
        <f>IF(OR(ISBLANK(B500),B500=""), "", IF(B500=B499, (VALUE(LEFT(H499,FIND("/",H499)-1))+1)&amp;"/"&amp;RIGHT(H499,LEN(H499)-FIND("/",H499)), "1/"&amp;IFERROR(VLOOKUP(B500,'SAÍDA DE VENDAS'!$B$6:$P$500,13,FALSE),"1")))</f>
        <v/>
      </c>
      <c r="I500" s="69" t="str">
        <f t="shared" si="14"/>
        <v/>
      </c>
      <c r="J500" s="33" t="str">
        <f>IFERROR(VLOOKUP(B500,'SAÍDA DE VENDAS'!$B$6:$P$500,15,FALSE),"")</f>
        <v/>
      </c>
      <c r="K500" s="28" t="str">
        <f t="shared" ca="1" si="15"/>
        <v/>
      </c>
      <c r="L500" s="28"/>
      <c r="M500" s="28"/>
    </row>
    <row r="501" spans="2:13" ht="15" customHeight="1" x14ac:dyDescent="0.3">
      <c r="B501" s="34" t="str">
        <f>IF(B500="","", IF(VALUE(LEFT(H500,FIND("/",H500)-1)) &lt; VALUE(RIGHT(H500,LEN(H500)-FIND("/",H500))), B500, IFERROR(INDEX('SAÍDA DE VENDAS'!$B$6:$B$500, MATCH(B500,'SAÍDA DE VENDAS'!$B$6:$B$500,0)+COUNTIF('SAÍDA DE VENDAS'!$B$6:$B$500, B500)),"")))</f>
        <v/>
      </c>
      <c r="C501" s="35">
        <f>IFERROR(VLOOKUP(B501,'SAÍDA DE VENDAS'!$B$6:$P$500,3,FALSE),"")</f>
        <v>0</v>
      </c>
      <c r="D501" s="34">
        <f>IFERROR(VLOOKUP(B501,'SAÍDA DE VENDAS'!$B$6:$P$500,4,FALSE),"")</f>
        <v>0</v>
      </c>
      <c r="E501" s="34" t="str">
        <f>IFERROR(VLOOKUP(B501,'SAÍDA DE VENDAS'!$B$6:$P$500,5,FALSE),"")</f>
        <v/>
      </c>
      <c r="F501" s="34" t="str">
        <f>IF(OR(ISBLANK(B501),B501=""), "", IFERROR(INDEX('SAÍDA DE VENDAS'!$H$6:$H$500 &amp; "x " &amp; 'SAÍDA DE VENDAS'!$G$6:$G$500, MATCH(B501, 'SAÍDA DE VENDAS'!$B$6:$B$500, 0)), "")&amp; IF(COUNTIF('SAÍDA DE VENDAS'!$B$6:$B$500, B501)&gt;1, " + " &amp; IFERROR(INDEX('SAÍDA DE VENDAS'!$H$6:$H$500 &amp; "x " &amp; 'SAÍDA DE VENDAS'!$G$6:$G$500, MATCH(B501, 'SAÍDA DE VENDAS'!$B$6:$B$500, 0)+1), ""), "")&amp; IF(COUNTIF('SAÍDA DE VENDAS'!$B$6:$B$500, B501)&gt;2, " + " &amp; IFERROR(INDEX('SAÍDA DE VENDAS'!$H$6:$H$500 &amp; "x " &amp; 'SAÍDA DE VENDAS'!$G$6:$G$500, MATCH(B501, 'SAÍDA DE VENDAS'!$B$6:$B$500, 0)+2), ""), "")&amp; IF(COUNTIF('SAÍDA DE VENDAS'!$B$6:$B$500, B501)&gt;3, " + " &amp; IFERROR(INDEX('SAÍDA DE VENDAS'!$H$6:$H$500 &amp; "x " &amp; 'SAÍDA DE VENDAS'!$G$6:$G$500, MATCH(B501, 'SAÍDA DE VENDAS'!$B$6:$B$500, 0)+3), ""), "")&amp; IF(COUNTIF('SAÍDA DE VENDAS'!$B$6:$B$500, B501)&gt;4, " + " &amp; IFERROR(INDEX('SAÍDA DE VENDAS'!$H$6:$H$500 &amp; "x " &amp; 'SAÍDA DE VENDAS'!$G$6:$G$500, MATCH(B501, 'SAÍDA DE VENDAS'!$B$6:$B$500, 0)+4), ""), "")&amp; IF(COUNTIF('SAÍDA DE VENDAS'!$B$6:$B$500, B501)&gt;5, " + " &amp; IFERROR(INDEX('SAÍDA DE VENDAS'!$H$6:$H$500 &amp; "x " &amp; 'SAÍDA DE VENDAS'!$G$6:$G$500, MATCH(B501, 'SAÍDA DE VENDAS'!$B$6:$B$500, 0)+5), ""), ""))</f>
        <v/>
      </c>
      <c r="G501" s="34">
        <f>IFERROR(VLOOKUP(B501,'SAÍDA DE VENDAS'!$B$6:$P$500,10,FALSE),"")</f>
        <v>0</v>
      </c>
      <c r="H501" s="34" t="str">
        <f>IF(OR(ISBLANK(B501),B501=""), "", IF(B501=B500, (VALUE(LEFT(H500,FIND("/",H500)-1))+1)&amp;"/"&amp;RIGHT(H500,LEN(H500)-FIND("/",H500)), "1/"&amp;IFERROR(VLOOKUP(B501,'SAÍDA DE VENDAS'!$B$6:$P$500,13,FALSE),"1")))</f>
        <v/>
      </c>
      <c r="I501" s="35" t="str">
        <f t="shared" si="14"/>
        <v/>
      </c>
      <c r="J501" s="39" t="str">
        <f>IFERROR(VLOOKUP(B501,'SAÍDA DE VENDAS'!$B$6:$P$500,15,FALSE),"")</f>
        <v/>
      </c>
      <c r="K501" s="34" t="str">
        <f t="shared" ca="1" si="15"/>
        <v/>
      </c>
      <c r="L501" s="34"/>
      <c r="M501" s="34"/>
    </row>
    <row r="502" spans="2:13" ht="15" customHeight="1" x14ac:dyDescent="0.3">
      <c r="B502" s="28" t="str">
        <f>IF(B501="","", IF(VALUE(LEFT(H501,FIND("/",H501)-1)) &lt; VALUE(RIGHT(H501,LEN(H501)-FIND("/",H501))), B501, IFERROR(INDEX('SAÍDA DE VENDAS'!$B$6:$B$500, MATCH(B501,'SAÍDA DE VENDAS'!$B$6:$B$500,0)+COUNTIF('SAÍDA DE VENDAS'!$B$6:$B$500, B501)),"")))</f>
        <v/>
      </c>
      <c r="C502" s="29">
        <f>IFERROR(VLOOKUP(B502,'SAÍDA DE VENDAS'!$B$6:$P$500,3,FALSE),"")</f>
        <v>0</v>
      </c>
      <c r="D502" s="28">
        <f>IFERROR(VLOOKUP(B502,'SAÍDA DE VENDAS'!$B$6:$P$500,4,FALSE),"")</f>
        <v>0</v>
      </c>
      <c r="E502" s="28" t="str">
        <f>IFERROR(VLOOKUP(B502,'SAÍDA DE VENDAS'!$B$6:$P$500,5,FALSE),"")</f>
        <v/>
      </c>
      <c r="F502" s="28" t="str">
        <f>IF(OR(ISBLANK(B502),B502=""), "", IFERROR(INDEX('SAÍDA DE VENDAS'!$H$6:$H$500 &amp; "x " &amp; 'SAÍDA DE VENDAS'!$G$6:$G$500, MATCH(B502, 'SAÍDA DE VENDAS'!$B$6:$B$500, 0)), "")&amp; IF(COUNTIF('SAÍDA DE VENDAS'!$B$6:$B$500, B502)&gt;1, " + " &amp; IFERROR(INDEX('SAÍDA DE VENDAS'!$H$6:$H$500 &amp; "x " &amp; 'SAÍDA DE VENDAS'!$G$6:$G$500, MATCH(B502, 'SAÍDA DE VENDAS'!$B$6:$B$500, 0)+1), ""), "")&amp; IF(COUNTIF('SAÍDA DE VENDAS'!$B$6:$B$500, B502)&gt;2, " + " &amp; IFERROR(INDEX('SAÍDA DE VENDAS'!$H$6:$H$500 &amp; "x " &amp; 'SAÍDA DE VENDAS'!$G$6:$G$500, MATCH(B502, 'SAÍDA DE VENDAS'!$B$6:$B$500, 0)+2), ""), "")&amp; IF(COUNTIF('SAÍDA DE VENDAS'!$B$6:$B$500, B502)&gt;3, " + " &amp; IFERROR(INDEX('SAÍDA DE VENDAS'!$H$6:$H$500 &amp; "x " &amp; 'SAÍDA DE VENDAS'!$G$6:$G$500, MATCH(B502, 'SAÍDA DE VENDAS'!$B$6:$B$500, 0)+3), ""), "")&amp; IF(COUNTIF('SAÍDA DE VENDAS'!$B$6:$B$500, B502)&gt;4, " + " &amp; IFERROR(INDEX('SAÍDA DE VENDAS'!$H$6:$H$500 &amp; "x " &amp; 'SAÍDA DE VENDAS'!$G$6:$G$500, MATCH(B502, 'SAÍDA DE VENDAS'!$B$6:$B$500, 0)+4), ""), "")&amp; IF(COUNTIF('SAÍDA DE VENDAS'!$B$6:$B$500, B502)&gt;5, " + " &amp; IFERROR(INDEX('SAÍDA DE VENDAS'!$H$6:$H$500 &amp; "x " &amp; 'SAÍDA DE VENDAS'!$G$6:$G$500, MATCH(B502, 'SAÍDA DE VENDAS'!$B$6:$B$500, 0)+5), ""), ""))</f>
        <v/>
      </c>
      <c r="G502" s="28">
        <f>IFERROR(VLOOKUP(B502,'SAÍDA DE VENDAS'!$B$6:$P$500,10,FALSE),"")</f>
        <v>0</v>
      </c>
      <c r="H502" s="28" t="str">
        <f>IF(OR(ISBLANK(B502),B502=""), "", IF(B502=B501, (VALUE(LEFT(H501,FIND("/",H501)-1))+1)&amp;"/"&amp;RIGHT(H501,LEN(H501)-FIND("/",H501)), "1/"&amp;IFERROR(VLOOKUP(B502,'SAÍDA DE VENDAS'!$B$6:$P$500,13,FALSE),"1")))</f>
        <v/>
      </c>
      <c r="I502" s="69" t="str">
        <f t="shared" si="14"/>
        <v/>
      </c>
      <c r="J502" s="33" t="str">
        <f>IFERROR(VLOOKUP(B502,'SAÍDA DE VENDAS'!$B$6:$P$500,15,FALSE),"")</f>
        <v/>
      </c>
      <c r="K502" s="28" t="str">
        <f t="shared" ca="1" si="15"/>
        <v/>
      </c>
      <c r="L502" s="28"/>
      <c r="M502" s="28"/>
    </row>
    <row r="503" spans="2:13" ht="15" customHeight="1" x14ac:dyDescent="0.3">
      <c r="B503" s="34" t="str">
        <f>IF(B502="","", IF(VALUE(LEFT(H502,FIND("/",H502)-1)) &lt; VALUE(RIGHT(H502,LEN(H502)-FIND("/",H502))), B502, IFERROR(INDEX('SAÍDA DE VENDAS'!$B$6:$B$500, MATCH(B502,'SAÍDA DE VENDAS'!$B$6:$B$500,0)+COUNTIF('SAÍDA DE VENDAS'!$B$6:$B$500, B502)),"")))</f>
        <v/>
      </c>
      <c r="C503" s="35">
        <f>IFERROR(VLOOKUP(B503,'SAÍDA DE VENDAS'!$B$6:$P$500,3,FALSE),"")</f>
        <v>0</v>
      </c>
      <c r="D503" s="34">
        <f>IFERROR(VLOOKUP(B503,'SAÍDA DE VENDAS'!$B$6:$P$500,4,FALSE),"")</f>
        <v>0</v>
      </c>
      <c r="E503" s="34" t="str">
        <f>IFERROR(VLOOKUP(B503,'SAÍDA DE VENDAS'!$B$6:$P$500,5,FALSE),"")</f>
        <v/>
      </c>
      <c r="F503" s="34" t="str">
        <f>IF(OR(ISBLANK(B503),B503=""), "", IFERROR(INDEX('SAÍDA DE VENDAS'!$H$6:$H$500 &amp; "x " &amp; 'SAÍDA DE VENDAS'!$G$6:$G$500, MATCH(B503, 'SAÍDA DE VENDAS'!$B$6:$B$500, 0)), "")&amp; IF(COUNTIF('SAÍDA DE VENDAS'!$B$6:$B$500, B503)&gt;1, " + " &amp; IFERROR(INDEX('SAÍDA DE VENDAS'!$H$6:$H$500 &amp; "x " &amp; 'SAÍDA DE VENDAS'!$G$6:$G$500, MATCH(B503, 'SAÍDA DE VENDAS'!$B$6:$B$500, 0)+1), ""), "")&amp; IF(COUNTIF('SAÍDA DE VENDAS'!$B$6:$B$500, B503)&gt;2, " + " &amp; IFERROR(INDEX('SAÍDA DE VENDAS'!$H$6:$H$500 &amp; "x " &amp; 'SAÍDA DE VENDAS'!$G$6:$G$500, MATCH(B503, 'SAÍDA DE VENDAS'!$B$6:$B$500, 0)+2), ""), "")&amp; IF(COUNTIF('SAÍDA DE VENDAS'!$B$6:$B$500, B503)&gt;3, " + " &amp; IFERROR(INDEX('SAÍDA DE VENDAS'!$H$6:$H$500 &amp; "x " &amp; 'SAÍDA DE VENDAS'!$G$6:$G$500, MATCH(B503, 'SAÍDA DE VENDAS'!$B$6:$B$500, 0)+3), ""), "")&amp; IF(COUNTIF('SAÍDA DE VENDAS'!$B$6:$B$500, B503)&gt;4, " + " &amp; IFERROR(INDEX('SAÍDA DE VENDAS'!$H$6:$H$500 &amp; "x " &amp; 'SAÍDA DE VENDAS'!$G$6:$G$500, MATCH(B503, 'SAÍDA DE VENDAS'!$B$6:$B$500, 0)+4), ""), "")&amp; IF(COUNTIF('SAÍDA DE VENDAS'!$B$6:$B$500, B503)&gt;5, " + " &amp; IFERROR(INDEX('SAÍDA DE VENDAS'!$H$6:$H$500 &amp; "x " &amp; 'SAÍDA DE VENDAS'!$G$6:$G$500, MATCH(B503, 'SAÍDA DE VENDAS'!$B$6:$B$500, 0)+5), ""), ""))</f>
        <v/>
      </c>
      <c r="G503" s="34">
        <f>IFERROR(VLOOKUP(B503,'SAÍDA DE VENDAS'!$B$6:$P$500,10,FALSE),"")</f>
        <v>0</v>
      </c>
      <c r="H503" s="34" t="str">
        <f>IF(OR(ISBLANK(B503),B503=""), "", IF(B503=B502, (VALUE(LEFT(H502,FIND("/",H502)-1))+1)&amp;"/"&amp;RIGHT(H502,LEN(H502)-FIND("/",H502)), "1/"&amp;IFERROR(VLOOKUP(B503,'SAÍDA DE VENDAS'!$B$6:$P$500,13,FALSE),"1")))</f>
        <v/>
      </c>
      <c r="I503" s="35" t="str">
        <f t="shared" si="14"/>
        <v/>
      </c>
      <c r="J503" s="39" t="str">
        <f>IFERROR(VLOOKUP(B503,'SAÍDA DE VENDAS'!$B$6:$P$500,15,FALSE),"")</f>
        <v/>
      </c>
      <c r="K503" s="34" t="str">
        <f t="shared" ca="1" si="15"/>
        <v/>
      </c>
      <c r="L503" s="34"/>
      <c r="M503" s="34"/>
    </row>
    <row r="504" spans="2:13" ht="15" customHeight="1" x14ac:dyDescent="0.3">
      <c r="B504" s="28" t="str">
        <f>IF(B503="","", IF(VALUE(LEFT(H503,FIND("/",H503)-1)) &lt; VALUE(RIGHT(H503,LEN(H503)-FIND("/",H503))), B503, IFERROR(INDEX('SAÍDA DE VENDAS'!$B$6:$B$500, MATCH(B503,'SAÍDA DE VENDAS'!$B$6:$B$500,0)+COUNTIF('SAÍDA DE VENDAS'!$B$6:$B$500, B503)),"")))</f>
        <v/>
      </c>
      <c r="C504" s="29">
        <f>IFERROR(VLOOKUP(B504,'SAÍDA DE VENDAS'!$B$6:$P$500,3,FALSE),"")</f>
        <v>0</v>
      </c>
      <c r="D504" s="28">
        <f>IFERROR(VLOOKUP(B504,'SAÍDA DE VENDAS'!$B$6:$P$500,4,FALSE),"")</f>
        <v>0</v>
      </c>
      <c r="E504" s="28" t="str">
        <f>IFERROR(VLOOKUP(B504,'SAÍDA DE VENDAS'!$B$6:$P$500,5,FALSE),"")</f>
        <v/>
      </c>
      <c r="F504" s="28" t="str">
        <f>IF(OR(ISBLANK(B504),B504=""), "", IFERROR(INDEX('SAÍDA DE VENDAS'!$H$6:$H$500 &amp; "x " &amp; 'SAÍDA DE VENDAS'!$G$6:$G$500, MATCH(B504, 'SAÍDA DE VENDAS'!$B$6:$B$500, 0)), "")&amp; IF(COUNTIF('SAÍDA DE VENDAS'!$B$6:$B$500, B504)&gt;1, " + " &amp; IFERROR(INDEX('SAÍDA DE VENDAS'!$H$6:$H$500 &amp; "x " &amp; 'SAÍDA DE VENDAS'!$G$6:$G$500, MATCH(B504, 'SAÍDA DE VENDAS'!$B$6:$B$500, 0)+1), ""), "")&amp; IF(COUNTIF('SAÍDA DE VENDAS'!$B$6:$B$500, B504)&gt;2, " + " &amp; IFERROR(INDEX('SAÍDA DE VENDAS'!$H$6:$H$500 &amp; "x " &amp; 'SAÍDA DE VENDAS'!$G$6:$G$500, MATCH(B504, 'SAÍDA DE VENDAS'!$B$6:$B$500, 0)+2), ""), "")&amp; IF(COUNTIF('SAÍDA DE VENDAS'!$B$6:$B$500, B504)&gt;3, " + " &amp; IFERROR(INDEX('SAÍDA DE VENDAS'!$H$6:$H$500 &amp; "x " &amp; 'SAÍDA DE VENDAS'!$G$6:$G$500, MATCH(B504, 'SAÍDA DE VENDAS'!$B$6:$B$500, 0)+3), ""), "")&amp; IF(COUNTIF('SAÍDA DE VENDAS'!$B$6:$B$500, B504)&gt;4, " + " &amp; IFERROR(INDEX('SAÍDA DE VENDAS'!$H$6:$H$500 &amp; "x " &amp; 'SAÍDA DE VENDAS'!$G$6:$G$500, MATCH(B504, 'SAÍDA DE VENDAS'!$B$6:$B$500, 0)+4), ""), "")&amp; IF(COUNTIF('SAÍDA DE VENDAS'!$B$6:$B$500, B504)&gt;5, " + " &amp; IFERROR(INDEX('SAÍDA DE VENDAS'!$H$6:$H$500 &amp; "x " &amp; 'SAÍDA DE VENDAS'!$G$6:$G$500, MATCH(B504, 'SAÍDA DE VENDAS'!$B$6:$B$500, 0)+5), ""), ""))</f>
        <v/>
      </c>
      <c r="G504" s="28">
        <f>IFERROR(VLOOKUP(B504,'SAÍDA DE VENDAS'!$B$6:$P$500,10,FALSE),"")</f>
        <v>0</v>
      </c>
      <c r="H504" s="28" t="str">
        <f>IF(OR(ISBLANK(B504),B504=""), "", IF(B504=B503, (VALUE(LEFT(H503,FIND("/",H503)-1))+1)&amp;"/"&amp;RIGHT(H503,LEN(H503)-FIND("/",H503)), "1/"&amp;IFERROR(VLOOKUP(B504,'SAÍDA DE VENDAS'!$B$6:$P$500,13,FALSE),"1")))</f>
        <v/>
      </c>
      <c r="I504" s="69" t="str">
        <f t="shared" si="14"/>
        <v/>
      </c>
      <c r="J504" s="33" t="str">
        <f>IFERROR(VLOOKUP(B504,'SAÍDA DE VENDAS'!$B$6:$P$500,15,FALSE),"")</f>
        <v/>
      </c>
      <c r="K504" s="28" t="str">
        <f t="shared" ca="1" si="15"/>
        <v/>
      </c>
      <c r="L504" s="28"/>
      <c r="M504" s="28"/>
    </row>
    <row r="505" spans="2:13" ht="15" customHeight="1" x14ac:dyDescent="0.3">
      <c r="B505" s="34" t="str">
        <f>IF(B504="","", IF(VALUE(LEFT(H504,FIND("/",H504)-1)) &lt; VALUE(RIGHT(H504,LEN(H504)-FIND("/",H504))), B504, IFERROR(INDEX('SAÍDA DE VENDAS'!$B$6:$B$500, MATCH(B504,'SAÍDA DE VENDAS'!$B$6:$B$500,0)+COUNTIF('SAÍDA DE VENDAS'!$B$6:$B$500, B504)),"")))</f>
        <v/>
      </c>
      <c r="C505" s="35">
        <f>IFERROR(VLOOKUP(B505,'SAÍDA DE VENDAS'!$B$6:$P$500,3,FALSE),"")</f>
        <v>0</v>
      </c>
      <c r="D505" s="34">
        <f>IFERROR(VLOOKUP(B505,'SAÍDA DE VENDAS'!$B$6:$P$500,4,FALSE),"")</f>
        <v>0</v>
      </c>
      <c r="E505" s="34" t="str">
        <f>IFERROR(VLOOKUP(B505,'SAÍDA DE VENDAS'!$B$6:$P$500,5,FALSE),"")</f>
        <v/>
      </c>
      <c r="F505" s="34" t="str">
        <f>IF(OR(ISBLANK(B505),B505=""), "", IFERROR(INDEX('SAÍDA DE VENDAS'!$H$6:$H$500 &amp; "x " &amp; 'SAÍDA DE VENDAS'!$G$6:$G$500, MATCH(B505, 'SAÍDA DE VENDAS'!$B$6:$B$500, 0)), "")&amp; IF(COUNTIF('SAÍDA DE VENDAS'!$B$6:$B$500, B505)&gt;1, " + " &amp; IFERROR(INDEX('SAÍDA DE VENDAS'!$H$6:$H$500 &amp; "x " &amp; 'SAÍDA DE VENDAS'!$G$6:$G$500, MATCH(B505, 'SAÍDA DE VENDAS'!$B$6:$B$500, 0)+1), ""), "")&amp; IF(COUNTIF('SAÍDA DE VENDAS'!$B$6:$B$500, B505)&gt;2, " + " &amp; IFERROR(INDEX('SAÍDA DE VENDAS'!$H$6:$H$500 &amp; "x " &amp; 'SAÍDA DE VENDAS'!$G$6:$G$500, MATCH(B505, 'SAÍDA DE VENDAS'!$B$6:$B$500, 0)+2), ""), "")&amp; IF(COUNTIF('SAÍDA DE VENDAS'!$B$6:$B$500, B505)&gt;3, " + " &amp; IFERROR(INDEX('SAÍDA DE VENDAS'!$H$6:$H$500 &amp; "x " &amp; 'SAÍDA DE VENDAS'!$G$6:$G$500, MATCH(B505, 'SAÍDA DE VENDAS'!$B$6:$B$500, 0)+3), ""), "")&amp; IF(COUNTIF('SAÍDA DE VENDAS'!$B$6:$B$500, B505)&gt;4, " + " &amp; IFERROR(INDEX('SAÍDA DE VENDAS'!$H$6:$H$500 &amp; "x " &amp; 'SAÍDA DE VENDAS'!$G$6:$G$500, MATCH(B505, 'SAÍDA DE VENDAS'!$B$6:$B$500, 0)+4), ""), "")&amp; IF(COUNTIF('SAÍDA DE VENDAS'!$B$6:$B$500, B505)&gt;5, " + " &amp; IFERROR(INDEX('SAÍDA DE VENDAS'!$H$6:$H$500 &amp; "x " &amp; 'SAÍDA DE VENDAS'!$G$6:$G$500, MATCH(B505, 'SAÍDA DE VENDAS'!$B$6:$B$500, 0)+5), ""), ""))</f>
        <v/>
      </c>
      <c r="G505" s="34">
        <f>IFERROR(VLOOKUP(B505,'SAÍDA DE VENDAS'!$B$6:$P$500,10,FALSE),"")</f>
        <v>0</v>
      </c>
      <c r="H505" s="34" t="str">
        <f>IF(OR(ISBLANK(B505),B505=""), "", IF(B505=B504, (VALUE(LEFT(H504,FIND("/",H504)-1))+1)&amp;"/"&amp;RIGHT(H504,LEN(H504)-FIND("/",H504)), "1/"&amp;IFERROR(VLOOKUP(B505,'SAÍDA DE VENDAS'!$B$6:$P$500,13,FALSE),"1")))</f>
        <v/>
      </c>
      <c r="I505" s="35" t="str">
        <f t="shared" si="14"/>
        <v/>
      </c>
      <c r="J505" s="39" t="str">
        <f>IFERROR(VLOOKUP(B505,'SAÍDA DE VENDAS'!$B$6:$P$500,15,FALSE),"")</f>
        <v/>
      </c>
      <c r="K505" s="34" t="str">
        <f t="shared" ca="1" si="15"/>
        <v/>
      </c>
      <c r="L505" s="34"/>
      <c r="M505" s="34"/>
    </row>
    <row r="506" spans="2:13" ht="15" customHeight="1" x14ac:dyDescent="0.3">
      <c r="B506" s="28" t="str">
        <f>IF(B505="","", IF(VALUE(LEFT(H505,FIND("/",H505)-1)) &lt; VALUE(RIGHT(H505,LEN(H505)-FIND("/",H505))), B505, IFERROR(INDEX('SAÍDA DE VENDAS'!$B$6:$B$500, MATCH(B505,'SAÍDA DE VENDAS'!$B$6:$B$500,0)+COUNTIF('SAÍDA DE VENDAS'!$B$6:$B$500, B505)),"")))</f>
        <v/>
      </c>
      <c r="C506" s="29">
        <f>IFERROR(VLOOKUP(B506,'SAÍDA DE VENDAS'!$B$6:$P$500,3,FALSE),"")</f>
        <v>0</v>
      </c>
      <c r="D506" s="28">
        <f>IFERROR(VLOOKUP(B506,'SAÍDA DE VENDAS'!$B$6:$P$500,4,FALSE),"")</f>
        <v>0</v>
      </c>
      <c r="E506" s="28" t="str">
        <f>IFERROR(VLOOKUP(B506,'SAÍDA DE VENDAS'!$B$6:$P$500,5,FALSE),"")</f>
        <v/>
      </c>
      <c r="F506" s="28" t="str">
        <f>IF(OR(ISBLANK(B506),B506=""), "", IFERROR(INDEX('SAÍDA DE VENDAS'!$H$6:$H$500 &amp; "x " &amp; 'SAÍDA DE VENDAS'!$G$6:$G$500, MATCH(B506, 'SAÍDA DE VENDAS'!$B$6:$B$500, 0)), "")&amp; IF(COUNTIF('SAÍDA DE VENDAS'!$B$6:$B$500, B506)&gt;1, " + " &amp; IFERROR(INDEX('SAÍDA DE VENDAS'!$H$6:$H$500 &amp; "x " &amp; 'SAÍDA DE VENDAS'!$G$6:$G$500, MATCH(B506, 'SAÍDA DE VENDAS'!$B$6:$B$500, 0)+1), ""), "")&amp; IF(COUNTIF('SAÍDA DE VENDAS'!$B$6:$B$500, B506)&gt;2, " + " &amp; IFERROR(INDEX('SAÍDA DE VENDAS'!$H$6:$H$500 &amp; "x " &amp; 'SAÍDA DE VENDAS'!$G$6:$G$500, MATCH(B506, 'SAÍDA DE VENDAS'!$B$6:$B$500, 0)+2), ""), "")&amp; IF(COUNTIF('SAÍDA DE VENDAS'!$B$6:$B$500, B506)&gt;3, " + " &amp; IFERROR(INDEX('SAÍDA DE VENDAS'!$H$6:$H$500 &amp; "x " &amp; 'SAÍDA DE VENDAS'!$G$6:$G$500, MATCH(B506, 'SAÍDA DE VENDAS'!$B$6:$B$500, 0)+3), ""), "")&amp; IF(COUNTIF('SAÍDA DE VENDAS'!$B$6:$B$500, B506)&gt;4, " + " &amp; IFERROR(INDEX('SAÍDA DE VENDAS'!$H$6:$H$500 &amp; "x " &amp; 'SAÍDA DE VENDAS'!$G$6:$G$500, MATCH(B506, 'SAÍDA DE VENDAS'!$B$6:$B$500, 0)+4), ""), "")&amp; IF(COUNTIF('SAÍDA DE VENDAS'!$B$6:$B$500, B506)&gt;5, " + " &amp; IFERROR(INDEX('SAÍDA DE VENDAS'!$H$6:$H$500 &amp; "x " &amp; 'SAÍDA DE VENDAS'!$G$6:$G$500, MATCH(B506, 'SAÍDA DE VENDAS'!$B$6:$B$500, 0)+5), ""), ""))</f>
        <v/>
      </c>
      <c r="G506" s="28">
        <f>IFERROR(VLOOKUP(B506,'SAÍDA DE VENDAS'!$B$6:$P$500,10,FALSE),"")</f>
        <v>0</v>
      </c>
      <c r="H506" s="28" t="str">
        <f>IF(OR(ISBLANK(B506),B506=""), "", IF(B506=B505, (VALUE(LEFT(H505,FIND("/",H505)-1))+1)&amp;"/"&amp;RIGHT(H505,LEN(H505)-FIND("/",H505)), "1/"&amp;IFERROR(VLOOKUP(B506,'SAÍDA DE VENDAS'!$B$6:$P$500,13,FALSE),"1")))</f>
        <v/>
      </c>
      <c r="I506" s="69" t="str">
        <f t="shared" si="14"/>
        <v/>
      </c>
      <c r="J506" s="33" t="str">
        <f>IFERROR(VLOOKUP(B506,'SAÍDA DE VENDAS'!$B$6:$P$500,15,FALSE),"")</f>
        <v/>
      </c>
      <c r="K506" s="28" t="str">
        <f t="shared" ca="1" si="15"/>
        <v/>
      </c>
      <c r="L506" s="28"/>
      <c r="M506" s="28"/>
    </row>
    <row r="507" spans="2:13" ht="15" customHeight="1" x14ac:dyDescent="0.3">
      <c r="B507" s="34" t="str">
        <f>IF(B506="","", IF(VALUE(LEFT(H506,FIND("/",H506)-1)) &lt; VALUE(RIGHT(H506,LEN(H506)-FIND("/",H506))), B506, IFERROR(INDEX('SAÍDA DE VENDAS'!$B$6:$B$500, MATCH(B506,'SAÍDA DE VENDAS'!$B$6:$B$500,0)+COUNTIF('SAÍDA DE VENDAS'!$B$6:$B$500, B506)),"")))</f>
        <v/>
      </c>
      <c r="C507" s="35">
        <f>IFERROR(VLOOKUP(B507,'SAÍDA DE VENDAS'!$B$6:$P$500,3,FALSE),"")</f>
        <v>0</v>
      </c>
      <c r="D507" s="34">
        <f>IFERROR(VLOOKUP(B507,'SAÍDA DE VENDAS'!$B$6:$P$500,4,FALSE),"")</f>
        <v>0</v>
      </c>
      <c r="E507" s="34" t="str">
        <f>IFERROR(VLOOKUP(B507,'SAÍDA DE VENDAS'!$B$6:$P$500,5,FALSE),"")</f>
        <v/>
      </c>
      <c r="F507" s="34" t="str">
        <f>IF(OR(ISBLANK(B507),B507=""), "", IFERROR(INDEX('SAÍDA DE VENDAS'!$H$6:$H$500 &amp; "x " &amp; 'SAÍDA DE VENDAS'!$G$6:$G$500, MATCH(B507, 'SAÍDA DE VENDAS'!$B$6:$B$500, 0)), "")&amp; IF(COUNTIF('SAÍDA DE VENDAS'!$B$6:$B$500, B507)&gt;1, " + " &amp; IFERROR(INDEX('SAÍDA DE VENDAS'!$H$6:$H$500 &amp; "x " &amp; 'SAÍDA DE VENDAS'!$G$6:$G$500, MATCH(B507, 'SAÍDA DE VENDAS'!$B$6:$B$500, 0)+1), ""), "")&amp; IF(COUNTIF('SAÍDA DE VENDAS'!$B$6:$B$500, B507)&gt;2, " + " &amp; IFERROR(INDEX('SAÍDA DE VENDAS'!$H$6:$H$500 &amp; "x " &amp; 'SAÍDA DE VENDAS'!$G$6:$G$500, MATCH(B507, 'SAÍDA DE VENDAS'!$B$6:$B$500, 0)+2), ""), "")&amp; IF(COUNTIF('SAÍDA DE VENDAS'!$B$6:$B$500, B507)&gt;3, " + " &amp; IFERROR(INDEX('SAÍDA DE VENDAS'!$H$6:$H$500 &amp; "x " &amp; 'SAÍDA DE VENDAS'!$G$6:$G$500, MATCH(B507, 'SAÍDA DE VENDAS'!$B$6:$B$500, 0)+3), ""), "")&amp; IF(COUNTIF('SAÍDA DE VENDAS'!$B$6:$B$500, B507)&gt;4, " + " &amp; IFERROR(INDEX('SAÍDA DE VENDAS'!$H$6:$H$500 &amp; "x " &amp; 'SAÍDA DE VENDAS'!$G$6:$G$500, MATCH(B507, 'SAÍDA DE VENDAS'!$B$6:$B$500, 0)+4), ""), "")&amp; IF(COUNTIF('SAÍDA DE VENDAS'!$B$6:$B$500, B507)&gt;5, " + " &amp; IFERROR(INDEX('SAÍDA DE VENDAS'!$H$6:$H$500 &amp; "x " &amp; 'SAÍDA DE VENDAS'!$G$6:$G$500, MATCH(B507, 'SAÍDA DE VENDAS'!$B$6:$B$500, 0)+5), ""), ""))</f>
        <v/>
      </c>
      <c r="G507" s="34">
        <f>IFERROR(VLOOKUP(B507,'SAÍDA DE VENDAS'!$B$6:$P$500,10,FALSE),"")</f>
        <v>0</v>
      </c>
      <c r="H507" s="34" t="str">
        <f>IF(OR(ISBLANK(B507),B507=""), "", IF(B507=B506, (VALUE(LEFT(H506,FIND("/",H506)-1))+1)&amp;"/"&amp;RIGHT(H506,LEN(H506)-FIND("/",H506)), "1/"&amp;IFERROR(VLOOKUP(B507,'SAÍDA DE VENDAS'!$B$6:$P$500,13,FALSE),"1")))</f>
        <v/>
      </c>
      <c r="I507" s="35" t="str">
        <f t="shared" si="14"/>
        <v/>
      </c>
      <c r="J507" s="39" t="str">
        <f>IFERROR(VLOOKUP(B507,'SAÍDA DE VENDAS'!$B$6:$P$500,15,FALSE),"")</f>
        <v/>
      </c>
      <c r="K507" s="34" t="str">
        <f t="shared" ca="1" si="15"/>
        <v/>
      </c>
      <c r="L507" s="34"/>
      <c r="M507" s="34"/>
    </row>
    <row r="508" spans="2:13" ht="15" customHeight="1" x14ac:dyDescent="0.3">
      <c r="B508" s="28" t="str">
        <f>IF(B507="","", IF(VALUE(LEFT(H507,FIND("/",H507)-1)) &lt; VALUE(RIGHT(H507,LEN(H507)-FIND("/",H507))), B507, IFERROR(INDEX('SAÍDA DE VENDAS'!$B$6:$B$500, MATCH(B507,'SAÍDA DE VENDAS'!$B$6:$B$500,0)+COUNTIF('SAÍDA DE VENDAS'!$B$6:$B$500, B507)),"")))</f>
        <v/>
      </c>
      <c r="C508" s="29">
        <f>IFERROR(VLOOKUP(B508,'SAÍDA DE VENDAS'!$B$6:$P$500,3,FALSE),"")</f>
        <v>0</v>
      </c>
      <c r="D508" s="28">
        <f>IFERROR(VLOOKUP(B508,'SAÍDA DE VENDAS'!$B$6:$P$500,4,FALSE),"")</f>
        <v>0</v>
      </c>
      <c r="E508" s="28" t="str">
        <f>IFERROR(VLOOKUP(B508,'SAÍDA DE VENDAS'!$B$6:$P$500,5,FALSE),"")</f>
        <v/>
      </c>
      <c r="F508" s="28" t="str">
        <f>IF(OR(ISBLANK(B508),B508=""), "", IFERROR(INDEX('SAÍDA DE VENDAS'!$H$6:$H$500 &amp; "x " &amp; 'SAÍDA DE VENDAS'!$G$6:$G$500, MATCH(B508, 'SAÍDA DE VENDAS'!$B$6:$B$500, 0)), "")&amp; IF(COUNTIF('SAÍDA DE VENDAS'!$B$6:$B$500, B508)&gt;1, " + " &amp; IFERROR(INDEX('SAÍDA DE VENDAS'!$H$6:$H$500 &amp; "x " &amp; 'SAÍDA DE VENDAS'!$G$6:$G$500, MATCH(B508, 'SAÍDA DE VENDAS'!$B$6:$B$500, 0)+1), ""), "")&amp; IF(COUNTIF('SAÍDA DE VENDAS'!$B$6:$B$500, B508)&gt;2, " + " &amp; IFERROR(INDEX('SAÍDA DE VENDAS'!$H$6:$H$500 &amp; "x " &amp; 'SAÍDA DE VENDAS'!$G$6:$G$500, MATCH(B508, 'SAÍDA DE VENDAS'!$B$6:$B$500, 0)+2), ""), "")&amp; IF(COUNTIF('SAÍDA DE VENDAS'!$B$6:$B$500, B508)&gt;3, " + " &amp; IFERROR(INDEX('SAÍDA DE VENDAS'!$H$6:$H$500 &amp; "x " &amp; 'SAÍDA DE VENDAS'!$G$6:$G$500, MATCH(B508, 'SAÍDA DE VENDAS'!$B$6:$B$500, 0)+3), ""), "")&amp; IF(COUNTIF('SAÍDA DE VENDAS'!$B$6:$B$500, B508)&gt;4, " + " &amp; IFERROR(INDEX('SAÍDA DE VENDAS'!$H$6:$H$500 &amp; "x " &amp; 'SAÍDA DE VENDAS'!$G$6:$G$500, MATCH(B508, 'SAÍDA DE VENDAS'!$B$6:$B$500, 0)+4), ""), "")&amp; IF(COUNTIF('SAÍDA DE VENDAS'!$B$6:$B$500, B508)&gt;5, " + " &amp; IFERROR(INDEX('SAÍDA DE VENDAS'!$H$6:$H$500 &amp; "x " &amp; 'SAÍDA DE VENDAS'!$G$6:$G$500, MATCH(B508, 'SAÍDA DE VENDAS'!$B$6:$B$500, 0)+5), ""), ""))</f>
        <v/>
      </c>
      <c r="G508" s="28">
        <f>IFERROR(VLOOKUP(B508,'SAÍDA DE VENDAS'!$B$6:$P$500,10,FALSE),"")</f>
        <v>0</v>
      </c>
      <c r="H508" s="28" t="str">
        <f>IF(OR(ISBLANK(B508),B508=""), "", IF(B508=B507, (VALUE(LEFT(H507,FIND("/",H507)-1))+1)&amp;"/"&amp;RIGHT(H507,LEN(H507)-FIND("/",H507)), "1/"&amp;IFERROR(VLOOKUP(B508,'SAÍDA DE VENDAS'!$B$6:$P$500,13,FALSE),"1")))</f>
        <v/>
      </c>
      <c r="I508" s="69" t="str">
        <f t="shared" si="14"/>
        <v/>
      </c>
      <c r="J508" s="33" t="str">
        <f>IFERROR(VLOOKUP(B508,'SAÍDA DE VENDAS'!$B$6:$P$500,15,FALSE),"")</f>
        <v/>
      </c>
      <c r="K508" s="28" t="str">
        <f t="shared" ca="1" si="15"/>
        <v/>
      </c>
      <c r="L508" s="28"/>
      <c r="M508" s="28"/>
    </row>
    <row r="509" spans="2:13" ht="15" customHeight="1" x14ac:dyDescent="0.3">
      <c r="B509" s="34" t="str">
        <f>IF(B508="","", IF(VALUE(LEFT(H508,FIND("/",H508)-1)) &lt; VALUE(RIGHT(H508,LEN(H508)-FIND("/",H508))), B508, IFERROR(INDEX('SAÍDA DE VENDAS'!$B$6:$B$500, MATCH(B508,'SAÍDA DE VENDAS'!$B$6:$B$500,0)+COUNTIF('SAÍDA DE VENDAS'!$B$6:$B$500, B508)),"")))</f>
        <v/>
      </c>
      <c r="C509" s="35">
        <f>IFERROR(VLOOKUP(B509,'SAÍDA DE VENDAS'!$B$6:$P$500,3,FALSE),"")</f>
        <v>0</v>
      </c>
      <c r="D509" s="34">
        <f>IFERROR(VLOOKUP(B509,'SAÍDA DE VENDAS'!$B$6:$P$500,4,FALSE),"")</f>
        <v>0</v>
      </c>
      <c r="E509" s="34" t="str">
        <f>IFERROR(VLOOKUP(B509,'SAÍDA DE VENDAS'!$B$6:$P$500,5,FALSE),"")</f>
        <v/>
      </c>
      <c r="F509" s="34" t="str">
        <f>IF(OR(ISBLANK(B509),B509=""), "", IFERROR(INDEX('SAÍDA DE VENDAS'!$H$6:$H$500 &amp; "x " &amp; 'SAÍDA DE VENDAS'!$G$6:$G$500, MATCH(B509, 'SAÍDA DE VENDAS'!$B$6:$B$500, 0)), "")&amp; IF(COUNTIF('SAÍDA DE VENDAS'!$B$6:$B$500, B509)&gt;1, " + " &amp; IFERROR(INDEX('SAÍDA DE VENDAS'!$H$6:$H$500 &amp; "x " &amp; 'SAÍDA DE VENDAS'!$G$6:$G$500, MATCH(B509, 'SAÍDA DE VENDAS'!$B$6:$B$500, 0)+1), ""), "")&amp; IF(COUNTIF('SAÍDA DE VENDAS'!$B$6:$B$500, B509)&gt;2, " + " &amp; IFERROR(INDEX('SAÍDA DE VENDAS'!$H$6:$H$500 &amp; "x " &amp; 'SAÍDA DE VENDAS'!$G$6:$G$500, MATCH(B509, 'SAÍDA DE VENDAS'!$B$6:$B$500, 0)+2), ""), "")&amp; IF(COUNTIF('SAÍDA DE VENDAS'!$B$6:$B$500, B509)&gt;3, " + " &amp; IFERROR(INDEX('SAÍDA DE VENDAS'!$H$6:$H$500 &amp; "x " &amp; 'SAÍDA DE VENDAS'!$G$6:$G$500, MATCH(B509, 'SAÍDA DE VENDAS'!$B$6:$B$500, 0)+3), ""), "")&amp; IF(COUNTIF('SAÍDA DE VENDAS'!$B$6:$B$500, B509)&gt;4, " + " &amp; IFERROR(INDEX('SAÍDA DE VENDAS'!$H$6:$H$500 &amp; "x " &amp; 'SAÍDA DE VENDAS'!$G$6:$G$500, MATCH(B509, 'SAÍDA DE VENDAS'!$B$6:$B$500, 0)+4), ""), "")&amp; IF(COUNTIF('SAÍDA DE VENDAS'!$B$6:$B$500, B509)&gt;5, " + " &amp; IFERROR(INDEX('SAÍDA DE VENDAS'!$H$6:$H$500 &amp; "x " &amp; 'SAÍDA DE VENDAS'!$G$6:$G$500, MATCH(B509, 'SAÍDA DE VENDAS'!$B$6:$B$500, 0)+5), ""), ""))</f>
        <v/>
      </c>
      <c r="G509" s="34">
        <f>IFERROR(VLOOKUP(B509,'SAÍDA DE VENDAS'!$B$6:$P$500,10,FALSE),"")</f>
        <v>0</v>
      </c>
      <c r="H509" s="34" t="str">
        <f>IF(OR(ISBLANK(B509),B509=""), "", IF(B509=B508, (VALUE(LEFT(H508,FIND("/",H508)-1))+1)&amp;"/"&amp;RIGHT(H508,LEN(H508)-FIND("/",H508)), "1/"&amp;IFERROR(VLOOKUP(B509,'SAÍDA DE VENDAS'!$B$6:$P$500,13,FALSE),"1")))</f>
        <v/>
      </c>
      <c r="I509" s="35" t="str">
        <f t="shared" si="14"/>
        <v/>
      </c>
      <c r="J509" s="39" t="str">
        <f>IFERROR(VLOOKUP(B509,'SAÍDA DE VENDAS'!$B$6:$P$500,15,FALSE),"")</f>
        <v/>
      </c>
      <c r="K509" s="34" t="str">
        <f t="shared" ca="1" si="15"/>
        <v/>
      </c>
      <c r="L509" s="34"/>
      <c r="M509" s="34"/>
    </row>
    <row r="510" spans="2:13" ht="15" customHeight="1" x14ac:dyDescent="0.3">
      <c r="B510" s="28" t="str">
        <f>IF(B509="","", IF(VALUE(LEFT(H509,FIND("/",H509)-1)) &lt; VALUE(RIGHT(H509,LEN(H509)-FIND("/",H509))), B509, IFERROR(INDEX('SAÍDA DE VENDAS'!$B$6:$B$500, MATCH(B509,'SAÍDA DE VENDAS'!$B$6:$B$500,0)+COUNTIF('SAÍDA DE VENDAS'!$B$6:$B$500, B509)),"")))</f>
        <v/>
      </c>
      <c r="C510" s="29">
        <f>IFERROR(VLOOKUP(B510,'SAÍDA DE VENDAS'!$B$6:$P$500,3,FALSE),"")</f>
        <v>0</v>
      </c>
      <c r="D510" s="28">
        <f>IFERROR(VLOOKUP(B510,'SAÍDA DE VENDAS'!$B$6:$P$500,4,FALSE),"")</f>
        <v>0</v>
      </c>
      <c r="E510" s="28" t="str">
        <f>IFERROR(VLOOKUP(B510,'SAÍDA DE VENDAS'!$B$6:$P$500,5,FALSE),"")</f>
        <v/>
      </c>
      <c r="F510" s="28" t="str">
        <f>IF(OR(ISBLANK(B510),B510=""), "", IFERROR(INDEX('SAÍDA DE VENDAS'!$H$6:$H$500 &amp; "x " &amp; 'SAÍDA DE VENDAS'!$G$6:$G$500, MATCH(B510, 'SAÍDA DE VENDAS'!$B$6:$B$500, 0)), "")&amp; IF(COUNTIF('SAÍDA DE VENDAS'!$B$6:$B$500, B510)&gt;1, " + " &amp; IFERROR(INDEX('SAÍDA DE VENDAS'!$H$6:$H$500 &amp; "x " &amp; 'SAÍDA DE VENDAS'!$G$6:$G$500, MATCH(B510, 'SAÍDA DE VENDAS'!$B$6:$B$500, 0)+1), ""), "")&amp; IF(COUNTIF('SAÍDA DE VENDAS'!$B$6:$B$500, B510)&gt;2, " + " &amp; IFERROR(INDEX('SAÍDA DE VENDAS'!$H$6:$H$500 &amp; "x " &amp; 'SAÍDA DE VENDAS'!$G$6:$G$500, MATCH(B510, 'SAÍDA DE VENDAS'!$B$6:$B$500, 0)+2), ""), "")&amp; IF(COUNTIF('SAÍDA DE VENDAS'!$B$6:$B$500, B510)&gt;3, " + " &amp; IFERROR(INDEX('SAÍDA DE VENDAS'!$H$6:$H$500 &amp; "x " &amp; 'SAÍDA DE VENDAS'!$G$6:$G$500, MATCH(B510, 'SAÍDA DE VENDAS'!$B$6:$B$500, 0)+3), ""), "")&amp; IF(COUNTIF('SAÍDA DE VENDAS'!$B$6:$B$500, B510)&gt;4, " + " &amp; IFERROR(INDEX('SAÍDA DE VENDAS'!$H$6:$H$500 &amp; "x " &amp; 'SAÍDA DE VENDAS'!$G$6:$G$500, MATCH(B510, 'SAÍDA DE VENDAS'!$B$6:$B$500, 0)+4), ""), "")&amp; IF(COUNTIF('SAÍDA DE VENDAS'!$B$6:$B$500, B510)&gt;5, " + " &amp; IFERROR(INDEX('SAÍDA DE VENDAS'!$H$6:$H$500 &amp; "x " &amp; 'SAÍDA DE VENDAS'!$G$6:$G$500, MATCH(B510, 'SAÍDA DE VENDAS'!$B$6:$B$500, 0)+5), ""), ""))</f>
        <v/>
      </c>
      <c r="G510" s="28">
        <f>IFERROR(VLOOKUP(B510,'SAÍDA DE VENDAS'!$B$6:$P$500,10,FALSE),"")</f>
        <v>0</v>
      </c>
      <c r="H510" s="28" t="str">
        <f>IF(OR(ISBLANK(B510),B510=""), "", IF(B510=B509, (VALUE(LEFT(H509,FIND("/",H509)-1))+1)&amp;"/"&amp;RIGHT(H509,LEN(H509)-FIND("/",H509)), "1/"&amp;IFERROR(VLOOKUP(B510,'SAÍDA DE VENDAS'!$B$6:$P$500,13,FALSE),"1")))</f>
        <v/>
      </c>
      <c r="I510" s="69" t="str">
        <f t="shared" si="14"/>
        <v/>
      </c>
      <c r="J510" s="33" t="str">
        <f>IFERROR(VLOOKUP(B510,'SAÍDA DE VENDAS'!$B$6:$P$500,15,FALSE),"")</f>
        <v/>
      </c>
      <c r="K510" s="28" t="str">
        <f t="shared" ca="1" si="15"/>
        <v/>
      </c>
      <c r="L510" s="28"/>
      <c r="M510" s="28"/>
    </row>
    <row r="511" spans="2:13" ht="15" customHeight="1" x14ac:dyDescent="0.3">
      <c r="B511" s="34" t="str">
        <f>IF(B510="","", IF(VALUE(LEFT(H510,FIND("/",H510)-1)) &lt; VALUE(RIGHT(H510,LEN(H510)-FIND("/",H510))), B510, IFERROR(INDEX('SAÍDA DE VENDAS'!$B$6:$B$500, MATCH(B510,'SAÍDA DE VENDAS'!$B$6:$B$500,0)+COUNTIF('SAÍDA DE VENDAS'!$B$6:$B$500, B510)),"")))</f>
        <v/>
      </c>
      <c r="C511" s="35">
        <f>IFERROR(VLOOKUP(B511,'SAÍDA DE VENDAS'!$B$6:$P$500,3,FALSE),"")</f>
        <v>0</v>
      </c>
      <c r="D511" s="34">
        <f>IFERROR(VLOOKUP(B511,'SAÍDA DE VENDAS'!$B$6:$P$500,4,FALSE),"")</f>
        <v>0</v>
      </c>
      <c r="E511" s="34" t="str">
        <f>IFERROR(VLOOKUP(B511,'SAÍDA DE VENDAS'!$B$6:$P$500,5,FALSE),"")</f>
        <v/>
      </c>
      <c r="F511" s="34" t="str">
        <f>IF(OR(ISBLANK(B511),B511=""), "", IFERROR(INDEX('SAÍDA DE VENDAS'!$H$6:$H$500 &amp; "x " &amp; 'SAÍDA DE VENDAS'!$G$6:$G$500, MATCH(B511, 'SAÍDA DE VENDAS'!$B$6:$B$500, 0)), "")&amp; IF(COUNTIF('SAÍDA DE VENDAS'!$B$6:$B$500, B511)&gt;1, " + " &amp; IFERROR(INDEX('SAÍDA DE VENDAS'!$H$6:$H$500 &amp; "x " &amp; 'SAÍDA DE VENDAS'!$G$6:$G$500, MATCH(B511, 'SAÍDA DE VENDAS'!$B$6:$B$500, 0)+1), ""), "")&amp; IF(COUNTIF('SAÍDA DE VENDAS'!$B$6:$B$500, B511)&gt;2, " + " &amp; IFERROR(INDEX('SAÍDA DE VENDAS'!$H$6:$H$500 &amp; "x " &amp; 'SAÍDA DE VENDAS'!$G$6:$G$500, MATCH(B511, 'SAÍDA DE VENDAS'!$B$6:$B$500, 0)+2), ""), "")&amp; IF(COUNTIF('SAÍDA DE VENDAS'!$B$6:$B$500, B511)&gt;3, " + " &amp; IFERROR(INDEX('SAÍDA DE VENDAS'!$H$6:$H$500 &amp; "x " &amp; 'SAÍDA DE VENDAS'!$G$6:$G$500, MATCH(B511, 'SAÍDA DE VENDAS'!$B$6:$B$500, 0)+3), ""), "")&amp; IF(COUNTIF('SAÍDA DE VENDAS'!$B$6:$B$500, B511)&gt;4, " + " &amp; IFERROR(INDEX('SAÍDA DE VENDAS'!$H$6:$H$500 &amp; "x " &amp; 'SAÍDA DE VENDAS'!$G$6:$G$500, MATCH(B511, 'SAÍDA DE VENDAS'!$B$6:$B$500, 0)+4), ""), "")&amp; IF(COUNTIF('SAÍDA DE VENDAS'!$B$6:$B$500, B511)&gt;5, " + " &amp; IFERROR(INDEX('SAÍDA DE VENDAS'!$H$6:$H$500 &amp; "x " &amp; 'SAÍDA DE VENDAS'!$G$6:$G$500, MATCH(B511, 'SAÍDA DE VENDAS'!$B$6:$B$500, 0)+5), ""), ""))</f>
        <v/>
      </c>
      <c r="G511" s="34">
        <f>IFERROR(VLOOKUP(B511,'SAÍDA DE VENDAS'!$B$6:$P$500,10,FALSE),"")</f>
        <v>0</v>
      </c>
      <c r="H511" s="34" t="str">
        <f>IF(OR(ISBLANK(B511),B511=""), "", IF(B511=B510, (VALUE(LEFT(H510,FIND("/",H510)-1))+1)&amp;"/"&amp;RIGHT(H510,LEN(H510)-FIND("/",H510)), "1/"&amp;IFERROR(VLOOKUP(B511,'SAÍDA DE VENDAS'!$B$6:$P$500,13,FALSE),"1")))</f>
        <v/>
      </c>
      <c r="I511" s="35" t="str">
        <f t="shared" si="14"/>
        <v/>
      </c>
      <c r="J511" s="39" t="str">
        <f>IFERROR(VLOOKUP(B511,'SAÍDA DE VENDAS'!$B$6:$P$500,15,FALSE),"")</f>
        <v/>
      </c>
      <c r="K511" s="34" t="str">
        <f t="shared" ca="1" si="15"/>
        <v/>
      </c>
      <c r="L511" s="34"/>
      <c r="M511" s="34"/>
    </row>
    <row r="512" spans="2:13" ht="15" customHeight="1" x14ac:dyDescent="0.3">
      <c r="B512" s="28" t="str">
        <f>IF(B511="","", IF(VALUE(LEFT(H511,FIND("/",H511)-1)) &lt; VALUE(RIGHT(H511,LEN(H511)-FIND("/",H511))), B511, IFERROR(INDEX('SAÍDA DE VENDAS'!$B$6:$B$500, MATCH(B511,'SAÍDA DE VENDAS'!$B$6:$B$500,0)+COUNTIF('SAÍDA DE VENDAS'!$B$6:$B$500, B511)),"")))</f>
        <v/>
      </c>
      <c r="C512" s="29">
        <f>IFERROR(VLOOKUP(B512,'SAÍDA DE VENDAS'!$B$6:$P$500,3,FALSE),"")</f>
        <v>0</v>
      </c>
      <c r="D512" s="28">
        <f>IFERROR(VLOOKUP(B512,'SAÍDA DE VENDAS'!$B$6:$P$500,4,FALSE),"")</f>
        <v>0</v>
      </c>
      <c r="E512" s="28" t="str">
        <f>IFERROR(VLOOKUP(B512,'SAÍDA DE VENDAS'!$B$6:$P$500,5,FALSE),"")</f>
        <v/>
      </c>
      <c r="F512" s="28" t="str">
        <f>IF(OR(ISBLANK(B512),B512=""), "", IFERROR(INDEX('SAÍDA DE VENDAS'!$H$6:$H$500 &amp; "x " &amp; 'SAÍDA DE VENDAS'!$G$6:$G$500, MATCH(B512, 'SAÍDA DE VENDAS'!$B$6:$B$500, 0)), "")&amp; IF(COUNTIF('SAÍDA DE VENDAS'!$B$6:$B$500, B512)&gt;1, " + " &amp; IFERROR(INDEX('SAÍDA DE VENDAS'!$H$6:$H$500 &amp; "x " &amp; 'SAÍDA DE VENDAS'!$G$6:$G$500, MATCH(B512, 'SAÍDA DE VENDAS'!$B$6:$B$500, 0)+1), ""), "")&amp; IF(COUNTIF('SAÍDA DE VENDAS'!$B$6:$B$500, B512)&gt;2, " + " &amp; IFERROR(INDEX('SAÍDA DE VENDAS'!$H$6:$H$500 &amp; "x " &amp; 'SAÍDA DE VENDAS'!$G$6:$G$500, MATCH(B512, 'SAÍDA DE VENDAS'!$B$6:$B$500, 0)+2), ""), "")&amp; IF(COUNTIF('SAÍDA DE VENDAS'!$B$6:$B$500, B512)&gt;3, " + " &amp; IFERROR(INDEX('SAÍDA DE VENDAS'!$H$6:$H$500 &amp; "x " &amp; 'SAÍDA DE VENDAS'!$G$6:$G$500, MATCH(B512, 'SAÍDA DE VENDAS'!$B$6:$B$500, 0)+3), ""), "")&amp; IF(COUNTIF('SAÍDA DE VENDAS'!$B$6:$B$500, B512)&gt;4, " + " &amp; IFERROR(INDEX('SAÍDA DE VENDAS'!$H$6:$H$500 &amp; "x " &amp; 'SAÍDA DE VENDAS'!$G$6:$G$500, MATCH(B512, 'SAÍDA DE VENDAS'!$B$6:$B$500, 0)+4), ""), "")&amp; IF(COUNTIF('SAÍDA DE VENDAS'!$B$6:$B$500, B512)&gt;5, " + " &amp; IFERROR(INDEX('SAÍDA DE VENDAS'!$H$6:$H$500 &amp; "x " &amp; 'SAÍDA DE VENDAS'!$G$6:$G$500, MATCH(B512, 'SAÍDA DE VENDAS'!$B$6:$B$500, 0)+5), ""), ""))</f>
        <v/>
      </c>
      <c r="G512" s="28">
        <f>IFERROR(VLOOKUP(B512,'SAÍDA DE VENDAS'!$B$6:$P$500,10,FALSE),"")</f>
        <v>0</v>
      </c>
      <c r="H512" s="28" t="str">
        <f>IF(OR(ISBLANK(B512),B512=""), "", IF(B512=B511, (VALUE(LEFT(H511,FIND("/",H511)-1))+1)&amp;"/"&amp;RIGHT(H511,LEN(H511)-FIND("/",H511)), "1/"&amp;IFERROR(VLOOKUP(B512,'SAÍDA DE VENDAS'!$B$6:$P$500,13,FALSE),"1")))</f>
        <v/>
      </c>
      <c r="I512" s="69" t="str">
        <f t="shared" si="14"/>
        <v/>
      </c>
      <c r="J512" s="33" t="str">
        <f>IFERROR(VLOOKUP(B512,'SAÍDA DE VENDAS'!$B$6:$P$500,15,FALSE),"")</f>
        <v/>
      </c>
      <c r="K512" s="28" t="str">
        <f t="shared" ca="1" si="15"/>
        <v/>
      </c>
      <c r="L512" s="28"/>
      <c r="M512" s="28"/>
    </row>
    <row r="513" spans="2:13" ht="15" customHeight="1" x14ac:dyDescent="0.3">
      <c r="B513" s="34" t="str">
        <f>IF(B512="","", IF(VALUE(LEFT(H512,FIND("/",H512)-1)) &lt; VALUE(RIGHT(H512,LEN(H512)-FIND("/",H512))), B512, IFERROR(INDEX('SAÍDA DE VENDAS'!$B$6:$B$500, MATCH(B512,'SAÍDA DE VENDAS'!$B$6:$B$500,0)+COUNTIF('SAÍDA DE VENDAS'!$B$6:$B$500, B512)),"")))</f>
        <v/>
      </c>
      <c r="C513" s="35">
        <f>IFERROR(VLOOKUP(B513,'SAÍDA DE VENDAS'!$B$6:$P$500,3,FALSE),"")</f>
        <v>0</v>
      </c>
      <c r="D513" s="34">
        <f>IFERROR(VLOOKUP(B513,'SAÍDA DE VENDAS'!$B$6:$P$500,4,FALSE),"")</f>
        <v>0</v>
      </c>
      <c r="E513" s="34" t="str">
        <f>IFERROR(VLOOKUP(B513,'SAÍDA DE VENDAS'!$B$6:$P$500,5,FALSE),"")</f>
        <v/>
      </c>
      <c r="F513" s="34" t="str">
        <f>IF(OR(ISBLANK(B513),B513=""), "", IFERROR(INDEX('SAÍDA DE VENDAS'!$H$6:$H$500 &amp; "x " &amp; 'SAÍDA DE VENDAS'!$G$6:$G$500, MATCH(B513, 'SAÍDA DE VENDAS'!$B$6:$B$500, 0)), "")&amp; IF(COUNTIF('SAÍDA DE VENDAS'!$B$6:$B$500, B513)&gt;1, " + " &amp; IFERROR(INDEX('SAÍDA DE VENDAS'!$H$6:$H$500 &amp; "x " &amp; 'SAÍDA DE VENDAS'!$G$6:$G$500, MATCH(B513, 'SAÍDA DE VENDAS'!$B$6:$B$500, 0)+1), ""), "")&amp; IF(COUNTIF('SAÍDA DE VENDAS'!$B$6:$B$500, B513)&gt;2, " + " &amp; IFERROR(INDEX('SAÍDA DE VENDAS'!$H$6:$H$500 &amp; "x " &amp; 'SAÍDA DE VENDAS'!$G$6:$G$500, MATCH(B513, 'SAÍDA DE VENDAS'!$B$6:$B$500, 0)+2), ""), "")&amp; IF(COUNTIF('SAÍDA DE VENDAS'!$B$6:$B$500, B513)&gt;3, " + " &amp; IFERROR(INDEX('SAÍDA DE VENDAS'!$H$6:$H$500 &amp; "x " &amp; 'SAÍDA DE VENDAS'!$G$6:$G$500, MATCH(B513, 'SAÍDA DE VENDAS'!$B$6:$B$500, 0)+3), ""), "")&amp; IF(COUNTIF('SAÍDA DE VENDAS'!$B$6:$B$500, B513)&gt;4, " + " &amp; IFERROR(INDEX('SAÍDA DE VENDAS'!$H$6:$H$500 &amp; "x " &amp; 'SAÍDA DE VENDAS'!$G$6:$G$500, MATCH(B513, 'SAÍDA DE VENDAS'!$B$6:$B$500, 0)+4), ""), "")&amp; IF(COUNTIF('SAÍDA DE VENDAS'!$B$6:$B$500, B513)&gt;5, " + " &amp; IFERROR(INDEX('SAÍDA DE VENDAS'!$H$6:$H$500 &amp; "x " &amp; 'SAÍDA DE VENDAS'!$G$6:$G$500, MATCH(B513, 'SAÍDA DE VENDAS'!$B$6:$B$500, 0)+5), ""), ""))</f>
        <v/>
      </c>
      <c r="G513" s="34">
        <f>IFERROR(VLOOKUP(B513,'SAÍDA DE VENDAS'!$B$6:$P$500,10,FALSE),"")</f>
        <v>0</v>
      </c>
      <c r="H513" s="34" t="str">
        <f>IF(OR(ISBLANK(B513),B513=""), "", IF(B513=B512, (VALUE(LEFT(H512,FIND("/",H512)-1))+1)&amp;"/"&amp;RIGHT(H512,LEN(H512)-FIND("/",H512)), "1/"&amp;IFERROR(VLOOKUP(B513,'SAÍDA DE VENDAS'!$B$6:$P$500,13,FALSE),"1")))</f>
        <v/>
      </c>
      <c r="I513" s="35" t="str">
        <f t="shared" si="14"/>
        <v/>
      </c>
      <c r="J513" s="39" t="str">
        <f>IFERROR(VLOOKUP(B513,'SAÍDA DE VENDAS'!$B$6:$P$500,15,FALSE),"")</f>
        <v/>
      </c>
      <c r="K513" s="34" t="str">
        <f t="shared" ca="1" si="15"/>
        <v/>
      </c>
      <c r="L513" s="34"/>
      <c r="M513" s="34"/>
    </row>
    <row r="514" spans="2:13" ht="15" customHeight="1" x14ac:dyDescent="0.3">
      <c r="B514" s="28" t="str">
        <f>IF(B513="","", IF(VALUE(LEFT(H513,FIND("/",H513)-1)) &lt; VALUE(RIGHT(H513,LEN(H513)-FIND("/",H513))), B513, IFERROR(INDEX('SAÍDA DE VENDAS'!$B$6:$B$500, MATCH(B513,'SAÍDA DE VENDAS'!$B$6:$B$500,0)+COUNTIF('SAÍDA DE VENDAS'!$B$6:$B$500, B513)),"")))</f>
        <v/>
      </c>
      <c r="C514" s="29">
        <f>IFERROR(VLOOKUP(B514,'SAÍDA DE VENDAS'!$B$6:$P$500,3,FALSE),"")</f>
        <v>0</v>
      </c>
      <c r="D514" s="28">
        <f>IFERROR(VLOOKUP(B514,'SAÍDA DE VENDAS'!$B$6:$P$500,4,FALSE),"")</f>
        <v>0</v>
      </c>
      <c r="E514" s="28" t="str">
        <f>IFERROR(VLOOKUP(B514,'SAÍDA DE VENDAS'!$B$6:$P$500,5,FALSE),"")</f>
        <v/>
      </c>
      <c r="F514" s="28" t="str">
        <f>IF(OR(ISBLANK(B514),B514=""), "", IFERROR(INDEX('SAÍDA DE VENDAS'!$H$6:$H$500 &amp; "x " &amp; 'SAÍDA DE VENDAS'!$G$6:$G$500, MATCH(B514, 'SAÍDA DE VENDAS'!$B$6:$B$500, 0)), "")&amp; IF(COUNTIF('SAÍDA DE VENDAS'!$B$6:$B$500, B514)&gt;1, " + " &amp; IFERROR(INDEX('SAÍDA DE VENDAS'!$H$6:$H$500 &amp; "x " &amp; 'SAÍDA DE VENDAS'!$G$6:$G$500, MATCH(B514, 'SAÍDA DE VENDAS'!$B$6:$B$500, 0)+1), ""), "")&amp; IF(COUNTIF('SAÍDA DE VENDAS'!$B$6:$B$500, B514)&gt;2, " + " &amp; IFERROR(INDEX('SAÍDA DE VENDAS'!$H$6:$H$500 &amp; "x " &amp; 'SAÍDA DE VENDAS'!$G$6:$G$500, MATCH(B514, 'SAÍDA DE VENDAS'!$B$6:$B$500, 0)+2), ""), "")&amp; IF(COUNTIF('SAÍDA DE VENDAS'!$B$6:$B$500, B514)&gt;3, " + " &amp; IFERROR(INDEX('SAÍDA DE VENDAS'!$H$6:$H$500 &amp; "x " &amp; 'SAÍDA DE VENDAS'!$G$6:$G$500, MATCH(B514, 'SAÍDA DE VENDAS'!$B$6:$B$500, 0)+3), ""), "")&amp; IF(COUNTIF('SAÍDA DE VENDAS'!$B$6:$B$500, B514)&gt;4, " + " &amp; IFERROR(INDEX('SAÍDA DE VENDAS'!$H$6:$H$500 &amp; "x " &amp; 'SAÍDA DE VENDAS'!$G$6:$G$500, MATCH(B514, 'SAÍDA DE VENDAS'!$B$6:$B$500, 0)+4), ""), "")&amp; IF(COUNTIF('SAÍDA DE VENDAS'!$B$6:$B$500, B514)&gt;5, " + " &amp; IFERROR(INDEX('SAÍDA DE VENDAS'!$H$6:$H$500 &amp; "x " &amp; 'SAÍDA DE VENDAS'!$G$6:$G$500, MATCH(B514, 'SAÍDA DE VENDAS'!$B$6:$B$500, 0)+5), ""), ""))</f>
        <v/>
      </c>
      <c r="G514" s="28">
        <f>IFERROR(VLOOKUP(B514,'SAÍDA DE VENDAS'!$B$6:$P$500,10,FALSE),"")</f>
        <v>0</v>
      </c>
      <c r="H514" s="28" t="str">
        <f>IF(OR(ISBLANK(B514),B514=""), "", IF(B514=B513, (VALUE(LEFT(H513,FIND("/",H513)-1))+1)&amp;"/"&amp;RIGHT(H513,LEN(H513)-FIND("/",H513)), "1/"&amp;IFERROR(VLOOKUP(B514,'SAÍDA DE VENDAS'!$B$6:$P$500,13,FALSE),"1")))</f>
        <v/>
      </c>
      <c r="I514" s="69" t="str">
        <f t="shared" si="14"/>
        <v/>
      </c>
      <c r="J514" s="33" t="str">
        <f>IFERROR(VLOOKUP(B514,'SAÍDA DE VENDAS'!$B$6:$P$500,15,FALSE),"")</f>
        <v/>
      </c>
      <c r="K514" s="28" t="str">
        <f t="shared" ca="1" si="15"/>
        <v/>
      </c>
      <c r="L514" s="28"/>
      <c r="M514" s="28"/>
    </row>
    <row r="515" spans="2:13" ht="15" customHeight="1" x14ac:dyDescent="0.3">
      <c r="B515" s="34" t="str">
        <f>IF(B514="","", IF(VALUE(LEFT(H514,FIND("/",H514)-1)) &lt; VALUE(RIGHT(H514,LEN(H514)-FIND("/",H514))), B514, IFERROR(INDEX('SAÍDA DE VENDAS'!$B$6:$B$500, MATCH(B514,'SAÍDA DE VENDAS'!$B$6:$B$500,0)+COUNTIF('SAÍDA DE VENDAS'!$B$6:$B$500, B514)),"")))</f>
        <v/>
      </c>
      <c r="C515" s="35">
        <f>IFERROR(VLOOKUP(B515,'SAÍDA DE VENDAS'!$B$6:$P$500,3,FALSE),"")</f>
        <v>0</v>
      </c>
      <c r="D515" s="34">
        <f>IFERROR(VLOOKUP(B515,'SAÍDA DE VENDAS'!$B$6:$P$500,4,FALSE),"")</f>
        <v>0</v>
      </c>
      <c r="E515" s="34" t="str">
        <f>IFERROR(VLOOKUP(B515,'SAÍDA DE VENDAS'!$B$6:$P$500,5,FALSE),"")</f>
        <v/>
      </c>
      <c r="F515" s="34" t="str">
        <f>IF(OR(ISBLANK(B515),B515=""), "", IFERROR(INDEX('SAÍDA DE VENDAS'!$H$6:$H$500 &amp; "x " &amp; 'SAÍDA DE VENDAS'!$G$6:$G$500, MATCH(B515, 'SAÍDA DE VENDAS'!$B$6:$B$500, 0)), "")&amp; IF(COUNTIF('SAÍDA DE VENDAS'!$B$6:$B$500, B515)&gt;1, " + " &amp; IFERROR(INDEX('SAÍDA DE VENDAS'!$H$6:$H$500 &amp; "x " &amp; 'SAÍDA DE VENDAS'!$G$6:$G$500, MATCH(B515, 'SAÍDA DE VENDAS'!$B$6:$B$500, 0)+1), ""), "")&amp; IF(COUNTIF('SAÍDA DE VENDAS'!$B$6:$B$500, B515)&gt;2, " + " &amp; IFERROR(INDEX('SAÍDA DE VENDAS'!$H$6:$H$500 &amp; "x " &amp; 'SAÍDA DE VENDAS'!$G$6:$G$500, MATCH(B515, 'SAÍDA DE VENDAS'!$B$6:$B$500, 0)+2), ""), "")&amp; IF(COUNTIF('SAÍDA DE VENDAS'!$B$6:$B$500, B515)&gt;3, " + " &amp; IFERROR(INDEX('SAÍDA DE VENDAS'!$H$6:$H$500 &amp; "x " &amp; 'SAÍDA DE VENDAS'!$G$6:$G$500, MATCH(B515, 'SAÍDA DE VENDAS'!$B$6:$B$500, 0)+3), ""), "")&amp; IF(COUNTIF('SAÍDA DE VENDAS'!$B$6:$B$500, B515)&gt;4, " + " &amp; IFERROR(INDEX('SAÍDA DE VENDAS'!$H$6:$H$500 &amp; "x " &amp; 'SAÍDA DE VENDAS'!$G$6:$G$500, MATCH(B515, 'SAÍDA DE VENDAS'!$B$6:$B$500, 0)+4), ""), "")&amp; IF(COUNTIF('SAÍDA DE VENDAS'!$B$6:$B$500, B515)&gt;5, " + " &amp; IFERROR(INDEX('SAÍDA DE VENDAS'!$H$6:$H$500 &amp; "x " &amp; 'SAÍDA DE VENDAS'!$G$6:$G$500, MATCH(B515, 'SAÍDA DE VENDAS'!$B$6:$B$500, 0)+5), ""), ""))</f>
        <v/>
      </c>
      <c r="G515" s="34">
        <f>IFERROR(VLOOKUP(B515,'SAÍDA DE VENDAS'!$B$6:$P$500,10,FALSE),"")</f>
        <v>0</v>
      </c>
      <c r="H515" s="34" t="str">
        <f>IF(OR(ISBLANK(B515),B515=""), "", IF(B515=B514, (VALUE(LEFT(H514,FIND("/",H514)-1))+1)&amp;"/"&amp;RIGHT(H514,LEN(H514)-FIND("/",H514)), "1/"&amp;IFERROR(VLOOKUP(B515,'SAÍDA DE VENDAS'!$B$6:$P$500,13,FALSE),"1")))</f>
        <v/>
      </c>
      <c r="I515" s="35" t="str">
        <f t="shared" si="14"/>
        <v/>
      </c>
      <c r="J515" s="39" t="str">
        <f>IFERROR(VLOOKUP(B515,'SAÍDA DE VENDAS'!$B$6:$P$500,15,FALSE),"")</f>
        <v/>
      </c>
      <c r="K515" s="34" t="str">
        <f t="shared" ca="1" si="15"/>
        <v/>
      </c>
      <c r="L515" s="34"/>
      <c r="M515" s="34"/>
    </row>
    <row r="516" spans="2:13" ht="15" customHeight="1" x14ac:dyDescent="0.3">
      <c r="B516" s="28" t="str">
        <f>IF(B515="","", IF(VALUE(LEFT(H515,FIND("/",H515)-1)) &lt; VALUE(RIGHT(H515,LEN(H515)-FIND("/",H515))), B515, IFERROR(INDEX('SAÍDA DE VENDAS'!$B$6:$B$500, MATCH(B515,'SAÍDA DE VENDAS'!$B$6:$B$500,0)+COUNTIF('SAÍDA DE VENDAS'!$B$6:$B$500, B515)),"")))</f>
        <v/>
      </c>
      <c r="C516" s="29">
        <f>IFERROR(VLOOKUP(B516,'SAÍDA DE VENDAS'!$B$6:$P$500,3,FALSE),"")</f>
        <v>0</v>
      </c>
      <c r="D516" s="28">
        <f>IFERROR(VLOOKUP(B516,'SAÍDA DE VENDAS'!$B$6:$P$500,4,FALSE),"")</f>
        <v>0</v>
      </c>
      <c r="E516" s="28" t="str">
        <f>IFERROR(VLOOKUP(B516,'SAÍDA DE VENDAS'!$B$6:$P$500,5,FALSE),"")</f>
        <v/>
      </c>
      <c r="F516" s="28" t="str">
        <f>IF(OR(ISBLANK(B516),B516=""), "", IFERROR(INDEX('SAÍDA DE VENDAS'!$H$6:$H$500 &amp; "x " &amp; 'SAÍDA DE VENDAS'!$G$6:$G$500, MATCH(B516, 'SAÍDA DE VENDAS'!$B$6:$B$500, 0)), "")&amp; IF(COUNTIF('SAÍDA DE VENDAS'!$B$6:$B$500, B516)&gt;1, " + " &amp; IFERROR(INDEX('SAÍDA DE VENDAS'!$H$6:$H$500 &amp; "x " &amp; 'SAÍDA DE VENDAS'!$G$6:$G$500, MATCH(B516, 'SAÍDA DE VENDAS'!$B$6:$B$500, 0)+1), ""), "")&amp; IF(COUNTIF('SAÍDA DE VENDAS'!$B$6:$B$500, B516)&gt;2, " + " &amp; IFERROR(INDEX('SAÍDA DE VENDAS'!$H$6:$H$500 &amp; "x " &amp; 'SAÍDA DE VENDAS'!$G$6:$G$500, MATCH(B516, 'SAÍDA DE VENDAS'!$B$6:$B$500, 0)+2), ""), "")&amp; IF(COUNTIF('SAÍDA DE VENDAS'!$B$6:$B$500, B516)&gt;3, " + " &amp; IFERROR(INDEX('SAÍDA DE VENDAS'!$H$6:$H$500 &amp; "x " &amp; 'SAÍDA DE VENDAS'!$G$6:$G$500, MATCH(B516, 'SAÍDA DE VENDAS'!$B$6:$B$500, 0)+3), ""), "")&amp; IF(COUNTIF('SAÍDA DE VENDAS'!$B$6:$B$500, B516)&gt;4, " + " &amp; IFERROR(INDEX('SAÍDA DE VENDAS'!$H$6:$H$500 &amp; "x " &amp; 'SAÍDA DE VENDAS'!$G$6:$G$500, MATCH(B516, 'SAÍDA DE VENDAS'!$B$6:$B$500, 0)+4), ""), "")&amp; IF(COUNTIF('SAÍDA DE VENDAS'!$B$6:$B$500, B516)&gt;5, " + " &amp; IFERROR(INDEX('SAÍDA DE VENDAS'!$H$6:$H$500 &amp; "x " &amp; 'SAÍDA DE VENDAS'!$G$6:$G$500, MATCH(B516, 'SAÍDA DE VENDAS'!$B$6:$B$500, 0)+5), ""), ""))</f>
        <v/>
      </c>
      <c r="G516" s="28">
        <f>IFERROR(VLOOKUP(B516,'SAÍDA DE VENDAS'!$B$6:$P$500,10,FALSE),"")</f>
        <v>0</v>
      </c>
      <c r="H516" s="28" t="str">
        <f>IF(OR(ISBLANK(B516),B516=""), "", IF(B516=B515, (VALUE(LEFT(H515,FIND("/",H515)-1))+1)&amp;"/"&amp;RIGHT(H515,LEN(H515)-FIND("/",H515)), "1/"&amp;IFERROR(VLOOKUP(B516,'SAÍDA DE VENDAS'!$B$6:$P$500,13,FALSE),"1")))</f>
        <v/>
      </c>
      <c r="I516" s="69" t="str">
        <f t="shared" si="14"/>
        <v/>
      </c>
      <c r="J516" s="33" t="str">
        <f>IFERROR(VLOOKUP(B516,'SAÍDA DE VENDAS'!$B$6:$P$500,15,FALSE),"")</f>
        <v/>
      </c>
      <c r="K516" s="28" t="str">
        <f t="shared" ca="1" si="15"/>
        <v/>
      </c>
      <c r="L516" s="28"/>
      <c r="M516" s="28"/>
    </row>
    <row r="517" spans="2:13" ht="15" customHeight="1" x14ac:dyDescent="0.3">
      <c r="B517" s="34" t="str">
        <f>IF(B516="","", IF(VALUE(LEFT(H516,FIND("/",H516)-1)) &lt; VALUE(RIGHT(H516,LEN(H516)-FIND("/",H516))), B516, IFERROR(INDEX('SAÍDA DE VENDAS'!$B$6:$B$500, MATCH(B516,'SAÍDA DE VENDAS'!$B$6:$B$500,0)+COUNTIF('SAÍDA DE VENDAS'!$B$6:$B$500, B516)),"")))</f>
        <v/>
      </c>
      <c r="C517" s="35">
        <f>IFERROR(VLOOKUP(B517,'SAÍDA DE VENDAS'!$B$6:$P$500,3,FALSE),"")</f>
        <v>0</v>
      </c>
      <c r="D517" s="34">
        <f>IFERROR(VLOOKUP(B517,'SAÍDA DE VENDAS'!$B$6:$P$500,4,FALSE),"")</f>
        <v>0</v>
      </c>
      <c r="E517" s="34" t="str">
        <f>IFERROR(VLOOKUP(B517,'SAÍDA DE VENDAS'!$B$6:$P$500,5,FALSE),"")</f>
        <v/>
      </c>
      <c r="F517" s="34" t="str">
        <f>IF(OR(ISBLANK(B517),B517=""), "", IFERROR(INDEX('SAÍDA DE VENDAS'!$H$6:$H$500 &amp; "x " &amp; 'SAÍDA DE VENDAS'!$G$6:$G$500, MATCH(B517, 'SAÍDA DE VENDAS'!$B$6:$B$500, 0)), "")&amp; IF(COUNTIF('SAÍDA DE VENDAS'!$B$6:$B$500, B517)&gt;1, " + " &amp; IFERROR(INDEX('SAÍDA DE VENDAS'!$H$6:$H$500 &amp; "x " &amp; 'SAÍDA DE VENDAS'!$G$6:$G$500, MATCH(B517, 'SAÍDA DE VENDAS'!$B$6:$B$500, 0)+1), ""), "")&amp; IF(COUNTIF('SAÍDA DE VENDAS'!$B$6:$B$500, B517)&gt;2, " + " &amp; IFERROR(INDEX('SAÍDA DE VENDAS'!$H$6:$H$500 &amp; "x " &amp; 'SAÍDA DE VENDAS'!$G$6:$G$500, MATCH(B517, 'SAÍDA DE VENDAS'!$B$6:$B$500, 0)+2), ""), "")&amp; IF(COUNTIF('SAÍDA DE VENDAS'!$B$6:$B$500, B517)&gt;3, " + " &amp; IFERROR(INDEX('SAÍDA DE VENDAS'!$H$6:$H$500 &amp; "x " &amp; 'SAÍDA DE VENDAS'!$G$6:$G$500, MATCH(B517, 'SAÍDA DE VENDAS'!$B$6:$B$500, 0)+3), ""), "")&amp; IF(COUNTIF('SAÍDA DE VENDAS'!$B$6:$B$500, B517)&gt;4, " + " &amp; IFERROR(INDEX('SAÍDA DE VENDAS'!$H$6:$H$500 &amp; "x " &amp; 'SAÍDA DE VENDAS'!$G$6:$G$500, MATCH(B517, 'SAÍDA DE VENDAS'!$B$6:$B$500, 0)+4), ""), "")&amp; IF(COUNTIF('SAÍDA DE VENDAS'!$B$6:$B$500, B517)&gt;5, " + " &amp; IFERROR(INDEX('SAÍDA DE VENDAS'!$H$6:$H$500 &amp; "x " &amp; 'SAÍDA DE VENDAS'!$G$6:$G$500, MATCH(B517, 'SAÍDA DE VENDAS'!$B$6:$B$500, 0)+5), ""), ""))</f>
        <v/>
      </c>
      <c r="G517" s="34">
        <f>IFERROR(VLOOKUP(B517,'SAÍDA DE VENDAS'!$B$6:$P$500,10,FALSE),"")</f>
        <v>0</v>
      </c>
      <c r="H517" s="34" t="str">
        <f>IF(OR(ISBLANK(B517),B517=""), "", IF(B517=B516, (VALUE(LEFT(H516,FIND("/",H516)-1))+1)&amp;"/"&amp;RIGHT(H516,LEN(H516)-FIND("/",H516)), "1/"&amp;IFERROR(VLOOKUP(B517,'SAÍDA DE VENDAS'!$B$6:$P$500,13,FALSE),"1")))</f>
        <v/>
      </c>
      <c r="I517" s="35" t="str">
        <f t="shared" si="14"/>
        <v/>
      </c>
      <c r="J517" s="39" t="str">
        <f>IFERROR(VLOOKUP(B517,'SAÍDA DE VENDAS'!$B$6:$P$500,15,FALSE),"")</f>
        <v/>
      </c>
      <c r="K517" s="34" t="str">
        <f t="shared" ca="1" si="15"/>
        <v/>
      </c>
      <c r="L517" s="34"/>
      <c r="M517" s="34"/>
    </row>
    <row r="518" spans="2:13" ht="15" customHeight="1" x14ac:dyDescent="0.3">
      <c r="B518" s="28" t="str">
        <f>IF(B517="","", IF(VALUE(LEFT(H517,FIND("/",H517)-1)) &lt; VALUE(RIGHT(H517,LEN(H517)-FIND("/",H517))), B517, IFERROR(INDEX('SAÍDA DE VENDAS'!$B$6:$B$500, MATCH(B517,'SAÍDA DE VENDAS'!$B$6:$B$500,0)+COUNTIF('SAÍDA DE VENDAS'!$B$6:$B$500, B517)),"")))</f>
        <v/>
      </c>
      <c r="C518" s="29">
        <f>IFERROR(VLOOKUP(B518,'SAÍDA DE VENDAS'!$B$6:$P$500,3,FALSE),"")</f>
        <v>0</v>
      </c>
      <c r="D518" s="28">
        <f>IFERROR(VLOOKUP(B518,'SAÍDA DE VENDAS'!$B$6:$P$500,4,FALSE),"")</f>
        <v>0</v>
      </c>
      <c r="E518" s="28" t="str">
        <f>IFERROR(VLOOKUP(B518,'SAÍDA DE VENDAS'!$B$6:$P$500,5,FALSE),"")</f>
        <v/>
      </c>
      <c r="F518" s="28" t="str">
        <f>IF(OR(ISBLANK(B518),B518=""), "", IFERROR(INDEX('SAÍDA DE VENDAS'!$H$6:$H$500 &amp; "x " &amp; 'SAÍDA DE VENDAS'!$G$6:$G$500, MATCH(B518, 'SAÍDA DE VENDAS'!$B$6:$B$500, 0)), "")&amp; IF(COUNTIF('SAÍDA DE VENDAS'!$B$6:$B$500, B518)&gt;1, " + " &amp; IFERROR(INDEX('SAÍDA DE VENDAS'!$H$6:$H$500 &amp; "x " &amp; 'SAÍDA DE VENDAS'!$G$6:$G$500, MATCH(B518, 'SAÍDA DE VENDAS'!$B$6:$B$500, 0)+1), ""), "")&amp; IF(COUNTIF('SAÍDA DE VENDAS'!$B$6:$B$500, B518)&gt;2, " + " &amp; IFERROR(INDEX('SAÍDA DE VENDAS'!$H$6:$H$500 &amp; "x " &amp; 'SAÍDA DE VENDAS'!$G$6:$G$500, MATCH(B518, 'SAÍDA DE VENDAS'!$B$6:$B$500, 0)+2), ""), "")&amp; IF(COUNTIF('SAÍDA DE VENDAS'!$B$6:$B$500, B518)&gt;3, " + " &amp; IFERROR(INDEX('SAÍDA DE VENDAS'!$H$6:$H$500 &amp; "x " &amp; 'SAÍDA DE VENDAS'!$G$6:$G$500, MATCH(B518, 'SAÍDA DE VENDAS'!$B$6:$B$500, 0)+3), ""), "")&amp; IF(COUNTIF('SAÍDA DE VENDAS'!$B$6:$B$500, B518)&gt;4, " + " &amp; IFERROR(INDEX('SAÍDA DE VENDAS'!$H$6:$H$500 &amp; "x " &amp; 'SAÍDA DE VENDAS'!$G$6:$G$500, MATCH(B518, 'SAÍDA DE VENDAS'!$B$6:$B$500, 0)+4), ""), "")&amp; IF(COUNTIF('SAÍDA DE VENDAS'!$B$6:$B$500, B518)&gt;5, " + " &amp; IFERROR(INDEX('SAÍDA DE VENDAS'!$H$6:$H$500 &amp; "x " &amp; 'SAÍDA DE VENDAS'!$G$6:$G$500, MATCH(B518, 'SAÍDA DE VENDAS'!$B$6:$B$500, 0)+5), ""), ""))</f>
        <v/>
      </c>
      <c r="G518" s="28">
        <f>IFERROR(VLOOKUP(B518,'SAÍDA DE VENDAS'!$B$6:$P$500,10,FALSE),"")</f>
        <v>0</v>
      </c>
      <c r="H518" s="28" t="str">
        <f>IF(OR(ISBLANK(B518),B518=""), "", IF(B518=B517, (VALUE(LEFT(H517,FIND("/",H517)-1))+1)&amp;"/"&amp;RIGHT(H517,LEN(H517)-FIND("/",H517)), "1/"&amp;IFERROR(VLOOKUP(B518,'SAÍDA DE VENDAS'!$B$6:$P$500,13,FALSE),"1")))</f>
        <v/>
      </c>
      <c r="I518" s="69" t="str">
        <f t="shared" ref="I518:I581" si="16">IF(OR(ISBLANK(B518), B518="", C518=""), "", C518 + (IFERROR(VALUE(LEFT(H518, FIND("/", H518)-1)), 1) * 30))</f>
        <v/>
      </c>
      <c r="J518" s="33" t="str">
        <f>IFERROR(VLOOKUP(B518,'SAÍDA DE VENDAS'!$B$6:$P$500,15,FALSE),"")</f>
        <v/>
      </c>
      <c r="K518" s="28" t="str">
        <f t="shared" ref="K518:K581" ca="1" si="17">IF(B518="","", IF(OR(G518="À Vista", L518&lt;&gt;""), "Pago", IF(AND(I518&lt;&gt;"", I518&lt;TODAY()), "Atrasado", "Pendente")))</f>
        <v/>
      </c>
      <c r="L518" s="28"/>
      <c r="M518" s="28"/>
    </row>
    <row r="519" spans="2:13" ht="15" customHeight="1" x14ac:dyDescent="0.3">
      <c r="B519" s="34" t="str">
        <f>IF(B518="","", IF(VALUE(LEFT(H518,FIND("/",H518)-1)) &lt; VALUE(RIGHT(H518,LEN(H518)-FIND("/",H518))), B518, IFERROR(INDEX('SAÍDA DE VENDAS'!$B$6:$B$500, MATCH(B518,'SAÍDA DE VENDAS'!$B$6:$B$500,0)+COUNTIF('SAÍDA DE VENDAS'!$B$6:$B$500, B518)),"")))</f>
        <v/>
      </c>
      <c r="C519" s="35">
        <f>IFERROR(VLOOKUP(B519,'SAÍDA DE VENDAS'!$B$6:$P$500,3,FALSE),"")</f>
        <v>0</v>
      </c>
      <c r="D519" s="34">
        <f>IFERROR(VLOOKUP(B519,'SAÍDA DE VENDAS'!$B$6:$P$500,4,FALSE),"")</f>
        <v>0</v>
      </c>
      <c r="E519" s="34" t="str">
        <f>IFERROR(VLOOKUP(B519,'SAÍDA DE VENDAS'!$B$6:$P$500,5,FALSE),"")</f>
        <v/>
      </c>
      <c r="F519" s="34" t="str">
        <f>IF(OR(ISBLANK(B519),B519=""), "", IFERROR(INDEX('SAÍDA DE VENDAS'!$H$6:$H$500 &amp; "x " &amp; 'SAÍDA DE VENDAS'!$G$6:$G$500, MATCH(B519, 'SAÍDA DE VENDAS'!$B$6:$B$500, 0)), "")&amp; IF(COUNTIF('SAÍDA DE VENDAS'!$B$6:$B$500, B519)&gt;1, " + " &amp; IFERROR(INDEX('SAÍDA DE VENDAS'!$H$6:$H$500 &amp; "x " &amp; 'SAÍDA DE VENDAS'!$G$6:$G$500, MATCH(B519, 'SAÍDA DE VENDAS'!$B$6:$B$500, 0)+1), ""), "")&amp; IF(COUNTIF('SAÍDA DE VENDAS'!$B$6:$B$500, B519)&gt;2, " + " &amp; IFERROR(INDEX('SAÍDA DE VENDAS'!$H$6:$H$500 &amp; "x " &amp; 'SAÍDA DE VENDAS'!$G$6:$G$500, MATCH(B519, 'SAÍDA DE VENDAS'!$B$6:$B$500, 0)+2), ""), "")&amp; IF(COUNTIF('SAÍDA DE VENDAS'!$B$6:$B$500, B519)&gt;3, " + " &amp; IFERROR(INDEX('SAÍDA DE VENDAS'!$H$6:$H$500 &amp; "x " &amp; 'SAÍDA DE VENDAS'!$G$6:$G$500, MATCH(B519, 'SAÍDA DE VENDAS'!$B$6:$B$500, 0)+3), ""), "")&amp; IF(COUNTIF('SAÍDA DE VENDAS'!$B$6:$B$500, B519)&gt;4, " + " &amp; IFERROR(INDEX('SAÍDA DE VENDAS'!$H$6:$H$500 &amp; "x " &amp; 'SAÍDA DE VENDAS'!$G$6:$G$500, MATCH(B519, 'SAÍDA DE VENDAS'!$B$6:$B$500, 0)+4), ""), "")&amp; IF(COUNTIF('SAÍDA DE VENDAS'!$B$6:$B$500, B519)&gt;5, " + " &amp; IFERROR(INDEX('SAÍDA DE VENDAS'!$H$6:$H$500 &amp; "x " &amp; 'SAÍDA DE VENDAS'!$G$6:$G$500, MATCH(B519, 'SAÍDA DE VENDAS'!$B$6:$B$500, 0)+5), ""), ""))</f>
        <v/>
      </c>
      <c r="G519" s="34">
        <f>IFERROR(VLOOKUP(B519,'SAÍDA DE VENDAS'!$B$6:$P$500,10,FALSE),"")</f>
        <v>0</v>
      </c>
      <c r="H519" s="34" t="str">
        <f>IF(OR(ISBLANK(B519),B519=""), "", IF(B519=B518, (VALUE(LEFT(H518,FIND("/",H518)-1))+1)&amp;"/"&amp;RIGHT(H518,LEN(H518)-FIND("/",H518)), "1/"&amp;IFERROR(VLOOKUP(B519,'SAÍDA DE VENDAS'!$B$6:$P$500,13,FALSE),"1")))</f>
        <v/>
      </c>
      <c r="I519" s="35" t="str">
        <f t="shared" si="16"/>
        <v/>
      </c>
      <c r="J519" s="39" t="str">
        <f>IFERROR(VLOOKUP(B519,'SAÍDA DE VENDAS'!$B$6:$P$500,15,FALSE),"")</f>
        <v/>
      </c>
      <c r="K519" s="34" t="str">
        <f t="shared" ca="1" si="17"/>
        <v/>
      </c>
      <c r="L519" s="34"/>
      <c r="M519" s="34"/>
    </row>
    <row r="520" spans="2:13" ht="15" customHeight="1" x14ac:dyDescent="0.3">
      <c r="B520" s="28" t="str">
        <f>IF(B519="","", IF(VALUE(LEFT(H519,FIND("/",H519)-1)) &lt; VALUE(RIGHT(H519,LEN(H519)-FIND("/",H519))), B519, IFERROR(INDEX('SAÍDA DE VENDAS'!$B$6:$B$500, MATCH(B519,'SAÍDA DE VENDAS'!$B$6:$B$500,0)+COUNTIF('SAÍDA DE VENDAS'!$B$6:$B$500, B519)),"")))</f>
        <v/>
      </c>
      <c r="C520" s="29">
        <f>IFERROR(VLOOKUP(B520,'SAÍDA DE VENDAS'!$B$6:$P$500,3,FALSE),"")</f>
        <v>0</v>
      </c>
      <c r="D520" s="28">
        <f>IFERROR(VLOOKUP(B520,'SAÍDA DE VENDAS'!$B$6:$P$500,4,FALSE),"")</f>
        <v>0</v>
      </c>
      <c r="E520" s="28" t="str">
        <f>IFERROR(VLOOKUP(B520,'SAÍDA DE VENDAS'!$B$6:$P$500,5,FALSE),"")</f>
        <v/>
      </c>
      <c r="F520" s="28" t="str">
        <f>IF(OR(ISBLANK(B520),B520=""), "", IFERROR(INDEX('SAÍDA DE VENDAS'!$H$6:$H$500 &amp; "x " &amp; 'SAÍDA DE VENDAS'!$G$6:$G$500, MATCH(B520, 'SAÍDA DE VENDAS'!$B$6:$B$500, 0)), "")&amp; IF(COUNTIF('SAÍDA DE VENDAS'!$B$6:$B$500, B520)&gt;1, " + " &amp; IFERROR(INDEX('SAÍDA DE VENDAS'!$H$6:$H$500 &amp; "x " &amp; 'SAÍDA DE VENDAS'!$G$6:$G$500, MATCH(B520, 'SAÍDA DE VENDAS'!$B$6:$B$500, 0)+1), ""), "")&amp; IF(COUNTIF('SAÍDA DE VENDAS'!$B$6:$B$500, B520)&gt;2, " + " &amp; IFERROR(INDEX('SAÍDA DE VENDAS'!$H$6:$H$500 &amp; "x " &amp; 'SAÍDA DE VENDAS'!$G$6:$G$500, MATCH(B520, 'SAÍDA DE VENDAS'!$B$6:$B$500, 0)+2), ""), "")&amp; IF(COUNTIF('SAÍDA DE VENDAS'!$B$6:$B$500, B520)&gt;3, " + " &amp; IFERROR(INDEX('SAÍDA DE VENDAS'!$H$6:$H$500 &amp; "x " &amp; 'SAÍDA DE VENDAS'!$G$6:$G$500, MATCH(B520, 'SAÍDA DE VENDAS'!$B$6:$B$500, 0)+3), ""), "")&amp; IF(COUNTIF('SAÍDA DE VENDAS'!$B$6:$B$500, B520)&gt;4, " + " &amp; IFERROR(INDEX('SAÍDA DE VENDAS'!$H$6:$H$500 &amp; "x " &amp; 'SAÍDA DE VENDAS'!$G$6:$G$500, MATCH(B520, 'SAÍDA DE VENDAS'!$B$6:$B$500, 0)+4), ""), "")&amp; IF(COUNTIF('SAÍDA DE VENDAS'!$B$6:$B$500, B520)&gt;5, " + " &amp; IFERROR(INDEX('SAÍDA DE VENDAS'!$H$6:$H$500 &amp; "x " &amp; 'SAÍDA DE VENDAS'!$G$6:$G$500, MATCH(B520, 'SAÍDA DE VENDAS'!$B$6:$B$500, 0)+5), ""), ""))</f>
        <v/>
      </c>
      <c r="G520" s="28">
        <f>IFERROR(VLOOKUP(B520,'SAÍDA DE VENDAS'!$B$6:$P$500,10,FALSE),"")</f>
        <v>0</v>
      </c>
      <c r="H520" s="28" t="str">
        <f>IF(OR(ISBLANK(B520),B520=""), "", IF(B520=B519, (VALUE(LEFT(H519,FIND("/",H519)-1))+1)&amp;"/"&amp;RIGHT(H519,LEN(H519)-FIND("/",H519)), "1/"&amp;IFERROR(VLOOKUP(B520,'SAÍDA DE VENDAS'!$B$6:$P$500,13,FALSE),"1")))</f>
        <v/>
      </c>
      <c r="I520" s="69" t="str">
        <f t="shared" si="16"/>
        <v/>
      </c>
      <c r="J520" s="33" t="str">
        <f>IFERROR(VLOOKUP(B520,'SAÍDA DE VENDAS'!$B$6:$P$500,15,FALSE),"")</f>
        <v/>
      </c>
      <c r="K520" s="28" t="str">
        <f t="shared" ca="1" si="17"/>
        <v/>
      </c>
      <c r="L520" s="28"/>
      <c r="M520" s="28"/>
    </row>
    <row r="521" spans="2:13" ht="15" customHeight="1" x14ac:dyDescent="0.3">
      <c r="B521" s="34" t="str">
        <f>IF(B520="","", IF(VALUE(LEFT(H520,FIND("/",H520)-1)) &lt; VALUE(RIGHT(H520,LEN(H520)-FIND("/",H520))), B520, IFERROR(INDEX('SAÍDA DE VENDAS'!$B$6:$B$500, MATCH(B520,'SAÍDA DE VENDAS'!$B$6:$B$500,0)+COUNTIF('SAÍDA DE VENDAS'!$B$6:$B$500, B520)),"")))</f>
        <v/>
      </c>
      <c r="C521" s="35">
        <f>IFERROR(VLOOKUP(B521,'SAÍDA DE VENDAS'!$B$6:$P$500,3,FALSE),"")</f>
        <v>0</v>
      </c>
      <c r="D521" s="34">
        <f>IFERROR(VLOOKUP(B521,'SAÍDA DE VENDAS'!$B$6:$P$500,4,FALSE),"")</f>
        <v>0</v>
      </c>
      <c r="E521" s="34" t="str">
        <f>IFERROR(VLOOKUP(B521,'SAÍDA DE VENDAS'!$B$6:$P$500,5,FALSE),"")</f>
        <v/>
      </c>
      <c r="F521" s="34" t="str">
        <f>IF(OR(ISBLANK(B521),B521=""), "", IFERROR(INDEX('SAÍDA DE VENDAS'!$H$6:$H$500 &amp; "x " &amp; 'SAÍDA DE VENDAS'!$G$6:$G$500, MATCH(B521, 'SAÍDA DE VENDAS'!$B$6:$B$500, 0)), "")&amp; IF(COUNTIF('SAÍDA DE VENDAS'!$B$6:$B$500, B521)&gt;1, " + " &amp; IFERROR(INDEX('SAÍDA DE VENDAS'!$H$6:$H$500 &amp; "x " &amp; 'SAÍDA DE VENDAS'!$G$6:$G$500, MATCH(B521, 'SAÍDA DE VENDAS'!$B$6:$B$500, 0)+1), ""), "")&amp; IF(COUNTIF('SAÍDA DE VENDAS'!$B$6:$B$500, B521)&gt;2, " + " &amp; IFERROR(INDEX('SAÍDA DE VENDAS'!$H$6:$H$500 &amp; "x " &amp; 'SAÍDA DE VENDAS'!$G$6:$G$500, MATCH(B521, 'SAÍDA DE VENDAS'!$B$6:$B$500, 0)+2), ""), "")&amp; IF(COUNTIF('SAÍDA DE VENDAS'!$B$6:$B$500, B521)&gt;3, " + " &amp; IFERROR(INDEX('SAÍDA DE VENDAS'!$H$6:$H$500 &amp; "x " &amp; 'SAÍDA DE VENDAS'!$G$6:$G$500, MATCH(B521, 'SAÍDA DE VENDAS'!$B$6:$B$500, 0)+3), ""), "")&amp; IF(COUNTIF('SAÍDA DE VENDAS'!$B$6:$B$500, B521)&gt;4, " + " &amp; IFERROR(INDEX('SAÍDA DE VENDAS'!$H$6:$H$500 &amp; "x " &amp; 'SAÍDA DE VENDAS'!$G$6:$G$500, MATCH(B521, 'SAÍDA DE VENDAS'!$B$6:$B$500, 0)+4), ""), "")&amp; IF(COUNTIF('SAÍDA DE VENDAS'!$B$6:$B$500, B521)&gt;5, " + " &amp; IFERROR(INDEX('SAÍDA DE VENDAS'!$H$6:$H$500 &amp; "x " &amp; 'SAÍDA DE VENDAS'!$G$6:$G$500, MATCH(B521, 'SAÍDA DE VENDAS'!$B$6:$B$500, 0)+5), ""), ""))</f>
        <v/>
      </c>
      <c r="G521" s="34">
        <f>IFERROR(VLOOKUP(B521,'SAÍDA DE VENDAS'!$B$6:$P$500,10,FALSE),"")</f>
        <v>0</v>
      </c>
      <c r="H521" s="34" t="str">
        <f>IF(OR(ISBLANK(B521),B521=""), "", IF(B521=B520, (VALUE(LEFT(H520,FIND("/",H520)-1))+1)&amp;"/"&amp;RIGHT(H520,LEN(H520)-FIND("/",H520)), "1/"&amp;IFERROR(VLOOKUP(B521,'SAÍDA DE VENDAS'!$B$6:$P$500,13,FALSE),"1")))</f>
        <v/>
      </c>
      <c r="I521" s="35" t="str">
        <f t="shared" si="16"/>
        <v/>
      </c>
      <c r="J521" s="39" t="str">
        <f>IFERROR(VLOOKUP(B521,'SAÍDA DE VENDAS'!$B$6:$P$500,15,FALSE),"")</f>
        <v/>
      </c>
      <c r="K521" s="34" t="str">
        <f t="shared" ca="1" si="17"/>
        <v/>
      </c>
      <c r="L521" s="34"/>
      <c r="M521" s="34"/>
    </row>
    <row r="522" spans="2:13" ht="15" customHeight="1" x14ac:dyDescent="0.3">
      <c r="B522" s="28" t="str">
        <f>IF(B521="","", IF(VALUE(LEFT(H521,FIND("/",H521)-1)) &lt; VALUE(RIGHT(H521,LEN(H521)-FIND("/",H521))), B521, IFERROR(INDEX('SAÍDA DE VENDAS'!$B$6:$B$500, MATCH(B521,'SAÍDA DE VENDAS'!$B$6:$B$500,0)+COUNTIF('SAÍDA DE VENDAS'!$B$6:$B$500, B521)),"")))</f>
        <v/>
      </c>
      <c r="C522" s="29">
        <f>IFERROR(VLOOKUP(B522,'SAÍDA DE VENDAS'!$B$6:$P$500,3,FALSE),"")</f>
        <v>0</v>
      </c>
      <c r="D522" s="28">
        <f>IFERROR(VLOOKUP(B522,'SAÍDA DE VENDAS'!$B$6:$P$500,4,FALSE),"")</f>
        <v>0</v>
      </c>
      <c r="E522" s="28" t="str">
        <f>IFERROR(VLOOKUP(B522,'SAÍDA DE VENDAS'!$B$6:$P$500,5,FALSE),"")</f>
        <v/>
      </c>
      <c r="F522" s="28" t="str">
        <f>IF(OR(ISBLANK(B522),B522=""), "", IFERROR(INDEX('SAÍDA DE VENDAS'!$H$6:$H$500 &amp; "x " &amp; 'SAÍDA DE VENDAS'!$G$6:$G$500, MATCH(B522, 'SAÍDA DE VENDAS'!$B$6:$B$500, 0)), "")&amp; IF(COUNTIF('SAÍDA DE VENDAS'!$B$6:$B$500, B522)&gt;1, " + " &amp; IFERROR(INDEX('SAÍDA DE VENDAS'!$H$6:$H$500 &amp; "x " &amp; 'SAÍDA DE VENDAS'!$G$6:$G$500, MATCH(B522, 'SAÍDA DE VENDAS'!$B$6:$B$500, 0)+1), ""), "")&amp; IF(COUNTIF('SAÍDA DE VENDAS'!$B$6:$B$500, B522)&gt;2, " + " &amp; IFERROR(INDEX('SAÍDA DE VENDAS'!$H$6:$H$500 &amp; "x " &amp; 'SAÍDA DE VENDAS'!$G$6:$G$500, MATCH(B522, 'SAÍDA DE VENDAS'!$B$6:$B$500, 0)+2), ""), "")&amp; IF(COUNTIF('SAÍDA DE VENDAS'!$B$6:$B$500, B522)&gt;3, " + " &amp; IFERROR(INDEX('SAÍDA DE VENDAS'!$H$6:$H$500 &amp; "x " &amp; 'SAÍDA DE VENDAS'!$G$6:$G$500, MATCH(B522, 'SAÍDA DE VENDAS'!$B$6:$B$500, 0)+3), ""), "")&amp; IF(COUNTIF('SAÍDA DE VENDAS'!$B$6:$B$500, B522)&gt;4, " + " &amp; IFERROR(INDEX('SAÍDA DE VENDAS'!$H$6:$H$500 &amp; "x " &amp; 'SAÍDA DE VENDAS'!$G$6:$G$500, MATCH(B522, 'SAÍDA DE VENDAS'!$B$6:$B$500, 0)+4), ""), "")&amp; IF(COUNTIF('SAÍDA DE VENDAS'!$B$6:$B$500, B522)&gt;5, " + " &amp; IFERROR(INDEX('SAÍDA DE VENDAS'!$H$6:$H$500 &amp; "x " &amp; 'SAÍDA DE VENDAS'!$G$6:$G$500, MATCH(B522, 'SAÍDA DE VENDAS'!$B$6:$B$500, 0)+5), ""), ""))</f>
        <v/>
      </c>
      <c r="G522" s="28">
        <f>IFERROR(VLOOKUP(B522,'SAÍDA DE VENDAS'!$B$6:$P$500,10,FALSE),"")</f>
        <v>0</v>
      </c>
      <c r="H522" s="28" t="str">
        <f>IF(OR(ISBLANK(B522),B522=""), "", IF(B522=B521, (VALUE(LEFT(H521,FIND("/",H521)-1))+1)&amp;"/"&amp;RIGHT(H521,LEN(H521)-FIND("/",H521)), "1/"&amp;IFERROR(VLOOKUP(B522,'SAÍDA DE VENDAS'!$B$6:$P$500,13,FALSE),"1")))</f>
        <v/>
      </c>
      <c r="I522" s="69" t="str">
        <f t="shared" si="16"/>
        <v/>
      </c>
      <c r="J522" s="33" t="str">
        <f>IFERROR(VLOOKUP(B522,'SAÍDA DE VENDAS'!$B$6:$P$500,15,FALSE),"")</f>
        <v/>
      </c>
      <c r="K522" s="28" t="str">
        <f t="shared" ca="1" si="17"/>
        <v/>
      </c>
      <c r="L522" s="28"/>
      <c r="M522" s="28"/>
    </row>
    <row r="523" spans="2:13" ht="15" customHeight="1" x14ac:dyDescent="0.3">
      <c r="B523" s="34" t="str">
        <f>IF(B522="","", IF(VALUE(LEFT(H522,FIND("/",H522)-1)) &lt; VALUE(RIGHT(H522,LEN(H522)-FIND("/",H522))), B522, IFERROR(INDEX('SAÍDA DE VENDAS'!$B$6:$B$500, MATCH(B522,'SAÍDA DE VENDAS'!$B$6:$B$500,0)+COUNTIF('SAÍDA DE VENDAS'!$B$6:$B$500, B522)),"")))</f>
        <v/>
      </c>
      <c r="C523" s="35">
        <f>IFERROR(VLOOKUP(B523,'SAÍDA DE VENDAS'!$B$6:$P$500,3,FALSE),"")</f>
        <v>0</v>
      </c>
      <c r="D523" s="34">
        <f>IFERROR(VLOOKUP(B523,'SAÍDA DE VENDAS'!$B$6:$P$500,4,FALSE),"")</f>
        <v>0</v>
      </c>
      <c r="E523" s="34" t="str">
        <f>IFERROR(VLOOKUP(B523,'SAÍDA DE VENDAS'!$B$6:$P$500,5,FALSE),"")</f>
        <v/>
      </c>
      <c r="F523" s="34" t="str">
        <f>IF(OR(ISBLANK(B523),B523=""), "", IFERROR(INDEX('SAÍDA DE VENDAS'!$H$6:$H$500 &amp; "x " &amp; 'SAÍDA DE VENDAS'!$G$6:$G$500, MATCH(B523, 'SAÍDA DE VENDAS'!$B$6:$B$500, 0)), "")&amp; IF(COUNTIF('SAÍDA DE VENDAS'!$B$6:$B$500, B523)&gt;1, " + " &amp; IFERROR(INDEX('SAÍDA DE VENDAS'!$H$6:$H$500 &amp; "x " &amp; 'SAÍDA DE VENDAS'!$G$6:$G$500, MATCH(B523, 'SAÍDA DE VENDAS'!$B$6:$B$500, 0)+1), ""), "")&amp; IF(COUNTIF('SAÍDA DE VENDAS'!$B$6:$B$500, B523)&gt;2, " + " &amp; IFERROR(INDEX('SAÍDA DE VENDAS'!$H$6:$H$500 &amp; "x " &amp; 'SAÍDA DE VENDAS'!$G$6:$G$500, MATCH(B523, 'SAÍDA DE VENDAS'!$B$6:$B$500, 0)+2), ""), "")&amp; IF(COUNTIF('SAÍDA DE VENDAS'!$B$6:$B$500, B523)&gt;3, " + " &amp; IFERROR(INDEX('SAÍDA DE VENDAS'!$H$6:$H$500 &amp; "x " &amp; 'SAÍDA DE VENDAS'!$G$6:$G$500, MATCH(B523, 'SAÍDA DE VENDAS'!$B$6:$B$500, 0)+3), ""), "")&amp; IF(COUNTIF('SAÍDA DE VENDAS'!$B$6:$B$500, B523)&gt;4, " + " &amp; IFERROR(INDEX('SAÍDA DE VENDAS'!$H$6:$H$500 &amp; "x " &amp; 'SAÍDA DE VENDAS'!$G$6:$G$500, MATCH(B523, 'SAÍDA DE VENDAS'!$B$6:$B$500, 0)+4), ""), "")&amp; IF(COUNTIF('SAÍDA DE VENDAS'!$B$6:$B$500, B523)&gt;5, " + " &amp; IFERROR(INDEX('SAÍDA DE VENDAS'!$H$6:$H$500 &amp; "x " &amp; 'SAÍDA DE VENDAS'!$G$6:$G$500, MATCH(B523, 'SAÍDA DE VENDAS'!$B$6:$B$500, 0)+5), ""), ""))</f>
        <v/>
      </c>
      <c r="G523" s="34">
        <f>IFERROR(VLOOKUP(B523,'SAÍDA DE VENDAS'!$B$6:$P$500,10,FALSE),"")</f>
        <v>0</v>
      </c>
      <c r="H523" s="34" t="str">
        <f>IF(OR(ISBLANK(B523),B523=""), "", IF(B523=B522, (VALUE(LEFT(H522,FIND("/",H522)-1))+1)&amp;"/"&amp;RIGHT(H522,LEN(H522)-FIND("/",H522)), "1/"&amp;IFERROR(VLOOKUP(B523,'SAÍDA DE VENDAS'!$B$6:$P$500,13,FALSE),"1")))</f>
        <v/>
      </c>
      <c r="I523" s="35" t="str">
        <f t="shared" si="16"/>
        <v/>
      </c>
      <c r="J523" s="39" t="str">
        <f>IFERROR(VLOOKUP(B523,'SAÍDA DE VENDAS'!$B$6:$P$500,15,FALSE),"")</f>
        <v/>
      </c>
      <c r="K523" s="34" t="str">
        <f t="shared" ca="1" si="17"/>
        <v/>
      </c>
      <c r="L523" s="34"/>
      <c r="M523" s="34"/>
    </row>
    <row r="524" spans="2:13" ht="15" customHeight="1" x14ac:dyDescent="0.3">
      <c r="B524" s="28" t="str">
        <f>IF(B523="","", IF(VALUE(LEFT(H523,FIND("/",H523)-1)) &lt; VALUE(RIGHT(H523,LEN(H523)-FIND("/",H523))), B523, IFERROR(INDEX('SAÍDA DE VENDAS'!$B$6:$B$500, MATCH(B523,'SAÍDA DE VENDAS'!$B$6:$B$500,0)+COUNTIF('SAÍDA DE VENDAS'!$B$6:$B$500, B523)),"")))</f>
        <v/>
      </c>
      <c r="C524" s="29">
        <f>IFERROR(VLOOKUP(B524,'SAÍDA DE VENDAS'!$B$6:$P$500,3,FALSE),"")</f>
        <v>0</v>
      </c>
      <c r="D524" s="28">
        <f>IFERROR(VLOOKUP(B524,'SAÍDA DE VENDAS'!$B$6:$P$500,4,FALSE),"")</f>
        <v>0</v>
      </c>
      <c r="E524" s="28" t="str">
        <f>IFERROR(VLOOKUP(B524,'SAÍDA DE VENDAS'!$B$6:$P$500,5,FALSE),"")</f>
        <v/>
      </c>
      <c r="F524" s="28" t="str">
        <f>IF(OR(ISBLANK(B524),B524=""), "", IFERROR(INDEX('SAÍDA DE VENDAS'!$H$6:$H$500 &amp; "x " &amp; 'SAÍDA DE VENDAS'!$G$6:$G$500, MATCH(B524, 'SAÍDA DE VENDAS'!$B$6:$B$500, 0)), "")&amp; IF(COUNTIF('SAÍDA DE VENDAS'!$B$6:$B$500, B524)&gt;1, " + " &amp; IFERROR(INDEX('SAÍDA DE VENDAS'!$H$6:$H$500 &amp; "x " &amp; 'SAÍDA DE VENDAS'!$G$6:$G$500, MATCH(B524, 'SAÍDA DE VENDAS'!$B$6:$B$500, 0)+1), ""), "")&amp; IF(COUNTIF('SAÍDA DE VENDAS'!$B$6:$B$500, B524)&gt;2, " + " &amp; IFERROR(INDEX('SAÍDA DE VENDAS'!$H$6:$H$500 &amp; "x " &amp; 'SAÍDA DE VENDAS'!$G$6:$G$500, MATCH(B524, 'SAÍDA DE VENDAS'!$B$6:$B$500, 0)+2), ""), "")&amp; IF(COUNTIF('SAÍDA DE VENDAS'!$B$6:$B$500, B524)&gt;3, " + " &amp; IFERROR(INDEX('SAÍDA DE VENDAS'!$H$6:$H$500 &amp; "x " &amp; 'SAÍDA DE VENDAS'!$G$6:$G$500, MATCH(B524, 'SAÍDA DE VENDAS'!$B$6:$B$500, 0)+3), ""), "")&amp; IF(COUNTIF('SAÍDA DE VENDAS'!$B$6:$B$500, B524)&gt;4, " + " &amp; IFERROR(INDEX('SAÍDA DE VENDAS'!$H$6:$H$500 &amp; "x " &amp; 'SAÍDA DE VENDAS'!$G$6:$G$500, MATCH(B524, 'SAÍDA DE VENDAS'!$B$6:$B$500, 0)+4), ""), "")&amp; IF(COUNTIF('SAÍDA DE VENDAS'!$B$6:$B$500, B524)&gt;5, " + " &amp; IFERROR(INDEX('SAÍDA DE VENDAS'!$H$6:$H$500 &amp; "x " &amp; 'SAÍDA DE VENDAS'!$G$6:$G$500, MATCH(B524, 'SAÍDA DE VENDAS'!$B$6:$B$500, 0)+5), ""), ""))</f>
        <v/>
      </c>
      <c r="G524" s="28">
        <f>IFERROR(VLOOKUP(B524,'SAÍDA DE VENDAS'!$B$6:$P$500,10,FALSE),"")</f>
        <v>0</v>
      </c>
      <c r="H524" s="28" t="str">
        <f>IF(OR(ISBLANK(B524),B524=""), "", IF(B524=B523, (VALUE(LEFT(H523,FIND("/",H523)-1))+1)&amp;"/"&amp;RIGHT(H523,LEN(H523)-FIND("/",H523)), "1/"&amp;IFERROR(VLOOKUP(B524,'SAÍDA DE VENDAS'!$B$6:$P$500,13,FALSE),"1")))</f>
        <v/>
      </c>
      <c r="I524" s="69" t="str">
        <f t="shared" si="16"/>
        <v/>
      </c>
      <c r="J524" s="33" t="str">
        <f>IFERROR(VLOOKUP(B524,'SAÍDA DE VENDAS'!$B$6:$P$500,15,FALSE),"")</f>
        <v/>
      </c>
      <c r="K524" s="28" t="str">
        <f t="shared" ca="1" si="17"/>
        <v/>
      </c>
      <c r="L524" s="28"/>
      <c r="M524" s="28"/>
    </row>
    <row r="525" spans="2:13" ht="15" customHeight="1" x14ac:dyDescent="0.3">
      <c r="B525" s="34" t="str">
        <f>IF(B524="","", IF(VALUE(LEFT(H524,FIND("/",H524)-1)) &lt; VALUE(RIGHT(H524,LEN(H524)-FIND("/",H524))), B524, IFERROR(INDEX('SAÍDA DE VENDAS'!$B$6:$B$500, MATCH(B524,'SAÍDA DE VENDAS'!$B$6:$B$500,0)+COUNTIF('SAÍDA DE VENDAS'!$B$6:$B$500, B524)),"")))</f>
        <v/>
      </c>
      <c r="C525" s="35">
        <f>IFERROR(VLOOKUP(B525,'SAÍDA DE VENDAS'!$B$6:$P$500,3,FALSE),"")</f>
        <v>0</v>
      </c>
      <c r="D525" s="34">
        <f>IFERROR(VLOOKUP(B525,'SAÍDA DE VENDAS'!$B$6:$P$500,4,FALSE),"")</f>
        <v>0</v>
      </c>
      <c r="E525" s="34" t="str">
        <f>IFERROR(VLOOKUP(B525,'SAÍDA DE VENDAS'!$B$6:$P$500,5,FALSE),"")</f>
        <v/>
      </c>
      <c r="F525" s="34" t="str">
        <f>IF(OR(ISBLANK(B525),B525=""), "", IFERROR(INDEX('SAÍDA DE VENDAS'!$H$6:$H$500 &amp; "x " &amp; 'SAÍDA DE VENDAS'!$G$6:$G$500, MATCH(B525, 'SAÍDA DE VENDAS'!$B$6:$B$500, 0)), "")&amp; IF(COUNTIF('SAÍDA DE VENDAS'!$B$6:$B$500, B525)&gt;1, " + " &amp; IFERROR(INDEX('SAÍDA DE VENDAS'!$H$6:$H$500 &amp; "x " &amp; 'SAÍDA DE VENDAS'!$G$6:$G$500, MATCH(B525, 'SAÍDA DE VENDAS'!$B$6:$B$500, 0)+1), ""), "")&amp; IF(COUNTIF('SAÍDA DE VENDAS'!$B$6:$B$500, B525)&gt;2, " + " &amp; IFERROR(INDEX('SAÍDA DE VENDAS'!$H$6:$H$500 &amp; "x " &amp; 'SAÍDA DE VENDAS'!$G$6:$G$500, MATCH(B525, 'SAÍDA DE VENDAS'!$B$6:$B$500, 0)+2), ""), "")&amp; IF(COUNTIF('SAÍDA DE VENDAS'!$B$6:$B$500, B525)&gt;3, " + " &amp; IFERROR(INDEX('SAÍDA DE VENDAS'!$H$6:$H$500 &amp; "x " &amp; 'SAÍDA DE VENDAS'!$G$6:$G$500, MATCH(B525, 'SAÍDA DE VENDAS'!$B$6:$B$500, 0)+3), ""), "")&amp; IF(COUNTIF('SAÍDA DE VENDAS'!$B$6:$B$500, B525)&gt;4, " + " &amp; IFERROR(INDEX('SAÍDA DE VENDAS'!$H$6:$H$500 &amp; "x " &amp; 'SAÍDA DE VENDAS'!$G$6:$G$500, MATCH(B525, 'SAÍDA DE VENDAS'!$B$6:$B$500, 0)+4), ""), "")&amp; IF(COUNTIF('SAÍDA DE VENDAS'!$B$6:$B$500, B525)&gt;5, " + " &amp; IFERROR(INDEX('SAÍDA DE VENDAS'!$H$6:$H$500 &amp; "x " &amp; 'SAÍDA DE VENDAS'!$G$6:$G$500, MATCH(B525, 'SAÍDA DE VENDAS'!$B$6:$B$500, 0)+5), ""), ""))</f>
        <v/>
      </c>
      <c r="G525" s="34">
        <f>IFERROR(VLOOKUP(B525,'SAÍDA DE VENDAS'!$B$6:$P$500,10,FALSE),"")</f>
        <v>0</v>
      </c>
      <c r="H525" s="34" t="str">
        <f>IF(OR(ISBLANK(B525),B525=""), "", IF(B525=B524, (VALUE(LEFT(H524,FIND("/",H524)-1))+1)&amp;"/"&amp;RIGHT(H524,LEN(H524)-FIND("/",H524)), "1/"&amp;IFERROR(VLOOKUP(B525,'SAÍDA DE VENDAS'!$B$6:$P$500,13,FALSE),"1")))</f>
        <v/>
      </c>
      <c r="I525" s="35" t="str">
        <f t="shared" si="16"/>
        <v/>
      </c>
      <c r="J525" s="39" t="str">
        <f>IFERROR(VLOOKUP(B525,'SAÍDA DE VENDAS'!$B$6:$P$500,15,FALSE),"")</f>
        <v/>
      </c>
      <c r="K525" s="34" t="str">
        <f t="shared" ca="1" si="17"/>
        <v/>
      </c>
      <c r="L525" s="34"/>
      <c r="M525" s="34"/>
    </row>
    <row r="526" spans="2:13" ht="15" customHeight="1" x14ac:dyDescent="0.3">
      <c r="B526" s="28" t="str">
        <f>IF(B525="","", IF(VALUE(LEFT(H525,FIND("/",H525)-1)) &lt; VALUE(RIGHT(H525,LEN(H525)-FIND("/",H525))), B525, IFERROR(INDEX('SAÍDA DE VENDAS'!$B$6:$B$500, MATCH(B525,'SAÍDA DE VENDAS'!$B$6:$B$500,0)+COUNTIF('SAÍDA DE VENDAS'!$B$6:$B$500, B525)),"")))</f>
        <v/>
      </c>
      <c r="C526" s="29">
        <f>IFERROR(VLOOKUP(B526,'SAÍDA DE VENDAS'!$B$6:$P$500,3,FALSE),"")</f>
        <v>0</v>
      </c>
      <c r="D526" s="28">
        <f>IFERROR(VLOOKUP(B526,'SAÍDA DE VENDAS'!$B$6:$P$500,4,FALSE),"")</f>
        <v>0</v>
      </c>
      <c r="E526" s="28" t="str">
        <f>IFERROR(VLOOKUP(B526,'SAÍDA DE VENDAS'!$B$6:$P$500,5,FALSE),"")</f>
        <v/>
      </c>
      <c r="F526" s="28" t="str">
        <f>IF(OR(ISBLANK(B526),B526=""), "", IFERROR(INDEX('SAÍDA DE VENDAS'!$H$6:$H$500 &amp; "x " &amp; 'SAÍDA DE VENDAS'!$G$6:$G$500, MATCH(B526, 'SAÍDA DE VENDAS'!$B$6:$B$500, 0)), "")&amp; IF(COUNTIF('SAÍDA DE VENDAS'!$B$6:$B$500, B526)&gt;1, " + " &amp; IFERROR(INDEX('SAÍDA DE VENDAS'!$H$6:$H$500 &amp; "x " &amp; 'SAÍDA DE VENDAS'!$G$6:$G$500, MATCH(B526, 'SAÍDA DE VENDAS'!$B$6:$B$500, 0)+1), ""), "")&amp; IF(COUNTIF('SAÍDA DE VENDAS'!$B$6:$B$500, B526)&gt;2, " + " &amp; IFERROR(INDEX('SAÍDA DE VENDAS'!$H$6:$H$500 &amp; "x " &amp; 'SAÍDA DE VENDAS'!$G$6:$G$500, MATCH(B526, 'SAÍDA DE VENDAS'!$B$6:$B$500, 0)+2), ""), "")&amp; IF(COUNTIF('SAÍDA DE VENDAS'!$B$6:$B$500, B526)&gt;3, " + " &amp; IFERROR(INDEX('SAÍDA DE VENDAS'!$H$6:$H$500 &amp; "x " &amp; 'SAÍDA DE VENDAS'!$G$6:$G$500, MATCH(B526, 'SAÍDA DE VENDAS'!$B$6:$B$500, 0)+3), ""), "")&amp; IF(COUNTIF('SAÍDA DE VENDAS'!$B$6:$B$500, B526)&gt;4, " + " &amp; IFERROR(INDEX('SAÍDA DE VENDAS'!$H$6:$H$500 &amp; "x " &amp; 'SAÍDA DE VENDAS'!$G$6:$G$500, MATCH(B526, 'SAÍDA DE VENDAS'!$B$6:$B$500, 0)+4), ""), "")&amp; IF(COUNTIF('SAÍDA DE VENDAS'!$B$6:$B$500, B526)&gt;5, " + " &amp; IFERROR(INDEX('SAÍDA DE VENDAS'!$H$6:$H$500 &amp; "x " &amp; 'SAÍDA DE VENDAS'!$G$6:$G$500, MATCH(B526, 'SAÍDA DE VENDAS'!$B$6:$B$500, 0)+5), ""), ""))</f>
        <v/>
      </c>
      <c r="G526" s="28">
        <f>IFERROR(VLOOKUP(B526,'SAÍDA DE VENDAS'!$B$6:$P$500,10,FALSE),"")</f>
        <v>0</v>
      </c>
      <c r="H526" s="28" t="str">
        <f>IF(OR(ISBLANK(B526),B526=""), "", IF(B526=B525, (VALUE(LEFT(H525,FIND("/",H525)-1))+1)&amp;"/"&amp;RIGHT(H525,LEN(H525)-FIND("/",H525)), "1/"&amp;IFERROR(VLOOKUP(B526,'SAÍDA DE VENDAS'!$B$6:$P$500,13,FALSE),"1")))</f>
        <v/>
      </c>
      <c r="I526" s="69" t="str">
        <f t="shared" si="16"/>
        <v/>
      </c>
      <c r="J526" s="33" t="str">
        <f>IFERROR(VLOOKUP(B526,'SAÍDA DE VENDAS'!$B$6:$P$500,15,FALSE),"")</f>
        <v/>
      </c>
      <c r="K526" s="28" t="str">
        <f t="shared" ca="1" si="17"/>
        <v/>
      </c>
      <c r="L526" s="28"/>
      <c r="M526" s="28"/>
    </row>
    <row r="527" spans="2:13" ht="15" customHeight="1" x14ac:dyDescent="0.3">
      <c r="B527" s="34" t="str">
        <f>IF(B526="","", IF(VALUE(LEFT(H526,FIND("/",H526)-1)) &lt; VALUE(RIGHT(H526,LEN(H526)-FIND("/",H526))), B526, IFERROR(INDEX('SAÍDA DE VENDAS'!$B$6:$B$500, MATCH(B526,'SAÍDA DE VENDAS'!$B$6:$B$500,0)+COUNTIF('SAÍDA DE VENDAS'!$B$6:$B$500, B526)),"")))</f>
        <v/>
      </c>
      <c r="C527" s="35">
        <f>IFERROR(VLOOKUP(B527,'SAÍDA DE VENDAS'!$B$6:$P$500,3,FALSE),"")</f>
        <v>0</v>
      </c>
      <c r="D527" s="34">
        <f>IFERROR(VLOOKUP(B527,'SAÍDA DE VENDAS'!$B$6:$P$500,4,FALSE),"")</f>
        <v>0</v>
      </c>
      <c r="E527" s="34" t="str">
        <f>IFERROR(VLOOKUP(B527,'SAÍDA DE VENDAS'!$B$6:$P$500,5,FALSE),"")</f>
        <v/>
      </c>
      <c r="F527" s="34" t="str">
        <f>IF(OR(ISBLANK(B527),B527=""), "", IFERROR(INDEX('SAÍDA DE VENDAS'!$H$6:$H$500 &amp; "x " &amp; 'SAÍDA DE VENDAS'!$G$6:$G$500, MATCH(B527, 'SAÍDA DE VENDAS'!$B$6:$B$500, 0)), "")&amp; IF(COUNTIF('SAÍDA DE VENDAS'!$B$6:$B$500, B527)&gt;1, " + " &amp; IFERROR(INDEX('SAÍDA DE VENDAS'!$H$6:$H$500 &amp; "x " &amp; 'SAÍDA DE VENDAS'!$G$6:$G$500, MATCH(B527, 'SAÍDA DE VENDAS'!$B$6:$B$500, 0)+1), ""), "")&amp; IF(COUNTIF('SAÍDA DE VENDAS'!$B$6:$B$500, B527)&gt;2, " + " &amp; IFERROR(INDEX('SAÍDA DE VENDAS'!$H$6:$H$500 &amp; "x " &amp; 'SAÍDA DE VENDAS'!$G$6:$G$500, MATCH(B527, 'SAÍDA DE VENDAS'!$B$6:$B$500, 0)+2), ""), "")&amp; IF(COUNTIF('SAÍDA DE VENDAS'!$B$6:$B$500, B527)&gt;3, " + " &amp; IFERROR(INDEX('SAÍDA DE VENDAS'!$H$6:$H$500 &amp; "x " &amp; 'SAÍDA DE VENDAS'!$G$6:$G$500, MATCH(B527, 'SAÍDA DE VENDAS'!$B$6:$B$500, 0)+3), ""), "")&amp; IF(COUNTIF('SAÍDA DE VENDAS'!$B$6:$B$500, B527)&gt;4, " + " &amp; IFERROR(INDEX('SAÍDA DE VENDAS'!$H$6:$H$500 &amp; "x " &amp; 'SAÍDA DE VENDAS'!$G$6:$G$500, MATCH(B527, 'SAÍDA DE VENDAS'!$B$6:$B$500, 0)+4), ""), "")&amp; IF(COUNTIF('SAÍDA DE VENDAS'!$B$6:$B$500, B527)&gt;5, " + " &amp; IFERROR(INDEX('SAÍDA DE VENDAS'!$H$6:$H$500 &amp; "x " &amp; 'SAÍDA DE VENDAS'!$G$6:$G$500, MATCH(B527, 'SAÍDA DE VENDAS'!$B$6:$B$500, 0)+5), ""), ""))</f>
        <v/>
      </c>
      <c r="G527" s="34">
        <f>IFERROR(VLOOKUP(B527,'SAÍDA DE VENDAS'!$B$6:$P$500,10,FALSE),"")</f>
        <v>0</v>
      </c>
      <c r="H527" s="34" t="str">
        <f>IF(OR(ISBLANK(B527),B527=""), "", IF(B527=B526, (VALUE(LEFT(H526,FIND("/",H526)-1))+1)&amp;"/"&amp;RIGHT(H526,LEN(H526)-FIND("/",H526)), "1/"&amp;IFERROR(VLOOKUP(B527,'SAÍDA DE VENDAS'!$B$6:$P$500,13,FALSE),"1")))</f>
        <v/>
      </c>
      <c r="I527" s="35" t="str">
        <f t="shared" si="16"/>
        <v/>
      </c>
      <c r="J527" s="39" t="str">
        <f>IFERROR(VLOOKUP(B527,'SAÍDA DE VENDAS'!$B$6:$P$500,15,FALSE),"")</f>
        <v/>
      </c>
      <c r="K527" s="34" t="str">
        <f t="shared" ca="1" si="17"/>
        <v/>
      </c>
      <c r="L527" s="34"/>
      <c r="M527" s="34"/>
    </row>
    <row r="528" spans="2:13" ht="15" customHeight="1" x14ac:dyDescent="0.3">
      <c r="B528" s="28" t="str">
        <f>IF(B527="","", IF(VALUE(LEFT(H527,FIND("/",H527)-1)) &lt; VALUE(RIGHT(H527,LEN(H527)-FIND("/",H527))), B527, IFERROR(INDEX('SAÍDA DE VENDAS'!$B$6:$B$500, MATCH(B527,'SAÍDA DE VENDAS'!$B$6:$B$500,0)+COUNTIF('SAÍDA DE VENDAS'!$B$6:$B$500, B527)),"")))</f>
        <v/>
      </c>
      <c r="C528" s="29">
        <f>IFERROR(VLOOKUP(B528,'SAÍDA DE VENDAS'!$B$6:$P$500,3,FALSE),"")</f>
        <v>0</v>
      </c>
      <c r="D528" s="28">
        <f>IFERROR(VLOOKUP(B528,'SAÍDA DE VENDAS'!$B$6:$P$500,4,FALSE),"")</f>
        <v>0</v>
      </c>
      <c r="E528" s="28" t="str">
        <f>IFERROR(VLOOKUP(B528,'SAÍDA DE VENDAS'!$B$6:$P$500,5,FALSE),"")</f>
        <v/>
      </c>
      <c r="F528" s="28" t="str">
        <f>IF(OR(ISBLANK(B528),B528=""), "", IFERROR(INDEX('SAÍDA DE VENDAS'!$H$6:$H$500 &amp; "x " &amp; 'SAÍDA DE VENDAS'!$G$6:$G$500, MATCH(B528, 'SAÍDA DE VENDAS'!$B$6:$B$500, 0)), "")&amp; IF(COUNTIF('SAÍDA DE VENDAS'!$B$6:$B$500, B528)&gt;1, " + " &amp; IFERROR(INDEX('SAÍDA DE VENDAS'!$H$6:$H$500 &amp; "x " &amp; 'SAÍDA DE VENDAS'!$G$6:$G$500, MATCH(B528, 'SAÍDA DE VENDAS'!$B$6:$B$500, 0)+1), ""), "")&amp; IF(COUNTIF('SAÍDA DE VENDAS'!$B$6:$B$500, B528)&gt;2, " + " &amp; IFERROR(INDEX('SAÍDA DE VENDAS'!$H$6:$H$500 &amp; "x " &amp; 'SAÍDA DE VENDAS'!$G$6:$G$500, MATCH(B528, 'SAÍDA DE VENDAS'!$B$6:$B$500, 0)+2), ""), "")&amp; IF(COUNTIF('SAÍDA DE VENDAS'!$B$6:$B$500, B528)&gt;3, " + " &amp; IFERROR(INDEX('SAÍDA DE VENDAS'!$H$6:$H$500 &amp; "x " &amp; 'SAÍDA DE VENDAS'!$G$6:$G$500, MATCH(B528, 'SAÍDA DE VENDAS'!$B$6:$B$500, 0)+3), ""), "")&amp; IF(COUNTIF('SAÍDA DE VENDAS'!$B$6:$B$500, B528)&gt;4, " + " &amp; IFERROR(INDEX('SAÍDA DE VENDAS'!$H$6:$H$500 &amp; "x " &amp; 'SAÍDA DE VENDAS'!$G$6:$G$500, MATCH(B528, 'SAÍDA DE VENDAS'!$B$6:$B$500, 0)+4), ""), "")&amp; IF(COUNTIF('SAÍDA DE VENDAS'!$B$6:$B$500, B528)&gt;5, " + " &amp; IFERROR(INDEX('SAÍDA DE VENDAS'!$H$6:$H$500 &amp; "x " &amp; 'SAÍDA DE VENDAS'!$G$6:$G$500, MATCH(B528, 'SAÍDA DE VENDAS'!$B$6:$B$500, 0)+5), ""), ""))</f>
        <v/>
      </c>
      <c r="G528" s="28">
        <f>IFERROR(VLOOKUP(B528,'SAÍDA DE VENDAS'!$B$6:$P$500,10,FALSE),"")</f>
        <v>0</v>
      </c>
      <c r="H528" s="28" t="str">
        <f>IF(OR(ISBLANK(B528),B528=""), "", IF(B528=B527, (VALUE(LEFT(H527,FIND("/",H527)-1))+1)&amp;"/"&amp;RIGHT(H527,LEN(H527)-FIND("/",H527)), "1/"&amp;IFERROR(VLOOKUP(B528,'SAÍDA DE VENDAS'!$B$6:$P$500,13,FALSE),"1")))</f>
        <v/>
      </c>
      <c r="I528" s="69" t="str">
        <f t="shared" si="16"/>
        <v/>
      </c>
      <c r="J528" s="33" t="str">
        <f>IFERROR(VLOOKUP(B528,'SAÍDA DE VENDAS'!$B$6:$P$500,15,FALSE),"")</f>
        <v/>
      </c>
      <c r="K528" s="28" t="str">
        <f t="shared" ca="1" si="17"/>
        <v/>
      </c>
      <c r="L528" s="28"/>
      <c r="M528" s="28"/>
    </row>
    <row r="529" spans="2:13" ht="15" customHeight="1" x14ac:dyDescent="0.3">
      <c r="B529" s="34" t="str">
        <f>IF(B528="","", IF(VALUE(LEFT(H528,FIND("/",H528)-1)) &lt; VALUE(RIGHT(H528,LEN(H528)-FIND("/",H528))), B528, IFERROR(INDEX('SAÍDA DE VENDAS'!$B$6:$B$500, MATCH(B528,'SAÍDA DE VENDAS'!$B$6:$B$500,0)+COUNTIF('SAÍDA DE VENDAS'!$B$6:$B$500, B528)),"")))</f>
        <v/>
      </c>
      <c r="C529" s="35">
        <f>IFERROR(VLOOKUP(B529,'SAÍDA DE VENDAS'!$B$6:$P$500,3,FALSE),"")</f>
        <v>0</v>
      </c>
      <c r="D529" s="34">
        <f>IFERROR(VLOOKUP(B529,'SAÍDA DE VENDAS'!$B$6:$P$500,4,FALSE),"")</f>
        <v>0</v>
      </c>
      <c r="E529" s="34" t="str">
        <f>IFERROR(VLOOKUP(B529,'SAÍDA DE VENDAS'!$B$6:$P$500,5,FALSE),"")</f>
        <v/>
      </c>
      <c r="F529" s="34" t="str">
        <f>IF(OR(ISBLANK(B529),B529=""), "", IFERROR(INDEX('SAÍDA DE VENDAS'!$H$6:$H$500 &amp; "x " &amp; 'SAÍDA DE VENDAS'!$G$6:$G$500, MATCH(B529, 'SAÍDA DE VENDAS'!$B$6:$B$500, 0)), "")&amp; IF(COUNTIF('SAÍDA DE VENDAS'!$B$6:$B$500, B529)&gt;1, " + " &amp; IFERROR(INDEX('SAÍDA DE VENDAS'!$H$6:$H$500 &amp; "x " &amp; 'SAÍDA DE VENDAS'!$G$6:$G$500, MATCH(B529, 'SAÍDA DE VENDAS'!$B$6:$B$500, 0)+1), ""), "")&amp; IF(COUNTIF('SAÍDA DE VENDAS'!$B$6:$B$500, B529)&gt;2, " + " &amp; IFERROR(INDEX('SAÍDA DE VENDAS'!$H$6:$H$500 &amp; "x " &amp; 'SAÍDA DE VENDAS'!$G$6:$G$500, MATCH(B529, 'SAÍDA DE VENDAS'!$B$6:$B$500, 0)+2), ""), "")&amp; IF(COUNTIF('SAÍDA DE VENDAS'!$B$6:$B$500, B529)&gt;3, " + " &amp; IFERROR(INDEX('SAÍDA DE VENDAS'!$H$6:$H$500 &amp; "x " &amp; 'SAÍDA DE VENDAS'!$G$6:$G$500, MATCH(B529, 'SAÍDA DE VENDAS'!$B$6:$B$500, 0)+3), ""), "")&amp; IF(COUNTIF('SAÍDA DE VENDAS'!$B$6:$B$500, B529)&gt;4, " + " &amp; IFERROR(INDEX('SAÍDA DE VENDAS'!$H$6:$H$500 &amp; "x " &amp; 'SAÍDA DE VENDAS'!$G$6:$G$500, MATCH(B529, 'SAÍDA DE VENDAS'!$B$6:$B$500, 0)+4), ""), "")&amp; IF(COUNTIF('SAÍDA DE VENDAS'!$B$6:$B$500, B529)&gt;5, " + " &amp; IFERROR(INDEX('SAÍDA DE VENDAS'!$H$6:$H$500 &amp; "x " &amp; 'SAÍDA DE VENDAS'!$G$6:$G$500, MATCH(B529, 'SAÍDA DE VENDAS'!$B$6:$B$500, 0)+5), ""), ""))</f>
        <v/>
      </c>
      <c r="G529" s="34">
        <f>IFERROR(VLOOKUP(B529,'SAÍDA DE VENDAS'!$B$6:$P$500,10,FALSE),"")</f>
        <v>0</v>
      </c>
      <c r="H529" s="34" t="str">
        <f>IF(OR(ISBLANK(B529),B529=""), "", IF(B529=B528, (VALUE(LEFT(H528,FIND("/",H528)-1))+1)&amp;"/"&amp;RIGHT(H528,LEN(H528)-FIND("/",H528)), "1/"&amp;IFERROR(VLOOKUP(B529,'SAÍDA DE VENDAS'!$B$6:$P$500,13,FALSE),"1")))</f>
        <v/>
      </c>
      <c r="I529" s="35" t="str">
        <f t="shared" si="16"/>
        <v/>
      </c>
      <c r="J529" s="39" t="str">
        <f>IFERROR(VLOOKUP(B529,'SAÍDA DE VENDAS'!$B$6:$P$500,15,FALSE),"")</f>
        <v/>
      </c>
      <c r="K529" s="34" t="str">
        <f t="shared" ca="1" si="17"/>
        <v/>
      </c>
      <c r="L529" s="34"/>
      <c r="M529" s="34"/>
    </row>
    <row r="530" spans="2:13" ht="15" customHeight="1" x14ac:dyDescent="0.3">
      <c r="B530" s="28" t="str">
        <f>IF(B529="","", IF(VALUE(LEFT(H529,FIND("/",H529)-1)) &lt; VALUE(RIGHT(H529,LEN(H529)-FIND("/",H529))), B529, IFERROR(INDEX('SAÍDA DE VENDAS'!$B$6:$B$500, MATCH(B529,'SAÍDA DE VENDAS'!$B$6:$B$500,0)+COUNTIF('SAÍDA DE VENDAS'!$B$6:$B$500, B529)),"")))</f>
        <v/>
      </c>
      <c r="C530" s="29">
        <f>IFERROR(VLOOKUP(B530,'SAÍDA DE VENDAS'!$B$6:$P$500,3,FALSE),"")</f>
        <v>0</v>
      </c>
      <c r="D530" s="28">
        <f>IFERROR(VLOOKUP(B530,'SAÍDA DE VENDAS'!$B$6:$P$500,4,FALSE),"")</f>
        <v>0</v>
      </c>
      <c r="E530" s="28" t="str">
        <f>IFERROR(VLOOKUP(B530,'SAÍDA DE VENDAS'!$B$6:$P$500,5,FALSE),"")</f>
        <v/>
      </c>
      <c r="F530" s="28" t="str">
        <f>IF(OR(ISBLANK(B530),B530=""), "", IFERROR(INDEX('SAÍDA DE VENDAS'!$H$6:$H$500 &amp; "x " &amp; 'SAÍDA DE VENDAS'!$G$6:$G$500, MATCH(B530, 'SAÍDA DE VENDAS'!$B$6:$B$500, 0)), "")&amp; IF(COUNTIF('SAÍDA DE VENDAS'!$B$6:$B$500, B530)&gt;1, " + " &amp; IFERROR(INDEX('SAÍDA DE VENDAS'!$H$6:$H$500 &amp; "x " &amp; 'SAÍDA DE VENDAS'!$G$6:$G$500, MATCH(B530, 'SAÍDA DE VENDAS'!$B$6:$B$500, 0)+1), ""), "")&amp; IF(COUNTIF('SAÍDA DE VENDAS'!$B$6:$B$500, B530)&gt;2, " + " &amp; IFERROR(INDEX('SAÍDA DE VENDAS'!$H$6:$H$500 &amp; "x " &amp; 'SAÍDA DE VENDAS'!$G$6:$G$500, MATCH(B530, 'SAÍDA DE VENDAS'!$B$6:$B$500, 0)+2), ""), "")&amp; IF(COUNTIF('SAÍDA DE VENDAS'!$B$6:$B$500, B530)&gt;3, " + " &amp; IFERROR(INDEX('SAÍDA DE VENDAS'!$H$6:$H$500 &amp; "x " &amp; 'SAÍDA DE VENDAS'!$G$6:$G$500, MATCH(B530, 'SAÍDA DE VENDAS'!$B$6:$B$500, 0)+3), ""), "")&amp; IF(COUNTIF('SAÍDA DE VENDAS'!$B$6:$B$500, B530)&gt;4, " + " &amp; IFERROR(INDEX('SAÍDA DE VENDAS'!$H$6:$H$500 &amp; "x " &amp; 'SAÍDA DE VENDAS'!$G$6:$G$500, MATCH(B530, 'SAÍDA DE VENDAS'!$B$6:$B$500, 0)+4), ""), "")&amp; IF(COUNTIF('SAÍDA DE VENDAS'!$B$6:$B$500, B530)&gt;5, " + " &amp; IFERROR(INDEX('SAÍDA DE VENDAS'!$H$6:$H$500 &amp; "x " &amp; 'SAÍDA DE VENDAS'!$G$6:$G$500, MATCH(B530, 'SAÍDA DE VENDAS'!$B$6:$B$500, 0)+5), ""), ""))</f>
        <v/>
      </c>
      <c r="G530" s="28">
        <f>IFERROR(VLOOKUP(B530,'SAÍDA DE VENDAS'!$B$6:$P$500,10,FALSE),"")</f>
        <v>0</v>
      </c>
      <c r="H530" s="28" t="str">
        <f>IF(OR(ISBLANK(B530),B530=""), "", IF(B530=B529, (VALUE(LEFT(H529,FIND("/",H529)-1))+1)&amp;"/"&amp;RIGHT(H529,LEN(H529)-FIND("/",H529)), "1/"&amp;IFERROR(VLOOKUP(B530,'SAÍDA DE VENDAS'!$B$6:$P$500,13,FALSE),"1")))</f>
        <v/>
      </c>
      <c r="I530" s="69" t="str">
        <f t="shared" si="16"/>
        <v/>
      </c>
      <c r="J530" s="33" t="str">
        <f>IFERROR(VLOOKUP(B530,'SAÍDA DE VENDAS'!$B$6:$P$500,15,FALSE),"")</f>
        <v/>
      </c>
      <c r="K530" s="28" t="str">
        <f t="shared" ca="1" si="17"/>
        <v/>
      </c>
      <c r="L530" s="28"/>
      <c r="M530" s="28"/>
    </row>
    <row r="531" spans="2:13" ht="15" customHeight="1" x14ac:dyDescent="0.3">
      <c r="B531" s="34" t="str">
        <f>IF(B530="","", IF(VALUE(LEFT(H530,FIND("/",H530)-1)) &lt; VALUE(RIGHT(H530,LEN(H530)-FIND("/",H530))), B530, IFERROR(INDEX('SAÍDA DE VENDAS'!$B$6:$B$500, MATCH(B530,'SAÍDA DE VENDAS'!$B$6:$B$500,0)+COUNTIF('SAÍDA DE VENDAS'!$B$6:$B$500, B530)),"")))</f>
        <v/>
      </c>
      <c r="C531" s="35">
        <f>IFERROR(VLOOKUP(B531,'SAÍDA DE VENDAS'!$B$6:$P$500,3,FALSE),"")</f>
        <v>0</v>
      </c>
      <c r="D531" s="34">
        <f>IFERROR(VLOOKUP(B531,'SAÍDA DE VENDAS'!$B$6:$P$500,4,FALSE),"")</f>
        <v>0</v>
      </c>
      <c r="E531" s="34" t="str">
        <f>IFERROR(VLOOKUP(B531,'SAÍDA DE VENDAS'!$B$6:$P$500,5,FALSE),"")</f>
        <v/>
      </c>
      <c r="F531" s="34" t="str">
        <f>IF(OR(ISBLANK(B531),B531=""), "", IFERROR(INDEX('SAÍDA DE VENDAS'!$H$6:$H$500 &amp; "x " &amp; 'SAÍDA DE VENDAS'!$G$6:$G$500, MATCH(B531, 'SAÍDA DE VENDAS'!$B$6:$B$500, 0)), "")&amp; IF(COUNTIF('SAÍDA DE VENDAS'!$B$6:$B$500, B531)&gt;1, " + " &amp; IFERROR(INDEX('SAÍDA DE VENDAS'!$H$6:$H$500 &amp; "x " &amp; 'SAÍDA DE VENDAS'!$G$6:$G$500, MATCH(B531, 'SAÍDA DE VENDAS'!$B$6:$B$500, 0)+1), ""), "")&amp; IF(COUNTIF('SAÍDA DE VENDAS'!$B$6:$B$500, B531)&gt;2, " + " &amp; IFERROR(INDEX('SAÍDA DE VENDAS'!$H$6:$H$500 &amp; "x " &amp; 'SAÍDA DE VENDAS'!$G$6:$G$500, MATCH(B531, 'SAÍDA DE VENDAS'!$B$6:$B$500, 0)+2), ""), "")&amp; IF(COUNTIF('SAÍDA DE VENDAS'!$B$6:$B$500, B531)&gt;3, " + " &amp; IFERROR(INDEX('SAÍDA DE VENDAS'!$H$6:$H$500 &amp; "x " &amp; 'SAÍDA DE VENDAS'!$G$6:$G$500, MATCH(B531, 'SAÍDA DE VENDAS'!$B$6:$B$500, 0)+3), ""), "")&amp; IF(COUNTIF('SAÍDA DE VENDAS'!$B$6:$B$500, B531)&gt;4, " + " &amp; IFERROR(INDEX('SAÍDA DE VENDAS'!$H$6:$H$500 &amp; "x " &amp; 'SAÍDA DE VENDAS'!$G$6:$G$500, MATCH(B531, 'SAÍDA DE VENDAS'!$B$6:$B$500, 0)+4), ""), "")&amp; IF(COUNTIF('SAÍDA DE VENDAS'!$B$6:$B$500, B531)&gt;5, " + " &amp; IFERROR(INDEX('SAÍDA DE VENDAS'!$H$6:$H$500 &amp; "x " &amp; 'SAÍDA DE VENDAS'!$G$6:$G$500, MATCH(B531, 'SAÍDA DE VENDAS'!$B$6:$B$500, 0)+5), ""), ""))</f>
        <v/>
      </c>
      <c r="G531" s="34">
        <f>IFERROR(VLOOKUP(B531,'SAÍDA DE VENDAS'!$B$6:$P$500,10,FALSE),"")</f>
        <v>0</v>
      </c>
      <c r="H531" s="34" t="str">
        <f>IF(OR(ISBLANK(B531),B531=""), "", IF(B531=B530, (VALUE(LEFT(H530,FIND("/",H530)-1))+1)&amp;"/"&amp;RIGHT(H530,LEN(H530)-FIND("/",H530)), "1/"&amp;IFERROR(VLOOKUP(B531,'SAÍDA DE VENDAS'!$B$6:$P$500,13,FALSE),"1")))</f>
        <v/>
      </c>
      <c r="I531" s="35" t="str">
        <f t="shared" si="16"/>
        <v/>
      </c>
      <c r="J531" s="39" t="str">
        <f>IFERROR(VLOOKUP(B531,'SAÍDA DE VENDAS'!$B$6:$P$500,15,FALSE),"")</f>
        <v/>
      </c>
      <c r="K531" s="34" t="str">
        <f t="shared" ca="1" si="17"/>
        <v/>
      </c>
      <c r="L531" s="34"/>
      <c r="M531" s="34"/>
    </row>
    <row r="532" spans="2:13" ht="15" customHeight="1" x14ac:dyDescent="0.3">
      <c r="B532" s="28" t="str">
        <f>IF(B531="","", IF(VALUE(LEFT(H531,FIND("/",H531)-1)) &lt; VALUE(RIGHT(H531,LEN(H531)-FIND("/",H531))), B531, IFERROR(INDEX('SAÍDA DE VENDAS'!$B$6:$B$500, MATCH(B531,'SAÍDA DE VENDAS'!$B$6:$B$500,0)+COUNTIF('SAÍDA DE VENDAS'!$B$6:$B$500, B531)),"")))</f>
        <v/>
      </c>
      <c r="C532" s="29">
        <f>IFERROR(VLOOKUP(B532,'SAÍDA DE VENDAS'!$B$6:$P$500,3,FALSE),"")</f>
        <v>0</v>
      </c>
      <c r="D532" s="28">
        <f>IFERROR(VLOOKUP(B532,'SAÍDA DE VENDAS'!$B$6:$P$500,4,FALSE),"")</f>
        <v>0</v>
      </c>
      <c r="E532" s="28" t="str">
        <f>IFERROR(VLOOKUP(B532,'SAÍDA DE VENDAS'!$B$6:$P$500,5,FALSE),"")</f>
        <v/>
      </c>
      <c r="F532" s="28" t="str">
        <f>IF(OR(ISBLANK(B532),B532=""), "", IFERROR(INDEX('SAÍDA DE VENDAS'!$H$6:$H$500 &amp; "x " &amp; 'SAÍDA DE VENDAS'!$G$6:$G$500, MATCH(B532, 'SAÍDA DE VENDAS'!$B$6:$B$500, 0)), "")&amp; IF(COUNTIF('SAÍDA DE VENDAS'!$B$6:$B$500, B532)&gt;1, " + " &amp; IFERROR(INDEX('SAÍDA DE VENDAS'!$H$6:$H$500 &amp; "x " &amp; 'SAÍDA DE VENDAS'!$G$6:$G$500, MATCH(B532, 'SAÍDA DE VENDAS'!$B$6:$B$500, 0)+1), ""), "")&amp; IF(COUNTIF('SAÍDA DE VENDAS'!$B$6:$B$500, B532)&gt;2, " + " &amp; IFERROR(INDEX('SAÍDA DE VENDAS'!$H$6:$H$500 &amp; "x " &amp; 'SAÍDA DE VENDAS'!$G$6:$G$500, MATCH(B532, 'SAÍDA DE VENDAS'!$B$6:$B$500, 0)+2), ""), "")&amp; IF(COUNTIF('SAÍDA DE VENDAS'!$B$6:$B$500, B532)&gt;3, " + " &amp; IFERROR(INDEX('SAÍDA DE VENDAS'!$H$6:$H$500 &amp; "x " &amp; 'SAÍDA DE VENDAS'!$G$6:$G$500, MATCH(B532, 'SAÍDA DE VENDAS'!$B$6:$B$500, 0)+3), ""), "")&amp; IF(COUNTIF('SAÍDA DE VENDAS'!$B$6:$B$500, B532)&gt;4, " + " &amp; IFERROR(INDEX('SAÍDA DE VENDAS'!$H$6:$H$500 &amp; "x " &amp; 'SAÍDA DE VENDAS'!$G$6:$G$500, MATCH(B532, 'SAÍDA DE VENDAS'!$B$6:$B$500, 0)+4), ""), "")&amp; IF(COUNTIF('SAÍDA DE VENDAS'!$B$6:$B$500, B532)&gt;5, " + " &amp; IFERROR(INDEX('SAÍDA DE VENDAS'!$H$6:$H$500 &amp; "x " &amp; 'SAÍDA DE VENDAS'!$G$6:$G$500, MATCH(B532, 'SAÍDA DE VENDAS'!$B$6:$B$500, 0)+5), ""), ""))</f>
        <v/>
      </c>
      <c r="G532" s="28">
        <f>IFERROR(VLOOKUP(B532,'SAÍDA DE VENDAS'!$B$6:$P$500,10,FALSE),"")</f>
        <v>0</v>
      </c>
      <c r="H532" s="28" t="str">
        <f>IF(OR(ISBLANK(B532),B532=""), "", IF(B532=B531, (VALUE(LEFT(H531,FIND("/",H531)-1))+1)&amp;"/"&amp;RIGHT(H531,LEN(H531)-FIND("/",H531)), "1/"&amp;IFERROR(VLOOKUP(B532,'SAÍDA DE VENDAS'!$B$6:$P$500,13,FALSE),"1")))</f>
        <v/>
      </c>
      <c r="I532" s="69" t="str">
        <f t="shared" si="16"/>
        <v/>
      </c>
      <c r="J532" s="33" t="str">
        <f>IFERROR(VLOOKUP(B532,'SAÍDA DE VENDAS'!$B$6:$P$500,15,FALSE),"")</f>
        <v/>
      </c>
      <c r="K532" s="28" t="str">
        <f t="shared" ca="1" si="17"/>
        <v/>
      </c>
      <c r="L532" s="28"/>
      <c r="M532" s="28"/>
    </row>
    <row r="533" spans="2:13" ht="15" customHeight="1" x14ac:dyDescent="0.3">
      <c r="B533" s="34" t="str">
        <f>IF(B532="","", IF(VALUE(LEFT(H532,FIND("/",H532)-1)) &lt; VALUE(RIGHT(H532,LEN(H532)-FIND("/",H532))), B532, IFERROR(INDEX('SAÍDA DE VENDAS'!$B$6:$B$500, MATCH(B532,'SAÍDA DE VENDAS'!$B$6:$B$500,0)+COUNTIF('SAÍDA DE VENDAS'!$B$6:$B$500, B532)),"")))</f>
        <v/>
      </c>
      <c r="C533" s="35">
        <f>IFERROR(VLOOKUP(B533,'SAÍDA DE VENDAS'!$B$6:$P$500,3,FALSE),"")</f>
        <v>0</v>
      </c>
      <c r="D533" s="34">
        <f>IFERROR(VLOOKUP(B533,'SAÍDA DE VENDAS'!$B$6:$P$500,4,FALSE),"")</f>
        <v>0</v>
      </c>
      <c r="E533" s="34" t="str">
        <f>IFERROR(VLOOKUP(B533,'SAÍDA DE VENDAS'!$B$6:$P$500,5,FALSE),"")</f>
        <v/>
      </c>
      <c r="F533" s="34" t="str">
        <f>IF(OR(ISBLANK(B533),B533=""), "", IFERROR(INDEX('SAÍDA DE VENDAS'!$H$6:$H$500 &amp; "x " &amp; 'SAÍDA DE VENDAS'!$G$6:$G$500, MATCH(B533, 'SAÍDA DE VENDAS'!$B$6:$B$500, 0)), "")&amp; IF(COUNTIF('SAÍDA DE VENDAS'!$B$6:$B$500, B533)&gt;1, " + " &amp; IFERROR(INDEX('SAÍDA DE VENDAS'!$H$6:$H$500 &amp; "x " &amp; 'SAÍDA DE VENDAS'!$G$6:$G$500, MATCH(B533, 'SAÍDA DE VENDAS'!$B$6:$B$500, 0)+1), ""), "")&amp; IF(COUNTIF('SAÍDA DE VENDAS'!$B$6:$B$500, B533)&gt;2, " + " &amp; IFERROR(INDEX('SAÍDA DE VENDAS'!$H$6:$H$500 &amp; "x " &amp; 'SAÍDA DE VENDAS'!$G$6:$G$500, MATCH(B533, 'SAÍDA DE VENDAS'!$B$6:$B$500, 0)+2), ""), "")&amp; IF(COUNTIF('SAÍDA DE VENDAS'!$B$6:$B$500, B533)&gt;3, " + " &amp; IFERROR(INDEX('SAÍDA DE VENDAS'!$H$6:$H$500 &amp; "x " &amp; 'SAÍDA DE VENDAS'!$G$6:$G$500, MATCH(B533, 'SAÍDA DE VENDAS'!$B$6:$B$500, 0)+3), ""), "")&amp; IF(COUNTIF('SAÍDA DE VENDAS'!$B$6:$B$500, B533)&gt;4, " + " &amp; IFERROR(INDEX('SAÍDA DE VENDAS'!$H$6:$H$500 &amp; "x " &amp; 'SAÍDA DE VENDAS'!$G$6:$G$500, MATCH(B533, 'SAÍDA DE VENDAS'!$B$6:$B$500, 0)+4), ""), "")&amp; IF(COUNTIF('SAÍDA DE VENDAS'!$B$6:$B$500, B533)&gt;5, " + " &amp; IFERROR(INDEX('SAÍDA DE VENDAS'!$H$6:$H$500 &amp; "x " &amp; 'SAÍDA DE VENDAS'!$G$6:$G$500, MATCH(B533, 'SAÍDA DE VENDAS'!$B$6:$B$500, 0)+5), ""), ""))</f>
        <v/>
      </c>
      <c r="G533" s="34">
        <f>IFERROR(VLOOKUP(B533,'SAÍDA DE VENDAS'!$B$6:$P$500,10,FALSE),"")</f>
        <v>0</v>
      </c>
      <c r="H533" s="34" t="str">
        <f>IF(OR(ISBLANK(B533),B533=""), "", IF(B533=B532, (VALUE(LEFT(H532,FIND("/",H532)-1))+1)&amp;"/"&amp;RIGHT(H532,LEN(H532)-FIND("/",H532)), "1/"&amp;IFERROR(VLOOKUP(B533,'SAÍDA DE VENDAS'!$B$6:$P$500,13,FALSE),"1")))</f>
        <v/>
      </c>
      <c r="I533" s="35" t="str">
        <f t="shared" si="16"/>
        <v/>
      </c>
      <c r="J533" s="39" t="str">
        <f>IFERROR(VLOOKUP(B533,'SAÍDA DE VENDAS'!$B$6:$P$500,15,FALSE),"")</f>
        <v/>
      </c>
      <c r="K533" s="34" t="str">
        <f t="shared" ca="1" si="17"/>
        <v/>
      </c>
      <c r="L533" s="34"/>
      <c r="M533" s="34"/>
    </row>
    <row r="534" spans="2:13" ht="15" customHeight="1" x14ac:dyDescent="0.3">
      <c r="B534" s="28" t="str">
        <f>IF(B533="","", IF(VALUE(LEFT(H533,FIND("/",H533)-1)) &lt; VALUE(RIGHT(H533,LEN(H533)-FIND("/",H533))), B533, IFERROR(INDEX('SAÍDA DE VENDAS'!$B$6:$B$500, MATCH(B533,'SAÍDA DE VENDAS'!$B$6:$B$500,0)+COUNTIF('SAÍDA DE VENDAS'!$B$6:$B$500, B533)),"")))</f>
        <v/>
      </c>
      <c r="C534" s="29">
        <f>IFERROR(VLOOKUP(B534,'SAÍDA DE VENDAS'!$B$6:$P$500,3,FALSE),"")</f>
        <v>0</v>
      </c>
      <c r="D534" s="28">
        <f>IFERROR(VLOOKUP(B534,'SAÍDA DE VENDAS'!$B$6:$P$500,4,FALSE),"")</f>
        <v>0</v>
      </c>
      <c r="E534" s="28" t="str">
        <f>IFERROR(VLOOKUP(B534,'SAÍDA DE VENDAS'!$B$6:$P$500,5,FALSE),"")</f>
        <v/>
      </c>
      <c r="F534" s="28" t="str">
        <f>IF(OR(ISBLANK(B534),B534=""), "", IFERROR(INDEX('SAÍDA DE VENDAS'!$H$6:$H$500 &amp; "x " &amp; 'SAÍDA DE VENDAS'!$G$6:$G$500, MATCH(B534, 'SAÍDA DE VENDAS'!$B$6:$B$500, 0)), "")&amp; IF(COUNTIF('SAÍDA DE VENDAS'!$B$6:$B$500, B534)&gt;1, " + " &amp; IFERROR(INDEX('SAÍDA DE VENDAS'!$H$6:$H$500 &amp; "x " &amp; 'SAÍDA DE VENDAS'!$G$6:$G$500, MATCH(B534, 'SAÍDA DE VENDAS'!$B$6:$B$500, 0)+1), ""), "")&amp; IF(COUNTIF('SAÍDA DE VENDAS'!$B$6:$B$500, B534)&gt;2, " + " &amp; IFERROR(INDEX('SAÍDA DE VENDAS'!$H$6:$H$500 &amp; "x " &amp; 'SAÍDA DE VENDAS'!$G$6:$G$500, MATCH(B534, 'SAÍDA DE VENDAS'!$B$6:$B$500, 0)+2), ""), "")&amp; IF(COUNTIF('SAÍDA DE VENDAS'!$B$6:$B$500, B534)&gt;3, " + " &amp; IFERROR(INDEX('SAÍDA DE VENDAS'!$H$6:$H$500 &amp; "x " &amp; 'SAÍDA DE VENDAS'!$G$6:$G$500, MATCH(B534, 'SAÍDA DE VENDAS'!$B$6:$B$500, 0)+3), ""), "")&amp; IF(COUNTIF('SAÍDA DE VENDAS'!$B$6:$B$500, B534)&gt;4, " + " &amp; IFERROR(INDEX('SAÍDA DE VENDAS'!$H$6:$H$500 &amp; "x " &amp; 'SAÍDA DE VENDAS'!$G$6:$G$500, MATCH(B534, 'SAÍDA DE VENDAS'!$B$6:$B$500, 0)+4), ""), "")&amp; IF(COUNTIF('SAÍDA DE VENDAS'!$B$6:$B$500, B534)&gt;5, " + " &amp; IFERROR(INDEX('SAÍDA DE VENDAS'!$H$6:$H$500 &amp; "x " &amp; 'SAÍDA DE VENDAS'!$G$6:$G$500, MATCH(B534, 'SAÍDA DE VENDAS'!$B$6:$B$500, 0)+5), ""), ""))</f>
        <v/>
      </c>
      <c r="G534" s="28">
        <f>IFERROR(VLOOKUP(B534,'SAÍDA DE VENDAS'!$B$6:$P$500,10,FALSE),"")</f>
        <v>0</v>
      </c>
      <c r="H534" s="28" t="str">
        <f>IF(OR(ISBLANK(B534),B534=""), "", IF(B534=B533, (VALUE(LEFT(H533,FIND("/",H533)-1))+1)&amp;"/"&amp;RIGHT(H533,LEN(H533)-FIND("/",H533)), "1/"&amp;IFERROR(VLOOKUP(B534,'SAÍDA DE VENDAS'!$B$6:$P$500,13,FALSE),"1")))</f>
        <v/>
      </c>
      <c r="I534" s="69" t="str">
        <f t="shared" si="16"/>
        <v/>
      </c>
      <c r="J534" s="33" t="str">
        <f>IFERROR(VLOOKUP(B534,'SAÍDA DE VENDAS'!$B$6:$P$500,15,FALSE),"")</f>
        <v/>
      </c>
      <c r="K534" s="28" t="str">
        <f t="shared" ca="1" si="17"/>
        <v/>
      </c>
      <c r="L534" s="28"/>
      <c r="M534" s="28"/>
    </row>
    <row r="535" spans="2:13" ht="15" customHeight="1" x14ac:dyDescent="0.3">
      <c r="B535" s="34" t="str">
        <f>IF(B534="","", IF(VALUE(LEFT(H534,FIND("/",H534)-1)) &lt; VALUE(RIGHT(H534,LEN(H534)-FIND("/",H534))), B534, IFERROR(INDEX('SAÍDA DE VENDAS'!$B$6:$B$500, MATCH(B534,'SAÍDA DE VENDAS'!$B$6:$B$500,0)+COUNTIF('SAÍDA DE VENDAS'!$B$6:$B$500, B534)),"")))</f>
        <v/>
      </c>
      <c r="C535" s="35">
        <f>IFERROR(VLOOKUP(B535,'SAÍDA DE VENDAS'!$B$6:$P$500,3,FALSE),"")</f>
        <v>0</v>
      </c>
      <c r="D535" s="34">
        <f>IFERROR(VLOOKUP(B535,'SAÍDA DE VENDAS'!$B$6:$P$500,4,FALSE),"")</f>
        <v>0</v>
      </c>
      <c r="E535" s="34" t="str">
        <f>IFERROR(VLOOKUP(B535,'SAÍDA DE VENDAS'!$B$6:$P$500,5,FALSE),"")</f>
        <v/>
      </c>
      <c r="F535" s="34" t="str">
        <f>IF(OR(ISBLANK(B535),B535=""), "", IFERROR(INDEX('SAÍDA DE VENDAS'!$H$6:$H$500 &amp; "x " &amp; 'SAÍDA DE VENDAS'!$G$6:$G$500, MATCH(B535, 'SAÍDA DE VENDAS'!$B$6:$B$500, 0)), "")&amp; IF(COUNTIF('SAÍDA DE VENDAS'!$B$6:$B$500, B535)&gt;1, " + " &amp; IFERROR(INDEX('SAÍDA DE VENDAS'!$H$6:$H$500 &amp; "x " &amp; 'SAÍDA DE VENDAS'!$G$6:$G$500, MATCH(B535, 'SAÍDA DE VENDAS'!$B$6:$B$500, 0)+1), ""), "")&amp; IF(COUNTIF('SAÍDA DE VENDAS'!$B$6:$B$500, B535)&gt;2, " + " &amp; IFERROR(INDEX('SAÍDA DE VENDAS'!$H$6:$H$500 &amp; "x " &amp; 'SAÍDA DE VENDAS'!$G$6:$G$500, MATCH(B535, 'SAÍDA DE VENDAS'!$B$6:$B$500, 0)+2), ""), "")&amp; IF(COUNTIF('SAÍDA DE VENDAS'!$B$6:$B$500, B535)&gt;3, " + " &amp; IFERROR(INDEX('SAÍDA DE VENDAS'!$H$6:$H$500 &amp; "x " &amp; 'SAÍDA DE VENDAS'!$G$6:$G$500, MATCH(B535, 'SAÍDA DE VENDAS'!$B$6:$B$500, 0)+3), ""), "")&amp; IF(COUNTIF('SAÍDA DE VENDAS'!$B$6:$B$500, B535)&gt;4, " + " &amp; IFERROR(INDEX('SAÍDA DE VENDAS'!$H$6:$H$500 &amp; "x " &amp; 'SAÍDA DE VENDAS'!$G$6:$G$500, MATCH(B535, 'SAÍDA DE VENDAS'!$B$6:$B$500, 0)+4), ""), "")&amp; IF(COUNTIF('SAÍDA DE VENDAS'!$B$6:$B$500, B535)&gt;5, " + " &amp; IFERROR(INDEX('SAÍDA DE VENDAS'!$H$6:$H$500 &amp; "x " &amp; 'SAÍDA DE VENDAS'!$G$6:$G$500, MATCH(B535, 'SAÍDA DE VENDAS'!$B$6:$B$500, 0)+5), ""), ""))</f>
        <v/>
      </c>
      <c r="G535" s="34">
        <f>IFERROR(VLOOKUP(B535,'SAÍDA DE VENDAS'!$B$6:$P$500,10,FALSE),"")</f>
        <v>0</v>
      </c>
      <c r="H535" s="34" t="str">
        <f>IF(OR(ISBLANK(B535),B535=""), "", IF(B535=B534, (VALUE(LEFT(H534,FIND("/",H534)-1))+1)&amp;"/"&amp;RIGHT(H534,LEN(H534)-FIND("/",H534)), "1/"&amp;IFERROR(VLOOKUP(B535,'SAÍDA DE VENDAS'!$B$6:$P$500,13,FALSE),"1")))</f>
        <v/>
      </c>
      <c r="I535" s="35" t="str">
        <f t="shared" si="16"/>
        <v/>
      </c>
      <c r="J535" s="39" t="str">
        <f>IFERROR(VLOOKUP(B535,'SAÍDA DE VENDAS'!$B$6:$P$500,15,FALSE),"")</f>
        <v/>
      </c>
      <c r="K535" s="34" t="str">
        <f t="shared" ca="1" si="17"/>
        <v/>
      </c>
      <c r="L535" s="34"/>
      <c r="M535" s="34"/>
    </row>
    <row r="536" spans="2:13" ht="15" customHeight="1" x14ac:dyDescent="0.3">
      <c r="B536" s="28" t="str">
        <f>IF(B535="","", IF(VALUE(LEFT(H535,FIND("/",H535)-1)) &lt; VALUE(RIGHT(H535,LEN(H535)-FIND("/",H535))), B535, IFERROR(INDEX('SAÍDA DE VENDAS'!$B$6:$B$500, MATCH(B535,'SAÍDA DE VENDAS'!$B$6:$B$500,0)+COUNTIF('SAÍDA DE VENDAS'!$B$6:$B$500, B535)),"")))</f>
        <v/>
      </c>
      <c r="C536" s="29">
        <f>IFERROR(VLOOKUP(B536,'SAÍDA DE VENDAS'!$B$6:$P$500,3,FALSE),"")</f>
        <v>0</v>
      </c>
      <c r="D536" s="28">
        <f>IFERROR(VLOOKUP(B536,'SAÍDA DE VENDAS'!$B$6:$P$500,4,FALSE),"")</f>
        <v>0</v>
      </c>
      <c r="E536" s="28" t="str">
        <f>IFERROR(VLOOKUP(B536,'SAÍDA DE VENDAS'!$B$6:$P$500,5,FALSE),"")</f>
        <v/>
      </c>
      <c r="F536" s="28" t="str">
        <f>IF(OR(ISBLANK(B536),B536=""), "", IFERROR(INDEX('SAÍDA DE VENDAS'!$H$6:$H$500 &amp; "x " &amp; 'SAÍDA DE VENDAS'!$G$6:$G$500, MATCH(B536, 'SAÍDA DE VENDAS'!$B$6:$B$500, 0)), "")&amp; IF(COUNTIF('SAÍDA DE VENDAS'!$B$6:$B$500, B536)&gt;1, " + " &amp; IFERROR(INDEX('SAÍDA DE VENDAS'!$H$6:$H$500 &amp; "x " &amp; 'SAÍDA DE VENDAS'!$G$6:$G$500, MATCH(B536, 'SAÍDA DE VENDAS'!$B$6:$B$500, 0)+1), ""), "")&amp; IF(COUNTIF('SAÍDA DE VENDAS'!$B$6:$B$500, B536)&gt;2, " + " &amp; IFERROR(INDEX('SAÍDA DE VENDAS'!$H$6:$H$500 &amp; "x " &amp; 'SAÍDA DE VENDAS'!$G$6:$G$500, MATCH(B536, 'SAÍDA DE VENDAS'!$B$6:$B$500, 0)+2), ""), "")&amp; IF(COUNTIF('SAÍDA DE VENDAS'!$B$6:$B$500, B536)&gt;3, " + " &amp; IFERROR(INDEX('SAÍDA DE VENDAS'!$H$6:$H$500 &amp; "x " &amp; 'SAÍDA DE VENDAS'!$G$6:$G$500, MATCH(B536, 'SAÍDA DE VENDAS'!$B$6:$B$500, 0)+3), ""), "")&amp; IF(COUNTIF('SAÍDA DE VENDAS'!$B$6:$B$500, B536)&gt;4, " + " &amp; IFERROR(INDEX('SAÍDA DE VENDAS'!$H$6:$H$500 &amp; "x " &amp; 'SAÍDA DE VENDAS'!$G$6:$G$500, MATCH(B536, 'SAÍDA DE VENDAS'!$B$6:$B$500, 0)+4), ""), "")&amp; IF(COUNTIF('SAÍDA DE VENDAS'!$B$6:$B$500, B536)&gt;5, " + " &amp; IFERROR(INDEX('SAÍDA DE VENDAS'!$H$6:$H$500 &amp; "x " &amp; 'SAÍDA DE VENDAS'!$G$6:$G$500, MATCH(B536, 'SAÍDA DE VENDAS'!$B$6:$B$500, 0)+5), ""), ""))</f>
        <v/>
      </c>
      <c r="G536" s="28">
        <f>IFERROR(VLOOKUP(B536,'SAÍDA DE VENDAS'!$B$6:$P$500,10,FALSE),"")</f>
        <v>0</v>
      </c>
      <c r="H536" s="28" t="str">
        <f>IF(OR(ISBLANK(B536),B536=""), "", IF(B536=B535, (VALUE(LEFT(H535,FIND("/",H535)-1))+1)&amp;"/"&amp;RIGHT(H535,LEN(H535)-FIND("/",H535)), "1/"&amp;IFERROR(VLOOKUP(B536,'SAÍDA DE VENDAS'!$B$6:$P$500,13,FALSE),"1")))</f>
        <v/>
      </c>
      <c r="I536" s="69" t="str">
        <f t="shared" si="16"/>
        <v/>
      </c>
      <c r="J536" s="33" t="str">
        <f>IFERROR(VLOOKUP(B536,'SAÍDA DE VENDAS'!$B$6:$P$500,15,FALSE),"")</f>
        <v/>
      </c>
      <c r="K536" s="28" t="str">
        <f t="shared" ca="1" si="17"/>
        <v/>
      </c>
      <c r="L536" s="28"/>
      <c r="M536" s="28"/>
    </row>
    <row r="537" spans="2:13" ht="15" customHeight="1" x14ac:dyDescent="0.3">
      <c r="B537" s="34" t="str">
        <f>IF(B536="","", IF(VALUE(LEFT(H536,FIND("/",H536)-1)) &lt; VALUE(RIGHT(H536,LEN(H536)-FIND("/",H536))), B536, IFERROR(INDEX('SAÍDA DE VENDAS'!$B$6:$B$500, MATCH(B536,'SAÍDA DE VENDAS'!$B$6:$B$500,0)+COUNTIF('SAÍDA DE VENDAS'!$B$6:$B$500, B536)),"")))</f>
        <v/>
      </c>
      <c r="C537" s="35">
        <f>IFERROR(VLOOKUP(B537,'SAÍDA DE VENDAS'!$B$6:$P$500,3,FALSE),"")</f>
        <v>0</v>
      </c>
      <c r="D537" s="34">
        <f>IFERROR(VLOOKUP(B537,'SAÍDA DE VENDAS'!$B$6:$P$500,4,FALSE),"")</f>
        <v>0</v>
      </c>
      <c r="E537" s="34" t="str">
        <f>IFERROR(VLOOKUP(B537,'SAÍDA DE VENDAS'!$B$6:$P$500,5,FALSE),"")</f>
        <v/>
      </c>
      <c r="F537" s="34" t="str">
        <f>IF(OR(ISBLANK(B537),B537=""), "", IFERROR(INDEX('SAÍDA DE VENDAS'!$H$6:$H$500 &amp; "x " &amp; 'SAÍDA DE VENDAS'!$G$6:$G$500, MATCH(B537, 'SAÍDA DE VENDAS'!$B$6:$B$500, 0)), "")&amp; IF(COUNTIF('SAÍDA DE VENDAS'!$B$6:$B$500, B537)&gt;1, " + " &amp; IFERROR(INDEX('SAÍDA DE VENDAS'!$H$6:$H$500 &amp; "x " &amp; 'SAÍDA DE VENDAS'!$G$6:$G$500, MATCH(B537, 'SAÍDA DE VENDAS'!$B$6:$B$500, 0)+1), ""), "")&amp; IF(COUNTIF('SAÍDA DE VENDAS'!$B$6:$B$500, B537)&gt;2, " + " &amp; IFERROR(INDEX('SAÍDA DE VENDAS'!$H$6:$H$500 &amp; "x " &amp; 'SAÍDA DE VENDAS'!$G$6:$G$500, MATCH(B537, 'SAÍDA DE VENDAS'!$B$6:$B$500, 0)+2), ""), "")&amp; IF(COUNTIF('SAÍDA DE VENDAS'!$B$6:$B$500, B537)&gt;3, " + " &amp; IFERROR(INDEX('SAÍDA DE VENDAS'!$H$6:$H$500 &amp; "x " &amp; 'SAÍDA DE VENDAS'!$G$6:$G$500, MATCH(B537, 'SAÍDA DE VENDAS'!$B$6:$B$500, 0)+3), ""), "")&amp; IF(COUNTIF('SAÍDA DE VENDAS'!$B$6:$B$500, B537)&gt;4, " + " &amp; IFERROR(INDEX('SAÍDA DE VENDAS'!$H$6:$H$500 &amp; "x " &amp; 'SAÍDA DE VENDAS'!$G$6:$G$500, MATCH(B537, 'SAÍDA DE VENDAS'!$B$6:$B$500, 0)+4), ""), "")&amp; IF(COUNTIF('SAÍDA DE VENDAS'!$B$6:$B$500, B537)&gt;5, " + " &amp; IFERROR(INDEX('SAÍDA DE VENDAS'!$H$6:$H$500 &amp; "x " &amp; 'SAÍDA DE VENDAS'!$G$6:$G$500, MATCH(B537, 'SAÍDA DE VENDAS'!$B$6:$B$500, 0)+5), ""), ""))</f>
        <v/>
      </c>
      <c r="G537" s="34">
        <f>IFERROR(VLOOKUP(B537,'SAÍDA DE VENDAS'!$B$6:$P$500,10,FALSE),"")</f>
        <v>0</v>
      </c>
      <c r="H537" s="34" t="str">
        <f>IF(OR(ISBLANK(B537),B537=""), "", IF(B537=B536, (VALUE(LEFT(H536,FIND("/",H536)-1))+1)&amp;"/"&amp;RIGHT(H536,LEN(H536)-FIND("/",H536)), "1/"&amp;IFERROR(VLOOKUP(B537,'SAÍDA DE VENDAS'!$B$6:$P$500,13,FALSE),"1")))</f>
        <v/>
      </c>
      <c r="I537" s="35" t="str">
        <f t="shared" si="16"/>
        <v/>
      </c>
      <c r="J537" s="39" t="str">
        <f>IFERROR(VLOOKUP(B537,'SAÍDA DE VENDAS'!$B$6:$P$500,15,FALSE),"")</f>
        <v/>
      </c>
      <c r="K537" s="34" t="str">
        <f t="shared" ca="1" si="17"/>
        <v/>
      </c>
      <c r="L537" s="34"/>
      <c r="M537" s="34"/>
    </row>
    <row r="538" spans="2:13" ht="15" customHeight="1" x14ac:dyDescent="0.3">
      <c r="B538" s="28" t="str">
        <f>IF(B537="","", IF(VALUE(LEFT(H537,FIND("/",H537)-1)) &lt; VALUE(RIGHT(H537,LEN(H537)-FIND("/",H537))), B537, IFERROR(INDEX('SAÍDA DE VENDAS'!$B$6:$B$500, MATCH(B537,'SAÍDA DE VENDAS'!$B$6:$B$500,0)+COUNTIF('SAÍDA DE VENDAS'!$B$6:$B$500, B537)),"")))</f>
        <v/>
      </c>
      <c r="C538" s="29">
        <f>IFERROR(VLOOKUP(B538,'SAÍDA DE VENDAS'!$B$6:$P$500,3,FALSE),"")</f>
        <v>0</v>
      </c>
      <c r="D538" s="28">
        <f>IFERROR(VLOOKUP(B538,'SAÍDA DE VENDAS'!$B$6:$P$500,4,FALSE),"")</f>
        <v>0</v>
      </c>
      <c r="E538" s="28" t="str">
        <f>IFERROR(VLOOKUP(B538,'SAÍDA DE VENDAS'!$B$6:$P$500,5,FALSE),"")</f>
        <v/>
      </c>
      <c r="F538" s="28" t="str">
        <f>IF(OR(ISBLANK(B538),B538=""), "", IFERROR(INDEX('SAÍDA DE VENDAS'!$H$6:$H$500 &amp; "x " &amp; 'SAÍDA DE VENDAS'!$G$6:$G$500, MATCH(B538, 'SAÍDA DE VENDAS'!$B$6:$B$500, 0)), "")&amp; IF(COUNTIF('SAÍDA DE VENDAS'!$B$6:$B$500, B538)&gt;1, " + " &amp; IFERROR(INDEX('SAÍDA DE VENDAS'!$H$6:$H$500 &amp; "x " &amp; 'SAÍDA DE VENDAS'!$G$6:$G$500, MATCH(B538, 'SAÍDA DE VENDAS'!$B$6:$B$500, 0)+1), ""), "")&amp; IF(COUNTIF('SAÍDA DE VENDAS'!$B$6:$B$500, B538)&gt;2, " + " &amp; IFERROR(INDEX('SAÍDA DE VENDAS'!$H$6:$H$500 &amp; "x " &amp; 'SAÍDA DE VENDAS'!$G$6:$G$500, MATCH(B538, 'SAÍDA DE VENDAS'!$B$6:$B$500, 0)+2), ""), "")&amp; IF(COUNTIF('SAÍDA DE VENDAS'!$B$6:$B$500, B538)&gt;3, " + " &amp; IFERROR(INDEX('SAÍDA DE VENDAS'!$H$6:$H$500 &amp; "x " &amp; 'SAÍDA DE VENDAS'!$G$6:$G$500, MATCH(B538, 'SAÍDA DE VENDAS'!$B$6:$B$500, 0)+3), ""), "")&amp; IF(COUNTIF('SAÍDA DE VENDAS'!$B$6:$B$500, B538)&gt;4, " + " &amp; IFERROR(INDEX('SAÍDA DE VENDAS'!$H$6:$H$500 &amp; "x " &amp; 'SAÍDA DE VENDAS'!$G$6:$G$500, MATCH(B538, 'SAÍDA DE VENDAS'!$B$6:$B$500, 0)+4), ""), "")&amp; IF(COUNTIF('SAÍDA DE VENDAS'!$B$6:$B$500, B538)&gt;5, " + " &amp; IFERROR(INDEX('SAÍDA DE VENDAS'!$H$6:$H$500 &amp; "x " &amp; 'SAÍDA DE VENDAS'!$G$6:$G$500, MATCH(B538, 'SAÍDA DE VENDAS'!$B$6:$B$500, 0)+5), ""), ""))</f>
        <v/>
      </c>
      <c r="G538" s="28">
        <f>IFERROR(VLOOKUP(B538,'SAÍDA DE VENDAS'!$B$6:$P$500,10,FALSE),"")</f>
        <v>0</v>
      </c>
      <c r="H538" s="28" t="str">
        <f>IF(OR(ISBLANK(B538),B538=""), "", IF(B538=B537, (VALUE(LEFT(H537,FIND("/",H537)-1))+1)&amp;"/"&amp;RIGHT(H537,LEN(H537)-FIND("/",H537)), "1/"&amp;IFERROR(VLOOKUP(B538,'SAÍDA DE VENDAS'!$B$6:$P$500,13,FALSE),"1")))</f>
        <v/>
      </c>
      <c r="I538" s="69" t="str">
        <f t="shared" si="16"/>
        <v/>
      </c>
      <c r="J538" s="33" t="str">
        <f>IFERROR(VLOOKUP(B538,'SAÍDA DE VENDAS'!$B$6:$P$500,15,FALSE),"")</f>
        <v/>
      </c>
      <c r="K538" s="28" t="str">
        <f t="shared" ca="1" si="17"/>
        <v/>
      </c>
      <c r="L538" s="28"/>
      <c r="M538" s="28"/>
    </row>
    <row r="539" spans="2:13" ht="15" customHeight="1" x14ac:dyDescent="0.3">
      <c r="B539" s="34" t="str">
        <f>IF(B538="","", IF(VALUE(LEFT(H538,FIND("/",H538)-1)) &lt; VALUE(RIGHT(H538,LEN(H538)-FIND("/",H538))), B538, IFERROR(INDEX('SAÍDA DE VENDAS'!$B$6:$B$500, MATCH(B538,'SAÍDA DE VENDAS'!$B$6:$B$500,0)+COUNTIF('SAÍDA DE VENDAS'!$B$6:$B$500, B538)),"")))</f>
        <v/>
      </c>
      <c r="C539" s="35">
        <f>IFERROR(VLOOKUP(B539,'SAÍDA DE VENDAS'!$B$6:$P$500,3,FALSE),"")</f>
        <v>0</v>
      </c>
      <c r="D539" s="34">
        <f>IFERROR(VLOOKUP(B539,'SAÍDA DE VENDAS'!$B$6:$P$500,4,FALSE),"")</f>
        <v>0</v>
      </c>
      <c r="E539" s="34" t="str">
        <f>IFERROR(VLOOKUP(B539,'SAÍDA DE VENDAS'!$B$6:$P$500,5,FALSE),"")</f>
        <v/>
      </c>
      <c r="F539" s="34" t="str">
        <f>IF(OR(ISBLANK(B539),B539=""), "", IFERROR(INDEX('SAÍDA DE VENDAS'!$H$6:$H$500 &amp; "x " &amp; 'SAÍDA DE VENDAS'!$G$6:$G$500, MATCH(B539, 'SAÍDA DE VENDAS'!$B$6:$B$500, 0)), "")&amp; IF(COUNTIF('SAÍDA DE VENDAS'!$B$6:$B$500, B539)&gt;1, " + " &amp; IFERROR(INDEX('SAÍDA DE VENDAS'!$H$6:$H$500 &amp; "x " &amp; 'SAÍDA DE VENDAS'!$G$6:$G$500, MATCH(B539, 'SAÍDA DE VENDAS'!$B$6:$B$500, 0)+1), ""), "")&amp; IF(COUNTIF('SAÍDA DE VENDAS'!$B$6:$B$500, B539)&gt;2, " + " &amp; IFERROR(INDEX('SAÍDA DE VENDAS'!$H$6:$H$500 &amp; "x " &amp; 'SAÍDA DE VENDAS'!$G$6:$G$500, MATCH(B539, 'SAÍDA DE VENDAS'!$B$6:$B$500, 0)+2), ""), "")&amp; IF(COUNTIF('SAÍDA DE VENDAS'!$B$6:$B$500, B539)&gt;3, " + " &amp; IFERROR(INDEX('SAÍDA DE VENDAS'!$H$6:$H$500 &amp; "x " &amp; 'SAÍDA DE VENDAS'!$G$6:$G$500, MATCH(B539, 'SAÍDA DE VENDAS'!$B$6:$B$500, 0)+3), ""), "")&amp; IF(COUNTIF('SAÍDA DE VENDAS'!$B$6:$B$500, B539)&gt;4, " + " &amp; IFERROR(INDEX('SAÍDA DE VENDAS'!$H$6:$H$500 &amp; "x " &amp; 'SAÍDA DE VENDAS'!$G$6:$G$500, MATCH(B539, 'SAÍDA DE VENDAS'!$B$6:$B$500, 0)+4), ""), "")&amp; IF(COUNTIF('SAÍDA DE VENDAS'!$B$6:$B$500, B539)&gt;5, " + " &amp; IFERROR(INDEX('SAÍDA DE VENDAS'!$H$6:$H$500 &amp; "x " &amp; 'SAÍDA DE VENDAS'!$G$6:$G$500, MATCH(B539, 'SAÍDA DE VENDAS'!$B$6:$B$500, 0)+5), ""), ""))</f>
        <v/>
      </c>
      <c r="G539" s="34">
        <f>IFERROR(VLOOKUP(B539,'SAÍDA DE VENDAS'!$B$6:$P$500,10,FALSE),"")</f>
        <v>0</v>
      </c>
      <c r="H539" s="34" t="str">
        <f>IF(OR(ISBLANK(B539),B539=""), "", IF(B539=B538, (VALUE(LEFT(H538,FIND("/",H538)-1))+1)&amp;"/"&amp;RIGHT(H538,LEN(H538)-FIND("/",H538)), "1/"&amp;IFERROR(VLOOKUP(B539,'SAÍDA DE VENDAS'!$B$6:$P$500,13,FALSE),"1")))</f>
        <v/>
      </c>
      <c r="I539" s="35" t="str">
        <f t="shared" si="16"/>
        <v/>
      </c>
      <c r="J539" s="39" t="str">
        <f>IFERROR(VLOOKUP(B539,'SAÍDA DE VENDAS'!$B$6:$P$500,15,FALSE),"")</f>
        <v/>
      </c>
      <c r="K539" s="34" t="str">
        <f t="shared" ca="1" si="17"/>
        <v/>
      </c>
      <c r="L539" s="34"/>
      <c r="M539" s="34"/>
    </row>
    <row r="540" spans="2:13" ht="15" customHeight="1" x14ac:dyDescent="0.3">
      <c r="B540" s="28" t="str">
        <f>IF(B539="","", IF(VALUE(LEFT(H539,FIND("/",H539)-1)) &lt; VALUE(RIGHT(H539,LEN(H539)-FIND("/",H539))), B539, IFERROR(INDEX('SAÍDA DE VENDAS'!$B$6:$B$500, MATCH(B539,'SAÍDA DE VENDAS'!$B$6:$B$500,0)+COUNTIF('SAÍDA DE VENDAS'!$B$6:$B$500, B539)),"")))</f>
        <v/>
      </c>
      <c r="C540" s="29">
        <f>IFERROR(VLOOKUP(B540,'SAÍDA DE VENDAS'!$B$6:$P$500,3,FALSE),"")</f>
        <v>0</v>
      </c>
      <c r="D540" s="28">
        <f>IFERROR(VLOOKUP(B540,'SAÍDA DE VENDAS'!$B$6:$P$500,4,FALSE),"")</f>
        <v>0</v>
      </c>
      <c r="E540" s="28" t="str">
        <f>IFERROR(VLOOKUP(B540,'SAÍDA DE VENDAS'!$B$6:$P$500,5,FALSE),"")</f>
        <v/>
      </c>
      <c r="F540" s="28" t="str">
        <f>IF(OR(ISBLANK(B540),B540=""), "", IFERROR(INDEX('SAÍDA DE VENDAS'!$H$6:$H$500 &amp; "x " &amp; 'SAÍDA DE VENDAS'!$G$6:$G$500, MATCH(B540, 'SAÍDA DE VENDAS'!$B$6:$B$500, 0)), "")&amp; IF(COUNTIF('SAÍDA DE VENDAS'!$B$6:$B$500, B540)&gt;1, " + " &amp; IFERROR(INDEX('SAÍDA DE VENDAS'!$H$6:$H$500 &amp; "x " &amp; 'SAÍDA DE VENDAS'!$G$6:$G$500, MATCH(B540, 'SAÍDA DE VENDAS'!$B$6:$B$500, 0)+1), ""), "")&amp; IF(COUNTIF('SAÍDA DE VENDAS'!$B$6:$B$500, B540)&gt;2, " + " &amp; IFERROR(INDEX('SAÍDA DE VENDAS'!$H$6:$H$500 &amp; "x " &amp; 'SAÍDA DE VENDAS'!$G$6:$G$500, MATCH(B540, 'SAÍDA DE VENDAS'!$B$6:$B$500, 0)+2), ""), "")&amp; IF(COUNTIF('SAÍDA DE VENDAS'!$B$6:$B$500, B540)&gt;3, " + " &amp; IFERROR(INDEX('SAÍDA DE VENDAS'!$H$6:$H$500 &amp; "x " &amp; 'SAÍDA DE VENDAS'!$G$6:$G$500, MATCH(B540, 'SAÍDA DE VENDAS'!$B$6:$B$500, 0)+3), ""), "")&amp; IF(COUNTIF('SAÍDA DE VENDAS'!$B$6:$B$500, B540)&gt;4, " + " &amp; IFERROR(INDEX('SAÍDA DE VENDAS'!$H$6:$H$500 &amp; "x " &amp; 'SAÍDA DE VENDAS'!$G$6:$G$500, MATCH(B540, 'SAÍDA DE VENDAS'!$B$6:$B$500, 0)+4), ""), "")&amp; IF(COUNTIF('SAÍDA DE VENDAS'!$B$6:$B$500, B540)&gt;5, " + " &amp; IFERROR(INDEX('SAÍDA DE VENDAS'!$H$6:$H$500 &amp; "x " &amp; 'SAÍDA DE VENDAS'!$G$6:$G$500, MATCH(B540, 'SAÍDA DE VENDAS'!$B$6:$B$500, 0)+5), ""), ""))</f>
        <v/>
      </c>
      <c r="G540" s="28">
        <f>IFERROR(VLOOKUP(B540,'SAÍDA DE VENDAS'!$B$6:$P$500,10,FALSE),"")</f>
        <v>0</v>
      </c>
      <c r="H540" s="28" t="str">
        <f>IF(OR(ISBLANK(B540),B540=""), "", IF(B540=B539, (VALUE(LEFT(H539,FIND("/",H539)-1))+1)&amp;"/"&amp;RIGHT(H539,LEN(H539)-FIND("/",H539)), "1/"&amp;IFERROR(VLOOKUP(B540,'SAÍDA DE VENDAS'!$B$6:$P$500,13,FALSE),"1")))</f>
        <v/>
      </c>
      <c r="I540" s="69" t="str">
        <f t="shared" si="16"/>
        <v/>
      </c>
      <c r="J540" s="33" t="str">
        <f>IFERROR(VLOOKUP(B540,'SAÍDA DE VENDAS'!$B$6:$P$500,15,FALSE),"")</f>
        <v/>
      </c>
      <c r="K540" s="28" t="str">
        <f t="shared" ca="1" si="17"/>
        <v/>
      </c>
      <c r="L540" s="28"/>
      <c r="M540" s="28"/>
    </row>
    <row r="541" spans="2:13" ht="15" customHeight="1" x14ac:dyDescent="0.3">
      <c r="B541" s="34" t="str">
        <f>IF(B540="","", IF(VALUE(LEFT(H540,FIND("/",H540)-1)) &lt; VALUE(RIGHT(H540,LEN(H540)-FIND("/",H540))), B540, IFERROR(INDEX('SAÍDA DE VENDAS'!$B$6:$B$500, MATCH(B540,'SAÍDA DE VENDAS'!$B$6:$B$500,0)+COUNTIF('SAÍDA DE VENDAS'!$B$6:$B$500, B540)),"")))</f>
        <v/>
      </c>
      <c r="C541" s="35">
        <f>IFERROR(VLOOKUP(B541,'SAÍDA DE VENDAS'!$B$6:$P$500,3,FALSE),"")</f>
        <v>0</v>
      </c>
      <c r="D541" s="34">
        <f>IFERROR(VLOOKUP(B541,'SAÍDA DE VENDAS'!$B$6:$P$500,4,FALSE),"")</f>
        <v>0</v>
      </c>
      <c r="E541" s="34" t="str">
        <f>IFERROR(VLOOKUP(B541,'SAÍDA DE VENDAS'!$B$6:$P$500,5,FALSE),"")</f>
        <v/>
      </c>
      <c r="F541" s="34" t="str">
        <f>IF(OR(ISBLANK(B541),B541=""), "", IFERROR(INDEX('SAÍDA DE VENDAS'!$H$6:$H$500 &amp; "x " &amp; 'SAÍDA DE VENDAS'!$G$6:$G$500, MATCH(B541, 'SAÍDA DE VENDAS'!$B$6:$B$500, 0)), "")&amp; IF(COUNTIF('SAÍDA DE VENDAS'!$B$6:$B$500, B541)&gt;1, " + " &amp; IFERROR(INDEX('SAÍDA DE VENDAS'!$H$6:$H$500 &amp; "x " &amp; 'SAÍDA DE VENDAS'!$G$6:$G$500, MATCH(B541, 'SAÍDA DE VENDAS'!$B$6:$B$500, 0)+1), ""), "")&amp; IF(COUNTIF('SAÍDA DE VENDAS'!$B$6:$B$500, B541)&gt;2, " + " &amp; IFERROR(INDEX('SAÍDA DE VENDAS'!$H$6:$H$500 &amp; "x " &amp; 'SAÍDA DE VENDAS'!$G$6:$G$500, MATCH(B541, 'SAÍDA DE VENDAS'!$B$6:$B$500, 0)+2), ""), "")&amp; IF(COUNTIF('SAÍDA DE VENDAS'!$B$6:$B$500, B541)&gt;3, " + " &amp; IFERROR(INDEX('SAÍDA DE VENDAS'!$H$6:$H$500 &amp; "x " &amp; 'SAÍDA DE VENDAS'!$G$6:$G$500, MATCH(B541, 'SAÍDA DE VENDAS'!$B$6:$B$500, 0)+3), ""), "")&amp; IF(COUNTIF('SAÍDA DE VENDAS'!$B$6:$B$500, B541)&gt;4, " + " &amp; IFERROR(INDEX('SAÍDA DE VENDAS'!$H$6:$H$500 &amp; "x " &amp; 'SAÍDA DE VENDAS'!$G$6:$G$500, MATCH(B541, 'SAÍDA DE VENDAS'!$B$6:$B$500, 0)+4), ""), "")&amp; IF(COUNTIF('SAÍDA DE VENDAS'!$B$6:$B$500, B541)&gt;5, " + " &amp; IFERROR(INDEX('SAÍDA DE VENDAS'!$H$6:$H$500 &amp; "x " &amp; 'SAÍDA DE VENDAS'!$G$6:$G$500, MATCH(B541, 'SAÍDA DE VENDAS'!$B$6:$B$500, 0)+5), ""), ""))</f>
        <v/>
      </c>
      <c r="G541" s="34">
        <f>IFERROR(VLOOKUP(B541,'SAÍDA DE VENDAS'!$B$6:$P$500,10,FALSE),"")</f>
        <v>0</v>
      </c>
      <c r="H541" s="34" t="str">
        <f>IF(OR(ISBLANK(B541),B541=""), "", IF(B541=B540, (VALUE(LEFT(H540,FIND("/",H540)-1))+1)&amp;"/"&amp;RIGHT(H540,LEN(H540)-FIND("/",H540)), "1/"&amp;IFERROR(VLOOKUP(B541,'SAÍDA DE VENDAS'!$B$6:$P$500,13,FALSE),"1")))</f>
        <v/>
      </c>
      <c r="I541" s="35" t="str">
        <f t="shared" si="16"/>
        <v/>
      </c>
      <c r="J541" s="39" t="str">
        <f>IFERROR(VLOOKUP(B541,'SAÍDA DE VENDAS'!$B$6:$P$500,15,FALSE),"")</f>
        <v/>
      </c>
      <c r="K541" s="34" t="str">
        <f t="shared" ca="1" si="17"/>
        <v/>
      </c>
      <c r="L541" s="34"/>
      <c r="M541" s="34"/>
    </row>
    <row r="542" spans="2:13" ht="15" customHeight="1" x14ac:dyDescent="0.3">
      <c r="B542" s="28" t="str">
        <f>IF(B541="","", IF(VALUE(LEFT(H541,FIND("/",H541)-1)) &lt; VALUE(RIGHT(H541,LEN(H541)-FIND("/",H541))), B541, IFERROR(INDEX('SAÍDA DE VENDAS'!$B$6:$B$500, MATCH(B541,'SAÍDA DE VENDAS'!$B$6:$B$500,0)+COUNTIF('SAÍDA DE VENDAS'!$B$6:$B$500, B541)),"")))</f>
        <v/>
      </c>
      <c r="C542" s="29">
        <f>IFERROR(VLOOKUP(B542,'SAÍDA DE VENDAS'!$B$6:$P$500,3,FALSE),"")</f>
        <v>0</v>
      </c>
      <c r="D542" s="28">
        <f>IFERROR(VLOOKUP(B542,'SAÍDA DE VENDAS'!$B$6:$P$500,4,FALSE),"")</f>
        <v>0</v>
      </c>
      <c r="E542" s="28" t="str">
        <f>IFERROR(VLOOKUP(B542,'SAÍDA DE VENDAS'!$B$6:$P$500,5,FALSE),"")</f>
        <v/>
      </c>
      <c r="F542" s="28" t="str">
        <f>IF(OR(ISBLANK(B542),B542=""), "", IFERROR(INDEX('SAÍDA DE VENDAS'!$H$6:$H$500 &amp; "x " &amp; 'SAÍDA DE VENDAS'!$G$6:$G$500, MATCH(B542, 'SAÍDA DE VENDAS'!$B$6:$B$500, 0)), "")&amp; IF(COUNTIF('SAÍDA DE VENDAS'!$B$6:$B$500, B542)&gt;1, " + " &amp; IFERROR(INDEX('SAÍDA DE VENDAS'!$H$6:$H$500 &amp; "x " &amp; 'SAÍDA DE VENDAS'!$G$6:$G$500, MATCH(B542, 'SAÍDA DE VENDAS'!$B$6:$B$500, 0)+1), ""), "")&amp; IF(COUNTIF('SAÍDA DE VENDAS'!$B$6:$B$500, B542)&gt;2, " + " &amp; IFERROR(INDEX('SAÍDA DE VENDAS'!$H$6:$H$500 &amp; "x " &amp; 'SAÍDA DE VENDAS'!$G$6:$G$500, MATCH(B542, 'SAÍDA DE VENDAS'!$B$6:$B$500, 0)+2), ""), "")&amp; IF(COUNTIF('SAÍDA DE VENDAS'!$B$6:$B$500, B542)&gt;3, " + " &amp; IFERROR(INDEX('SAÍDA DE VENDAS'!$H$6:$H$500 &amp; "x " &amp; 'SAÍDA DE VENDAS'!$G$6:$G$500, MATCH(B542, 'SAÍDA DE VENDAS'!$B$6:$B$500, 0)+3), ""), "")&amp; IF(COUNTIF('SAÍDA DE VENDAS'!$B$6:$B$500, B542)&gt;4, " + " &amp; IFERROR(INDEX('SAÍDA DE VENDAS'!$H$6:$H$500 &amp; "x " &amp; 'SAÍDA DE VENDAS'!$G$6:$G$500, MATCH(B542, 'SAÍDA DE VENDAS'!$B$6:$B$500, 0)+4), ""), "")&amp; IF(COUNTIF('SAÍDA DE VENDAS'!$B$6:$B$500, B542)&gt;5, " + " &amp; IFERROR(INDEX('SAÍDA DE VENDAS'!$H$6:$H$500 &amp; "x " &amp; 'SAÍDA DE VENDAS'!$G$6:$G$500, MATCH(B542, 'SAÍDA DE VENDAS'!$B$6:$B$500, 0)+5), ""), ""))</f>
        <v/>
      </c>
      <c r="G542" s="28">
        <f>IFERROR(VLOOKUP(B542,'SAÍDA DE VENDAS'!$B$6:$P$500,10,FALSE),"")</f>
        <v>0</v>
      </c>
      <c r="H542" s="28" t="str">
        <f>IF(OR(ISBLANK(B542),B542=""), "", IF(B542=B541, (VALUE(LEFT(H541,FIND("/",H541)-1))+1)&amp;"/"&amp;RIGHT(H541,LEN(H541)-FIND("/",H541)), "1/"&amp;IFERROR(VLOOKUP(B542,'SAÍDA DE VENDAS'!$B$6:$P$500,13,FALSE),"1")))</f>
        <v/>
      </c>
      <c r="I542" s="69" t="str">
        <f t="shared" si="16"/>
        <v/>
      </c>
      <c r="J542" s="33" t="str">
        <f>IFERROR(VLOOKUP(B542,'SAÍDA DE VENDAS'!$B$6:$P$500,15,FALSE),"")</f>
        <v/>
      </c>
      <c r="K542" s="28" t="str">
        <f t="shared" ca="1" si="17"/>
        <v/>
      </c>
      <c r="L542" s="28"/>
      <c r="M542" s="28"/>
    </row>
    <row r="543" spans="2:13" ht="15" customHeight="1" x14ac:dyDescent="0.3">
      <c r="B543" s="34" t="str">
        <f>IF(B542="","", IF(VALUE(LEFT(H542,FIND("/",H542)-1)) &lt; VALUE(RIGHT(H542,LEN(H542)-FIND("/",H542))), B542, IFERROR(INDEX('SAÍDA DE VENDAS'!$B$6:$B$500, MATCH(B542,'SAÍDA DE VENDAS'!$B$6:$B$500,0)+COUNTIF('SAÍDA DE VENDAS'!$B$6:$B$500, B542)),"")))</f>
        <v/>
      </c>
      <c r="C543" s="35">
        <f>IFERROR(VLOOKUP(B543,'SAÍDA DE VENDAS'!$B$6:$P$500,3,FALSE),"")</f>
        <v>0</v>
      </c>
      <c r="D543" s="34">
        <f>IFERROR(VLOOKUP(B543,'SAÍDA DE VENDAS'!$B$6:$P$500,4,FALSE),"")</f>
        <v>0</v>
      </c>
      <c r="E543" s="34" t="str">
        <f>IFERROR(VLOOKUP(B543,'SAÍDA DE VENDAS'!$B$6:$P$500,5,FALSE),"")</f>
        <v/>
      </c>
      <c r="F543" s="34" t="str">
        <f>IF(OR(ISBLANK(B543),B543=""), "", IFERROR(INDEX('SAÍDA DE VENDAS'!$H$6:$H$500 &amp; "x " &amp; 'SAÍDA DE VENDAS'!$G$6:$G$500, MATCH(B543, 'SAÍDA DE VENDAS'!$B$6:$B$500, 0)), "")&amp; IF(COUNTIF('SAÍDA DE VENDAS'!$B$6:$B$500, B543)&gt;1, " + " &amp; IFERROR(INDEX('SAÍDA DE VENDAS'!$H$6:$H$500 &amp; "x " &amp; 'SAÍDA DE VENDAS'!$G$6:$G$500, MATCH(B543, 'SAÍDA DE VENDAS'!$B$6:$B$500, 0)+1), ""), "")&amp; IF(COUNTIF('SAÍDA DE VENDAS'!$B$6:$B$500, B543)&gt;2, " + " &amp; IFERROR(INDEX('SAÍDA DE VENDAS'!$H$6:$H$500 &amp; "x " &amp; 'SAÍDA DE VENDAS'!$G$6:$G$500, MATCH(B543, 'SAÍDA DE VENDAS'!$B$6:$B$500, 0)+2), ""), "")&amp; IF(COUNTIF('SAÍDA DE VENDAS'!$B$6:$B$500, B543)&gt;3, " + " &amp; IFERROR(INDEX('SAÍDA DE VENDAS'!$H$6:$H$500 &amp; "x " &amp; 'SAÍDA DE VENDAS'!$G$6:$G$500, MATCH(B543, 'SAÍDA DE VENDAS'!$B$6:$B$500, 0)+3), ""), "")&amp; IF(COUNTIF('SAÍDA DE VENDAS'!$B$6:$B$500, B543)&gt;4, " + " &amp; IFERROR(INDEX('SAÍDA DE VENDAS'!$H$6:$H$500 &amp; "x " &amp; 'SAÍDA DE VENDAS'!$G$6:$G$500, MATCH(B543, 'SAÍDA DE VENDAS'!$B$6:$B$500, 0)+4), ""), "")&amp; IF(COUNTIF('SAÍDA DE VENDAS'!$B$6:$B$500, B543)&gt;5, " + " &amp; IFERROR(INDEX('SAÍDA DE VENDAS'!$H$6:$H$500 &amp; "x " &amp; 'SAÍDA DE VENDAS'!$G$6:$G$500, MATCH(B543, 'SAÍDA DE VENDAS'!$B$6:$B$500, 0)+5), ""), ""))</f>
        <v/>
      </c>
      <c r="G543" s="34">
        <f>IFERROR(VLOOKUP(B543,'SAÍDA DE VENDAS'!$B$6:$P$500,10,FALSE),"")</f>
        <v>0</v>
      </c>
      <c r="H543" s="34" t="str">
        <f>IF(OR(ISBLANK(B543),B543=""), "", IF(B543=B542, (VALUE(LEFT(H542,FIND("/",H542)-1))+1)&amp;"/"&amp;RIGHT(H542,LEN(H542)-FIND("/",H542)), "1/"&amp;IFERROR(VLOOKUP(B543,'SAÍDA DE VENDAS'!$B$6:$P$500,13,FALSE),"1")))</f>
        <v/>
      </c>
      <c r="I543" s="35" t="str">
        <f t="shared" si="16"/>
        <v/>
      </c>
      <c r="J543" s="39" t="str">
        <f>IFERROR(VLOOKUP(B543,'SAÍDA DE VENDAS'!$B$6:$P$500,15,FALSE),"")</f>
        <v/>
      </c>
      <c r="K543" s="34" t="str">
        <f t="shared" ca="1" si="17"/>
        <v/>
      </c>
      <c r="L543" s="34"/>
      <c r="M543" s="34"/>
    </row>
    <row r="544" spans="2:13" ht="15" customHeight="1" x14ac:dyDescent="0.3">
      <c r="B544" s="28" t="str">
        <f>IF(B543="","", IF(VALUE(LEFT(H543,FIND("/",H543)-1)) &lt; VALUE(RIGHT(H543,LEN(H543)-FIND("/",H543))), B543, IFERROR(INDEX('SAÍDA DE VENDAS'!$B$6:$B$500, MATCH(B543,'SAÍDA DE VENDAS'!$B$6:$B$500,0)+COUNTIF('SAÍDA DE VENDAS'!$B$6:$B$500, B543)),"")))</f>
        <v/>
      </c>
      <c r="C544" s="29">
        <f>IFERROR(VLOOKUP(B544,'SAÍDA DE VENDAS'!$B$6:$P$500,3,FALSE),"")</f>
        <v>0</v>
      </c>
      <c r="D544" s="28">
        <f>IFERROR(VLOOKUP(B544,'SAÍDA DE VENDAS'!$B$6:$P$500,4,FALSE),"")</f>
        <v>0</v>
      </c>
      <c r="E544" s="28" t="str">
        <f>IFERROR(VLOOKUP(B544,'SAÍDA DE VENDAS'!$B$6:$P$500,5,FALSE),"")</f>
        <v/>
      </c>
      <c r="F544" s="28" t="str">
        <f>IF(OR(ISBLANK(B544),B544=""), "", IFERROR(INDEX('SAÍDA DE VENDAS'!$H$6:$H$500 &amp; "x " &amp; 'SAÍDA DE VENDAS'!$G$6:$G$500, MATCH(B544, 'SAÍDA DE VENDAS'!$B$6:$B$500, 0)), "")&amp; IF(COUNTIF('SAÍDA DE VENDAS'!$B$6:$B$500, B544)&gt;1, " + " &amp; IFERROR(INDEX('SAÍDA DE VENDAS'!$H$6:$H$500 &amp; "x " &amp; 'SAÍDA DE VENDAS'!$G$6:$G$500, MATCH(B544, 'SAÍDA DE VENDAS'!$B$6:$B$500, 0)+1), ""), "")&amp; IF(COUNTIF('SAÍDA DE VENDAS'!$B$6:$B$500, B544)&gt;2, " + " &amp; IFERROR(INDEX('SAÍDA DE VENDAS'!$H$6:$H$500 &amp; "x " &amp; 'SAÍDA DE VENDAS'!$G$6:$G$500, MATCH(B544, 'SAÍDA DE VENDAS'!$B$6:$B$500, 0)+2), ""), "")&amp; IF(COUNTIF('SAÍDA DE VENDAS'!$B$6:$B$500, B544)&gt;3, " + " &amp; IFERROR(INDEX('SAÍDA DE VENDAS'!$H$6:$H$500 &amp; "x " &amp; 'SAÍDA DE VENDAS'!$G$6:$G$500, MATCH(B544, 'SAÍDA DE VENDAS'!$B$6:$B$500, 0)+3), ""), "")&amp; IF(COUNTIF('SAÍDA DE VENDAS'!$B$6:$B$500, B544)&gt;4, " + " &amp; IFERROR(INDEX('SAÍDA DE VENDAS'!$H$6:$H$500 &amp; "x " &amp; 'SAÍDA DE VENDAS'!$G$6:$G$500, MATCH(B544, 'SAÍDA DE VENDAS'!$B$6:$B$500, 0)+4), ""), "")&amp; IF(COUNTIF('SAÍDA DE VENDAS'!$B$6:$B$500, B544)&gt;5, " + " &amp; IFERROR(INDEX('SAÍDA DE VENDAS'!$H$6:$H$500 &amp; "x " &amp; 'SAÍDA DE VENDAS'!$G$6:$G$500, MATCH(B544, 'SAÍDA DE VENDAS'!$B$6:$B$500, 0)+5), ""), ""))</f>
        <v/>
      </c>
      <c r="G544" s="28">
        <f>IFERROR(VLOOKUP(B544,'SAÍDA DE VENDAS'!$B$6:$P$500,10,FALSE),"")</f>
        <v>0</v>
      </c>
      <c r="H544" s="28" t="str">
        <f>IF(OR(ISBLANK(B544),B544=""), "", IF(B544=B543, (VALUE(LEFT(H543,FIND("/",H543)-1))+1)&amp;"/"&amp;RIGHT(H543,LEN(H543)-FIND("/",H543)), "1/"&amp;IFERROR(VLOOKUP(B544,'SAÍDA DE VENDAS'!$B$6:$P$500,13,FALSE),"1")))</f>
        <v/>
      </c>
      <c r="I544" s="69" t="str">
        <f t="shared" si="16"/>
        <v/>
      </c>
      <c r="J544" s="33" t="str">
        <f>IFERROR(VLOOKUP(B544,'SAÍDA DE VENDAS'!$B$6:$P$500,15,FALSE),"")</f>
        <v/>
      </c>
      <c r="K544" s="28" t="str">
        <f t="shared" ca="1" si="17"/>
        <v/>
      </c>
      <c r="L544" s="28"/>
      <c r="M544" s="28"/>
    </row>
    <row r="545" spans="2:13" ht="15" customHeight="1" x14ac:dyDescent="0.3">
      <c r="B545" s="34" t="str">
        <f>IF(B544="","", IF(VALUE(LEFT(H544,FIND("/",H544)-1)) &lt; VALUE(RIGHT(H544,LEN(H544)-FIND("/",H544))), B544, IFERROR(INDEX('SAÍDA DE VENDAS'!$B$6:$B$500, MATCH(B544,'SAÍDA DE VENDAS'!$B$6:$B$500,0)+COUNTIF('SAÍDA DE VENDAS'!$B$6:$B$500, B544)),"")))</f>
        <v/>
      </c>
      <c r="C545" s="35">
        <f>IFERROR(VLOOKUP(B545,'SAÍDA DE VENDAS'!$B$6:$P$500,3,FALSE),"")</f>
        <v>0</v>
      </c>
      <c r="D545" s="34">
        <f>IFERROR(VLOOKUP(B545,'SAÍDA DE VENDAS'!$B$6:$P$500,4,FALSE),"")</f>
        <v>0</v>
      </c>
      <c r="E545" s="34" t="str">
        <f>IFERROR(VLOOKUP(B545,'SAÍDA DE VENDAS'!$B$6:$P$500,5,FALSE),"")</f>
        <v/>
      </c>
      <c r="F545" s="34" t="str">
        <f>IF(OR(ISBLANK(B545),B545=""), "", IFERROR(INDEX('SAÍDA DE VENDAS'!$H$6:$H$500 &amp; "x " &amp; 'SAÍDA DE VENDAS'!$G$6:$G$500, MATCH(B545, 'SAÍDA DE VENDAS'!$B$6:$B$500, 0)), "")&amp; IF(COUNTIF('SAÍDA DE VENDAS'!$B$6:$B$500, B545)&gt;1, " + " &amp; IFERROR(INDEX('SAÍDA DE VENDAS'!$H$6:$H$500 &amp; "x " &amp; 'SAÍDA DE VENDAS'!$G$6:$G$500, MATCH(B545, 'SAÍDA DE VENDAS'!$B$6:$B$500, 0)+1), ""), "")&amp; IF(COUNTIF('SAÍDA DE VENDAS'!$B$6:$B$500, B545)&gt;2, " + " &amp; IFERROR(INDEX('SAÍDA DE VENDAS'!$H$6:$H$500 &amp; "x " &amp; 'SAÍDA DE VENDAS'!$G$6:$G$500, MATCH(B545, 'SAÍDA DE VENDAS'!$B$6:$B$500, 0)+2), ""), "")&amp; IF(COUNTIF('SAÍDA DE VENDAS'!$B$6:$B$500, B545)&gt;3, " + " &amp; IFERROR(INDEX('SAÍDA DE VENDAS'!$H$6:$H$500 &amp; "x " &amp; 'SAÍDA DE VENDAS'!$G$6:$G$500, MATCH(B545, 'SAÍDA DE VENDAS'!$B$6:$B$500, 0)+3), ""), "")&amp; IF(COUNTIF('SAÍDA DE VENDAS'!$B$6:$B$500, B545)&gt;4, " + " &amp; IFERROR(INDEX('SAÍDA DE VENDAS'!$H$6:$H$500 &amp; "x " &amp; 'SAÍDA DE VENDAS'!$G$6:$G$500, MATCH(B545, 'SAÍDA DE VENDAS'!$B$6:$B$500, 0)+4), ""), "")&amp; IF(COUNTIF('SAÍDA DE VENDAS'!$B$6:$B$500, B545)&gt;5, " + " &amp; IFERROR(INDEX('SAÍDA DE VENDAS'!$H$6:$H$500 &amp; "x " &amp; 'SAÍDA DE VENDAS'!$G$6:$G$500, MATCH(B545, 'SAÍDA DE VENDAS'!$B$6:$B$500, 0)+5), ""), ""))</f>
        <v/>
      </c>
      <c r="G545" s="34">
        <f>IFERROR(VLOOKUP(B545,'SAÍDA DE VENDAS'!$B$6:$P$500,10,FALSE),"")</f>
        <v>0</v>
      </c>
      <c r="H545" s="34" t="str">
        <f>IF(OR(ISBLANK(B545),B545=""), "", IF(B545=B544, (VALUE(LEFT(H544,FIND("/",H544)-1))+1)&amp;"/"&amp;RIGHT(H544,LEN(H544)-FIND("/",H544)), "1/"&amp;IFERROR(VLOOKUP(B545,'SAÍDA DE VENDAS'!$B$6:$P$500,13,FALSE),"1")))</f>
        <v/>
      </c>
      <c r="I545" s="35" t="str">
        <f t="shared" si="16"/>
        <v/>
      </c>
      <c r="J545" s="39" t="str">
        <f>IFERROR(VLOOKUP(B545,'SAÍDA DE VENDAS'!$B$6:$P$500,15,FALSE),"")</f>
        <v/>
      </c>
      <c r="K545" s="34" t="str">
        <f t="shared" ca="1" si="17"/>
        <v/>
      </c>
      <c r="L545" s="34"/>
      <c r="M545" s="34"/>
    </row>
    <row r="546" spans="2:13" ht="15" customHeight="1" x14ac:dyDescent="0.3">
      <c r="B546" s="28" t="str">
        <f>IF(B545="","", IF(VALUE(LEFT(H545,FIND("/",H545)-1)) &lt; VALUE(RIGHT(H545,LEN(H545)-FIND("/",H545))), B545, IFERROR(INDEX('SAÍDA DE VENDAS'!$B$6:$B$500, MATCH(B545,'SAÍDA DE VENDAS'!$B$6:$B$500,0)+COUNTIF('SAÍDA DE VENDAS'!$B$6:$B$500, B545)),"")))</f>
        <v/>
      </c>
      <c r="C546" s="29">
        <f>IFERROR(VLOOKUP(B546,'SAÍDA DE VENDAS'!$B$6:$P$500,3,FALSE),"")</f>
        <v>0</v>
      </c>
      <c r="D546" s="28">
        <f>IFERROR(VLOOKUP(B546,'SAÍDA DE VENDAS'!$B$6:$P$500,4,FALSE),"")</f>
        <v>0</v>
      </c>
      <c r="E546" s="28" t="str">
        <f>IFERROR(VLOOKUP(B546,'SAÍDA DE VENDAS'!$B$6:$P$500,5,FALSE),"")</f>
        <v/>
      </c>
      <c r="F546" s="28" t="str">
        <f>IF(OR(ISBLANK(B546),B546=""), "", IFERROR(INDEX('SAÍDA DE VENDAS'!$H$6:$H$500 &amp; "x " &amp; 'SAÍDA DE VENDAS'!$G$6:$G$500, MATCH(B546, 'SAÍDA DE VENDAS'!$B$6:$B$500, 0)), "")&amp; IF(COUNTIF('SAÍDA DE VENDAS'!$B$6:$B$500, B546)&gt;1, " + " &amp; IFERROR(INDEX('SAÍDA DE VENDAS'!$H$6:$H$500 &amp; "x " &amp; 'SAÍDA DE VENDAS'!$G$6:$G$500, MATCH(B546, 'SAÍDA DE VENDAS'!$B$6:$B$500, 0)+1), ""), "")&amp; IF(COUNTIF('SAÍDA DE VENDAS'!$B$6:$B$500, B546)&gt;2, " + " &amp; IFERROR(INDEX('SAÍDA DE VENDAS'!$H$6:$H$500 &amp; "x " &amp; 'SAÍDA DE VENDAS'!$G$6:$G$500, MATCH(B546, 'SAÍDA DE VENDAS'!$B$6:$B$500, 0)+2), ""), "")&amp; IF(COUNTIF('SAÍDA DE VENDAS'!$B$6:$B$500, B546)&gt;3, " + " &amp; IFERROR(INDEX('SAÍDA DE VENDAS'!$H$6:$H$500 &amp; "x " &amp; 'SAÍDA DE VENDAS'!$G$6:$G$500, MATCH(B546, 'SAÍDA DE VENDAS'!$B$6:$B$500, 0)+3), ""), "")&amp; IF(COUNTIF('SAÍDA DE VENDAS'!$B$6:$B$500, B546)&gt;4, " + " &amp; IFERROR(INDEX('SAÍDA DE VENDAS'!$H$6:$H$500 &amp; "x " &amp; 'SAÍDA DE VENDAS'!$G$6:$G$500, MATCH(B546, 'SAÍDA DE VENDAS'!$B$6:$B$500, 0)+4), ""), "")&amp; IF(COUNTIF('SAÍDA DE VENDAS'!$B$6:$B$500, B546)&gt;5, " + " &amp; IFERROR(INDEX('SAÍDA DE VENDAS'!$H$6:$H$500 &amp; "x " &amp; 'SAÍDA DE VENDAS'!$G$6:$G$500, MATCH(B546, 'SAÍDA DE VENDAS'!$B$6:$B$500, 0)+5), ""), ""))</f>
        <v/>
      </c>
      <c r="G546" s="28">
        <f>IFERROR(VLOOKUP(B546,'SAÍDA DE VENDAS'!$B$6:$P$500,10,FALSE),"")</f>
        <v>0</v>
      </c>
      <c r="H546" s="28" t="str">
        <f>IF(OR(ISBLANK(B546),B546=""), "", IF(B546=B545, (VALUE(LEFT(H545,FIND("/",H545)-1))+1)&amp;"/"&amp;RIGHT(H545,LEN(H545)-FIND("/",H545)), "1/"&amp;IFERROR(VLOOKUP(B546,'SAÍDA DE VENDAS'!$B$6:$P$500,13,FALSE),"1")))</f>
        <v/>
      </c>
      <c r="I546" s="69" t="str">
        <f t="shared" si="16"/>
        <v/>
      </c>
      <c r="J546" s="33" t="str">
        <f>IFERROR(VLOOKUP(B546,'SAÍDA DE VENDAS'!$B$6:$P$500,15,FALSE),"")</f>
        <v/>
      </c>
      <c r="K546" s="28" t="str">
        <f t="shared" ca="1" si="17"/>
        <v/>
      </c>
      <c r="L546" s="28"/>
      <c r="M546" s="28"/>
    </row>
    <row r="547" spans="2:13" ht="15" customHeight="1" x14ac:dyDescent="0.3">
      <c r="B547" s="34" t="str">
        <f>IF(B546="","", IF(VALUE(LEFT(H546,FIND("/",H546)-1)) &lt; VALUE(RIGHT(H546,LEN(H546)-FIND("/",H546))), B546, IFERROR(INDEX('SAÍDA DE VENDAS'!$B$6:$B$500, MATCH(B546,'SAÍDA DE VENDAS'!$B$6:$B$500,0)+COUNTIF('SAÍDA DE VENDAS'!$B$6:$B$500, B546)),"")))</f>
        <v/>
      </c>
      <c r="C547" s="35">
        <f>IFERROR(VLOOKUP(B547,'SAÍDA DE VENDAS'!$B$6:$P$500,3,FALSE),"")</f>
        <v>0</v>
      </c>
      <c r="D547" s="34">
        <f>IFERROR(VLOOKUP(B547,'SAÍDA DE VENDAS'!$B$6:$P$500,4,FALSE),"")</f>
        <v>0</v>
      </c>
      <c r="E547" s="34" t="str">
        <f>IFERROR(VLOOKUP(B547,'SAÍDA DE VENDAS'!$B$6:$P$500,5,FALSE),"")</f>
        <v/>
      </c>
      <c r="F547" s="34" t="str">
        <f>IF(OR(ISBLANK(B547),B547=""), "", IFERROR(INDEX('SAÍDA DE VENDAS'!$H$6:$H$500 &amp; "x " &amp; 'SAÍDA DE VENDAS'!$G$6:$G$500, MATCH(B547, 'SAÍDA DE VENDAS'!$B$6:$B$500, 0)), "")&amp; IF(COUNTIF('SAÍDA DE VENDAS'!$B$6:$B$500, B547)&gt;1, " + " &amp; IFERROR(INDEX('SAÍDA DE VENDAS'!$H$6:$H$500 &amp; "x " &amp; 'SAÍDA DE VENDAS'!$G$6:$G$500, MATCH(B547, 'SAÍDA DE VENDAS'!$B$6:$B$500, 0)+1), ""), "")&amp; IF(COUNTIF('SAÍDA DE VENDAS'!$B$6:$B$500, B547)&gt;2, " + " &amp; IFERROR(INDEX('SAÍDA DE VENDAS'!$H$6:$H$500 &amp; "x " &amp; 'SAÍDA DE VENDAS'!$G$6:$G$500, MATCH(B547, 'SAÍDA DE VENDAS'!$B$6:$B$500, 0)+2), ""), "")&amp; IF(COUNTIF('SAÍDA DE VENDAS'!$B$6:$B$500, B547)&gt;3, " + " &amp; IFERROR(INDEX('SAÍDA DE VENDAS'!$H$6:$H$500 &amp; "x " &amp; 'SAÍDA DE VENDAS'!$G$6:$G$500, MATCH(B547, 'SAÍDA DE VENDAS'!$B$6:$B$500, 0)+3), ""), "")&amp; IF(COUNTIF('SAÍDA DE VENDAS'!$B$6:$B$500, B547)&gt;4, " + " &amp; IFERROR(INDEX('SAÍDA DE VENDAS'!$H$6:$H$500 &amp; "x " &amp; 'SAÍDA DE VENDAS'!$G$6:$G$500, MATCH(B547, 'SAÍDA DE VENDAS'!$B$6:$B$500, 0)+4), ""), "")&amp; IF(COUNTIF('SAÍDA DE VENDAS'!$B$6:$B$500, B547)&gt;5, " + " &amp; IFERROR(INDEX('SAÍDA DE VENDAS'!$H$6:$H$500 &amp; "x " &amp; 'SAÍDA DE VENDAS'!$G$6:$G$500, MATCH(B547, 'SAÍDA DE VENDAS'!$B$6:$B$500, 0)+5), ""), ""))</f>
        <v/>
      </c>
      <c r="G547" s="34">
        <f>IFERROR(VLOOKUP(B547,'SAÍDA DE VENDAS'!$B$6:$P$500,10,FALSE),"")</f>
        <v>0</v>
      </c>
      <c r="H547" s="34" t="str">
        <f>IF(OR(ISBLANK(B547),B547=""), "", IF(B547=B546, (VALUE(LEFT(H546,FIND("/",H546)-1))+1)&amp;"/"&amp;RIGHT(H546,LEN(H546)-FIND("/",H546)), "1/"&amp;IFERROR(VLOOKUP(B547,'SAÍDA DE VENDAS'!$B$6:$P$500,13,FALSE),"1")))</f>
        <v/>
      </c>
      <c r="I547" s="35" t="str">
        <f t="shared" si="16"/>
        <v/>
      </c>
      <c r="J547" s="39" t="str">
        <f>IFERROR(VLOOKUP(B547,'SAÍDA DE VENDAS'!$B$6:$P$500,15,FALSE),"")</f>
        <v/>
      </c>
      <c r="K547" s="34" t="str">
        <f t="shared" ca="1" si="17"/>
        <v/>
      </c>
      <c r="L547" s="34"/>
      <c r="M547" s="34"/>
    </row>
    <row r="548" spans="2:13" ht="15" customHeight="1" x14ac:dyDescent="0.3">
      <c r="B548" s="28" t="str">
        <f>IF(B547="","", IF(VALUE(LEFT(H547,FIND("/",H547)-1)) &lt; VALUE(RIGHT(H547,LEN(H547)-FIND("/",H547))), B547, IFERROR(INDEX('SAÍDA DE VENDAS'!$B$6:$B$500, MATCH(B547,'SAÍDA DE VENDAS'!$B$6:$B$500,0)+COUNTIF('SAÍDA DE VENDAS'!$B$6:$B$500, B547)),"")))</f>
        <v/>
      </c>
      <c r="C548" s="29">
        <f>IFERROR(VLOOKUP(B548,'SAÍDA DE VENDAS'!$B$6:$P$500,3,FALSE),"")</f>
        <v>0</v>
      </c>
      <c r="D548" s="28">
        <f>IFERROR(VLOOKUP(B548,'SAÍDA DE VENDAS'!$B$6:$P$500,4,FALSE),"")</f>
        <v>0</v>
      </c>
      <c r="E548" s="28" t="str">
        <f>IFERROR(VLOOKUP(B548,'SAÍDA DE VENDAS'!$B$6:$P$500,5,FALSE),"")</f>
        <v/>
      </c>
      <c r="F548" s="28" t="str">
        <f>IF(OR(ISBLANK(B548),B548=""), "", IFERROR(INDEX('SAÍDA DE VENDAS'!$H$6:$H$500 &amp; "x " &amp; 'SAÍDA DE VENDAS'!$G$6:$G$500, MATCH(B548, 'SAÍDA DE VENDAS'!$B$6:$B$500, 0)), "")&amp; IF(COUNTIF('SAÍDA DE VENDAS'!$B$6:$B$500, B548)&gt;1, " + " &amp; IFERROR(INDEX('SAÍDA DE VENDAS'!$H$6:$H$500 &amp; "x " &amp; 'SAÍDA DE VENDAS'!$G$6:$G$500, MATCH(B548, 'SAÍDA DE VENDAS'!$B$6:$B$500, 0)+1), ""), "")&amp; IF(COUNTIF('SAÍDA DE VENDAS'!$B$6:$B$500, B548)&gt;2, " + " &amp; IFERROR(INDEX('SAÍDA DE VENDAS'!$H$6:$H$500 &amp; "x " &amp; 'SAÍDA DE VENDAS'!$G$6:$G$500, MATCH(B548, 'SAÍDA DE VENDAS'!$B$6:$B$500, 0)+2), ""), "")&amp; IF(COUNTIF('SAÍDA DE VENDAS'!$B$6:$B$500, B548)&gt;3, " + " &amp; IFERROR(INDEX('SAÍDA DE VENDAS'!$H$6:$H$500 &amp; "x " &amp; 'SAÍDA DE VENDAS'!$G$6:$G$500, MATCH(B548, 'SAÍDA DE VENDAS'!$B$6:$B$500, 0)+3), ""), "")&amp; IF(COUNTIF('SAÍDA DE VENDAS'!$B$6:$B$500, B548)&gt;4, " + " &amp; IFERROR(INDEX('SAÍDA DE VENDAS'!$H$6:$H$500 &amp; "x " &amp; 'SAÍDA DE VENDAS'!$G$6:$G$500, MATCH(B548, 'SAÍDA DE VENDAS'!$B$6:$B$500, 0)+4), ""), "")&amp; IF(COUNTIF('SAÍDA DE VENDAS'!$B$6:$B$500, B548)&gt;5, " + " &amp; IFERROR(INDEX('SAÍDA DE VENDAS'!$H$6:$H$500 &amp; "x " &amp; 'SAÍDA DE VENDAS'!$G$6:$G$500, MATCH(B548, 'SAÍDA DE VENDAS'!$B$6:$B$500, 0)+5), ""), ""))</f>
        <v/>
      </c>
      <c r="G548" s="28">
        <f>IFERROR(VLOOKUP(B548,'SAÍDA DE VENDAS'!$B$6:$P$500,10,FALSE),"")</f>
        <v>0</v>
      </c>
      <c r="H548" s="28" t="str">
        <f>IF(OR(ISBLANK(B548),B548=""), "", IF(B548=B547, (VALUE(LEFT(H547,FIND("/",H547)-1))+1)&amp;"/"&amp;RIGHT(H547,LEN(H547)-FIND("/",H547)), "1/"&amp;IFERROR(VLOOKUP(B548,'SAÍDA DE VENDAS'!$B$6:$P$500,13,FALSE),"1")))</f>
        <v/>
      </c>
      <c r="I548" s="69" t="str">
        <f t="shared" si="16"/>
        <v/>
      </c>
      <c r="J548" s="33" t="str">
        <f>IFERROR(VLOOKUP(B548,'SAÍDA DE VENDAS'!$B$6:$P$500,15,FALSE),"")</f>
        <v/>
      </c>
      <c r="K548" s="28" t="str">
        <f t="shared" ca="1" si="17"/>
        <v/>
      </c>
      <c r="L548" s="28"/>
      <c r="M548" s="28"/>
    </row>
    <row r="549" spans="2:13" ht="15" customHeight="1" x14ac:dyDescent="0.3">
      <c r="B549" s="34" t="str">
        <f>IF(B548="","", IF(VALUE(LEFT(H548,FIND("/",H548)-1)) &lt; VALUE(RIGHT(H548,LEN(H548)-FIND("/",H548))), B548, IFERROR(INDEX('SAÍDA DE VENDAS'!$B$6:$B$500, MATCH(B548,'SAÍDA DE VENDAS'!$B$6:$B$500,0)+COUNTIF('SAÍDA DE VENDAS'!$B$6:$B$500, B548)),"")))</f>
        <v/>
      </c>
      <c r="C549" s="35">
        <f>IFERROR(VLOOKUP(B549,'SAÍDA DE VENDAS'!$B$6:$P$500,3,FALSE),"")</f>
        <v>0</v>
      </c>
      <c r="D549" s="34">
        <f>IFERROR(VLOOKUP(B549,'SAÍDA DE VENDAS'!$B$6:$P$500,4,FALSE),"")</f>
        <v>0</v>
      </c>
      <c r="E549" s="34" t="str">
        <f>IFERROR(VLOOKUP(B549,'SAÍDA DE VENDAS'!$B$6:$P$500,5,FALSE),"")</f>
        <v/>
      </c>
      <c r="F549" s="34" t="str">
        <f>IF(OR(ISBLANK(B549),B549=""), "", IFERROR(INDEX('SAÍDA DE VENDAS'!$H$6:$H$500 &amp; "x " &amp; 'SAÍDA DE VENDAS'!$G$6:$G$500, MATCH(B549, 'SAÍDA DE VENDAS'!$B$6:$B$500, 0)), "")&amp; IF(COUNTIF('SAÍDA DE VENDAS'!$B$6:$B$500, B549)&gt;1, " + " &amp; IFERROR(INDEX('SAÍDA DE VENDAS'!$H$6:$H$500 &amp; "x " &amp; 'SAÍDA DE VENDAS'!$G$6:$G$500, MATCH(B549, 'SAÍDA DE VENDAS'!$B$6:$B$500, 0)+1), ""), "")&amp; IF(COUNTIF('SAÍDA DE VENDAS'!$B$6:$B$500, B549)&gt;2, " + " &amp; IFERROR(INDEX('SAÍDA DE VENDAS'!$H$6:$H$500 &amp; "x " &amp; 'SAÍDA DE VENDAS'!$G$6:$G$500, MATCH(B549, 'SAÍDA DE VENDAS'!$B$6:$B$500, 0)+2), ""), "")&amp; IF(COUNTIF('SAÍDA DE VENDAS'!$B$6:$B$500, B549)&gt;3, " + " &amp; IFERROR(INDEX('SAÍDA DE VENDAS'!$H$6:$H$500 &amp; "x " &amp; 'SAÍDA DE VENDAS'!$G$6:$G$500, MATCH(B549, 'SAÍDA DE VENDAS'!$B$6:$B$500, 0)+3), ""), "")&amp; IF(COUNTIF('SAÍDA DE VENDAS'!$B$6:$B$500, B549)&gt;4, " + " &amp; IFERROR(INDEX('SAÍDA DE VENDAS'!$H$6:$H$500 &amp; "x " &amp; 'SAÍDA DE VENDAS'!$G$6:$G$500, MATCH(B549, 'SAÍDA DE VENDAS'!$B$6:$B$500, 0)+4), ""), "")&amp; IF(COUNTIF('SAÍDA DE VENDAS'!$B$6:$B$500, B549)&gt;5, " + " &amp; IFERROR(INDEX('SAÍDA DE VENDAS'!$H$6:$H$500 &amp; "x " &amp; 'SAÍDA DE VENDAS'!$G$6:$G$500, MATCH(B549, 'SAÍDA DE VENDAS'!$B$6:$B$500, 0)+5), ""), ""))</f>
        <v/>
      </c>
      <c r="G549" s="34">
        <f>IFERROR(VLOOKUP(B549,'SAÍDA DE VENDAS'!$B$6:$P$500,10,FALSE),"")</f>
        <v>0</v>
      </c>
      <c r="H549" s="34" t="str">
        <f>IF(OR(ISBLANK(B549),B549=""), "", IF(B549=B548, (VALUE(LEFT(H548,FIND("/",H548)-1))+1)&amp;"/"&amp;RIGHT(H548,LEN(H548)-FIND("/",H548)), "1/"&amp;IFERROR(VLOOKUP(B549,'SAÍDA DE VENDAS'!$B$6:$P$500,13,FALSE),"1")))</f>
        <v/>
      </c>
      <c r="I549" s="35" t="str">
        <f t="shared" si="16"/>
        <v/>
      </c>
      <c r="J549" s="39" t="str">
        <f>IFERROR(VLOOKUP(B549,'SAÍDA DE VENDAS'!$B$6:$P$500,15,FALSE),"")</f>
        <v/>
      </c>
      <c r="K549" s="34" t="str">
        <f t="shared" ca="1" si="17"/>
        <v/>
      </c>
      <c r="L549" s="34"/>
      <c r="M549" s="34"/>
    </row>
    <row r="550" spans="2:13" ht="15" customHeight="1" x14ac:dyDescent="0.3">
      <c r="B550" s="28" t="str">
        <f>IF(B549="","", IF(VALUE(LEFT(H549,FIND("/",H549)-1)) &lt; VALUE(RIGHT(H549,LEN(H549)-FIND("/",H549))), B549, IFERROR(INDEX('SAÍDA DE VENDAS'!$B$6:$B$500, MATCH(B549,'SAÍDA DE VENDAS'!$B$6:$B$500,0)+COUNTIF('SAÍDA DE VENDAS'!$B$6:$B$500, B549)),"")))</f>
        <v/>
      </c>
      <c r="C550" s="29">
        <f>IFERROR(VLOOKUP(B550,'SAÍDA DE VENDAS'!$B$6:$P$500,3,FALSE),"")</f>
        <v>0</v>
      </c>
      <c r="D550" s="28">
        <f>IFERROR(VLOOKUP(B550,'SAÍDA DE VENDAS'!$B$6:$P$500,4,FALSE),"")</f>
        <v>0</v>
      </c>
      <c r="E550" s="28" t="str">
        <f>IFERROR(VLOOKUP(B550,'SAÍDA DE VENDAS'!$B$6:$P$500,5,FALSE),"")</f>
        <v/>
      </c>
      <c r="F550" s="28" t="str">
        <f>IF(OR(ISBLANK(B550),B550=""), "", IFERROR(INDEX('SAÍDA DE VENDAS'!$H$6:$H$500 &amp; "x " &amp; 'SAÍDA DE VENDAS'!$G$6:$G$500, MATCH(B550, 'SAÍDA DE VENDAS'!$B$6:$B$500, 0)), "")&amp; IF(COUNTIF('SAÍDA DE VENDAS'!$B$6:$B$500, B550)&gt;1, " + " &amp; IFERROR(INDEX('SAÍDA DE VENDAS'!$H$6:$H$500 &amp; "x " &amp; 'SAÍDA DE VENDAS'!$G$6:$G$500, MATCH(B550, 'SAÍDA DE VENDAS'!$B$6:$B$500, 0)+1), ""), "")&amp; IF(COUNTIF('SAÍDA DE VENDAS'!$B$6:$B$500, B550)&gt;2, " + " &amp; IFERROR(INDEX('SAÍDA DE VENDAS'!$H$6:$H$500 &amp; "x " &amp; 'SAÍDA DE VENDAS'!$G$6:$G$500, MATCH(B550, 'SAÍDA DE VENDAS'!$B$6:$B$500, 0)+2), ""), "")&amp; IF(COUNTIF('SAÍDA DE VENDAS'!$B$6:$B$500, B550)&gt;3, " + " &amp; IFERROR(INDEX('SAÍDA DE VENDAS'!$H$6:$H$500 &amp; "x " &amp; 'SAÍDA DE VENDAS'!$G$6:$G$500, MATCH(B550, 'SAÍDA DE VENDAS'!$B$6:$B$500, 0)+3), ""), "")&amp; IF(COUNTIF('SAÍDA DE VENDAS'!$B$6:$B$500, B550)&gt;4, " + " &amp; IFERROR(INDEX('SAÍDA DE VENDAS'!$H$6:$H$500 &amp; "x " &amp; 'SAÍDA DE VENDAS'!$G$6:$G$500, MATCH(B550, 'SAÍDA DE VENDAS'!$B$6:$B$500, 0)+4), ""), "")&amp; IF(COUNTIF('SAÍDA DE VENDAS'!$B$6:$B$500, B550)&gt;5, " + " &amp; IFERROR(INDEX('SAÍDA DE VENDAS'!$H$6:$H$500 &amp; "x " &amp; 'SAÍDA DE VENDAS'!$G$6:$G$500, MATCH(B550, 'SAÍDA DE VENDAS'!$B$6:$B$500, 0)+5), ""), ""))</f>
        <v/>
      </c>
      <c r="G550" s="28">
        <f>IFERROR(VLOOKUP(B550,'SAÍDA DE VENDAS'!$B$6:$P$500,10,FALSE),"")</f>
        <v>0</v>
      </c>
      <c r="H550" s="28" t="str">
        <f>IF(OR(ISBLANK(B550),B550=""), "", IF(B550=B549, (VALUE(LEFT(H549,FIND("/",H549)-1))+1)&amp;"/"&amp;RIGHT(H549,LEN(H549)-FIND("/",H549)), "1/"&amp;IFERROR(VLOOKUP(B550,'SAÍDA DE VENDAS'!$B$6:$P$500,13,FALSE),"1")))</f>
        <v/>
      </c>
      <c r="I550" s="69" t="str">
        <f t="shared" si="16"/>
        <v/>
      </c>
      <c r="J550" s="33" t="str">
        <f>IFERROR(VLOOKUP(B550,'SAÍDA DE VENDAS'!$B$6:$P$500,15,FALSE),"")</f>
        <v/>
      </c>
      <c r="K550" s="28" t="str">
        <f t="shared" ca="1" si="17"/>
        <v/>
      </c>
      <c r="L550" s="28"/>
      <c r="M550" s="28"/>
    </row>
    <row r="551" spans="2:13" ht="15" customHeight="1" x14ac:dyDescent="0.3">
      <c r="B551" s="34" t="str">
        <f>IF(B550="","", IF(VALUE(LEFT(H550,FIND("/",H550)-1)) &lt; VALUE(RIGHT(H550,LEN(H550)-FIND("/",H550))), B550, IFERROR(INDEX('SAÍDA DE VENDAS'!$B$6:$B$500, MATCH(B550,'SAÍDA DE VENDAS'!$B$6:$B$500,0)+COUNTIF('SAÍDA DE VENDAS'!$B$6:$B$500, B550)),"")))</f>
        <v/>
      </c>
      <c r="C551" s="35">
        <f>IFERROR(VLOOKUP(B551,'SAÍDA DE VENDAS'!$B$6:$P$500,3,FALSE),"")</f>
        <v>0</v>
      </c>
      <c r="D551" s="34">
        <f>IFERROR(VLOOKUP(B551,'SAÍDA DE VENDAS'!$B$6:$P$500,4,FALSE),"")</f>
        <v>0</v>
      </c>
      <c r="E551" s="34" t="str">
        <f>IFERROR(VLOOKUP(B551,'SAÍDA DE VENDAS'!$B$6:$P$500,5,FALSE),"")</f>
        <v/>
      </c>
      <c r="F551" s="34" t="str">
        <f>IF(OR(ISBLANK(B551),B551=""), "", IFERROR(INDEX('SAÍDA DE VENDAS'!$H$6:$H$500 &amp; "x " &amp; 'SAÍDA DE VENDAS'!$G$6:$G$500, MATCH(B551, 'SAÍDA DE VENDAS'!$B$6:$B$500, 0)), "")&amp; IF(COUNTIF('SAÍDA DE VENDAS'!$B$6:$B$500, B551)&gt;1, " + " &amp; IFERROR(INDEX('SAÍDA DE VENDAS'!$H$6:$H$500 &amp; "x " &amp; 'SAÍDA DE VENDAS'!$G$6:$G$500, MATCH(B551, 'SAÍDA DE VENDAS'!$B$6:$B$500, 0)+1), ""), "")&amp; IF(COUNTIF('SAÍDA DE VENDAS'!$B$6:$B$500, B551)&gt;2, " + " &amp; IFERROR(INDEX('SAÍDA DE VENDAS'!$H$6:$H$500 &amp; "x " &amp; 'SAÍDA DE VENDAS'!$G$6:$G$500, MATCH(B551, 'SAÍDA DE VENDAS'!$B$6:$B$500, 0)+2), ""), "")&amp; IF(COUNTIF('SAÍDA DE VENDAS'!$B$6:$B$500, B551)&gt;3, " + " &amp; IFERROR(INDEX('SAÍDA DE VENDAS'!$H$6:$H$500 &amp; "x " &amp; 'SAÍDA DE VENDAS'!$G$6:$G$500, MATCH(B551, 'SAÍDA DE VENDAS'!$B$6:$B$500, 0)+3), ""), "")&amp; IF(COUNTIF('SAÍDA DE VENDAS'!$B$6:$B$500, B551)&gt;4, " + " &amp; IFERROR(INDEX('SAÍDA DE VENDAS'!$H$6:$H$500 &amp; "x " &amp; 'SAÍDA DE VENDAS'!$G$6:$G$500, MATCH(B551, 'SAÍDA DE VENDAS'!$B$6:$B$500, 0)+4), ""), "")&amp; IF(COUNTIF('SAÍDA DE VENDAS'!$B$6:$B$500, B551)&gt;5, " + " &amp; IFERROR(INDEX('SAÍDA DE VENDAS'!$H$6:$H$500 &amp; "x " &amp; 'SAÍDA DE VENDAS'!$G$6:$G$500, MATCH(B551, 'SAÍDA DE VENDAS'!$B$6:$B$500, 0)+5), ""), ""))</f>
        <v/>
      </c>
      <c r="G551" s="34">
        <f>IFERROR(VLOOKUP(B551,'SAÍDA DE VENDAS'!$B$6:$P$500,10,FALSE),"")</f>
        <v>0</v>
      </c>
      <c r="H551" s="34" t="str">
        <f>IF(OR(ISBLANK(B551),B551=""), "", IF(B551=B550, (VALUE(LEFT(H550,FIND("/",H550)-1))+1)&amp;"/"&amp;RIGHT(H550,LEN(H550)-FIND("/",H550)), "1/"&amp;IFERROR(VLOOKUP(B551,'SAÍDA DE VENDAS'!$B$6:$P$500,13,FALSE),"1")))</f>
        <v/>
      </c>
      <c r="I551" s="35" t="str">
        <f t="shared" si="16"/>
        <v/>
      </c>
      <c r="J551" s="39" t="str">
        <f>IFERROR(VLOOKUP(B551,'SAÍDA DE VENDAS'!$B$6:$P$500,15,FALSE),"")</f>
        <v/>
      </c>
      <c r="K551" s="34" t="str">
        <f t="shared" ca="1" si="17"/>
        <v/>
      </c>
      <c r="L551" s="34"/>
      <c r="M551" s="34"/>
    </row>
    <row r="552" spans="2:13" ht="15" customHeight="1" x14ac:dyDescent="0.3">
      <c r="B552" s="28" t="str">
        <f>IF(B551="","", IF(VALUE(LEFT(H551,FIND("/",H551)-1)) &lt; VALUE(RIGHT(H551,LEN(H551)-FIND("/",H551))), B551, IFERROR(INDEX('SAÍDA DE VENDAS'!$B$6:$B$500, MATCH(B551,'SAÍDA DE VENDAS'!$B$6:$B$500,0)+COUNTIF('SAÍDA DE VENDAS'!$B$6:$B$500, B551)),"")))</f>
        <v/>
      </c>
      <c r="C552" s="29">
        <f>IFERROR(VLOOKUP(B552,'SAÍDA DE VENDAS'!$B$6:$P$500,3,FALSE),"")</f>
        <v>0</v>
      </c>
      <c r="D552" s="28">
        <f>IFERROR(VLOOKUP(B552,'SAÍDA DE VENDAS'!$B$6:$P$500,4,FALSE),"")</f>
        <v>0</v>
      </c>
      <c r="E552" s="28" t="str">
        <f>IFERROR(VLOOKUP(B552,'SAÍDA DE VENDAS'!$B$6:$P$500,5,FALSE),"")</f>
        <v/>
      </c>
      <c r="F552" s="28" t="str">
        <f>IF(OR(ISBLANK(B552),B552=""), "", IFERROR(INDEX('SAÍDA DE VENDAS'!$H$6:$H$500 &amp; "x " &amp; 'SAÍDA DE VENDAS'!$G$6:$G$500, MATCH(B552, 'SAÍDA DE VENDAS'!$B$6:$B$500, 0)), "")&amp; IF(COUNTIF('SAÍDA DE VENDAS'!$B$6:$B$500, B552)&gt;1, " + " &amp; IFERROR(INDEX('SAÍDA DE VENDAS'!$H$6:$H$500 &amp; "x " &amp; 'SAÍDA DE VENDAS'!$G$6:$G$500, MATCH(B552, 'SAÍDA DE VENDAS'!$B$6:$B$500, 0)+1), ""), "")&amp; IF(COUNTIF('SAÍDA DE VENDAS'!$B$6:$B$500, B552)&gt;2, " + " &amp; IFERROR(INDEX('SAÍDA DE VENDAS'!$H$6:$H$500 &amp; "x " &amp; 'SAÍDA DE VENDAS'!$G$6:$G$500, MATCH(B552, 'SAÍDA DE VENDAS'!$B$6:$B$500, 0)+2), ""), "")&amp; IF(COUNTIF('SAÍDA DE VENDAS'!$B$6:$B$500, B552)&gt;3, " + " &amp; IFERROR(INDEX('SAÍDA DE VENDAS'!$H$6:$H$500 &amp; "x " &amp; 'SAÍDA DE VENDAS'!$G$6:$G$500, MATCH(B552, 'SAÍDA DE VENDAS'!$B$6:$B$500, 0)+3), ""), "")&amp; IF(COUNTIF('SAÍDA DE VENDAS'!$B$6:$B$500, B552)&gt;4, " + " &amp; IFERROR(INDEX('SAÍDA DE VENDAS'!$H$6:$H$500 &amp; "x " &amp; 'SAÍDA DE VENDAS'!$G$6:$G$500, MATCH(B552, 'SAÍDA DE VENDAS'!$B$6:$B$500, 0)+4), ""), "")&amp; IF(COUNTIF('SAÍDA DE VENDAS'!$B$6:$B$500, B552)&gt;5, " + " &amp; IFERROR(INDEX('SAÍDA DE VENDAS'!$H$6:$H$500 &amp; "x " &amp; 'SAÍDA DE VENDAS'!$G$6:$G$500, MATCH(B552, 'SAÍDA DE VENDAS'!$B$6:$B$500, 0)+5), ""), ""))</f>
        <v/>
      </c>
      <c r="G552" s="28">
        <f>IFERROR(VLOOKUP(B552,'SAÍDA DE VENDAS'!$B$6:$P$500,10,FALSE),"")</f>
        <v>0</v>
      </c>
      <c r="H552" s="28" t="str">
        <f>IF(OR(ISBLANK(B552),B552=""), "", IF(B552=B551, (VALUE(LEFT(H551,FIND("/",H551)-1))+1)&amp;"/"&amp;RIGHT(H551,LEN(H551)-FIND("/",H551)), "1/"&amp;IFERROR(VLOOKUP(B552,'SAÍDA DE VENDAS'!$B$6:$P$500,13,FALSE),"1")))</f>
        <v/>
      </c>
      <c r="I552" s="69" t="str">
        <f t="shared" si="16"/>
        <v/>
      </c>
      <c r="J552" s="33" t="str">
        <f>IFERROR(VLOOKUP(B552,'SAÍDA DE VENDAS'!$B$6:$P$500,15,FALSE),"")</f>
        <v/>
      </c>
      <c r="K552" s="28" t="str">
        <f t="shared" ca="1" si="17"/>
        <v/>
      </c>
      <c r="L552" s="28"/>
      <c r="M552" s="28"/>
    </row>
    <row r="553" spans="2:13" ht="15" customHeight="1" x14ac:dyDescent="0.3">
      <c r="B553" s="34" t="str">
        <f>IF(B552="","", IF(VALUE(LEFT(H552,FIND("/",H552)-1)) &lt; VALUE(RIGHT(H552,LEN(H552)-FIND("/",H552))), B552, IFERROR(INDEX('SAÍDA DE VENDAS'!$B$6:$B$500, MATCH(B552,'SAÍDA DE VENDAS'!$B$6:$B$500,0)+COUNTIF('SAÍDA DE VENDAS'!$B$6:$B$500, B552)),"")))</f>
        <v/>
      </c>
      <c r="C553" s="35">
        <f>IFERROR(VLOOKUP(B553,'SAÍDA DE VENDAS'!$B$6:$P$500,3,FALSE),"")</f>
        <v>0</v>
      </c>
      <c r="D553" s="34">
        <f>IFERROR(VLOOKUP(B553,'SAÍDA DE VENDAS'!$B$6:$P$500,4,FALSE),"")</f>
        <v>0</v>
      </c>
      <c r="E553" s="34" t="str">
        <f>IFERROR(VLOOKUP(B553,'SAÍDA DE VENDAS'!$B$6:$P$500,5,FALSE),"")</f>
        <v/>
      </c>
      <c r="F553" s="34" t="str">
        <f>IF(OR(ISBLANK(B553),B553=""), "", IFERROR(INDEX('SAÍDA DE VENDAS'!$H$6:$H$500 &amp; "x " &amp; 'SAÍDA DE VENDAS'!$G$6:$G$500, MATCH(B553, 'SAÍDA DE VENDAS'!$B$6:$B$500, 0)), "")&amp; IF(COUNTIF('SAÍDA DE VENDAS'!$B$6:$B$500, B553)&gt;1, " + " &amp; IFERROR(INDEX('SAÍDA DE VENDAS'!$H$6:$H$500 &amp; "x " &amp; 'SAÍDA DE VENDAS'!$G$6:$G$500, MATCH(B553, 'SAÍDA DE VENDAS'!$B$6:$B$500, 0)+1), ""), "")&amp; IF(COUNTIF('SAÍDA DE VENDAS'!$B$6:$B$500, B553)&gt;2, " + " &amp; IFERROR(INDEX('SAÍDA DE VENDAS'!$H$6:$H$500 &amp; "x " &amp; 'SAÍDA DE VENDAS'!$G$6:$G$500, MATCH(B553, 'SAÍDA DE VENDAS'!$B$6:$B$500, 0)+2), ""), "")&amp; IF(COUNTIF('SAÍDA DE VENDAS'!$B$6:$B$500, B553)&gt;3, " + " &amp; IFERROR(INDEX('SAÍDA DE VENDAS'!$H$6:$H$500 &amp; "x " &amp; 'SAÍDA DE VENDAS'!$G$6:$G$500, MATCH(B553, 'SAÍDA DE VENDAS'!$B$6:$B$500, 0)+3), ""), "")&amp; IF(COUNTIF('SAÍDA DE VENDAS'!$B$6:$B$500, B553)&gt;4, " + " &amp; IFERROR(INDEX('SAÍDA DE VENDAS'!$H$6:$H$500 &amp; "x " &amp; 'SAÍDA DE VENDAS'!$G$6:$G$500, MATCH(B553, 'SAÍDA DE VENDAS'!$B$6:$B$500, 0)+4), ""), "")&amp; IF(COUNTIF('SAÍDA DE VENDAS'!$B$6:$B$500, B553)&gt;5, " + " &amp; IFERROR(INDEX('SAÍDA DE VENDAS'!$H$6:$H$500 &amp; "x " &amp; 'SAÍDA DE VENDAS'!$G$6:$G$500, MATCH(B553, 'SAÍDA DE VENDAS'!$B$6:$B$500, 0)+5), ""), ""))</f>
        <v/>
      </c>
      <c r="G553" s="34">
        <f>IFERROR(VLOOKUP(B553,'SAÍDA DE VENDAS'!$B$6:$P$500,10,FALSE),"")</f>
        <v>0</v>
      </c>
      <c r="H553" s="34" t="str">
        <f>IF(OR(ISBLANK(B553),B553=""), "", IF(B553=B552, (VALUE(LEFT(H552,FIND("/",H552)-1))+1)&amp;"/"&amp;RIGHT(H552,LEN(H552)-FIND("/",H552)), "1/"&amp;IFERROR(VLOOKUP(B553,'SAÍDA DE VENDAS'!$B$6:$P$500,13,FALSE),"1")))</f>
        <v/>
      </c>
      <c r="I553" s="35" t="str">
        <f t="shared" si="16"/>
        <v/>
      </c>
      <c r="J553" s="39" t="str">
        <f>IFERROR(VLOOKUP(B553,'SAÍDA DE VENDAS'!$B$6:$P$500,15,FALSE),"")</f>
        <v/>
      </c>
      <c r="K553" s="34" t="str">
        <f t="shared" ca="1" si="17"/>
        <v/>
      </c>
      <c r="L553" s="34"/>
      <c r="M553" s="34"/>
    </row>
    <row r="554" spans="2:13" ht="15" customHeight="1" x14ac:dyDescent="0.3">
      <c r="B554" s="28" t="str">
        <f>IF(B553="","", IF(VALUE(LEFT(H553,FIND("/",H553)-1)) &lt; VALUE(RIGHT(H553,LEN(H553)-FIND("/",H553))), B553, IFERROR(INDEX('SAÍDA DE VENDAS'!$B$6:$B$500, MATCH(B553,'SAÍDA DE VENDAS'!$B$6:$B$500,0)+COUNTIF('SAÍDA DE VENDAS'!$B$6:$B$500, B553)),"")))</f>
        <v/>
      </c>
      <c r="C554" s="29">
        <f>IFERROR(VLOOKUP(B554,'SAÍDA DE VENDAS'!$B$6:$P$500,3,FALSE),"")</f>
        <v>0</v>
      </c>
      <c r="D554" s="28">
        <f>IFERROR(VLOOKUP(B554,'SAÍDA DE VENDAS'!$B$6:$P$500,4,FALSE),"")</f>
        <v>0</v>
      </c>
      <c r="E554" s="28" t="str">
        <f>IFERROR(VLOOKUP(B554,'SAÍDA DE VENDAS'!$B$6:$P$500,5,FALSE),"")</f>
        <v/>
      </c>
      <c r="F554" s="28" t="str">
        <f>IF(OR(ISBLANK(B554),B554=""), "", IFERROR(INDEX('SAÍDA DE VENDAS'!$H$6:$H$500 &amp; "x " &amp; 'SAÍDA DE VENDAS'!$G$6:$G$500, MATCH(B554, 'SAÍDA DE VENDAS'!$B$6:$B$500, 0)), "")&amp; IF(COUNTIF('SAÍDA DE VENDAS'!$B$6:$B$500, B554)&gt;1, " + " &amp; IFERROR(INDEX('SAÍDA DE VENDAS'!$H$6:$H$500 &amp; "x " &amp; 'SAÍDA DE VENDAS'!$G$6:$G$500, MATCH(B554, 'SAÍDA DE VENDAS'!$B$6:$B$500, 0)+1), ""), "")&amp; IF(COUNTIF('SAÍDA DE VENDAS'!$B$6:$B$500, B554)&gt;2, " + " &amp; IFERROR(INDEX('SAÍDA DE VENDAS'!$H$6:$H$500 &amp; "x " &amp; 'SAÍDA DE VENDAS'!$G$6:$G$500, MATCH(B554, 'SAÍDA DE VENDAS'!$B$6:$B$500, 0)+2), ""), "")&amp; IF(COUNTIF('SAÍDA DE VENDAS'!$B$6:$B$500, B554)&gt;3, " + " &amp; IFERROR(INDEX('SAÍDA DE VENDAS'!$H$6:$H$500 &amp; "x " &amp; 'SAÍDA DE VENDAS'!$G$6:$G$500, MATCH(B554, 'SAÍDA DE VENDAS'!$B$6:$B$500, 0)+3), ""), "")&amp; IF(COUNTIF('SAÍDA DE VENDAS'!$B$6:$B$500, B554)&gt;4, " + " &amp; IFERROR(INDEX('SAÍDA DE VENDAS'!$H$6:$H$500 &amp; "x " &amp; 'SAÍDA DE VENDAS'!$G$6:$G$500, MATCH(B554, 'SAÍDA DE VENDAS'!$B$6:$B$500, 0)+4), ""), "")&amp; IF(COUNTIF('SAÍDA DE VENDAS'!$B$6:$B$500, B554)&gt;5, " + " &amp; IFERROR(INDEX('SAÍDA DE VENDAS'!$H$6:$H$500 &amp; "x " &amp; 'SAÍDA DE VENDAS'!$G$6:$G$500, MATCH(B554, 'SAÍDA DE VENDAS'!$B$6:$B$500, 0)+5), ""), ""))</f>
        <v/>
      </c>
      <c r="G554" s="28">
        <f>IFERROR(VLOOKUP(B554,'SAÍDA DE VENDAS'!$B$6:$P$500,10,FALSE),"")</f>
        <v>0</v>
      </c>
      <c r="H554" s="28" t="str">
        <f>IF(OR(ISBLANK(B554),B554=""), "", IF(B554=B553, (VALUE(LEFT(H553,FIND("/",H553)-1))+1)&amp;"/"&amp;RIGHT(H553,LEN(H553)-FIND("/",H553)), "1/"&amp;IFERROR(VLOOKUP(B554,'SAÍDA DE VENDAS'!$B$6:$P$500,13,FALSE),"1")))</f>
        <v/>
      </c>
      <c r="I554" s="69" t="str">
        <f t="shared" si="16"/>
        <v/>
      </c>
      <c r="J554" s="33" t="str">
        <f>IFERROR(VLOOKUP(B554,'SAÍDA DE VENDAS'!$B$6:$P$500,15,FALSE),"")</f>
        <v/>
      </c>
      <c r="K554" s="28" t="str">
        <f t="shared" ca="1" si="17"/>
        <v/>
      </c>
      <c r="L554" s="28"/>
      <c r="M554" s="28"/>
    </row>
    <row r="555" spans="2:13" ht="15" customHeight="1" x14ac:dyDescent="0.3">
      <c r="B555" s="34" t="str">
        <f>IF(B554="","", IF(VALUE(LEFT(H554,FIND("/",H554)-1)) &lt; VALUE(RIGHT(H554,LEN(H554)-FIND("/",H554))), B554, IFERROR(INDEX('SAÍDA DE VENDAS'!$B$6:$B$500, MATCH(B554,'SAÍDA DE VENDAS'!$B$6:$B$500,0)+COUNTIF('SAÍDA DE VENDAS'!$B$6:$B$500, B554)),"")))</f>
        <v/>
      </c>
      <c r="C555" s="35">
        <f>IFERROR(VLOOKUP(B555,'SAÍDA DE VENDAS'!$B$6:$P$500,3,FALSE),"")</f>
        <v>0</v>
      </c>
      <c r="D555" s="34">
        <f>IFERROR(VLOOKUP(B555,'SAÍDA DE VENDAS'!$B$6:$P$500,4,FALSE),"")</f>
        <v>0</v>
      </c>
      <c r="E555" s="34" t="str">
        <f>IFERROR(VLOOKUP(B555,'SAÍDA DE VENDAS'!$B$6:$P$500,5,FALSE),"")</f>
        <v/>
      </c>
      <c r="F555" s="34" t="str">
        <f>IF(OR(ISBLANK(B555),B555=""), "", IFERROR(INDEX('SAÍDA DE VENDAS'!$H$6:$H$500 &amp; "x " &amp; 'SAÍDA DE VENDAS'!$G$6:$G$500, MATCH(B555, 'SAÍDA DE VENDAS'!$B$6:$B$500, 0)), "")&amp; IF(COUNTIF('SAÍDA DE VENDAS'!$B$6:$B$500, B555)&gt;1, " + " &amp; IFERROR(INDEX('SAÍDA DE VENDAS'!$H$6:$H$500 &amp; "x " &amp; 'SAÍDA DE VENDAS'!$G$6:$G$500, MATCH(B555, 'SAÍDA DE VENDAS'!$B$6:$B$500, 0)+1), ""), "")&amp; IF(COUNTIF('SAÍDA DE VENDAS'!$B$6:$B$500, B555)&gt;2, " + " &amp; IFERROR(INDEX('SAÍDA DE VENDAS'!$H$6:$H$500 &amp; "x " &amp; 'SAÍDA DE VENDAS'!$G$6:$G$500, MATCH(B555, 'SAÍDA DE VENDAS'!$B$6:$B$500, 0)+2), ""), "")&amp; IF(COUNTIF('SAÍDA DE VENDAS'!$B$6:$B$500, B555)&gt;3, " + " &amp; IFERROR(INDEX('SAÍDA DE VENDAS'!$H$6:$H$500 &amp; "x " &amp; 'SAÍDA DE VENDAS'!$G$6:$G$500, MATCH(B555, 'SAÍDA DE VENDAS'!$B$6:$B$500, 0)+3), ""), "")&amp; IF(COUNTIF('SAÍDA DE VENDAS'!$B$6:$B$500, B555)&gt;4, " + " &amp; IFERROR(INDEX('SAÍDA DE VENDAS'!$H$6:$H$500 &amp; "x " &amp; 'SAÍDA DE VENDAS'!$G$6:$G$500, MATCH(B555, 'SAÍDA DE VENDAS'!$B$6:$B$500, 0)+4), ""), "")&amp; IF(COUNTIF('SAÍDA DE VENDAS'!$B$6:$B$500, B555)&gt;5, " + " &amp; IFERROR(INDEX('SAÍDA DE VENDAS'!$H$6:$H$500 &amp; "x " &amp; 'SAÍDA DE VENDAS'!$G$6:$G$500, MATCH(B555, 'SAÍDA DE VENDAS'!$B$6:$B$500, 0)+5), ""), ""))</f>
        <v/>
      </c>
      <c r="G555" s="34">
        <f>IFERROR(VLOOKUP(B555,'SAÍDA DE VENDAS'!$B$6:$P$500,10,FALSE),"")</f>
        <v>0</v>
      </c>
      <c r="H555" s="34" t="str">
        <f>IF(OR(ISBLANK(B555),B555=""), "", IF(B555=B554, (VALUE(LEFT(H554,FIND("/",H554)-1))+1)&amp;"/"&amp;RIGHT(H554,LEN(H554)-FIND("/",H554)), "1/"&amp;IFERROR(VLOOKUP(B555,'SAÍDA DE VENDAS'!$B$6:$P$500,13,FALSE),"1")))</f>
        <v/>
      </c>
      <c r="I555" s="35" t="str">
        <f t="shared" si="16"/>
        <v/>
      </c>
      <c r="J555" s="39" t="str">
        <f>IFERROR(VLOOKUP(B555,'SAÍDA DE VENDAS'!$B$6:$P$500,15,FALSE),"")</f>
        <v/>
      </c>
      <c r="K555" s="34" t="str">
        <f t="shared" ca="1" si="17"/>
        <v/>
      </c>
      <c r="L555" s="34"/>
      <c r="M555" s="34"/>
    </row>
    <row r="556" spans="2:13" ht="15" customHeight="1" x14ac:dyDescent="0.3">
      <c r="B556" s="28" t="str">
        <f>IF(B555="","", IF(VALUE(LEFT(H555,FIND("/",H555)-1)) &lt; VALUE(RIGHT(H555,LEN(H555)-FIND("/",H555))), B555, IFERROR(INDEX('SAÍDA DE VENDAS'!$B$6:$B$500, MATCH(B555,'SAÍDA DE VENDAS'!$B$6:$B$500,0)+COUNTIF('SAÍDA DE VENDAS'!$B$6:$B$500, B555)),"")))</f>
        <v/>
      </c>
      <c r="C556" s="29">
        <f>IFERROR(VLOOKUP(B556,'SAÍDA DE VENDAS'!$B$6:$P$500,3,FALSE),"")</f>
        <v>0</v>
      </c>
      <c r="D556" s="28">
        <f>IFERROR(VLOOKUP(B556,'SAÍDA DE VENDAS'!$B$6:$P$500,4,FALSE),"")</f>
        <v>0</v>
      </c>
      <c r="E556" s="28" t="str">
        <f>IFERROR(VLOOKUP(B556,'SAÍDA DE VENDAS'!$B$6:$P$500,5,FALSE),"")</f>
        <v/>
      </c>
      <c r="F556" s="28" t="str">
        <f>IF(OR(ISBLANK(B556),B556=""), "", IFERROR(INDEX('SAÍDA DE VENDAS'!$H$6:$H$500 &amp; "x " &amp; 'SAÍDA DE VENDAS'!$G$6:$G$500, MATCH(B556, 'SAÍDA DE VENDAS'!$B$6:$B$500, 0)), "")&amp; IF(COUNTIF('SAÍDA DE VENDAS'!$B$6:$B$500, B556)&gt;1, " + " &amp; IFERROR(INDEX('SAÍDA DE VENDAS'!$H$6:$H$500 &amp; "x " &amp; 'SAÍDA DE VENDAS'!$G$6:$G$500, MATCH(B556, 'SAÍDA DE VENDAS'!$B$6:$B$500, 0)+1), ""), "")&amp; IF(COUNTIF('SAÍDA DE VENDAS'!$B$6:$B$500, B556)&gt;2, " + " &amp; IFERROR(INDEX('SAÍDA DE VENDAS'!$H$6:$H$500 &amp; "x " &amp; 'SAÍDA DE VENDAS'!$G$6:$G$500, MATCH(B556, 'SAÍDA DE VENDAS'!$B$6:$B$500, 0)+2), ""), "")&amp; IF(COUNTIF('SAÍDA DE VENDAS'!$B$6:$B$500, B556)&gt;3, " + " &amp; IFERROR(INDEX('SAÍDA DE VENDAS'!$H$6:$H$500 &amp; "x " &amp; 'SAÍDA DE VENDAS'!$G$6:$G$500, MATCH(B556, 'SAÍDA DE VENDAS'!$B$6:$B$500, 0)+3), ""), "")&amp; IF(COUNTIF('SAÍDA DE VENDAS'!$B$6:$B$500, B556)&gt;4, " + " &amp; IFERROR(INDEX('SAÍDA DE VENDAS'!$H$6:$H$500 &amp; "x " &amp; 'SAÍDA DE VENDAS'!$G$6:$G$500, MATCH(B556, 'SAÍDA DE VENDAS'!$B$6:$B$500, 0)+4), ""), "")&amp; IF(COUNTIF('SAÍDA DE VENDAS'!$B$6:$B$500, B556)&gt;5, " + " &amp; IFERROR(INDEX('SAÍDA DE VENDAS'!$H$6:$H$500 &amp; "x " &amp; 'SAÍDA DE VENDAS'!$G$6:$G$500, MATCH(B556, 'SAÍDA DE VENDAS'!$B$6:$B$500, 0)+5), ""), ""))</f>
        <v/>
      </c>
      <c r="G556" s="28">
        <f>IFERROR(VLOOKUP(B556,'SAÍDA DE VENDAS'!$B$6:$P$500,10,FALSE),"")</f>
        <v>0</v>
      </c>
      <c r="H556" s="28" t="str">
        <f>IF(OR(ISBLANK(B556),B556=""), "", IF(B556=B555, (VALUE(LEFT(H555,FIND("/",H555)-1))+1)&amp;"/"&amp;RIGHT(H555,LEN(H555)-FIND("/",H555)), "1/"&amp;IFERROR(VLOOKUP(B556,'SAÍDA DE VENDAS'!$B$6:$P$500,13,FALSE),"1")))</f>
        <v/>
      </c>
      <c r="I556" s="69" t="str">
        <f t="shared" si="16"/>
        <v/>
      </c>
      <c r="J556" s="33" t="str">
        <f>IFERROR(VLOOKUP(B556,'SAÍDA DE VENDAS'!$B$6:$P$500,15,FALSE),"")</f>
        <v/>
      </c>
      <c r="K556" s="28" t="str">
        <f t="shared" ca="1" si="17"/>
        <v/>
      </c>
      <c r="L556" s="28"/>
      <c r="M556" s="28"/>
    </row>
    <row r="557" spans="2:13" ht="15" customHeight="1" x14ac:dyDescent="0.3">
      <c r="B557" s="34" t="str">
        <f>IF(B556="","", IF(VALUE(LEFT(H556,FIND("/",H556)-1)) &lt; VALUE(RIGHT(H556,LEN(H556)-FIND("/",H556))), B556, IFERROR(INDEX('SAÍDA DE VENDAS'!$B$6:$B$500, MATCH(B556,'SAÍDA DE VENDAS'!$B$6:$B$500,0)+COUNTIF('SAÍDA DE VENDAS'!$B$6:$B$500, B556)),"")))</f>
        <v/>
      </c>
      <c r="C557" s="35">
        <f>IFERROR(VLOOKUP(B557,'SAÍDA DE VENDAS'!$B$6:$P$500,3,FALSE),"")</f>
        <v>0</v>
      </c>
      <c r="D557" s="34">
        <f>IFERROR(VLOOKUP(B557,'SAÍDA DE VENDAS'!$B$6:$P$500,4,FALSE),"")</f>
        <v>0</v>
      </c>
      <c r="E557" s="34" t="str">
        <f>IFERROR(VLOOKUP(B557,'SAÍDA DE VENDAS'!$B$6:$P$500,5,FALSE),"")</f>
        <v/>
      </c>
      <c r="F557" s="34" t="str">
        <f>IF(OR(ISBLANK(B557),B557=""), "", IFERROR(INDEX('SAÍDA DE VENDAS'!$H$6:$H$500 &amp; "x " &amp; 'SAÍDA DE VENDAS'!$G$6:$G$500, MATCH(B557, 'SAÍDA DE VENDAS'!$B$6:$B$500, 0)), "")&amp; IF(COUNTIF('SAÍDA DE VENDAS'!$B$6:$B$500, B557)&gt;1, " + " &amp; IFERROR(INDEX('SAÍDA DE VENDAS'!$H$6:$H$500 &amp; "x " &amp; 'SAÍDA DE VENDAS'!$G$6:$G$500, MATCH(B557, 'SAÍDA DE VENDAS'!$B$6:$B$500, 0)+1), ""), "")&amp; IF(COUNTIF('SAÍDA DE VENDAS'!$B$6:$B$500, B557)&gt;2, " + " &amp; IFERROR(INDEX('SAÍDA DE VENDAS'!$H$6:$H$500 &amp; "x " &amp; 'SAÍDA DE VENDAS'!$G$6:$G$500, MATCH(B557, 'SAÍDA DE VENDAS'!$B$6:$B$500, 0)+2), ""), "")&amp; IF(COUNTIF('SAÍDA DE VENDAS'!$B$6:$B$500, B557)&gt;3, " + " &amp; IFERROR(INDEX('SAÍDA DE VENDAS'!$H$6:$H$500 &amp; "x " &amp; 'SAÍDA DE VENDAS'!$G$6:$G$500, MATCH(B557, 'SAÍDA DE VENDAS'!$B$6:$B$500, 0)+3), ""), "")&amp; IF(COUNTIF('SAÍDA DE VENDAS'!$B$6:$B$500, B557)&gt;4, " + " &amp; IFERROR(INDEX('SAÍDA DE VENDAS'!$H$6:$H$500 &amp; "x " &amp; 'SAÍDA DE VENDAS'!$G$6:$G$500, MATCH(B557, 'SAÍDA DE VENDAS'!$B$6:$B$500, 0)+4), ""), "")&amp; IF(COUNTIF('SAÍDA DE VENDAS'!$B$6:$B$500, B557)&gt;5, " + " &amp; IFERROR(INDEX('SAÍDA DE VENDAS'!$H$6:$H$500 &amp; "x " &amp; 'SAÍDA DE VENDAS'!$G$6:$G$500, MATCH(B557, 'SAÍDA DE VENDAS'!$B$6:$B$500, 0)+5), ""), ""))</f>
        <v/>
      </c>
      <c r="G557" s="34">
        <f>IFERROR(VLOOKUP(B557,'SAÍDA DE VENDAS'!$B$6:$P$500,10,FALSE),"")</f>
        <v>0</v>
      </c>
      <c r="H557" s="34" t="str">
        <f>IF(OR(ISBLANK(B557),B557=""), "", IF(B557=B556, (VALUE(LEFT(H556,FIND("/",H556)-1))+1)&amp;"/"&amp;RIGHT(H556,LEN(H556)-FIND("/",H556)), "1/"&amp;IFERROR(VLOOKUP(B557,'SAÍDA DE VENDAS'!$B$6:$P$500,13,FALSE),"1")))</f>
        <v/>
      </c>
      <c r="I557" s="35" t="str">
        <f t="shared" si="16"/>
        <v/>
      </c>
      <c r="J557" s="39" t="str">
        <f>IFERROR(VLOOKUP(B557,'SAÍDA DE VENDAS'!$B$6:$P$500,15,FALSE),"")</f>
        <v/>
      </c>
      <c r="K557" s="34" t="str">
        <f t="shared" ca="1" si="17"/>
        <v/>
      </c>
      <c r="L557" s="34"/>
      <c r="M557" s="34"/>
    </row>
    <row r="558" spans="2:13" ht="15" customHeight="1" x14ac:dyDescent="0.3">
      <c r="B558" s="28" t="str">
        <f>IF(B557="","", IF(VALUE(LEFT(H557,FIND("/",H557)-1)) &lt; VALUE(RIGHT(H557,LEN(H557)-FIND("/",H557))), B557, IFERROR(INDEX('SAÍDA DE VENDAS'!$B$6:$B$500, MATCH(B557,'SAÍDA DE VENDAS'!$B$6:$B$500,0)+COUNTIF('SAÍDA DE VENDAS'!$B$6:$B$500, B557)),"")))</f>
        <v/>
      </c>
      <c r="C558" s="29">
        <f>IFERROR(VLOOKUP(B558,'SAÍDA DE VENDAS'!$B$6:$P$500,3,FALSE),"")</f>
        <v>0</v>
      </c>
      <c r="D558" s="28">
        <f>IFERROR(VLOOKUP(B558,'SAÍDA DE VENDAS'!$B$6:$P$500,4,FALSE),"")</f>
        <v>0</v>
      </c>
      <c r="E558" s="28" t="str">
        <f>IFERROR(VLOOKUP(B558,'SAÍDA DE VENDAS'!$B$6:$P$500,5,FALSE),"")</f>
        <v/>
      </c>
      <c r="F558" s="28" t="str">
        <f>IF(OR(ISBLANK(B558),B558=""), "", IFERROR(INDEX('SAÍDA DE VENDAS'!$H$6:$H$500 &amp; "x " &amp; 'SAÍDA DE VENDAS'!$G$6:$G$500, MATCH(B558, 'SAÍDA DE VENDAS'!$B$6:$B$500, 0)), "")&amp; IF(COUNTIF('SAÍDA DE VENDAS'!$B$6:$B$500, B558)&gt;1, " + " &amp; IFERROR(INDEX('SAÍDA DE VENDAS'!$H$6:$H$500 &amp; "x " &amp; 'SAÍDA DE VENDAS'!$G$6:$G$500, MATCH(B558, 'SAÍDA DE VENDAS'!$B$6:$B$500, 0)+1), ""), "")&amp; IF(COUNTIF('SAÍDA DE VENDAS'!$B$6:$B$500, B558)&gt;2, " + " &amp; IFERROR(INDEX('SAÍDA DE VENDAS'!$H$6:$H$500 &amp; "x " &amp; 'SAÍDA DE VENDAS'!$G$6:$G$500, MATCH(B558, 'SAÍDA DE VENDAS'!$B$6:$B$500, 0)+2), ""), "")&amp; IF(COUNTIF('SAÍDA DE VENDAS'!$B$6:$B$500, B558)&gt;3, " + " &amp; IFERROR(INDEX('SAÍDA DE VENDAS'!$H$6:$H$500 &amp; "x " &amp; 'SAÍDA DE VENDAS'!$G$6:$G$500, MATCH(B558, 'SAÍDA DE VENDAS'!$B$6:$B$500, 0)+3), ""), "")&amp; IF(COUNTIF('SAÍDA DE VENDAS'!$B$6:$B$500, B558)&gt;4, " + " &amp; IFERROR(INDEX('SAÍDA DE VENDAS'!$H$6:$H$500 &amp; "x " &amp; 'SAÍDA DE VENDAS'!$G$6:$G$500, MATCH(B558, 'SAÍDA DE VENDAS'!$B$6:$B$500, 0)+4), ""), "")&amp; IF(COUNTIF('SAÍDA DE VENDAS'!$B$6:$B$500, B558)&gt;5, " + " &amp; IFERROR(INDEX('SAÍDA DE VENDAS'!$H$6:$H$500 &amp; "x " &amp; 'SAÍDA DE VENDAS'!$G$6:$G$500, MATCH(B558, 'SAÍDA DE VENDAS'!$B$6:$B$500, 0)+5), ""), ""))</f>
        <v/>
      </c>
      <c r="G558" s="28">
        <f>IFERROR(VLOOKUP(B558,'SAÍDA DE VENDAS'!$B$6:$P$500,10,FALSE),"")</f>
        <v>0</v>
      </c>
      <c r="H558" s="28" t="str">
        <f>IF(OR(ISBLANK(B558),B558=""), "", IF(B558=B557, (VALUE(LEFT(H557,FIND("/",H557)-1))+1)&amp;"/"&amp;RIGHT(H557,LEN(H557)-FIND("/",H557)), "1/"&amp;IFERROR(VLOOKUP(B558,'SAÍDA DE VENDAS'!$B$6:$P$500,13,FALSE),"1")))</f>
        <v/>
      </c>
      <c r="I558" s="69" t="str">
        <f t="shared" si="16"/>
        <v/>
      </c>
      <c r="J558" s="33" t="str">
        <f>IFERROR(VLOOKUP(B558,'SAÍDA DE VENDAS'!$B$6:$P$500,15,FALSE),"")</f>
        <v/>
      </c>
      <c r="K558" s="28" t="str">
        <f t="shared" ca="1" si="17"/>
        <v/>
      </c>
      <c r="L558" s="28"/>
      <c r="M558" s="28"/>
    </row>
    <row r="559" spans="2:13" ht="15" customHeight="1" x14ac:dyDescent="0.3">
      <c r="B559" s="34" t="str">
        <f>IF(B558="","", IF(VALUE(LEFT(H558,FIND("/",H558)-1)) &lt; VALUE(RIGHT(H558,LEN(H558)-FIND("/",H558))), B558, IFERROR(INDEX('SAÍDA DE VENDAS'!$B$6:$B$500, MATCH(B558,'SAÍDA DE VENDAS'!$B$6:$B$500,0)+COUNTIF('SAÍDA DE VENDAS'!$B$6:$B$500, B558)),"")))</f>
        <v/>
      </c>
      <c r="C559" s="35">
        <f>IFERROR(VLOOKUP(B559,'SAÍDA DE VENDAS'!$B$6:$P$500,3,FALSE),"")</f>
        <v>0</v>
      </c>
      <c r="D559" s="34">
        <f>IFERROR(VLOOKUP(B559,'SAÍDA DE VENDAS'!$B$6:$P$500,4,FALSE),"")</f>
        <v>0</v>
      </c>
      <c r="E559" s="34" t="str">
        <f>IFERROR(VLOOKUP(B559,'SAÍDA DE VENDAS'!$B$6:$P$500,5,FALSE),"")</f>
        <v/>
      </c>
      <c r="F559" s="34" t="str">
        <f>IF(OR(ISBLANK(B559),B559=""), "", IFERROR(INDEX('SAÍDA DE VENDAS'!$H$6:$H$500 &amp; "x " &amp; 'SAÍDA DE VENDAS'!$G$6:$G$500, MATCH(B559, 'SAÍDA DE VENDAS'!$B$6:$B$500, 0)), "")&amp; IF(COUNTIF('SAÍDA DE VENDAS'!$B$6:$B$500, B559)&gt;1, " + " &amp; IFERROR(INDEX('SAÍDA DE VENDAS'!$H$6:$H$500 &amp; "x " &amp; 'SAÍDA DE VENDAS'!$G$6:$G$500, MATCH(B559, 'SAÍDA DE VENDAS'!$B$6:$B$500, 0)+1), ""), "")&amp; IF(COUNTIF('SAÍDA DE VENDAS'!$B$6:$B$500, B559)&gt;2, " + " &amp; IFERROR(INDEX('SAÍDA DE VENDAS'!$H$6:$H$500 &amp; "x " &amp; 'SAÍDA DE VENDAS'!$G$6:$G$500, MATCH(B559, 'SAÍDA DE VENDAS'!$B$6:$B$500, 0)+2), ""), "")&amp; IF(COUNTIF('SAÍDA DE VENDAS'!$B$6:$B$500, B559)&gt;3, " + " &amp; IFERROR(INDEX('SAÍDA DE VENDAS'!$H$6:$H$500 &amp; "x " &amp; 'SAÍDA DE VENDAS'!$G$6:$G$500, MATCH(B559, 'SAÍDA DE VENDAS'!$B$6:$B$500, 0)+3), ""), "")&amp; IF(COUNTIF('SAÍDA DE VENDAS'!$B$6:$B$500, B559)&gt;4, " + " &amp; IFERROR(INDEX('SAÍDA DE VENDAS'!$H$6:$H$500 &amp; "x " &amp; 'SAÍDA DE VENDAS'!$G$6:$G$500, MATCH(B559, 'SAÍDA DE VENDAS'!$B$6:$B$500, 0)+4), ""), "")&amp; IF(COUNTIF('SAÍDA DE VENDAS'!$B$6:$B$500, B559)&gt;5, " + " &amp; IFERROR(INDEX('SAÍDA DE VENDAS'!$H$6:$H$500 &amp; "x " &amp; 'SAÍDA DE VENDAS'!$G$6:$G$500, MATCH(B559, 'SAÍDA DE VENDAS'!$B$6:$B$500, 0)+5), ""), ""))</f>
        <v/>
      </c>
      <c r="G559" s="34">
        <f>IFERROR(VLOOKUP(B559,'SAÍDA DE VENDAS'!$B$6:$P$500,10,FALSE),"")</f>
        <v>0</v>
      </c>
      <c r="H559" s="34" t="str">
        <f>IF(OR(ISBLANK(B559),B559=""), "", IF(B559=B558, (VALUE(LEFT(H558,FIND("/",H558)-1))+1)&amp;"/"&amp;RIGHT(H558,LEN(H558)-FIND("/",H558)), "1/"&amp;IFERROR(VLOOKUP(B559,'SAÍDA DE VENDAS'!$B$6:$P$500,13,FALSE),"1")))</f>
        <v/>
      </c>
      <c r="I559" s="35" t="str">
        <f t="shared" si="16"/>
        <v/>
      </c>
      <c r="J559" s="39" t="str">
        <f>IFERROR(VLOOKUP(B559,'SAÍDA DE VENDAS'!$B$6:$P$500,15,FALSE),"")</f>
        <v/>
      </c>
      <c r="K559" s="34" t="str">
        <f t="shared" ca="1" si="17"/>
        <v/>
      </c>
      <c r="L559" s="34"/>
      <c r="M559" s="34"/>
    </row>
    <row r="560" spans="2:13" ht="15" customHeight="1" x14ac:dyDescent="0.3">
      <c r="B560" s="28" t="str">
        <f>IF(B559="","", IF(VALUE(LEFT(H559,FIND("/",H559)-1)) &lt; VALUE(RIGHT(H559,LEN(H559)-FIND("/",H559))), B559, IFERROR(INDEX('SAÍDA DE VENDAS'!$B$6:$B$500, MATCH(B559,'SAÍDA DE VENDAS'!$B$6:$B$500,0)+COUNTIF('SAÍDA DE VENDAS'!$B$6:$B$500, B559)),"")))</f>
        <v/>
      </c>
      <c r="C560" s="29">
        <f>IFERROR(VLOOKUP(B560,'SAÍDA DE VENDAS'!$B$6:$P$500,3,FALSE),"")</f>
        <v>0</v>
      </c>
      <c r="D560" s="28">
        <f>IFERROR(VLOOKUP(B560,'SAÍDA DE VENDAS'!$B$6:$P$500,4,FALSE),"")</f>
        <v>0</v>
      </c>
      <c r="E560" s="28" t="str">
        <f>IFERROR(VLOOKUP(B560,'SAÍDA DE VENDAS'!$B$6:$P$500,5,FALSE),"")</f>
        <v/>
      </c>
      <c r="F560" s="28" t="str">
        <f>IF(OR(ISBLANK(B560),B560=""), "", IFERROR(INDEX('SAÍDA DE VENDAS'!$H$6:$H$500 &amp; "x " &amp; 'SAÍDA DE VENDAS'!$G$6:$G$500, MATCH(B560, 'SAÍDA DE VENDAS'!$B$6:$B$500, 0)), "")&amp; IF(COUNTIF('SAÍDA DE VENDAS'!$B$6:$B$500, B560)&gt;1, " + " &amp; IFERROR(INDEX('SAÍDA DE VENDAS'!$H$6:$H$500 &amp; "x " &amp; 'SAÍDA DE VENDAS'!$G$6:$G$500, MATCH(B560, 'SAÍDA DE VENDAS'!$B$6:$B$500, 0)+1), ""), "")&amp; IF(COUNTIF('SAÍDA DE VENDAS'!$B$6:$B$500, B560)&gt;2, " + " &amp; IFERROR(INDEX('SAÍDA DE VENDAS'!$H$6:$H$500 &amp; "x " &amp; 'SAÍDA DE VENDAS'!$G$6:$G$500, MATCH(B560, 'SAÍDA DE VENDAS'!$B$6:$B$500, 0)+2), ""), "")&amp; IF(COUNTIF('SAÍDA DE VENDAS'!$B$6:$B$500, B560)&gt;3, " + " &amp; IFERROR(INDEX('SAÍDA DE VENDAS'!$H$6:$H$500 &amp; "x " &amp; 'SAÍDA DE VENDAS'!$G$6:$G$500, MATCH(B560, 'SAÍDA DE VENDAS'!$B$6:$B$500, 0)+3), ""), "")&amp; IF(COUNTIF('SAÍDA DE VENDAS'!$B$6:$B$500, B560)&gt;4, " + " &amp; IFERROR(INDEX('SAÍDA DE VENDAS'!$H$6:$H$500 &amp; "x " &amp; 'SAÍDA DE VENDAS'!$G$6:$G$500, MATCH(B560, 'SAÍDA DE VENDAS'!$B$6:$B$500, 0)+4), ""), "")&amp; IF(COUNTIF('SAÍDA DE VENDAS'!$B$6:$B$500, B560)&gt;5, " + " &amp; IFERROR(INDEX('SAÍDA DE VENDAS'!$H$6:$H$500 &amp; "x " &amp; 'SAÍDA DE VENDAS'!$G$6:$G$500, MATCH(B560, 'SAÍDA DE VENDAS'!$B$6:$B$500, 0)+5), ""), ""))</f>
        <v/>
      </c>
      <c r="G560" s="28">
        <f>IFERROR(VLOOKUP(B560,'SAÍDA DE VENDAS'!$B$6:$P$500,10,FALSE),"")</f>
        <v>0</v>
      </c>
      <c r="H560" s="28" t="str">
        <f>IF(OR(ISBLANK(B560),B560=""), "", IF(B560=B559, (VALUE(LEFT(H559,FIND("/",H559)-1))+1)&amp;"/"&amp;RIGHT(H559,LEN(H559)-FIND("/",H559)), "1/"&amp;IFERROR(VLOOKUP(B560,'SAÍDA DE VENDAS'!$B$6:$P$500,13,FALSE),"1")))</f>
        <v/>
      </c>
      <c r="I560" s="69" t="str">
        <f t="shared" si="16"/>
        <v/>
      </c>
      <c r="J560" s="33" t="str">
        <f>IFERROR(VLOOKUP(B560,'SAÍDA DE VENDAS'!$B$6:$P$500,15,FALSE),"")</f>
        <v/>
      </c>
      <c r="K560" s="28" t="str">
        <f t="shared" ca="1" si="17"/>
        <v/>
      </c>
      <c r="L560" s="28"/>
      <c r="M560" s="28"/>
    </row>
    <row r="561" spans="2:13" ht="15" customHeight="1" x14ac:dyDescent="0.3">
      <c r="B561" s="34" t="str">
        <f>IF(B560="","", IF(VALUE(LEFT(H560,FIND("/",H560)-1)) &lt; VALUE(RIGHT(H560,LEN(H560)-FIND("/",H560))), B560, IFERROR(INDEX('SAÍDA DE VENDAS'!$B$6:$B$500, MATCH(B560,'SAÍDA DE VENDAS'!$B$6:$B$500,0)+COUNTIF('SAÍDA DE VENDAS'!$B$6:$B$500, B560)),"")))</f>
        <v/>
      </c>
      <c r="C561" s="35">
        <f>IFERROR(VLOOKUP(B561,'SAÍDA DE VENDAS'!$B$6:$P$500,3,FALSE),"")</f>
        <v>0</v>
      </c>
      <c r="D561" s="34">
        <f>IFERROR(VLOOKUP(B561,'SAÍDA DE VENDAS'!$B$6:$P$500,4,FALSE),"")</f>
        <v>0</v>
      </c>
      <c r="E561" s="34" t="str">
        <f>IFERROR(VLOOKUP(B561,'SAÍDA DE VENDAS'!$B$6:$P$500,5,FALSE),"")</f>
        <v/>
      </c>
      <c r="F561" s="34" t="str">
        <f>IF(OR(ISBLANK(B561),B561=""), "", IFERROR(INDEX('SAÍDA DE VENDAS'!$H$6:$H$500 &amp; "x " &amp; 'SAÍDA DE VENDAS'!$G$6:$G$500, MATCH(B561, 'SAÍDA DE VENDAS'!$B$6:$B$500, 0)), "")&amp; IF(COUNTIF('SAÍDA DE VENDAS'!$B$6:$B$500, B561)&gt;1, " + " &amp; IFERROR(INDEX('SAÍDA DE VENDAS'!$H$6:$H$500 &amp; "x " &amp; 'SAÍDA DE VENDAS'!$G$6:$G$500, MATCH(B561, 'SAÍDA DE VENDAS'!$B$6:$B$500, 0)+1), ""), "")&amp; IF(COUNTIF('SAÍDA DE VENDAS'!$B$6:$B$500, B561)&gt;2, " + " &amp; IFERROR(INDEX('SAÍDA DE VENDAS'!$H$6:$H$500 &amp; "x " &amp; 'SAÍDA DE VENDAS'!$G$6:$G$500, MATCH(B561, 'SAÍDA DE VENDAS'!$B$6:$B$500, 0)+2), ""), "")&amp; IF(COUNTIF('SAÍDA DE VENDAS'!$B$6:$B$500, B561)&gt;3, " + " &amp; IFERROR(INDEX('SAÍDA DE VENDAS'!$H$6:$H$500 &amp; "x " &amp; 'SAÍDA DE VENDAS'!$G$6:$G$500, MATCH(B561, 'SAÍDA DE VENDAS'!$B$6:$B$500, 0)+3), ""), "")&amp; IF(COUNTIF('SAÍDA DE VENDAS'!$B$6:$B$500, B561)&gt;4, " + " &amp; IFERROR(INDEX('SAÍDA DE VENDAS'!$H$6:$H$500 &amp; "x " &amp; 'SAÍDA DE VENDAS'!$G$6:$G$500, MATCH(B561, 'SAÍDA DE VENDAS'!$B$6:$B$500, 0)+4), ""), "")&amp; IF(COUNTIF('SAÍDA DE VENDAS'!$B$6:$B$500, B561)&gt;5, " + " &amp; IFERROR(INDEX('SAÍDA DE VENDAS'!$H$6:$H$500 &amp; "x " &amp; 'SAÍDA DE VENDAS'!$G$6:$G$500, MATCH(B561, 'SAÍDA DE VENDAS'!$B$6:$B$500, 0)+5), ""), ""))</f>
        <v/>
      </c>
      <c r="G561" s="34">
        <f>IFERROR(VLOOKUP(B561,'SAÍDA DE VENDAS'!$B$6:$P$500,10,FALSE),"")</f>
        <v>0</v>
      </c>
      <c r="H561" s="34" t="str">
        <f>IF(OR(ISBLANK(B561),B561=""), "", IF(B561=B560, (VALUE(LEFT(H560,FIND("/",H560)-1))+1)&amp;"/"&amp;RIGHT(H560,LEN(H560)-FIND("/",H560)), "1/"&amp;IFERROR(VLOOKUP(B561,'SAÍDA DE VENDAS'!$B$6:$P$500,13,FALSE),"1")))</f>
        <v/>
      </c>
      <c r="I561" s="35" t="str">
        <f t="shared" si="16"/>
        <v/>
      </c>
      <c r="J561" s="39" t="str">
        <f>IFERROR(VLOOKUP(B561,'SAÍDA DE VENDAS'!$B$6:$P$500,15,FALSE),"")</f>
        <v/>
      </c>
      <c r="K561" s="34" t="str">
        <f t="shared" ca="1" si="17"/>
        <v/>
      </c>
      <c r="L561" s="34"/>
      <c r="M561" s="34"/>
    </row>
    <row r="562" spans="2:13" ht="15" customHeight="1" x14ac:dyDescent="0.3">
      <c r="B562" s="28" t="str">
        <f>IF(B561="","", IF(VALUE(LEFT(H561,FIND("/",H561)-1)) &lt; VALUE(RIGHT(H561,LEN(H561)-FIND("/",H561))), B561, IFERROR(INDEX('SAÍDA DE VENDAS'!$B$6:$B$500, MATCH(B561,'SAÍDA DE VENDAS'!$B$6:$B$500,0)+COUNTIF('SAÍDA DE VENDAS'!$B$6:$B$500, B561)),"")))</f>
        <v/>
      </c>
      <c r="C562" s="29">
        <f>IFERROR(VLOOKUP(B562,'SAÍDA DE VENDAS'!$B$6:$P$500,3,FALSE),"")</f>
        <v>0</v>
      </c>
      <c r="D562" s="28">
        <f>IFERROR(VLOOKUP(B562,'SAÍDA DE VENDAS'!$B$6:$P$500,4,FALSE),"")</f>
        <v>0</v>
      </c>
      <c r="E562" s="28" t="str">
        <f>IFERROR(VLOOKUP(B562,'SAÍDA DE VENDAS'!$B$6:$P$500,5,FALSE),"")</f>
        <v/>
      </c>
      <c r="F562" s="28" t="str">
        <f>IF(OR(ISBLANK(B562),B562=""), "", IFERROR(INDEX('SAÍDA DE VENDAS'!$H$6:$H$500 &amp; "x " &amp; 'SAÍDA DE VENDAS'!$G$6:$G$500, MATCH(B562, 'SAÍDA DE VENDAS'!$B$6:$B$500, 0)), "")&amp; IF(COUNTIF('SAÍDA DE VENDAS'!$B$6:$B$500, B562)&gt;1, " + " &amp; IFERROR(INDEX('SAÍDA DE VENDAS'!$H$6:$H$500 &amp; "x " &amp; 'SAÍDA DE VENDAS'!$G$6:$G$500, MATCH(B562, 'SAÍDA DE VENDAS'!$B$6:$B$500, 0)+1), ""), "")&amp; IF(COUNTIF('SAÍDA DE VENDAS'!$B$6:$B$500, B562)&gt;2, " + " &amp; IFERROR(INDEX('SAÍDA DE VENDAS'!$H$6:$H$500 &amp; "x " &amp; 'SAÍDA DE VENDAS'!$G$6:$G$500, MATCH(B562, 'SAÍDA DE VENDAS'!$B$6:$B$500, 0)+2), ""), "")&amp; IF(COUNTIF('SAÍDA DE VENDAS'!$B$6:$B$500, B562)&gt;3, " + " &amp; IFERROR(INDEX('SAÍDA DE VENDAS'!$H$6:$H$500 &amp; "x " &amp; 'SAÍDA DE VENDAS'!$G$6:$G$500, MATCH(B562, 'SAÍDA DE VENDAS'!$B$6:$B$500, 0)+3), ""), "")&amp; IF(COUNTIF('SAÍDA DE VENDAS'!$B$6:$B$500, B562)&gt;4, " + " &amp; IFERROR(INDEX('SAÍDA DE VENDAS'!$H$6:$H$500 &amp; "x " &amp; 'SAÍDA DE VENDAS'!$G$6:$G$500, MATCH(B562, 'SAÍDA DE VENDAS'!$B$6:$B$500, 0)+4), ""), "")&amp; IF(COUNTIF('SAÍDA DE VENDAS'!$B$6:$B$500, B562)&gt;5, " + " &amp; IFERROR(INDEX('SAÍDA DE VENDAS'!$H$6:$H$500 &amp; "x " &amp; 'SAÍDA DE VENDAS'!$G$6:$G$500, MATCH(B562, 'SAÍDA DE VENDAS'!$B$6:$B$500, 0)+5), ""), ""))</f>
        <v/>
      </c>
      <c r="G562" s="28">
        <f>IFERROR(VLOOKUP(B562,'SAÍDA DE VENDAS'!$B$6:$P$500,10,FALSE),"")</f>
        <v>0</v>
      </c>
      <c r="H562" s="28" t="str">
        <f>IF(OR(ISBLANK(B562),B562=""), "", IF(B562=B561, (VALUE(LEFT(H561,FIND("/",H561)-1))+1)&amp;"/"&amp;RIGHT(H561,LEN(H561)-FIND("/",H561)), "1/"&amp;IFERROR(VLOOKUP(B562,'SAÍDA DE VENDAS'!$B$6:$P$500,13,FALSE),"1")))</f>
        <v/>
      </c>
      <c r="I562" s="69" t="str">
        <f t="shared" si="16"/>
        <v/>
      </c>
      <c r="J562" s="33" t="str">
        <f>IFERROR(VLOOKUP(B562,'SAÍDA DE VENDAS'!$B$6:$P$500,15,FALSE),"")</f>
        <v/>
      </c>
      <c r="K562" s="28" t="str">
        <f t="shared" ca="1" si="17"/>
        <v/>
      </c>
      <c r="L562" s="28"/>
      <c r="M562" s="28"/>
    </row>
    <row r="563" spans="2:13" ht="15" customHeight="1" x14ac:dyDescent="0.3">
      <c r="B563" s="34" t="str">
        <f>IF(B562="","", IF(VALUE(LEFT(H562,FIND("/",H562)-1)) &lt; VALUE(RIGHT(H562,LEN(H562)-FIND("/",H562))), B562, IFERROR(INDEX('SAÍDA DE VENDAS'!$B$6:$B$500, MATCH(B562,'SAÍDA DE VENDAS'!$B$6:$B$500,0)+COUNTIF('SAÍDA DE VENDAS'!$B$6:$B$500, B562)),"")))</f>
        <v/>
      </c>
      <c r="C563" s="35">
        <f>IFERROR(VLOOKUP(B563,'SAÍDA DE VENDAS'!$B$6:$P$500,3,FALSE),"")</f>
        <v>0</v>
      </c>
      <c r="D563" s="34">
        <f>IFERROR(VLOOKUP(B563,'SAÍDA DE VENDAS'!$B$6:$P$500,4,FALSE),"")</f>
        <v>0</v>
      </c>
      <c r="E563" s="34" t="str">
        <f>IFERROR(VLOOKUP(B563,'SAÍDA DE VENDAS'!$B$6:$P$500,5,FALSE),"")</f>
        <v/>
      </c>
      <c r="F563" s="34" t="str">
        <f>IF(OR(ISBLANK(B563),B563=""), "", IFERROR(INDEX('SAÍDA DE VENDAS'!$H$6:$H$500 &amp; "x " &amp; 'SAÍDA DE VENDAS'!$G$6:$G$500, MATCH(B563, 'SAÍDA DE VENDAS'!$B$6:$B$500, 0)), "")&amp; IF(COUNTIF('SAÍDA DE VENDAS'!$B$6:$B$500, B563)&gt;1, " + " &amp; IFERROR(INDEX('SAÍDA DE VENDAS'!$H$6:$H$500 &amp; "x " &amp; 'SAÍDA DE VENDAS'!$G$6:$G$500, MATCH(B563, 'SAÍDA DE VENDAS'!$B$6:$B$500, 0)+1), ""), "")&amp; IF(COUNTIF('SAÍDA DE VENDAS'!$B$6:$B$500, B563)&gt;2, " + " &amp; IFERROR(INDEX('SAÍDA DE VENDAS'!$H$6:$H$500 &amp; "x " &amp; 'SAÍDA DE VENDAS'!$G$6:$G$500, MATCH(B563, 'SAÍDA DE VENDAS'!$B$6:$B$500, 0)+2), ""), "")&amp; IF(COUNTIF('SAÍDA DE VENDAS'!$B$6:$B$500, B563)&gt;3, " + " &amp; IFERROR(INDEX('SAÍDA DE VENDAS'!$H$6:$H$500 &amp; "x " &amp; 'SAÍDA DE VENDAS'!$G$6:$G$500, MATCH(B563, 'SAÍDA DE VENDAS'!$B$6:$B$500, 0)+3), ""), "")&amp; IF(COUNTIF('SAÍDA DE VENDAS'!$B$6:$B$500, B563)&gt;4, " + " &amp; IFERROR(INDEX('SAÍDA DE VENDAS'!$H$6:$H$500 &amp; "x " &amp; 'SAÍDA DE VENDAS'!$G$6:$G$500, MATCH(B563, 'SAÍDA DE VENDAS'!$B$6:$B$500, 0)+4), ""), "")&amp; IF(COUNTIF('SAÍDA DE VENDAS'!$B$6:$B$500, B563)&gt;5, " + " &amp; IFERROR(INDEX('SAÍDA DE VENDAS'!$H$6:$H$500 &amp; "x " &amp; 'SAÍDA DE VENDAS'!$G$6:$G$500, MATCH(B563, 'SAÍDA DE VENDAS'!$B$6:$B$500, 0)+5), ""), ""))</f>
        <v/>
      </c>
      <c r="G563" s="34">
        <f>IFERROR(VLOOKUP(B563,'SAÍDA DE VENDAS'!$B$6:$P$500,10,FALSE),"")</f>
        <v>0</v>
      </c>
      <c r="H563" s="34" t="str">
        <f>IF(OR(ISBLANK(B563),B563=""), "", IF(B563=B562, (VALUE(LEFT(H562,FIND("/",H562)-1))+1)&amp;"/"&amp;RIGHT(H562,LEN(H562)-FIND("/",H562)), "1/"&amp;IFERROR(VLOOKUP(B563,'SAÍDA DE VENDAS'!$B$6:$P$500,13,FALSE),"1")))</f>
        <v/>
      </c>
      <c r="I563" s="35" t="str">
        <f t="shared" si="16"/>
        <v/>
      </c>
      <c r="J563" s="39" t="str">
        <f>IFERROR(VLOOKUP(B563,'SAÍDA DE VENDAS'!$B$6:$P$500,15,FALSE),"")</f>
        <v/>
      </c>
      <c r="K563" s="34" t="str">
        <f t="shared" ca="1" si="17"/>
        <v/>
      </c>
      <c r="L563" s="34"/>
      <c r="M563" s="34"/>
    </row>
    <row r="564" spans="2:13" ht="15" customHeight="1" x14ac:dyDescent="0.3">
      <c r="B564" s="28" t="str">
        <f>IF(B563="","", IF(VALUE(LEFT(H563,FIND("/",H563)-1)) &lt; VALUE(RIGHT(H563,LEN(H563)-FIND("/",H563))), B563, IFERROR(INDEX('SAÍDA DE VENDAS'!$B$6:$B$500, MATCH(B563,'SAÍDA DE VENDAS'!$B$6:$B$500,0)+COUNTIF('SAÍDA DE VENDAS'!$B$6:$B$500, B563)),"")))</f>
        <v/>
      </c>
      <c r="C564" s="29">
        <f>IFERROR(VLOOKUP(B564,'SAÍDA DE VENDAS'!$B$6:$P$500,3,FALSE),"")</f>
        <v>0</v>
      </c>
      <c r="D564" s="28">
        <f>IFERROR(VLOOKUP(B564,'SAÍDA DE VENDAS'!$B$6:$P$500,4,FALSE),"")</f>
        <v>0</v>
      </c>
      <c r="E564" s="28" t="str">
        <f>IFERROR(VLOOKUP(B564,'SAÍDA DE VENDAS'!$B$6:$P$500,5,FALSE),"")</f>
        <v/>
      </c>
      <c r="F564" s="28" t="str">
        <f>IF(OR(ISBLANK(B564),B564=""), "", IFERROR(INDEX('SAÍDA DE VENDAS'!$H$6:$H$500 &amp; "x " &amp; 'SAÍDA DE VENDAS'!$G$6:$G$500, MATCH(B564, 'SAÍDA DE VENDAS'!$B$6:$B$500, 0)), "")&amp; IF(COUNTIF('SAÍDA DE VENDAS'!$B$6:$B$500, B564)&gt;1, " + " &amp; IFERROR(INDEX('SAÍDA DE VENDAS'!$H$6:$H$500 &amp; "x " &amp; 'SAÍDA DE VENDAS'!$G$6:$G$500, MATCH(B564, 'SAÍDA DE VENDAS'!$B$6:$B$500, 0)+1), ""), "")&amp; IF(COUNTIF('SAÍDA DE VENDAS'!$B$6:$B$500, B564)&gt;2, " + " &amp; IFERROR(INDEX('SAÍDA DE VENDAS'!$H$6:$H$500 &amp; "x " &amp; 'SAÍDA DE VENDAS'!$G$6:$G$500, MATCH(B564, 'SAÍDA DE VENDAS'!$B$6:$B$500, 0)+2), ""), "")&amp; IF(COUNTIF('SAÍDA DE VENDAS'!$B$6:$B$500, B564)&gt;3, " + " &amp; IFERROR(INDEX('SAÍDA DE VENDAS'!$H$6:$H$500 &amp; "x " &amp; 'SAÍDA DE VENDAS'!$G$6:$G$500, MATCH(B564, 'SAÍDA DE VENDAS'!$B$6:$B$500, 0)+3), ""), "")&amp; IF(COUNTIF('SAÍDA DE VENDAS'!$B$6:$B$500, B564)&gt;4, " + " &amp; IFERROR(INDEX('SAÍDA DE VENDAS'!$H$6:$H$500 &amp; "x " &amp; 'SAÍDA DE VENDAS'!$G$6:$G$500, MATCH(B564, 'SAÍDA DE VENDAS'!$B$6:$B$500, 0)+4), ""), "")&amp; IF(COUNTIF('SAÍDA DE VENDAS'!$B$6:$B$500, B564)&gt;5, " + " &amp; IFERROR(INDEX('SAÍDA DE VENDAS'!$H$6:$H$500 &amp; "x " &amp; 'SAÍDA DE VENDAS'!$G$6:$G$500, MATCH(B564, 'SAÍDA DE VENDAS'!$B$6:$B$500, 0)+5), ""), ""))</f>
        <v/>
      </c>
      <c r="G564" s="28">
        <f>IFERROR(VLOOKUP(B564,'SAÍDA DE VENDAS'!$B$6:$P$500,10,FALSE),"")</f>
        <v>0</v>
      </c>
      <c r="H564" s="28" t="str">
        <f>IF(OR(ISBLANK(B564),B564=""), "", IF(B564=B563, (VALUE(LEFT(H563,FIND("/",H563)-1))+1)&amp;"/"&amp;RIGHT(H563,LEN(H563)-FIND("/",H563)), "1/"&amp;IFERROR(VLOOKUP(B564,'SAÍDA DE VENDAS'!$B$6:$P$500,13,FALSE),"1")))</f>
        <v/>
      </c>
      <c r="I564" s="69" t="str">
        <f t="shared" si="16"/>
        <v/>
      </c>
      <c r="J564" s="33" t="str">
        <f>IFERROR(VLOOKUP(B564,'SAÍDA DE VENDAS'!$B$6:$P$500,15,FALSE),"")</f>
        <v/>
      </c>
      <c r="K564" s="28" t="str">
        <f t="shared" ca="1" si="17"/>
        <v/>
      </c>
      <c r="L564" s="28"/>
      <c r="M564" s="28"/>
    </row>
    <row r="565" spans="2:13" ht="15" customHeight="1" x14ac:dyDescent="0.3">
      <c r="B565" s="34" t="str">
        <f>IF(B564="","", IF(VALUE(LEFT(H564,FIND("/",H564)-1)) &lt; VALUE(RIGHT(H564,LEN(H564)-FIND("/",H564))), B564, IFERROR(INDEX('SAÍDA DE VENDAS'!$B$6:$B$500, MATCH(B564,'SAÍDA DE VENDAS'!$B$6:$B$500,0)+COUNTIF('SAÍDA DE VENDAS'!$B$6:$B$500, B564)),"")))</f>
        <v/>
      </c>
      <c r="C565" s="35">
        <f>IFERROR(VLOOKUP(B565,'SAÍDA DE VENDAS'!$B$6:$P$500,3,FALSE),"")</f>
        <v>0</v>
      </c>
      <c r="D565" s="34">
        <f>IFERROR(VLOOKUP(B565,'SAÍDA DE VENDAS'!$B$6:$P$500,4,FALSE),"")</f>
        <v>0</v>
      </c>
      <c r="E565" s="34" t="str">
        <f>IFERROR(VLOOKUP(B565,'SAÍDA DE VENDAS'!$B$6:$P$500,5,FALSE),"")</f>
        <v/>
      </c>
      <c r="F565" s="34" t="str">
        <f>IF(OR(ISBLANK(B565),B565=""), "", IFERROR(INDEX('SAÍDA DE VENDAS'!$H$6:$H$500 &amp; "x " &amp; 'SAÍDA DE VENDAS'!$G$6:$G$500, MATCH(B565, 'SAÍDA DE VENDAS'!$B$6:$B$500, 0)), "")&amp; IF(COUNTIF('SAÍDA DE VENDAS'!$B$6:$B$500, B565)&gt;1, " + " &amp; IFERROR(INDEX('SAÍDA DE VENDAS'!$H$6:$H$500 &amp; "x " &amp; 'SAÍDA DE VENDAS'!$G$6:$G$500, MATCH(B565, 'SAÍDA DE VENDAS'!$B$6:$B$500, 0)+1), ""), "")&amp; IF(COUNTIF('SAÍDA DE VENDAS'!$B$6:$B$500, B565)&gt;2, " + " &amp; IFERROR(INDEX('SAÍDA DE VENDAS'!$H$6:$H$500 &amp; "x " &amp; 'SAÍDA DE VENDAS'!$G$6:$G$500, MATCH(B565, 'SAÍDA DE VENDAS'!$B$6:$B$500, 0)+2), ""), "")&amp; IF(COUNTIF('SAÍDA DE VENDAS'!$B$6:$B$500, B565)&gt;3, " + " &amp; IFERROR(INDEX('SAÍDA DE VENDAS'!$H$6:$H$500 &amp; "x " &amp; 'SAÍDA DE VENDAS'!$G$6:$G$500, MATCH(B565, 'SAÍDA DE VENDAS'!$B$6:$B$500, 0)+3), ""), "")&amp; IF(COUNTIF('SAÍDA DE VENDAS'!$B$6:$B$500, B565)&gt;4, " + " &amp; IFERROR(INDEX('SAÍDA DE VENDAS'!$H$6:$H$500 &amp; "x " &amp; 'SAÍDA DE VENDAS'!$G$6:$G$500, MATCH(B565, 'SAÍDA DE VENDAS'!$B$6:$B$500, 0)+4), ""), "")&amp; IF(COUNTIF('SAÍDA DE VENDAS'!$B$6:$B$500, B565)&gt;5, " + " &amp; IFERROR(INDEX('SAÍDA DE VENDAS'!$H$6:$H$500 &amp; "x " &amp; 'SAÍDA DE VENDAS'!$G$6:$G$500, MATCH(B565, 'SAÍDA DE VENDAS'!$B$6:$B$500, 0)+5), ""), ""))</f>
        <v/>
      </c>
      <c r="G565" s="34">
        <f>IFERROR(VLOOKUP(B565,'SAÍDA DE VENDAS'!$B$6:$P$500,10,FALSE),"")</f>
        <v>0</v>
      </c>
      <c r="H565" s="34" t="str">
        <f>IF(OR(ISBLANK(B565),B565=""), "", IF(B565=B564, (VALUE(LEFT(H564,FIND("/",H564)-1))+1)&amp;"/"&amp;RIGHT(H564,LEN(H564)-FIND("/",H564)), "1/"&amp;IFERROR(VLOOKUP(B565,'SAÍDA DE VENDAS'!$B$6:$P$500,13,FALSE),"1")))</f>
        <v/>
      </c>
      <c r="I565" s="35" t="str">
        <f t="shared" si="16"/>
        <v/>
      </c>
      <c r="J565" s="39" t="str">
        <f>IFERROR(VLOOKUP(B565,'SAÍDA DE VENDAS'!$B$6:$P$500,15,FALSE),"")</f>
        <v/>
      </c>
      <c r="K565" s="34" t="str">
        <f t="shared" ca="1" si="17"/>
        <v/>
      </c>
      <c r="L565" s="34"/>
      <c r="M565" s="34"/>
    </row>
    <row r="566" spans="2:13" ht="15" customHeight="1" x14ac:dyDescent="0.3">
      <c r="B566" s="28" t="str">
        <f>IF(B565="","", IF(VALUE(LEFT(H565,FIND("/",H565)-1)) &lt; VALUE(RIGHT(H565,LEN(H565)-FIND("/",H565))), B565, IFERROR(INDEX('SAÍDA DE VENDAS'!$B$6:$B$500, MATCH(B565,'SAÍDA DE VENDAS'!$B$6:$B$500,0)+COUNTIF('SAÍDA DE VENDAS'!$B$6:$B$500, B565)),"")))</f>
        <v/>
      </c>
      <c r="C566" s="29">
        <f>IFERROR(VLOOKUP(B566,'SAÍDA DE VENDAS'!$B$6:$P$500,3,FALSE),"")</f>
        <v>0</v>
      </c>
      <c r="D566" s="28">
        <f>IFERROR(VLOOKUP(B566,'SAÍDA DE VENDAS'!$B$6:$P$500,4,FALSE),"")</f>
        <v>0</v>
      </c>
      <c r="E566" s="28" t="str">
        <f>IFERROR(VLOOKUP(B566,'SAÍDA DE VENDAS'!$B$6:$P$500,5,FALSE),"")</f>
        <v/>
      </c>
      <c r="F566" s="28" t="str">
        <f>IF(OR(ISBLANK(B566),B566=""), "", IFERROR(INDEX('SAÍDA DE VENDAS'!$H$6:$H$500 &amp; "x " &amp; 'SAÍDA DE VENDAS'!$G$6:$G$500, MATCH(B566, 'SAÍDA DE VENDAS'!$B$6:$B$500, 0)), "")&amp; IF(COUNTIF('SAÍDA DE VENDAS'!$B$6:$B$500, B566)&gt;1, " + " &amp; IFERROR(INDEX('SAÍDA DE VENDAS'!$H$6:$H$500 &amp; "x " &amp; 'SAÍDA DE VENDAS'!$G$6:$G$500, MATCH(B566, 'SAÍDA DE VENDAS'!$B$6:$B$500, 0)+1), ""), "")&amp; IF(COUNTIF('SAÍDA DE VENDAS'!$B$6:$B$500, B566)&gt;2, " + " &amp; IFERROR(INDEX('SAÍDA DE VENDAS'!$H$6:$H$500 &amp; "x " &amp; 'SAÍDA DE VENDAS'!$G$6:$G$500, MATCH(B566, 'SAÍDA DE VENDAS'!$B$6:$B$500, 0)+2), ""), "")&amp; IF(COUNTIF('SAÍDA DE VENDAS'!$B$6:$B$500, B566)&gt;3, " + " &amp; IFERROR(INDEX('SAÍDA DE VENDAS'!$H$6:$H$500 &amp; "x " &amp; 'SAÍDA DE VENDAS'!$G$6:$G$500, MATCH(B566, 'SAÍDA DE VENDAS'!$B$6:$B$500, 0)+3), ""), "")&amp; IF(COUNTIF('SAÍDA DE VENDAS'!$B$6:$B$500, B566)&gt;4, " + " &amp; IFERROR(INDEX('SAÍDA DE VENDAS'!$H$6:$H$500 &amp; "x " &amp; 'SAÍDA DE VENDAS'!$G$6:$G$500, MATCH(B566, 'SAÍDA DE VENDAS'!$B$6:$B$500, 0)+4), ""), "")&amp; IF(COUNTIF('SAÍDA DE VENDAS'!$B$6:$B$500, B566)&gt;5, " + " &amp; IFERROR(INDEX('SAÍDA DE VENDAS'!$H$6:$H$500 &amp; "x " &amp; 'SAÍDA DE VENDAS'!$G$6:$G$500, MATCH(B566, 'SAÍDA DE VENDAS'!$B$6:$B$500, 0)+5), ""), ""))</f>
        <v/>
      </c>
      <c r="G566" s="28">
        <f>IFERROR(VLOOKUP(B566,'SAÍDA DE VENDAS'!$B$6:$P$500,10,FALSE),"")</f>
        <v>0</v>
      </c>
      <c r="H566" s="28" t="str">
        <f>IF(OR(ISBLANK(B566),B566=""), "", IF(B566=B565, (VALUE(LEFT(H565,FIND("/",H565)-1))+1)&amp;"/"&amp;RIGHT(H565,LEN(H565)-FIND("/",H565)), "1/"&amp;IFERROR(VLOOKUP(B566,'SAÍDA DE VENDAS'!$B$6:$P$500,13,FALSE),"1")))</f>
        <v/>
      </c>
      <c r="I566" s="69" t="str">
        <f t="shared" si="16"/>
        <v/>
      </c>
      <c r="J566" s="33" t="str">
        <f>IFERROR(VLOOKUP(B566,'SAÍDA DE VENDAS'!$B$6:$P$500,15,FALSE),"")</f>
        <v/>
      </c>
      <c r="K566" s="28" t="str">
        <f t="shared" ca="1" si="17"/>
        <v/>
      </c>
      <c r="L566" s="28"/>
      <c r="M566" s="28"/>
    </row>
    <row r="567" spans="2:13" ht="15" customHeight="1" x14ac:dyDescent="0.3">
      <c r="B567" s="34" t="str">
        <f>IF(B566="","", IF(VALUE(LEFT(H566,FIND("/",H566)-1)) &lt; VALUE(RIGHT(H566,LEN(H566)-FIND("/",H566))), B566, IFERROR(INDEX('SAÍDA DE VENDAS'!$B$6:$B$500, MATCH(B566,'SAÍDA DE VENDAS'!$B$6:$B$500,0)+COUNTIF('SAÍDA DE VENDAS'!$B$6:$B$500, B566)),"")))</f>
        <v/>
      </c>
      <c r="C567" s="35">
        <f>IFERROR(VLOOKUP(B567,'SAÍDA DE VENDAS'!$B$6:$P$500,3,FALSE),"")</f>
        <v>0</v>
      </c>
      <c r="D567" s="34">
        <f>IFERROR(VLOOKUP(B567,'SAÍDA DE VENDAS'!$B$6:$P$500,4,FALSE),"")</f>
        <v>0</v>
      </c>
      <c r="E567" s="34" t="str">
        <f>IFERROR(VLOOKUP(B567,'SAÍDA DE VENDAS'!$B$6:$P$500,5,FALSE),"")</f>
        <v/>
      </c>
      <c r="F567" s="34" t="str">
        <f>IF(OR(ISBLANK(B567),B567=""), "", IFERROR(INDEX('SAÍDA DE VENDAS'!$H$6:$H$500 &amp; "x " &amp; 'SAÍDA DE VENDAS'!$G$6:$G$500, MATCH(B567, 'SAÍDA DE VENDAS'!$B$6:$B$500, 0)), "")&amp; IF(COUNTIF('SAÍDA DE VENDAS'!$B$6:$B$500, B567)&gt;1, " + " &amp; IFERROR(INDEX('SAÍDA DE VENDAS'!$H$6:$H$500 &amp; "x " &amp; 'SAÍDA DE VENDAS'!$G$6:$G$500, MATCH(B567, 'SAÍDA DE VENDAS'!$B$6:$B$500, 0)+1), ""), "")&amp; IF(COUNTIF('SAÍDA DE VENDAS'!$B$6:$B$500, B567)&gt;2, " + " &amp; IFERROR(INDEX('SAÍDA DE VENDAS'!$H$6:$H$500 &amp; "x " &amp; 'SAÍDA DE VENDAS'!$G$6:$G$500, MATCH(B567, 'SAÍDA DE VENDAS'!$B$6:$B$500, 0)+2), ""), "")&amp; IF(COUNTIF('SAÍDA DE VENDAS'!$B$6:$B$500, B567)&gt;3, " + " &amp; IFERROR(INDEX('SAÍDA DE VENDAS'!$H$6:$H$500 &amp; "x " &amp; 'SAÍDA DE VENDAS'!$G$6:$G$500, MATCH(B567, 'SAÍDA DE VENDAS'!$B$6:$B$500, 0)+3), ""), "")&amp; IF(COUNTIF('SAÍDA DE VENDAS'!$B$6:$B$500, B567)&gt;4, " + " &amp; IFERROR(INDEX('SAÍDA DE VENDAS'!$H$6:$H$500 &amp; "x " &amp; 'SAÍDA DE VENDAS'!$G$6:$G$500, MATCH(B567, 'SAÍDA DE VENDAS'!$B$6:$B$500, 0)+4), ""), "")&amp; IF(COUNTIF('SAÍDA DE VENDAS'!$B$6:$B$500, B567)&gt;5, " + " &amp; IFERROR(INDEX('SAÍDA DE VENDAS'!$H$6:$H$500 &amp; "x " &amp; 'SAÍDA DE VENDAS'!$G$6:$G$500, MATCH(B567, 'SAÍDA DE VENDAS'!$B$6:$B$500, 0)+5), ""), ""))</f>
        <v/>
      </c>
      <c r="G567" s="34">
        <f>IFERROR(VLOOKUP(B567,'SAÍDA DE VENDAS'!$B$6:$P$500,10,FALSE),"")</f>
        <v>0</v>
      </c>
      <c r="H567" s="34" t="str">
        <f>IF(OR(ISBLANK(B567),B567=""), "", IF(B567=B566, (VALUE(LEFT(H566,FIND("/",H566)-1))+1)&amp;"/"&amp;RIGHT(H566,LEN(H566)-FIND("/",H566)), "1/"&amp;IFERROR(VLOOKUP(B567,'SAÍDA DE VENDAS'!$B$6:$P$500,13,FALSE),"1")))</f>
        <v/>
      </c>
      <c r="I567" s="35" t="str">
        <f t="shared" si="16"/>
        <v/>
      </c>
      <c r="J567" s="39" t="str">
        <f>IFERROR(VLOOKUP(B567,'SAÍDA DE VENDAS'!$B$6:$P$500,15,FALSE),"")</f>
        <v/>
      </c>
      <c r="K567" s="34" t="str">
        <f t="shared" ca="1" si="17"/>
        <v/>
      </c>
      <c r="L567" s="34"/>
      <c r="M567" s="34"/>
    </row>
    <row r="568" spans="2:13" ht="15" customHeight="1" x14ac:dyDescent="0.3">
      <c r="B568" s="28" t="str">
        <f>IF(B567="","", IF(VALUE(LEFT(H567,FIND("/",H567)-1)) &lt; VALUE(RIGHT(H567,LEN(H567)-FIND("/",H567))), B567, IFERROR(INDEX('SAÍDA DE VENDAS'!$B$6:$B$500, MATCH(B567,'SAÍDA DE VENDAS'!$B$6:$B$500,0)+COUNTIF('SAÍDA DE VENDAS'!$B$6:$B$500, B567)),"")))</f>
        <v/>
      </c>
      <c r="C568" s="29">
        <f>IFERROR(VLOOKUP(B568,'SAÍDA DE VENDAS'!$B$6:$P$500,3,FALSE),"")</f>
        <v>0</v>
      </c>
      <c r="D568" s="28">
        <f>IFERROR(VLOOKUP(B568,'SAÍDA DE VENDAS'!$B$6:$P$500,4,FALSE),"")</f>
        <v>0</v>
      </c>
      <c r="E568" s="28" t="str">
        <f>IFERROR(VLOOKUP(B568,'SAÍDA DE VENDAS'!$B$6:$P$500,5,FALSE),"")</f>
        <v/>
      </c>
      <c r="F568" s="28" t="str">
        <f>IF(OR(ISBLANK(B568),B568=""), "", IFERROR(INDEX('SAÍDA DE VENDAS'!$H$6:$H$500 &amp; "x " &amp; 'SAÍDA DE VENDAS'!$G$6:$G$500, MATCH(B568, 'SAÍDA DE VENDAS'!$B$6:$B$500, 0)), "")&amp; IF(COUNTIF('SAÍDA DE VENDAS'!$B$6:$B$500, B568)&gt;1, " + " &amp; IFERROR(INDEX('SAÍDA DE VENDAS'!$H$6:$H$500 &amp; "x " &amp; 'SAÍDA DE VENDAS'!$G$6:$G$500, MATCH(B568, 'SAÍDA DE VENDAS'!$B$6:$B$500, 0)+1), ""), "")&amp; IF(COUNTIF('SAÍDA DE VENDAS'!$B$6:$B$500, B568)&gt;2, " + " &amp; IFERROR(INDEX('SAÍDA DE VENDAS'!$H$6:$H$500 &amp; "x " &amp; 'SAÍDA DE VENDAS'!$G$6:$G$500, MATCH(B568, 'SAÍDA DE VENDAS'!$B$6:$B$500, 0)+2), ""), "")&amp; IF(COUNTIF('SAÍDA DE VENDAS'!$B$6:$B$500, B568)&gt;3, " + " &amp; IFERROR(INDEX('SAÍDA DE VENDAS'!$H$6:$H$500 &amp; "x " &amp; 'SAÍDA DE VENDAS'!$G$6:$G$500, MATCH(B568, 'SAÍDA DE VENDAS'!$B$6:$B$500, 0)+3), ""), "")&amp; IF(COUNTIF('SAÍDA DE VENDAS'!$B$6:$B$500, B568)&gt;4, " + " &amp; IFERROR(INDEX('SAÍDA DE VENDAS'!$H$6:$H$500 &amp; "x " &amp; 'SAÍDA DE VENDAS'!$G$6:$G$500, MATCH(B568, 'SAÍDA DE VENDAS'!$B$6:$B$500, 0)+4), ""), "")&amp; IF(COUNTIF('SAÍDA DE VENDAS'!$B$6:$B$500, B568)&gt;5, " + " &amp; IFERROR(INDEX('SAÍDA DE VENDAS'!$H$6:$H$500 &amp; "x " &amp; 'SAÍDA DE VENDAS'!$G$6:$G$500, MATCH(B568, 'SAÍDA DE VENDAS'!$B$6:$B$500, 0)+5), ""), ""))</f>
        <v/>
      </c>
      <c r="G568" s="28">
        <f>IFERROR(VLOOKUP(B568,'SAÍDA DE VENDAS'!$B$6:$P$500,10,FALSE),"")</f>
        <v>0</v>
      </c>
      <c r="H568" s="28" t="str">
        <f>IF(OR(ISBLANK(B568),B568=""), "", IF(B568=B567, (VALUE(LEFT(H567,FIND("/",H567)-1))+1)&amp;"/"&amp;RIGHT(H567,LEN(H567)-FIND("/",H567)), "1/"&amp;IFERROR(VLOOKUP(B568,'SAÍDA DE VENDAS'!$B$6:$P$500,13,FALSE),"1")))</f>
        <v/>
      </c>
      <c r="I568" s="69" t="str">
        <f t="shared" si="16"/>
        <v/>
      </c>
      <c r="J568" s="33" t="str">
        <f>IFERROR(VLOOKUP(B568,'SAÍDA DE VENDAS'!$B$6:$P$500,15,FALSE),"")</f>
        <v/>
      </c>
      <c r="K568" s="28" t="str">
        <f t="shared" ca="1" si="17"/>
        <v/>
      </c>
      <c r="L568" s="28"/>
      <c r="M568" s="28"/>
    </row>
    <row r="569" spans="2:13" ht="15" customHeight="1" x14ac:dyDescent="0.3">
      <c r="B569" s="34" t="str">
        <f>IF(B568="","", IF(VALUE(LEFT(H568,FIND("/",H568)-1)) &lt; VALUE(RIGHT(H568,LEN(H568)-FIND("/",H568))), B568, IFERROR(INDEX('SAÍDA DE VENDAS'!$B$6:$B$500, MATCH(B568,'SAÍDA DE VENDAS'!$B$6:$B$500,0)+COUNTIF('SAÍDA DE VENDAS'!$B$6:$B$500, B568)),"")))</f>
        <v/>
      </c>
      <c r="C569" s="35">
        <f>IFERROR(VLOOKUP(B569,'SAÍDA DE VENDAS'!$B$6:$P$500,3,FALSE),"")</f>
        <v>0</v>
      </c>
      <c r="D569" s="34">
        <f>IFERROR(VLOOKUP(B569,'SAÍDA DE VENDAS'!$B$6:$P$500,4,FALSE),"")</f>
        <v>0</v>
      </c>
      <c r="E569" s="34" t="str">
        <f>IFERROR(VLOOKUP(B569,'SAÍDA DE VENDAS'!$B$6:$P$500,5,FALSE),"")</f>
        <v/>
      </c>
      <c r="F569" s="34" t="str">
        <f>IF(OR(ISBLANK(B569),B569=""), "", IFERROR(INDEX('SAÍDA DE VENDAS'!$H$6:$H$500 &amp; "x " &amp; 'SAÍDA DE VENDAS'!$G$6:$G$500, MATCH(B569, 'SAÍDA DE VENDAS'!$B$6:$B$500, 0)), "")&amp; IF(COUNTIF('SAÍDA DE VENDAS'!$B$6:$B$500, B569)&gt;1, " + " &amp; IFERROR(INDEX('SAÍDA DE VENDAS'!$H$6:$H$500 &amp; "x " &amp; 'SAÍDA DE VENDAS'!$G$6:$G$500, MATCH(B569, 'SAÍDA DE VENDAS'!$B$6:$B$500, 0)+1), ""), "")&amp; IF(COUNTIF('SAÍDA DE VENDAS'!$B$6:$B$500, B569)&gt;2, " + " &amp; IFERROR(INDEX('SAÍDA DE VENDAS'!$H$6:$H$500 &amp; "x " &amp; 'SAÍDA DE VENDAS'!$G$6:$G$500, MATCH(B569, 'SAÍDA DE VENDAS'!$B$6:$B$500, 0)+2), ""), "")&amp; IF(COUNTIF('SAÍDA DE VENDAS'!$B$6:$B$500, B569)&gt;3, " + " &amp; IFERROR(INDEX('SAÍDA DE VENDAS'!$H$6:$H$500 &amp; "x " &amp; 'SAÍDA DE VENDAS'!$G$6:$G$500, MATCH(B569, 'SAÍDA DE VENDAS'!$B$6:$B$500, 0)+3), ""), "")&amp; IF(COUNTIF('SAÍDA DE VENDAS'!$B$6:$B$500, B569)&gt;4, " + " &amp; IFERROR(INDEX('SAÍDA DE VENDAS'!$H$6:$H$500 &amp; "x " &amp; 'SAÍDA DE VENDAS'!$G$6:$G$500, MATCH(B569, 'SAÍDA DE VENDAS'!$B$6:$B$500, 0)+4), ""), "")&amp; IF(COUNTIF('SAÍDA DE VENDAS'!$B$6:$B$500, B569)&gt;5, " + " &amp; IFERROR(INDEX('SAÍDA DE VENDAS'!$H$6:$H$500 &amp; "x " &amp; 'SAÍDA DE VENDAS'!$G$6:$G$500, MATCH(B569, 'SAÍDA DE VENDAS'!$B$6:$B$500, 0)+5), ""), ""))</f>
        <v/>
      </c>
      <c r="G569" s="34">
        <f>IFERROR(VLOOKUP(B569,'SAÍDA DE VENDAS'!$B$6:$P$500,10,FALSE),"")</f>
        <v>0</v>
      </c>
      <c r="H569" s="34" t="str">
        <f>IF(OR(ISBLANK(B569),B569=""), "", IF(B569=B568, (VALUE(LEFT(H568,FIND("/",H568)-1))+1)&amp;"/"&amp;RIGHT(H568,LEN(H568)-FIND("/",H568)), "1/"&amp;IFERROR(VLOOKUP(B569,'SAÍDA DE VENDAS'!$B$6:$P$500,13,FALSE),"1")))</f>
        <v/>
      </c>
      <c r="I569" s="35" t="str">
        <f t="shared" si="16"/>
        <v/>
      </c>
      <c r="J569" s="39" t="str">
        <f>IFERROR(VLOOKUP(B569,'SAÍDA DE VENDAS'!$B$6:$P$500,15,FALSE),"")</f>
        <v/>
      </c>
      <c r="K569" s="34" t="str">
        <f t="shared" ca="1" si="17"/>
        <v/>
      </c>
      <c r="L569" s="34"/>
      <c r="M569" s="34"/>
    </row>
    <row r="570" spans="2:13" ht="15" customHeight="1" x14ac:dyDescent="0.3">
      <c r="B570" s="28" t="str">
        <f>IF(B569="","", IF(VALUE(LEFT(H569,FIND("/",H569)-1)) &lt; VALUE(RIGHT(H569,LEN(H569)-FIND("/",H569))), B569, IFERROR(INDEX('SAÍDA DE VENDAS'!$B$6:$B$500, MATCH(B569,'SAÍDA DE VENDAS'!$B$6:$B$500,0)+COUNTIF('SAÍDA DE VENDAS'!$B$6:$B$500, B569)),"")))</f>
        <v/>
      </c>
      <c r="C570" s="29">
        <f>IFERROR(VLOOKUP(B570,'SAÍDA DE VENDAS'!$B$6:$P$500,3,FALSE),"")</f>
        <v>0</v>
      </c>
      <c r="D570" s="28">
        <f>IFERROR(VLOOKUP(B570,'SAÍDA DE VENDAS'!$B$6:$P$500,4,FALSE),"")</f>
        <v>0</v>
      </c>
      <c r="E570" s="28" t="str">
        <f>IFERROR(VLOOKUP(B570,'SAÍDA DE VENDAS'!$B$6:$P$500,5,FALSE),"")</f>
        <v/>
      </c>
      <c r="F570" s="28" t="str">
        <f>IF(OR(ISBLANK(B570),B570=""), "", IFERROR(INDEX('SAÍDA DE VENDAS'!$H$6:$H$500 &amp; "x " &amp; 'SAÍDA DE VENDAS'!$G$6:$G$500, MATCH(B570, 'SAÍDA DE VENDAS'!$B$6:$B$500, 0)), "")&amp; IF(COUNTIF('SAÍDA DE VENDAS'!$B$6:$B$500, B570)&gt;1, " + " &amp; IFERROR(INDEX('SAÍDA DE VENDAS'!$H$6:$H$500 &amp; "x " &amp; 'SAÍDA DE VENDAS'!$G$6:$G$500, MATCH(B570, 'SAÍDA DE VENDAS'!$B$6:$B$500, 0)+1), ""), "")&amp; IF(COUNTIF('SAÍDA DE VENDAS'!$B$6:$B$500, B570)&gt;2, " + " &amp; IFERROR(INDEX('SAÍDA DE VENDAS'!$H$6:$H$500 &amp; "x " &amp; 'SAÍDA DE VENDAS'!$G$6:$G$500, MATCH(B570, 'SAÍDA DE VENDAS'!$B$6:$B$500, 0)+2), ""), "")&amp; IF(COUNTIF('SAÍDA DE VENDAS'!$B$6:$B$500, B570)&gt;3, " + " &amp; IFERROR(INDEX('SAÍDA DE VENDAS'!$H$6:$H$500 &amp; "x " &amp; 'SAÍDA DE VENDAS'!$G$6:$G$500, MATCH(B570, 'SAÍDA DE VENDAS'!$B$6:$B$500, 0)+3), ""), "")&amp; IF(COUNTIF('SAÍDA DE VENDAS'!$B$6:$B$500, B570)&gt;4, " + " &amp; IFERROR(INDEX('SAÍDA DE VENDAS'!$H$6:$H$500 &amp; "x " &amp; 'SAÍDA DE VENDAS'!$G$6:$G$500, MATCH(B570, 'SAÍDA DE VENDAS'!$B$6:$B$500, 0)+4), ""), "")&amp; IF(COUNTIF('SAÍDA DE VENDAS'!$B$6:$B$500, B570)&gt;5, " + " &amp; IFERROR(INDEX('SAÍDA DE VENDAS'!$H$6:$H$500 &amp; "x " &amp; 'SAÍDA DE VENDAS'!$G$6:$G$500, MATCH(B570, 'SAÍDA DE VENDAS'!$B$6:$B$500, 0)+5), ""), ""))</f>
        <v/>
      </c>
      <c r="G570" s="28">
        <f>IFERROR(VLOOKUP(B570,'SAÍDA DE VENDAS'!$B$6:$P$500,10,FALSE),"")</f>
        <v>0</v>
      </c>
      <c r="H570" s="28" t="str">
        <f>IF(OR(ISBLANK(B570),B570=""), "", IF(B570=B569, (VALUE(LEFT(H569,FIND("/",H569)-1))+1)&amp;"/"&amp;RIGHT(H569,LEN(H569)-FIND("/",H569)), "1/"&amp;IFERROR(VLOOKUP(B570,'SAÍDA DE VENDAS'!$B$6:$P$500,13,FALSE),"1")))</f>
        <v/>
      </c>
      <c r="I570" s="69" t="str">
        <f t="shared" si="16"/>
        <v/>
      </c>
      <c r="J570" s="33" t="str">
        <f>IFERROR(VLOOKUP(B570,'SAÍDA DE VENDAS'!$B$6:$P$500,15,FALSE),"")</f>
        <v/>
      </c>
      <c r="K570" s="28" t="str">
        <f t="shared" ca="1" si="17"/>
        <v/>
      </c>
      <c r="L570" s="28"/>
      <c r="M570" s="28"/>
    </row>
    <row r="571" spans="2:13" ht="15" customHeight="1" x14ac:dyDescent="0.3">
      <c r="B571" s="34" t="str">
        <f>IF(B570="","", IF(VALUE(LEFT(H570,FIND("/",H570)-1)) &lt; VALUE(RIGHT(H570,LEN(H570)-FIND("/",H570))), B570, IFERROR(INDEX('SAÍDA DE VENDAS'!$B$6:$B$500, MATCH(B570,'SAÍDA DE VENDAS'!$B$6:$B$500,0)+COUNTIF('SAÍDA DE VENDAS'!$B$6:$B$500, B570)),"")))</f>
        <v/>
      </c>
      <c r="C571" s="35">
        <f>IFERROR(VLOOKUP(B571,'SAÍDA DE VENDAS'!$B$6:$P$500,3,FALSE),"")</f>
        <v>0</v>
      </c>
      <c r="D571" s="34">
        <f>IFERROR(VLOOKUP(B571,'SAÍDA DE VENDAS'!$B$6:$P$500,4,FALSE),"")</f>
        <v>0</v>
      </c>
      <c r="E571" s="34" t="str">
        <f>IFERROR(VLOOKUP(B571,'SAÍDA DE VENDAS'!$B$6:$P$500,5,FALSE),"")</f>
        <v/>
      </c>
      <c r="F571" s="34" t="str">
        <f>IF(OR(ISBLANK(B571),B571=""), "", IFERROR(INDEX('SAÍDA DE VENDAS'!$H$6:$H$500 &amp; "x " &amp; 'SAÍDA DE VENDAS'!$G$6:$G$500, MATCH(B571, 'SAÍDA DE VENDAS'!$B$6:$B$500, 0)), "")&amp; IF(COUNTIF('SAÍDA DE VENDAS'!$B$6:$B$500, B571)&gt;1, " + " &amp; IFERROR(INDEX('SAÍDA DE VENDAS'!$H$6:$H$500 &amp; "x " &amp; 'SAÍDA DE VENDAS'!$G$6:$G$500, MATCH(B571, 'SAÍDA DE VENDAS'!$B$6:$B$500, 0)+1), ""), "")&amp; IF(COUNTIF('SAÍDA DE VENDAS'!$B$6:$B$500, B571)&gt;2, " + " &amp; IFERROR(INDEX('SAÍDA DE VENDAS'!$H$6:$H$500 &amp; "x " &amp; 'SAÍDA DE VENDAS'!$G$6:$G$500, MATCH(B571, 'SAÍDA DE VENDAS'!$B$6:$B$500, 0)+2), ""), "")&amp; IF(COUNTIF('SAÍDA DE VENDAS'!$B$6:$B$500, B571)&gt;3, " + " &amp; IFERROR(INDEX('SAÍDA DE VENDAS'!$H$6:$H$500 &amp; "x " &amp; 'SAÍDA DE VENDAS'!$G$6:$G$500, MATCH(B571, 'SAÍDA DE VENDAS'!$B$6:$B$500, 0)+3), ""), "")&amp; IF(COUNTIF('SAÍDA DE VENDAS'!$B$6:$B$500, B571)&gt;4, " + " &amp; IFERROR(INDEX('SAÍDA DE VENDAS'!$H$6:$H$500 &amp; "x " &amp; 'SAÍDA DE VENDAS'!$G$6:$G$500, MATCH(B571, 'SAÍDA DE VENDAS'!$B$6:$B$500, 0)+4), ""), "")&amp; IF(COUNTIF('SAÍDA DE VENDAS'!$B$6:$B$500, B571)&gt;5, " + " &amp; IFERROR(INDEX('SAÍDA DE VENDAS'!$H$6:$H$500 &amp; "x " &amp; 'SAÍDA DE VENDAS'!$G$6:$G$500, MATCH(B571, 'SAÍDA DE VENDAS'!$B$6:$B$500, 0)+5), ""), ""))</f>
        <v/>
      </c>
      <c r="G571" s="34">
        <f>IFERROR(VLOOKUP(B571,'SAÍDA DE VENDAS'!$B$6:$P$500,10,FALSE),"")</f>
        <v>0</v>
      </c>
      <c r="H571" s="34" t="str">
        <f>IF(OR(ISBLANK(B571),B571=""), "", IF(B571=B570, (VALUE(LEFT(H570,FIND("/",H570)-1))+1)&amp;"/"&amp;RIGHT(H570,LEN(H570)-FIND("/",H570)), "1/"&amp;IFERROR(VLOOKUP(B571,'SAÍDA DE VENDAS'!$B$6:$P$500,13,FALSE),"1")))</f>
        <v/>
      </c>
      <c r="I571" s="35" t="str">
        <f t="shared" si="16"/>
        <v/>
      </c>
      <c r="J571" s="39" t="str">
        <f>IFERROR(VLOOKUP(B571,'SAÍDA DE VENDAS'!$B$6:$P$500,15,FALSE),"")</f>
        <v/>
      </c>
      <c r="K571" s="34" t="str">
        <f t="shared" ca="1" si="17"/>
        <v/>
      </c>
      <c r="L571" s="34"/>
      <c r="M571" s="34"/>
    </row>
    <row r="572" spans="2:13" ht="15" customHeight="1" x14ac:dyDescent="0.3">
      <c r="B572" s="28" t="str">
        <f>IF(B571="","", IF(VALUE(LEFT(H571,FIND("/",H571)-1)) &lt; VALUE(RIGHT(H571,LEN(H571)-FIND("/",H571))), B571, IFERROR(INDEX('SAÍDA DE VENDAS'!$B$6:$B$500, MATCH(B571,'SAÍDA DE VENDAS'!$B$6:$B$500,0)+COUNTIF('SAÍDA DE VENDAS'!$B$6:$B$500, B571)),"")))</f>
        <v/>
      </c>
      <c r="C572" s="29">
        <f>IFERROR(VLOOKUP(B572,'SAÍDA DE VENDAS'!$B$6:$P$500,3,FALSE),"")</f>
        <v>0</v>
      </c>
      <c r="D572" s="28">
        <f>IFERROR(VLOOKUP(B572,'SAÍDA DE VENDAS'!$B$6:$P$500,4,FALSE),"")</f>
        <v>0</v>
      </c>
      <c r="E572" s="28" t="str">
        <f>IFERROR(VLOOKUP(B572,'SAÍDA DE VENDAS'!$B$6:$P$500,5,FALSE),"")</f>
        <v/>
      </c>
      <c r="F572" s="28" t="str">
        <f>IF(OR(ISBLANK(B572),B572=""), "", IFERROR(INDEX('SAÍDA DE VENDAS'!$H$6:$H$500 &amp; "x " &amp; 'SAÍDA DE VENDAS'!$G$6:$G$500, MATCH(B572, 'SAÍDA DE VENDAS'!$B$6:$B$500, 0)), "")&amp; IF(COUNTIF('SAÍDA DE VENDAS'!$B$6:$B$500, B572)&gt;1, " + " &amp; IFERROR(INDEX('SAÍDA DE VENDAS'!$H$6:$H$500 &amp; "x " &amp; 'SAÍDA DE VENDAS'!$G$6:$G$500, MATCH(B572, 'SAÍDA DE VENDAS'!$B$6:$B$500, 0)+1), ""), "")&amp; IF(COUNTIF('SAÍDA DE VENDAS'!$B$6:$B$500, B572)&gt;2, " + " &amp; IFERROR(INDEX('SAÍDA DE VENDAS'!$H$6:$H$500 &amp; "x " &amp; 'SAÍDA DE VENDAS'!$G$6:$G$500, MATCH(B572, 'SAÍDA DE VENDAS'!$B$6:$B$500, 0)+2), ""), "")&amp; IF(COUNTIF('SAÍDA DE VENDAS'!$B$6:$B$500, B572)&gt;3, " + " &amp; IFERROR(INDEX('SAÍDA DE VENDAS'!$H$6:$H$500 &amp; "x " &amp; 'SAÍDA DE VENDAS'!$G$6:$G$500, MATCH(B572, 'SAÍDA DE VENDAS'!$B$6:$B$500, 0)+3), ""), "")&amp; IF(COUNTIF('SAÍDA DE VENDAS'!$B$6:$B$500, B572)&gt;4, " + " &amp; IFERROR(INDEX('SAÍDA DE VENDAS'!$H$6:$H$500 &amp; "x " &amp; 'SAÍDA DE VENDAS'!$G$6:$G$500, MATCH(B572, 'SAÍDA DE VENDAS'!$B$6:$B$500, 0)+4), ""), "")&amp; IF(COUNTIF('SAÍDA DE VENDAS'!$B$6:$B$500, B572)&gt;5, " + " &amp; IFERROR(INDEX('SAÍDA DE VENDAS'!$H$6:$H$500 &amp; "x " &amp; 'SAÍDA DE VENDAS'!$G$6:$G$500, MATCH(B572, 'SAÍDA DE VENDAS'!$B$6:$B$500, 0)+5), ""), ""))</f>
        <v/>
      </c>
      <c r="G572" s="28">
        <f>IFERROR(VLOOKUP(B572,'SAÍDA DE VENDAS'!$B$6:$P$500,10,FALSE),"")</f>
        <v>0</v>
      </c>
      <c r="H572" s="28" t="str">
        <f>IF(OR(ISBLANK(B572),B572=""), "", IF(B572=B571, (VALUE(LEFT(H571,FIND("/",H571)-1))+1)&amp;"/"&amp;RIGHT(H571,LEN(H571)-FIND("/",H571)), "1/"&amp;IFERROR(VLOOKUP(B572,'SAÍDA DE VENDAS'!$B$6:$P$500,13,FALSE),"1")))</f>
        <v/>
      </c>
      <c r="I572" s="69" t="str">
        <f t="shared" si="16"/>
        <v/>
      </c>
      <c r="J572" s="33" t="str">
        <f>IFERROR(VLOOKUP(B572,'SAÍDA DE VENDAS'!$B$6:$P$500,15,FALSE),"")</f>
        <v/>
      </c>
      <c r="K572" s="28" t="str">
        <f t="shared" ca="1" si="17"/>
        <v/>
      </c>
      <c r="L572" s="28"/>
      <c r="M572" s="28"/>
    </row>
    <row r="573" spans="2:13" ht="15" customHeight="1" x14ac:dyDescent="0.3">
      <c r="B573" s="34" t="str">
        <f>IF(B572="","", IF(VALUE(LEFT(H572,FIND("/",H572)-1)) &lt; VALUE(RIGHT(H572,LEN(H572)-FIND("/",H572))), B572, IFERROR(INDEX('SAÍDA DE VENDAS'!$B$6:$B$500, MATCH(B572,'SAÍDA DE VENDAS'!$B$6:$B$500,0)+COUNTIF('SAÍDA DE VENDAS'!$B$6:$B$500, B572)),"")))</f>
        <v/>
      </c>
      <c r="C573" s="35">
        <f>IFERROR(VLOOKUP(B573,'SAÍDA DE VENDAS'!$B$6:$P$500,3,FALSE),"")</f>
        <v>0</v>
      </c>
      <c r="D573" s="34">
        <f>IFERROR(VLOOKUP(B573,'SAÍDA DE VENDAS'!$B$6:$P$500,4,FALSE),"")</f>
        <v>0</v>
      </c>
      <c r="E573" s="34" t="str">
        <f>IFERROR(VLOOKUP(B573,'SAÍDA DE VENDAS'!$B$6:$P$500,5,FALSE),"")</f>
        <v/>
      </c>
      <c r="F573" s="34" t="str">
        <f>IF(OR(ISBLANK(B573),B573=""), "", IFERROR(INDEX('SAÍDA DE VENDAS'!$H$6:$H$500 &amp; "x " &amp; 'SAÍDA DE VENDAS'!$G$6:$G$500, MATCH(B573, 'SAÍDA DE VENDAS'!$B$6:$B$500, 0)), "")&amp; IF(COUNTIF('SAÍDA DE VENDAS'!$B$6:$B$500, B573)&gt;1, " + " &amp; IFERROR(INDEX('SAÍDA DE VENDAS'!$H$6:$H$500 &amp; "x " &amp; 'SAÍDA DE VENDAS'!$G$6:$G$500, MATCH(B573, 'SAÍDA DE VENDAS'!$B$6:$B$500, 0)+1), ""), "")&amp; IF(COUNTIF('SAÍDA DE VENDAS'!$B$6:$B$500, B573)&gt;2, " + " &amp; IFERROR(INDEX('SAÍDA DE VENDAS'!$H$6:$H$500 &amp; "x " &amp; 'SAÍDA DE VENDAS'!$G$6:$G$500, MATCH(B573, 'SAÍDA DE VENDAS'!$B$6:$B$500, 0)+2), ""), "")&amp; IF(COUNTIF('SAÍDA DE VENDAS'!$B$6:$B$500, B573)&gt;3, " + " &amp; IFERROR(INDEX('SAÍDA DE VENDAS'!$H$6:$H$500 &amp; "x " &amp; 'SAÍDA DE VENDAS'!$G$6:$G$500, MATCH(B573, 'SAÍDA DE VENDAS'!$B$6:$B$500, 0)+3), ""), "")&amp; IF(COUNTIF('SAÍDA DE VENDAS'!$B$6:$B$500, B573)&gt;4, " + " &amp; IFERROR(INDEX('SAÍDA DE VENDAS'!$H$6:$H$500 &amp; "x " &amp; 'SAÍDA DE VENDAS'!$G$6:$G$500, MATCH(B573, 'SAÍDA DE VENDAS'!$B$6:$B$500, 0)+4), ""), "")&amp; IF(COUNTIF('SAÍDA DE VENDAS'!$B$6:$B$500, B573)&gt;5, " + " &amp; IFERROR(INDEX('SAÍDA DE VENDAS'!$H$6:$H$500 &amp; "x " &amp; 'SAÍDA DE VENDAS'!$G$6:$G$500, MATCH(B573, 'SAÍDA DE VENDAS'!$B$6:$B$500, 0)+5), ""), ""))</f>
        <v/>
      </c>
      <c r="G573" s="34">
        <f>IFERROR(VLOOKUP(B573,'SAÍDA DE VENDAS'!$B$6:$P$500,10,FALSE),"")</f>
        <v>0</v>
      </c>
      <c r="H573" s="34" t="str">
        <f>IF(OR(ISBLANK(B573),B573=""), "", IF(B573=B572, (VALUE(LEFT(H572,FIND("/",H572)-1))+1)&amp;"/"&amp;RIGHT(H572,LEN(H572)-FIND("/",H572)), "1/"&amp;IFERROR(VLOOKUP(B573,'SAÍDA DE VENDAS'!$B$6:$P$500,13,FALSE),"1")))</f>
        <v/>
      </c>
      <c r="I573" s="35" t="str">
        <f t="shared" si="16"/>
        <v/>
      </c>
      <c r="J573" s="39" t="str">
        <f>IFERROR(VLOOKUP(B573,'SAÍDA DE VENDAS'!$B$6:$P$500,15,FALSE),"")</f>
        <v/>
      </c>
      <c r="K573" s="34" t="str">
        <f t="shared" ca="1" si="17"/>
        <v/>
      </c>
      <c r="L573" s="34"/>
      <c r="M573" s="34"/>
    </row>
    <row r="574" spans="2:13" ht="15" customHeight="1" x14ac:dyDescent="0.3">
      <c r="B574" s="28" t="str">
        <f>IF(B573="","", IF(VALUE(LEFT(H573,FIND("/",H573)-1)) &lt; VALUE(RIGHT(H573,LEN(H573)-FIND("/",H573))), B573, IFERROR(INDEX('SAÍDA DE VENDAS'!$B$6:$B$500, MATCH(B573,'SAÍDA DE VENDAS'!$B$6:$B$500,0)+COUNTIF('SAÍDA DE VENDAS'!$B$6:$B$500, B573)),"")))</f>
        <v/>
      </c>
      <c r="C574" s="29">
        <f>IFERROR(VLOOKUP(B574,'SAÍDA DE VENDAS'!$B$6:$P$500,3,FALSE),"")</f>
        <v>0</v>
      </c>
      <c r="D574" s="28">
        <f>IFERROR(VLOOKUP(B574,'SAÍDA DE VENDAS'!$B$6:$P$500,4,FALSE),"")</f>
        <v>0</v>
      </c>
      <c r="E574" s="28" t="str">
        <f>IFERROR(VLOOKUP(B574,'SAÍDA DE VENDAS'!$B$6:$P$500,5,FALSE),"")</f>
        <v/>
      </c>
      <c r="F574" s="28" t="str">
        <f>IF(OR(ISBLANK(B574),B574=""), "", IFERROR(INDEX('SAÍDA DE VENDAS'!$H$6:$H$500 &amp; "x " &amp; 'SAÍDA DE VENDAS'!$G$6:$G$500, MATCH(B574, 'SAÍDA DE VENDAS'!$B$6:$B$500, 0)), "")&amp; IF(COUNTIF('SAÍDA DE VENDAS'!$B$6:$B$500, B574)&gt;1, " + " &amp; IFERROR(INDEX('SAÍDA DE VENDAS'!$H$6:$H$500 &amp; "x " &amp; 'SAÍDA DE VENDAS'!$G$6:$G$500, MATCH(B574, 'SAÍDA DE VENDAS'!$B$6:$B$500, 0)+1), ""), "")&amp; IF(COUNTIF('SAÍDA DE VENDAS'!$B$6:$B$500, B574)&gt;2, " + " &amp; IFERROR(INDEX('SAÍDA DE VENDAS'!$H$6:$H$500 &amp; "x " &amp; 'SAÍDA DE VENDAS'!$G$6:$G$500, MATCH(B574, 'SAÍDA DE VENDAS'!$B$6:$B$500, 0)+2), ""), "")&amp; IF(COUNTIF('SAÍDA DE VENDAS'!$B$6:$B$500, B574)&gt;3, " + " &amp; IFERROR(INDEX('SAÍDA DE VENDAS'!$H$6:$H$500 &amp; "x " &amp; 'SAÍDA DE VENDAS'!$G$6:$G$500, MATCH(B574, 'SAÍDA DE VENDAS'!$B$6:$B$500, 0)+3), ""), "")&amp; IF(COUNTIF('SAÍDA DE VENDAS'!$B$6:$B$500, B574)&gt;4, " + " &amp; IFERROR(INDEX('SAÍDA DE VENDAS'!$H$6:$H$500 &amp; "x " &amp; 'SAÍDA DE VENDAS'!$G$6:$G$500, MATCH(B574, 'SAÍDA DE VENDAS'!$B$6:$B$500, 0)+4), ""), "")&amp; IF(COUNTIF('SAÍDA DE VENDAS'!$B$6:$B$500, B574)&gt;5, " + " &amp; IFERROR(INDEX('SAÍDA DE VENDAS'!$H$6:$H$500 &amp; "x " &amp; 'SAÍDA DE VENDAS'!$G$6:$G$500, MATCH(B574, 'SAÍDA DE VENDAS'!$B$6:$B$500, 0)+5), ""), ""))</f>
        <v/>
      </c>
      <c r="G574" s="28">
        <f>IFERROR(VLOOKUP(B574,'SAÍDA DE VENDAS'!$B$6:$P$500,10,FALSE),"")</f>
        <v>0</v>
      </c>
      <c r="H574" s="28" t="str">
        <f>IF(OR(ISBLANK(B574),B574=""), "", IF(B574=B573, (VALUE(LEFT(H573,FIND("/",H573)-1))+1)&amp;"/"&amp;RIGHT(H573,LEN(H573)-FIND("/",H573)), "1/"&amp;IFERROR(VLOOKUP(B574,'SAÍDA DE VENDAS'!$B$6:$P$500,13,FALSE),"1")))</f>
        <v/>
      </c>
      <c r="I574" s="69" t="str">
        <f t="shared" si="16"/>
        <v/>
      </c>
      <c r="J574" s="33" t="str">
        <f>IFERROR(VLOOKUP(B574,'SAÍDA DE VENDAS'!$B$6:$P$500,15,FALSE),"")</f>
        <v/>
      </c>
      <c r="K574" s="28" t="str">
        <f t="shared" ca="1" si="17"/>
        <v/>
      </c>
      <c r="L574" s="28"/>
      <c r="M574" s="28"/>
    </row>
    <row r="575" spans="2:13" ht="15" customHeight="1" x14ac:dyDescent="0.3">
      <c r="B575" s="34" t="str">
        <f>IF(B574="","", IF(VALUE(LEFT(H574,FIND("/",H574)-1)) &lt; VALUE(RIGHT(H574,LEN(H574)-FIND("/",H574))), B574, IFERROR(INDEX('SAÍDA DE VENDAS'!$B$6:$B$500, MATCH(B574,'SAÍDA DE VENDAS'!$B$6:$B$500,0)+COUNTIF('SAÍDA DE VENDAS'!$B$6:$B$500, B574)),"")))</f>
        <v/>
      </c>
      <c r="C575" s="35">
        <f>IFERROR(VLOOKUP(B575,'SAÍDA DE VENDAS'!$B$6:$P$500,3,FALSE),"")</f>
        <v>0</v>
      </c>
      <c r="D575" s="34">
        <f>IFERROR(VLOOKUP(B575,'SAÍDA DE VENDAS'!$B$6:$P$500,4,FALSE),"")</f>
        <v>0</v>
      </c>
      <c r="E575" s="34" t="str">
        <f>IFERROR(VLOOKUP(B575,'SAÍDA DE VENDAS'!$B$6:$P$500,5,FALSE),"")</f>
        <v/>
      </c>
      <c r="F575" s="34" t="str">
        <f>IF(OR(ISBLANK(B575),B575=""), "", IFERROR(INDEX('SAÍDA DE VENDAS'!$H$6:$H$500 &amp; "x " &amp; 'SAÍDA DE VENDAS'!$G$6:$G$500, MATCH(B575, 'SAÍDA DE VENDAS'!$B$6:$B$500, 0)), "")&amp; IF(COUNTIF('SAÍDA DE VENDAS'!$B$6:$B$500, B575)&gt;1, " + " &amp; IFERROR(INDEX('SAÍDA DE VENDAS'!$H$6:$H$500 &amp; "x " &amp; 'SAÍDA DE VENDAS'!$G$6:$G$500, MATCH(B575, 'SAÍDA DE VENDAS'!$B$6:$B$500, 0)+1), ""), "")&amp; IF(COUNTIF('SAÍDA DE VENDAS'!$B$6:$B$500, B575)&gt;2, " + " &amp; IFERROR(INDEX('SAÍDA DE VENDAS'!$H$6:$H$500 &amp; "x " &amp; 'SAÍDA DE VENDAS'!$G$6:$G$500, MATCH(B575, 'SAÍDA DE VENDAS'!$B$6:$B$500, 0)+2), ""), "")&amp; IF(COUNTIF('SAÍDA DE VENDAS'!$B$6:$B$500, B575)&gt;3, " + " &amp; IFERROR(INDEX('SAÍDA DE VENDAS'!$H$6:$H$500 &amp; "x " &amp; 'SAÍDA DE VENDAS'!$G$6:$G$500, MATCH(B575, 'SAÍDA DE VENDAS'!$B$6:$B$500, 0)+3), ""), "")&amp; IF(COUNTIF('SAÍDA DE VENDAS'!$B$6:$B$500, B575)&gt;4, " + " &amp; IFERROR(INDEX('SAÍDA DE VENDAS'!$H$6:$H$500 &amp; "x " &amp; 'SAÍDA DE VENDAS'!$G$6:$G$500, MATCH(B575, 'SAÍDA DE VENDAS'!$B$6:$B$500, 0)+4), ""), "")&amp; IF(COUNTIF('SAÍDA DE VENDAS'!$B$6:$B$500, B575)&gt;5, " + " &amp; IFERROR(INDEX('SAÍDA DE VENDAS'!$H$6:$H$500 &amp; "x " &amp; 'SAÍDA DE VENDAS'!$G$6:$G$500, MATCH(B575, 'SAÍDA DE VENDAS'!$B$6:$B$500, 0)+5), ""), ""))</f>
        <v/>
      </c>
      <c r="G575" s="34">
        <f>IFERROR(VLOOKUP(B575,'SAÍDA DE VENDAS'!$B$6:$P$500,10,FALSE),"")</f>
        <v>0</v>
      </c>
      <c r="H575" s="34" t="str">
        <f>IF(OR(ISBLANK(B575),B575=""), "", IF(B575=B574, (VALUE(LEFT(H574,FIND("/",H574)-1))+1)&amp;"/"&amp;RIGHT(H574,LEN(H574)-FIND("/",H574)), "1/"&amp;IFERROR(VLOOKUP(B575,'SAÍDA DE VENDAS'!$B$6:$P$500,13,FALSE),"1")))</f>
        <v/>
      </c>
      <c r="I575" s="35" t="str">
        <f t="shared" si="16"/>
        <v/>
      </c>
      <c r="J575" s="39" t="str">
        <f>IFERROR(VLOOKUP(B575,'SAÍDA DE VENDAS'!$B$6:$P$500,15,FALSE),"")</f>
        <v/>
      </c>
      <c r="K575" s="34" t="str">
        <f t="shared" ca="1" si="17"/>
        <v/>
      </c>
      <c r="L575" s="34"/>
      <c r="M575" s="34"/>
    </row>
    <row r="576" spans="2:13" ht="15" customHeight="1" x14ac:dyDescent="0.3">
      <c r="B576" s="28" t="str">
        <f>IF(B575="","", IF(VALUE(LEFT(H575,FIND("/",H575)-1)) &lt; VALUE(RIGHT(H575,LEN(H575)-FIND("/",H575))), B575, IFERROR(INDEX('SAÍDA DE VENDAS'!$B$6:$B$500, MATCH(B575,'SAÍDA DE VENDAS'!$B$6:$B$500,0)+COUNTIF('SAÍDA DE VENDAS'!$B$6:$B$500, B575)),"")))</f>
        <v/>
      </c>
      <c r="C576" s="29">
        <f>IFERROR(VLOOKUP(B576,'SAÍDA DE VENDAS'!$B$6:$P$500,3,FALSE),"")</f>
        <v>0</v>
      </c>
      <c r="D576" s="28">
        <f>IFERROR(VLOOKUP(B576,'SAÍDA DE VENDAS'!$B$6:$P$500,4,FALSE),"")</f>
        <v>0</v>
      </c>
      <c r="E576" s="28" t="str">
        <f>IFERROR(VLOOKUP(B576,'SAÍDA DE VENDAS'!$B$6:$P$500,5,FALSE),"")</f>
        <v/>
      </c>
      <c r="F576" s="28" t="str">
        <f>IF(OR(ISBLANK(B576),B576=""), "", IFERROR(INDEX('SAÍDA DE VENDAS'!$H$6:$H$500 &amp; "x " &amp; 'SAÍDA DE VENDAS'!$G$6:$G$500, MATCH(B576, 'SAÍDA DE VENDAS'!$B$6:$B$500, 0)), "")&amp; IF(COUNTIF('SAÍDA DE VENDAS'!$B$6:$B$500, B576)&gt;1, " + " &amp; IFERROR(INDEX('SAÍDA DE VENDAS'!$H$6:$H$500 &amp; "x " &amp; 'SAÍDA DE VENDAS'!$G$6:$G$500, MATCH(B576, 'SAÍDA DE VENDAS'!$B$6:$B$500, 0)+1), ""), "")&amp; IF(COUNTIF('SAÍDA DE VENDAS'!$B$6:$B$500, B576)&gt;2, " + " &amp; IFERROR(INDEX('SAÍDA DE VENDAS'!$H$6:$H$500 &amp; "x " &amp; 'SAÍDA DE VENDAS'!$G$6:$G$500, MATCH(B576, 'SAÍDA DE VENDAS'!$B$6:$B$500, 0)+2), ""), "")&amp; IF(COUNTIF('SAÍDA DE VENDAS'!$B$6:$B$500, B576)&gt;3, " + " &amp; IFERROR(INDEX('SAÍDA DE VENDAS'!$H$6:$H$500 &amp; "x " &amp; 'SAÍDA DE VENDAS'!$G$6:$G$500, MATCH(B576, 'SAÍDA DE VENDAS'!$B$6:$B$500, 0)+3), ""), "")&amp; IF(COUNTIF('SAÍDA DE VENDAS'!$B$6:$B$500, B576)&gt;4, " + " &amp; IFERROR(INDEX('SAÍDA DE VENDAS'!$H$6:$H$500 &amp; "x " &amp; 'SAÍDA DE VENDAS'!$G$6:$G$500, MATCH(B576, 'SAÍDA DE VENDAS'!$B$6:$B$500, 0)+4), ""), "")&amp; IF(COUNTIF('SAÍDA DE VENDAS'!$B$6:$B$500, B576)&gt;5, " + " &amp; IFERROR(INDEX('SAÍDA DE VENDAS'!$H$6:$H$500 &amp; "x " &amp; 'SAÍDA DE VENDAS'!$G$6:$G$500, MATCH(B576, 'SAÍDA DE VENDAS'!$B$6:$B$500, 0)+5), ""), ""))</f>
        <v/>
      </c>
      <c r="G576" s="28">
        <f>IFERROR(VLOOKUP(B576,'SAÍDA DE VENDAS'!$B$6:$P$500,10,FALSE),"")</f>
        <v>0</v>
      </c>
      <c r="H576" s="28" t="str">
        <f>IF(OR(ISBLANK(B576),B576=""), "", IF(B576=B575, (VALUE(LEFT(H575,FIND("/",H575)-1))+1)&amp;"/"&amp;RIGHT(H575,LEN(H575)-FIND("/",H575)), "1/"&amp;IFERROR(VLOOKUP(B576,'SAÍDA DE VENDAS'!$B$6:$P$500,13,FALSE),"1")))</f>
        <v/>
      </c>
      <c r="I576" s="69" t="str">
        <f t="shared" si="16"/>
        <v/>
      </c>
      <c r="J576" s="33" t="str">
        <f>IFERROR(VLOOKUP(B576,'SAÍDA DE VENDAS'!$B$6:$P$500,15,FALSE),"")</f>
        <v/>
      </c>
      <c r="K576" s="28" t="str">
        <f t="shared" ca="1" si="17"/>
        <v/>
      </c>
      <c r="L576" s="28"/>
      <c r="M576" s="28"/>
    </row>
    <row r="577" spans="2:13" ht="15" customHeight="1" x14ac:dyDescent="0.3">
      <c r="B577" s="34" t="str">
        <f>IF(B576="","", IF(VALUE(LEFT(H576,FIND("/",H576)-1)) &lt; VALUE(RIGHT(H576,LEN(H576)-FIND("/",H576))), B576, IFERROR(INDEX('SAÍDA DE VENDAS'!$B$6:$B$500, MATCH(B576,'SAÍDA DE VENDAS'!$B$6:$B$500,0)+COUNTIF('SAÍDA DE VENDAS'!$B$6:$B$500, B576)),"")))</f>
        <v/>
      </c>
      <c r="C577" s="35">
        <f>IFERROR(VLOOKUP(B577,'SAÍDA DE VENDAS'!$B$6:$P$500,3,FALSE),"")</f>
        <v>0</v>
      </c>
      <c r="D577" s="34">
        <f>IFERROR(VLOOKUP(B577,'SAÍDA DE VENDAS'!$B$6:$P$500,4,FALSE),"")</f>
        <v>0</v>
      </c>
      <c r="E577" s="34" t="str">
        <f>IFERROR(VLOOKUP(B577,'SAÍDA DE VENDAS'!$B$6:$P$500,5,FALSE),"")</f>
        <v/>
      </c>
      <c r="F577" s="34" t="str">
        <f>IF(OR(ISBLANK(B577),B577=""), "", IFERROR(INDEX('SAÍDA DE VENDAS'!$H$6:$H$500 &amp; "x " &amp; 'SAÍDA DE VENDAS'!$G$6:$G$500, MATCH(B577, 'SAÍDA DE VENDAS'!$B$6:$B$500, 0)), "")&amp; IF(COUNTIF('SAÍDA DE VENDAS'!$B$6:$B$500, B577)&gt;1, " + " &amp; IFERROR(INDEX('SAÍDA DE VENDAS'!$H$6:$H$500 &amp; "x " &amp; 'SAÍDA DE VENDAS'!$G$6:$G$500, MATCH(B577, 'SAÍDA DE VENDAS'!$B$6:$B$500, 0)+1), ""), "")&amp; IF(COUNTIF('SAÍDA DE VENDAS'!$B$6:$B$500, B577)&gt;2, " + " &amp; IFERROR(INDEX('SAÍDA DE VENDAS'!$H$6:$H$500 &amp; "x " &amp; 'SAÍDA DE VENDAS'!$G$6:$G$500, MATCH(B577, 'SAÍDA DE VENDAS'!$B$6:$B$500, 0)+2), ""), "")&amp; IF(COUNTIF('SAÍDA DE VENDAS'!$B$6:$B$500, B577)&gt;3, " + " &amp; IFERROR(INDEX('SAÍDA DE VENDAS'!$H$6:$H$500 &amp; "x " &amp; 'SAÍDA DE VENDAS'!$G$6:$G$500, MATCH(B577, 'SAÍDA DE VENDAS'!$B$6:$B$500, 0)+3), ""), "")&amp; IF(COUNTIF('SAÍDA DE VENDAS'!$B$6:$B$500, B577)&gt;4, " + " &amp; IFERROR(INDEX('SAÍDA DE VENDAS'!$H$6:$H$500 &amp; "x " &amp; 'SAÍDA DE VENDAS'!$G$6:$G$500, MATCH(B577, 'SAÍDA DE VENDAS'!$B$6:$B$500, 0)+4), ""), "")&amp; IF(COUNTIF('SAÍDA DE VENDAS'!$B$6:$B$500, B577)&gt;5, " + " &amp; IFERROR(INDEX('SAÍDA DE VENDAS'!$H$6:$H$500 &amp; "x " &amp; 'SAÍDA DE VENDAS'!$G$6:$G$500, MATCH(B577, 'SAÍDA DE VENDAS'!$B$6:$B$500, 0)+5), ""), ""))</f>
        <v/>
      </c>
      <c r="G577" s="34">
        <f>IFERROR(VLOOKUP(B577,'SAÍDA DE VENDAS'!$B$6:$P$500,10,FALSE),"")</f>
        <v>0</v>
      </c>
      <c r="H577" s="34" t="str">
        <f>IF(OR(ISBLANK(B577),B577=""), "", IF(B577=B576, (VALUE(LEFT(H576,FIND("/",H576)-1))+1)&amp;"/"&amp;RIGHT(H576,LEN(H576)-FIND("/",H576)), "1/"&amp;IFERROR(VLOOKUP(B577,'SAÍDA DE VENDAS'!$B$6:$P$500,13,FALSE),"1")))</f>
        <v/>
      </c>
      <c r="I577" s="35" t="str">
        <f t="shared" si="16"/>
        <v/>
      </c>
      <c r="J577" s="39" t="str">
        <f>IFERROR(VLOOKUP(B577,'SAÍDA DE VENDAS'!$B$6:$P$500,15,FALSE),"")</f>
        <v/>
      </c>
      <c r="K577" s="34" t="str">
        <f t="shared" ca="1" si="17"/>
        <v/>
      </c>
      <c r="L577" s="34"/>
      <c r="M577" s="34"/>
    </row>
    <row r="578" spans="2:13" ht="15" customHeight="1" x14ac:dyDescent="0.3">
      <c r="B578" s="28" t="str">
        <f>IF(B577="","", IF(VALUE(LEFT(H577,FIND("/",H577)-1)) &lt; VALUE(RIGHT(H577,LEN(H577)-FIND("/",H577))), B577, IFERROR(INDEX('SAÍDA DE VENDAS'!$B$6:$B$500, MATCH(B577,'SAÍDA DE VENDAS'!$B$6:$B$500,0)+COUNTIF('SAÍDA DE VENDAS'!$B$6:$B$500, B577)),"")))</f>
        <v/>
      </c>
      <c r="C578" s="29">
        <f>IFERROR(VLOOKUP(B578,'SAÍDA DE VENDAS'!$B$6:$P$500,3,FALSE),"")</f>
        <v>0</v>
      </c>
      <c r="D578" s="28">
        <f>IFERROR(VLOOKUP(B578,'SAÍDA DE VENDAS'!$B$6:$P$500,4,FALSE),"")</f>
        <v>0</v>
      </c>
      <c r="E578" s="28" t="str">
        <f>IFERROR(VLOOKUP(B578,'SAÍDA DE VENDAS'!$B$6:$P$500,5,FALSE),"")</f>
        <v/>
      </c>
      <c r="F578" s="28" t="str">
        <f>IF(OR(ISBLANK(B578),B578=""), "", IFERROR(INDEX('SAÍDA DE VENDAS'!$H$6:$H$500 &amp; "x " &amp; 'SAÍDA DE VENDAS'!$G$6:$G$500, MATCH(B578, 'SAÍDA DE VENDAS'!$B$6:$B$500, 0)), "")&amp; IF(COUNTIF('SAÍDA DE VENDAS'!$B$6:$B$500, B578)&gt;1, " + " &amp; IFERROR(INDEX('SAÍDA DE VENDAS'!$H$6:$H$500 &amp; "x " &amp; 'SAÍDA DE VENDAS'!$G$6:$G$500, MATCH(B578, 'SAÍDA DE VENDAS'!$B$6:$B$500, 0)+1), ""), "")&amp; IF(COUNTIF('SAÍDA DE VENDAS'!$B$6:$B$500, B578)&gt;2, " + " &amp; IFERROR(INDEX('SAÍDA DE VENDAS'!$H$6:$H$500 &amp; "x " &amp; 'SAÍDA DE VENDAS'!$G$6:$G$500, MATCH(B578, 'SAÍDA DE VENDAS'!$B$6:$B$500, 0)+2), ""), "")&amp; IF(COUNTIF('SAÍDA DE VENDAS'!$B$6:$B$500, B578)&gt;3, " + " &amp; IFERROR(INDEX('SAÍDA DE VENDAS'!$H$6:$H$500 &amp; "x " &amp; 'SAÍDA DE VENDAS'!$G$6:$G$500, MATCH(B578, 'SAÍDA DE VENDAS'!$B$6:$B$500, 0)+3), ""), "")&amp; IF(COUNTIF('SAÍDA DE VENDAS'!$B$6:$B$500, B578)&gt;4, " + " &amp; IFERROR(INDEX('SAÍDA DE VENDAS'!$H$6:$H$500 &amp; "x " &amp; 'SAÍDA DE VENDAS'!$G$6:$G$500, MATCH(B578, 'SAÍDA DE VENDAS'!$B$6:$B$500, 0)+4), ""), "")&amp; IF(COUNTIF('SAÍDA DE VENDAS'!$B$6:$B$500, B578)&gt;5, " + " &amp; IFERROR(INDEX('SAÍDA DE VENDAS'!$H$6:$H$500 &amp; "x " &amp; 'SAÍDA DE VENDAS'!$G$6:$G$500, MATCH(B578, 'SAÍDA DE VENDAS'!$B$6:$B$500, 0)+5), ""), ""))</f>
        <v/>
      </c>
      <c r="G578" s="28">
        <f>IFERROR(VLOOKUP(B578,'SAÍDA DE VENDAS'!$B$6:$P$500,10,FALSE),"")</f>
        <v>0</v>
      </c>
      <c r="H578" s="28" t="str">
        <f>IF(OR(ISBLANK(B578),B578=""), "", IF(B578=B577, (VALUE(LEFT(H577,FIND("/",H577)-1))+1)&amp;"/"&amp;RIGHT(H577,LEN(H577)-FIND("/",H577)), "1/"&amp;IFERROR(VLOOKUP(B578,'SAÍDA DE VENDAS'!$B$6:$P$500,13,FALSE),"1")))</f>
        <v/>
      </c>
      <c r="I578" s="69" t="str">
        <f t="shared" si="16"/>
        <v/>
      </c>
      <c r="J578" s="33" t="str">
        <f>IFERROR(VLOOKUP(B578,'SAÍDA DE VENDAS'!$B$6:$P$500,15,FALSE),"")</f>
        <v/>
      </c>
      <c r="K578" s="28" t="str">
        <f t="shared" ca="1" si="17"/>
        <v/>
      </c>
      <c r="L578" s="28"/>
      <c r="M578" s="28"/>
    </row>
    <row r="579" spans="2:13" ht="15" customHeight="1" x14ac:dyDescent="0.3">
      <c r="B579" s="34" t="str">
        <f>IF(B578="","", IF(VALUE(LEFT(H578,FIND("/",H578)-1)) &lt; VALUE(RIGHT(H578,LEN(H578)-FIND("/",H578))), B578, IFERROR(INDEX('SAÍDA DE VENDAS'!$B$6:$B$500, MATCH(B578,'SAÍDA DE VENDAS'!$B$6:$B$500,0)+COUNTIF('SAÍDA DE VENDAS'!$B$6:$B$500, B578)),"")))</f>
        <v/>
      </c>
      <c r="C579" s="35">
        <f>IFERROR(VLOOKUP(B579,'SAÍDA DE VENDAS'!$B$6:$P$500,3,FALSE),"")</f>
        <v>0</v>
      </c>
      <c r="D579" s="34">
        <f>IFERROR(VLOOKUP(B579,'SAÍDA DE VENDAS'!$B$6:$P$500,4,FALSE),"")</f>
        <v>0</v>
      </c>
      <c r="E579" s="34" t="str">
        <f>IFERROR(VLOOKUP(B579,'SAÍDA DE VENDAS'!$B$6:$P$500,5,FALSE),"")</f>
        <v/>
      </c>
      <c r="F579" s="34" t="str">
        <f>IF(OR(ISBLANK(B579),B579=""), "", IFERROR(INDEX('SAÍDA DE VENDAS'!$H$6:$H$500 &amp; "x " &amp; 'SAÍDA DE VENDAS'!$G$6:$G$500, MATCH(B579, 'SAÍDA DE VENDAS'!$B$6:$B$500, 0)), "")&amp; IF(COUNTIF('SAÍDA DE VENDAS'!$B$6:$B$500, B579)&gt;1, " + " &amp; IFERROR(INDEX('SAÍDA DE VENDAS'!$H$6:$H$500 &amp; "x " &amp; 'SAÍDA DE VENDAS'!$G$6:$G$500, MATCH(B579, 'SAÍDA DE VENDAS'!$B$6:$B$500, 0)+1), ""), "")&amp; IF(COUNTIF('SAÍDA DE VENDAS'!$B$6:$B$500, B579)&gt;2, " + " &amp; IFERROR(INDEX('SAÍDA DE VENDAS'!$H$6:$H$500 &amp; "x " &amp; 'SAÍDA DE VENDAS'!$G$6:$G$500, MATCH(B579, 'SAÍDA DE VENDAS'!$B$6:$B$500, 0)+2), ""), "")&amp; IF(COUNTIF('SAÍDA DE VENDAS'!$B$6:$B$500, B579)&gt;3, " + " &amp; IFERROR(INDEX('SAÍDA DE VENDAS'!$H$6:$H$500 &amp; "x " &amp; 'SAÍDA DE VENDAS'!$G$6:$G$500, MATCH(B579, 'SAÍDA DE VENDAS'!$B$6:$B$500, 0)+3), ""), "")&amp; IF(COUNTIF('SAÍDA DE VENDAS'!$B$6:$B$500, B579)&gt;4, " + " &amp; IFERROR(INDEX('SAÍDA DE VENDAS'!$H$6:$H$500 &amp; "x " &amp; 'SAÍDA DE VENDAS'!$G$6:$G$500, MATCH(B579, 'SAÍDA DE VENDAS'!$B$6:$B$500, 0)+4), ""), "")&amp; IF(COUNTIF('SAÍDA DE VENDAS'!$B$6:$B$500, B579)&gt;5, " + " &amp; IFERROR(INDEX('SAÍDA DE VENDAS'!$H$6:$H$500 &amp; "x " &amp; 'SAÍDA DE VENDAS'!$G$6:$G$500, MATCH(B579, 'SAÍDA DE VENDAS'!$B$6:$B$500, 0)+5), ""), ""))</f>
        <v/>
      </c>
      <c r="G579" s="34">
        <f>IFERROR(VLOOKUP(B579,'SAÍDA DE VENDAS'!$B$6:$P$500,10,FALSE),"")</f>
        <v>0</v>
      </c>
      <c r="H579" s="34" t="str">
        <f>IF(OR(ISBLANK(B579),B579=""), "", IF(B579=B578, (VALUE(LEFT(H578,FIND("/",H578)-1))+1)&amp;"/"&amp;RIGHT(H578,LEN(H578)-FIND("/",H578)), "1/"&amp;IFERROR(VLOOKUP(B579,'SAÍDA DE VENDAS'!$B$6:$P$500,13,FALSE),"1")))</f>
        <v/>
      </c>
      <c r="I579" s="35" t="str">
        <f t="shared" si="16"/>
        <v/>
      </c>
      <c r="J579" s="39" t="str">
        <f>IFERROR(VLOOKUP(B579,'SAÍDA DE VENDAS'!$B$6:$P$500,15,FALSE),"")</f>
        <v/>
      </c>
      <c r="K579" s="34" t="str">
        <f t="shared" ca="1" si="17"/>
        <v/>
      </c>
      <c r="L579" s="34"/>
      <c r="M579" s="34"/>
    </row>
    <row r="580" spans="2:13" ht="15" customHeight="1" x14ac:dyDescent="0.3">
      <c r="B580" s="28" t="str">
        <f>IF(B579="","", IF(VALUE(LEFT(H579,FIND("/",H579)-1)) &lt; VALUE(RIGHT(H579,LEN(H579)-FIND("/",H579))), B579, IFERROR(INDEX('SAÍDA DE VENDAS'!$B$6:$B$500, MATCH(B579,'SAÍDA DE VENDAS'!$B$6:$B$500,0)+COUNTIF('SAÍDA DE VENDAS'!$B$6:$B$500, B579)),"")))</f>
        <v/>
      </c>
      <c r="C580" s="29">
        <f>IFERROR(VLOOKUP(B580,'SAÍDA DE VENDAS'!$B$6:$P$500,3,FALSE),"")</f>
        <v>0</v>
      </c>
      <c r="D580" s="28">
        <f>IFERROR(VLOOKUP(B580,'SAÍDA DE VENDAS'!$B$6:$P$500,4,FALSE),"")</f>
        <v>0</v>
      </c>
      <c r="E580" s="28" t="str">
        <f>IFERROR(VLOOKUP(B580,'SAÍDA DE VENDAS'!$B$6:$P$500,5,FALSE),"")</f>
        <v/>
      </c>
      <c r="F580" s="28" t="str">
        <f>IF(OR(ISBLANK(B580),B580=""), "", IFERROR(INDEX('SAÍDA DE VENDAS'!$H$6:$H$500 &amp; "x " &amp; 'SAÍDA DE VENDAS'!$G$6:$G$500, MATCH(B580, 'SAÍDA DE VENDAS'!$B$6:$B$500, 0)), "")&amp; IF(COUNTIF('SAÍDA DE VENDAS'!$B$6:$B$500, B580)&gt;1, " + " &amp; IFERROR(INDEX('SAÍDA DE VENDAS'!$H$6:$H$500 &amp; "x " &amp; 'SAÍDA DE VENDAS'!$G$6:$G$500, MATCH(B580, 'SAÍDA DE VENDAS'!$B$6:$B$500, 0)+1), ""), "")&amp; IF(COUNTIF('SAÍDA DE VENDAS'!$B$6:$B$500, B580)&gt;2, " + " &amp; IFERROR(INDEX('SAÍDA DE VENDAS'!$H$6:$H$500 &amp; "x " &amp; 'SAÍDA DE VENDAS'!$G$6:$G$500, MATCH(B580, 'SAÍDA DE VENDAS'!$B$6:$B$500, 0)+2), ""), "")&amp; IF(COUNTIF('SAÍDA DE VENDAS'!$B$6:$B$500, B580)&gt;3, " + " &amp; IFERROR(INDEX('SAÍDA DE VENDAS'!$H$6:$H$500 &amp; "x " &amp; 'SAÍDA DE VENDAS'!$G$6:$G$500, MATCH(B580, 'SAÍDA DE VENDAS'!$B$6:$B$500, 0)+3), ""), "")&amp; IF(COUNTIF('SAÍDA DE VENDAS'!$B$6:$B$500, B580)&gt;4, " + " &amp; IFERROR(INDEX('SAÍDA DE VENDAS'!$H$6:$H$500 &amp; "x " &amp; 'SAÍDA DE VENDAS'!$G$6:$G$500, MATCH(B580, 'SAÍDA DE VENDAS'!$B$6:$B$500, 0)+4), ""), "")&amp; IF(COUNTIF('SAÍDA DE VENDAS'!$B$6:$B$500, B580)&gt;5, " + " &amp; IFERROR(INDEX('SAÍDA DE VENDAS'!$H$6:$H$500 &amp; "x " &amp; 'SAÍDA DE VENDAS'!$G$6:$G$500, MATCH(B580, 'SAÍDA DE VENDAS'!$B$6:$B$500, 0)+5), ""), ""))</f>
        <v/>
      </c>
      <c r="G580" s="28">
        <f>IFERROR(VLOOKUP(B580,'SAÍDA DE VENDAS'!$B$6:$P$500,10,FALSE),"")</f>
        <v>0</v>
      </c>
      <c r="H580" s="28" t="str">
        <f>IF(OR(ISBLANK(B580),B580=""), "", IF(B580=B579, (VALUE(LEFT(H579,FIND("/",H579)-1))+1)&amp;"/"&amp;RIGHT(H579,LEN(H579)-FIND("/",H579)), "1/"&amp;IFERROR(VLOOKUP(B580,'SAÍDA DE VENDAS'!$B$6:$P$500,13,FALSE),"1")))</f>
        <v/>
      </c>
      <c r="I580" s="69" t="str">
        <f t="shared" si="16"/>
        <v/>
      </c>
      <c r="J580" s="33" t="str">
        <f>IFERROR(VLOOKUP(B580,'SAÍDA DE VENDAS'!$B$6:$P$500,15,FALSE),"")</f>
        <v/>
      </c>
      <c r="K580" s="28" t="str">
        <f t="shared" ca="1" si="17"/>
        <v/>
      </c>
      <c r="L580" s="28"/>
      <c r="M580" s="28"/>
    </row>
    <row r="581" spans="2:13" ht="15" customHeight="1" x14ac:dyDescent="0.3">
      <c r="B581" s="34" t="str">
        <f>IF(B580="","", IF(VALUE(LEFT(H580,FIND("/",H580)-1)) &lt; VALUE(RIGHT(H580,LEN(H580)-FIND("/",H580))), B580, IFERROR(INDEX('SAÍDA DE VENDAS'!$B$6:$B$500, MATCH(B580,'SAÍDA DE VENDAS'!$B$6:$B$500,0)+COUNTIF('SAÍDA DE VENDAS'!$B$6:$B$500, B580)),"")))</f>
        <v/>
      </c>
      <c r="C581" s="35">
        <f>IFERROR(VLOOKUP(B581,'SAÍDA DE VENDAS'!$B$6:$P$500,3,FALSE),"")</f>
        <v>0</v>
      </c>
      <c r="D581" s="34">
        <f>IFERROR(VLOOKUP(B581,'SAÍDA DE VENDAS'!$B$6:$P$500,4,FALSE),"")</f>
        <v>0</v>
      </c>
      <c r="E581" s="34" t="str">
        <f>IFERROR(VLOOKUP(B581,'SAÍDA DE VENDAS'!$B$6:$P$500,5,FALSE),"")</f>
        <v/>
      </c>
      <c r="F581" s="34" t="str">
        <f>IF(OR(ISBLANK(B581),B581=""), "", IFERROR(INDEX('SAÍDA DE VENDAS'!$H$6:$H$500 &amp; "x " &amp; 'SAÍDA DE VENDAS'!$G$6:$G$500, MATCH(B581, 'SAÍDA DE VENDAS'!$B$6:$B$500, 0)), "")&amp; IF(COUNTIF('SAÍDA DE VENDAS'!$B$6:$B$500, B581)&gt;1, " + " &amp; IFERROR(INDEX('SAÍDA DE VENDAS'!$H$6:$H$500 &amp; "x " &amp; 'SAÍDA DE VENDAS'!$G$6:$G$500, MATCH(B581, 'SAÍDA DE VENDAS'!$B$6:$B$500, 0)+1), ""), "")&amp; IF(COUNTIF('SAÍDA DE VENDAS'!$B$6:$B$500, B581)&gt;2, " + " &amp; IFERROR(INDEX('SAÍDA DE VENDAS'!$H$6:$H$500 &amp; "x " &amp; 'SAÍDA DE VENDAS'!$G$6:$G$500, MATCH(B581, 'SAÍDA DE VENDAS'!$B$6:$B$500, 0)+2), ""), "")&amp; IF(COUNTIF('SAÍDA DE VENDAS'!$B$6:$B$500, B581)&gt;3, " + " &amp; IFERROR(INDEX('SAÍDA DE VENDAS'!$H$6:$H$500 &amp; "x " &amp; 'SAÍDA DE VENDAS'!$G$6:$G$500, MATCH(B581, 'SAÍDA DE VENDAS'!$B$6:$B$500, 0)+3), ""), "")&amp; IF(COUNTIF('SAÍDA DE VENDAS'!$B$6:$B$500, B581)&gt;4, " + " &amp; IFERROR(INDEX('SAÍDA DE VENDAS'!$H$6:$H$500 &amp; "x " &amp; 'SAÍDA DE VENDAS'!$G$6:$G$500, MATCH(B581, 'SAÍDA DE VENDAS'!$B$6:$B$500, 0)+4), ""), "")&amp; IF(COUNTIF('SAÍDA DE VENDAS'!$B$6:$B$500, B581)&gt;5, " + " &amp; IFERROR(INDEX('SAÍDA DE VENDAS'!$H$6:$H$500 &amp; "x " &amp; 'SAÍDA DE VENDAS'!$G$6:$G$500, MATCH(B581, 'SAÍDA DE VENDAS'!$B$6:$B$500, 0)+5), ""), ""))</f>
        <v/>
      </c>
      <c r="G581" s="34">
        <f>IFERROR(VLOOKUP(B581,'SAÍDA DE VENDAS'!$B$6:$P$500,10,FALSE),"")</f>
        <v>0</v>
      </c>
      <c r="H581" s="34" t="str">
        <f>IF(OR(ISBLANK(B581),B581=""), "", IF(B581=B580, (VALUE(LEFT(H580,FIND("/",H580)-1))+1)&amp;"/"&amp;RIGHT(H580,LEN(H580)-FIND("/",H580)), "1/"&amp;IFERROR(VLOOKUP(B581,'SAÍDA DE VENDAS'!$B$6:$P$500,13,FALSE),"1")))</f>
        <v/>
      </c>
      <c r="I581" s="35" t="str">
        <f t="shared" si="16"/>
        <v/>
      </c>
      <c r="J581" s="39" t="str">
        <f>IFERROR(VLOOKUP(B581,'SAÍDA DE VENDAS'!$B$6:$P$500,15,FALSE),"")</f>
        <v/>
      </c>
      <c r="K581" s="34" t="str">
        <f t="shared" ca="1" si="17"/>
        <v/>
      </c>
      <c r="L581" s="34"/>
      <c r="M581" s="34"/>
    </row>
    <row r="582" spans="2:13" ht="15" customHeight="1" x14ac:dyDescent="0.3">
      <c r="B582" s="28" t="str">
        <f>IF(B581="","", IF(VALUE(LEFT(H581,FIND("/",H581)-1)) &lt; VALUE(RIGHT(H581,LEN(H581)-FIND("/",H581))), B581, IFERROR(INDEX('SAÍDA DE VENDAS'!$B$6:$B$500, MATCH(B581,'SAÍDA DE VENDAS'!$B$6:$B$500,0)+COUNTIF('SAÍDA DE VENDAS'!$B$6:$B$500, B581)),"")))</f>
        <v/>
      </c>
      <c r="C582" s="29">
        <f>IFERROR(VLOOKUP(B582,'SAÍDA DE VENDAS'!$B$6:$P$500,3,FALSE),"")</f>
        <v>0</v>
      </c>
      <c r="D582" s="28">
        <f>IFERROR(VLOOKUP(B582,'SAÍDA DE VENDAS'!$B$6:$P$500,4,FALSE),"")</f>
        <v>0</v>
      </c>
      <c r="E582" s="28" t="str">
        <f>IFERROR(VLOOKUP(B582,'SAÍDA DE VENDAS'!$B$6:$P$500,5,FALSE),"")</f>
        <v/>
      </c>
      <c r="F582" s="28" t="str">
        <f>IF(OR(ISBLANK(B582),B582=""), "", IFERROR(INDEX('SAÍDA DE VENDAS'!$H$6:$H$500 &amp; "x " &amp; 'SAÍDA DE VENDAS'!$G$6:$G$500, MATCH(B582, 'SAÍDA DE VENDAS'!$B$6:$B$500, 0)), "")&amp; IF(COUNTIF('SAÍDA DE VENDAS'!$B$6:$B$500, B582)&gt;1, " + " &amp; IFERROR(INDEX('SAÍDA DE VENDAS'!$H$6:$H$500 &amp; "x " &amp; 'SAÍDA DE VENDAS'!$G$6:$G$500, MATCH(B582, 'SAÍDA DE VENDAS'!$B$6:$B$500, 0)+1), ""), "")&amp; IF(COUNTIF('SAÍDA DE VENDAS'!$B$6:$B$500, B582)&gt;2, " + " &amp; IFERROR(INDEX('SAÍDA DE VENDAS'!$H$6:$H$500 &amp; "x " &amp; 'SAÍDA DE VENDAS'!$G$6:$G$500, MATCH(B582, 'SAÍDA DE VENDAS'!$B$6:$B$500, 0)+2), ""), "")&amp; IF(COUNTIF('SAÍDA DE VENDAS'!$B$6:$B$500, B582)&gt;3, " + " &amp; IFERROR(INDEX('SAÍDA DE VENDAS'!$H$6:$H$500 &amp; "x " &amp; 'SAÍDA DE VENDAS'!$G$6:$G$500, MATCH(B582, 'SAÍDA DE VENDAS'!$B$6:$B$500, 0)+3), ""), "")&amp; IF(COUNTIF('SAÍDA DE VENDAS'!$B$6:$B$500, B582)&gt;4, " + " &amp; IFERROR(INDEX('SAÍDA DE VENDAS'!$H$6:$H$500 &amp; "x " &amp; 'SAÍDA DE VENDAS'!$G$6:$G$500, MATCH(B582, 'SAÍDA DE VENDAS'!$B$6:$B$500, 0)+4), ""), "")&amp; IF(COUNTIF('SAÍDA DE VENDAS'!$B$6:$B$500, B582)&gt;5, " + " &amp; IFERROR(INDEX('SAÍDA DE VENDAS'!$H$6:$H$500 &amp; "x " &amp; 'SAÍDA DE VENDAS'!$G$6:$G$500, MATCH(B582, 'SAÍDA DE VENDAS'!$B$6:$B$500, 0)+5), ""), ""))</f>
        <v/>
      </c>
      <c r="G582" s="28">
        <f>IFERROR(VLOOKUP(B582,'SAÍDA DE VENDAS'!$B$6:$P$500,10,FALSE),"")</f>
        <v>0</v>
      </c>
      <c r="H582" s="28" t="str">
        <f>IF(OR(ISBLANK(B582),B582=""), "", IF(B582=B581, (VALUE(LEFT(H581,FIND("/",H581)-1))+1)&amp;"/"&amp;RIGHT(H581,LEN(H581)-FIND("/",H581)), "1/"&amp;IFERROR(VLOOKUP(B582,'SAÍDA DE VENDAS'!$B$6:$P$500,13,FALSE),"1")))</f>
        <v/>
      </c>
      <c r="I582" s="69" t="str">
        <f t="shared" ref="I582:I645" si="18">IF(OR(ISBLANK(B582), B582="", C582=""), "", C582 + (IFERROR(VALUE(LEFT(H582, FIND("/", H582)-1)), 1) * 30))</f>
        <v/>
      </c>
      <c r="J582" s="33" t="str">
        <f>IFERROR(VLOOKUP(B582,'SAÍDA DE VENDAS'!$B$6:$P$500,15,FALSE),"")</f>
        <v/>
      </c>
      <c r="K582" s="28" t="str">
        <f t="shared" ref="K582:K645" ca="1" si="19">IF(B582="","", IF(OR(G582="À Vista", L582&lt;&gt;""), "Pago", IF(AND(I582&lt;&gt;"", I582&lt;TODAY()), "Atrasado", "Pendente")))</f>
        <v/>
      </c>
      <c r="L582" s="28"/>
      <c r="M582" s="28"/>
    </row>
    <row r="583" spans="2:13" ht="15" customHeight="1" x14ac:dyDescent="0.3">
      <c r="B583" s="34" t="str">
        <f>IF(B582="","", IF(VALUE(LEFT(H582,FIND("/",H582)-1)) &lt; VALUE(RIGHT(H582,LEN(H582)-FIND("/",H582))), B582, IFERROR(INDEX('SAÍDA DE VENDAS'!$B$6:$B$500, MATCH(B582,'SAÍDA DE VENDAS'!$B$6:$B$500,0)+COUNTIF('SAÍDA DE VENDAS'!$B$6:$B$500, B582)),"")))</f>
        <v/>
      </c>
      <c r="C583" s="35">
        <f>IFERROR(VLOOKUP(B583,'SAÍDA DE VENDAS'!$B$6:$P$500,3,FALSE),"")</f>
        <v>0</v>
      </c>
      <c r="D583" s="34">
        <f>IFERROR(VLOOKUP(B583,'SAÍDA DE VENDAS'!$B$6:$P$500,4,FALSE),"")</f>
        <v>0</v>
      </c>
      <c r="E583" s="34" t="str">
        <f>IFERROR(VLOOKUP(B583,'SAÍDA DE VENDAS'!$B$6:$P$500,5,FALSE),"")</f>
        <v/>
      </c>
      <c r="F583" s="34" t="str">
        <f>IF(OR(ISBLANK(B583),B583=""), "", IFERROR(INDEX('SAÍDA DE VENDAS'!$H$6:$H$500 &amp; "x " &amp; 'SAÍDA DE VENDAS'!$G$6:$G$500, MATCH(B583, 'SAÍDA DE VENDAS'!$B$6:$B$500, 0)), "")&amp; IF(COUNTIF('SAÍDA DE VENDAS'!$B$6:$B$500, B583)&gt;1, " + " &amp; IFERROR(INDEX('SAÍDA DE VENDAS'!$H$6:$H$500 &amp; "x " &amp; 'SAÍDA DE VENDAS'!$G$6:$G$500, MATCH(B583, 'SAÍDA DE VENDAS'!$B$6:$B$500, 0)+1), ""), "")&amp; IF(COUNTIF('SAÍDA DE VENDAS'!$B$6:$B$500, B583)&gt;2, " + " &amp; IFERROR(INDEX('SAÍDA DE VENDAS'!$H$6:$H$500 &amp; "x " &amp; 'SAÍDA DE VENDAS'!$G$6:$G$500, MATCH(B583, 'SAÍDA DE VENDAS'!$B$6:$B$500, 0)+2), ""), "")&amp; IF(COUNTIF('SAÍDA DE VENDAS'!$B$6:$B$500, B583)&gt;3, " + " &amp; IFERROR(INDEX('SAÍDA DE VENDAS'!$H$6:$H$500 &amp; "x " &amp; 'SAÍDA DE VENDAS'!$G$6:$G$500, MATCH(B583, 'SAÍDA DE VENDAS'!$B$6:$B$500, 0)+3), ""), "")&amp; IF(COUNTIF('SAÍDA DE VENDAS'!$B$6:$B$500, B583)&gt;4, " + " &amp; IFERROR(INDEX('SAÍDA DE VENDAS'!$H$6:$H$500 &amp; "x " &amp; 'SAÍDA DE VENDAS'!$G$6:$G$500, MATCH(B583, 'SAÍDA DE VENDAS'!$B$6:$B$500, 0)+4), ""), "")&amp; IF(COUNTIF('SAÍDA DE VENDAS'!$B$6:$B$500, B583)&gt;5, " + " &amp; IFERROR(INDEX('SAÍDA DE VENDAS'!$H$6:$H$500 &amp; "x " &amp; 'SAÍDA DE VENDAS'!$G$6:$G$500, MATCH(B583, 'SAÍDA DE VENDAS'!$B$6:$B$500, 0)+5), ""), ""))</f>
        <v/>
      </c>
      <c r="G583" s="34">
        <f>IFERROR(VLOOKUP(B583,'SAÍDA DE VENDAS'!$B$6:$P$500,10,FALSE),"")</f>
        <v>0</v>
      </c>
      <c r="H583" s="34" t="str">
        <f>IF(OR(ISBLANK(B583),B583=""), "", IF(B583=B582, (VALUE(LEFT(H582,FIND("/",H582)-1))+1)&amp;"/"&amp;RIGHT(H582,LEN(H582)-FIND("/",H582)), "1/"&amp;IFERROR(VLOOKUP(B583,'SAÍDA DE VENDAS'!$B$6:$P$500,13,FALSE),"1")))</f>
        <v/>
      </c>
      <c r="I583" s="35" t="str">
        <f t="shared" si="18"/>
        <v/>
      </c>
      <c r="J583" s="39" t="str">
        <f>IFERROR(VLOOKUP(B583,'SAÍDA DE VENDAS'!$B$6:$P$500,15,FALSE),"")</f>
        <v/>
      </c>
      <c r="K583" s="34" t="str">
        <f t="shared" ca="1" si="19"/>
        <v/>
      </c>
      <c r="L583" s="34"/>
      <c r="M583" s="34"/>
    </row>
    <row r="584" spans="2:13" ht="15" customHeight="1" x14ac:dyDescent="0.3">
      <c r="B584" s="28" t="str">
        <f>IF(B583="","", IF(VALUE(LEFT(H583,FIND("/",H583)-1)) &lt; VALUE(RIGHT(H583,LEN(H583)-FIND("/",H583))), B583, IFERROR(INDEX('SAÍDA DE VENDAS'!$B$6:$B$500, MATCH(B583,'SAÍDA DE VENDAS'!$B$6:$B$500,0)+COUNTIF('SAÍDA DE VENDAS'!$B$6:$B$500, B583)),"")))</f>
        <v/>
      </c>
      <c r="C584" s="29">
        <f>IFERROR(VLOOKUP(B584,'SAÍDA DE VENDAS'!$B$6:$P$500,3,FALSE),"")</f>
        <v>0</v>
      </c>
      <c r="D584" s="28">
        <f>IFERROR(VLOOKUP(B584,'SAÍDA DE VENDAS'!$B$6:$P$500,4,FALSE),"")</f>
        <v>0</v>
      </c>
      <c r="E584" s="28" t="str">
        <f>IFERROR(VLOOKUP(B584,'SAÍDA DE VENDAS'!$B$6:$P$500,5,FALSE),"")</f>
        <v/>
      </c>
      <c r="F584" s="28" t="str">
        <f>IF(OR(ISBLANK(B584),B584=""), "", IFERROR(INDEX('SAÍDA DE VENDAS'!$H$6:$H$500 &amp; "x " &amp; 'SAÍDA DE VENDAS'!$G$6:$G$500, MATCH(B584, 'SAÍDA DE VENDAS'!$B$6:$B$500, 0)), "")&amp; IF(COUNTIF('SAÍDA DE VENDAS'!$B$6:$B$500, B584)&gt;1, " + " &amp; IFERROR(INDEX('SAÍDA DE VENDAS'!$H$6:$H$500 &amp; "x " &amp; 'SAÍDA DE VENDAS'!$G$6:$G$500, MATCH(B584, 'SAÍDA DE VENDAS'!$B$6:$B$500, 0)+1), ""), "")&amp; IF(COUNTIF('SAÍDA DE VENDAS'!$B$6:$B$500, B584)&gt;2, " + " &amp; IFERROR(INDEX('SAÍDA DE VENDAS'!$H$6:$H$500 &amp; "x " &amp; 'SAÍDA DE VENDAS'!$G$6:$G$500, MATCH(B584, 'SAÍDA DE VENDAS'!$B$6:$B$500, 0)+2), ""), "")&amp; IF(COUNTIF('SAÍDA DE VENDAS'!$B$6:$B$500, B584)&gt;3, " + " &amp; IFERROR(INDEX('SAÍDA DE VENDAS'!$H$6:$H$500 &amp; "x " &amp; 'SAÍDA DE VENDAS'!$G$6:$G$500, MATCH(B584, 'SAÍDA DE VENDAS'!$B$6:$B$500, 0)+3), ""), "")&amp; IF(COUNTIF('SAÍDA DE VENDAS'!$B$6:$B$500, B584)&gt;4, " + " &amp; IFERROR(INDEX('SAÍDA DE VENDAS'!$H$6:$H$500 &amp; "x " &amp; 'SAÍDA DE VENDAS'!$G$6:$G$500, MATCH(B584, 'SAÍDA DE VENDAS'!$B$6:$B$500, 0)+4), ""), "")&amp; IF(COUNTIF('SAÍDA DE VENDAS'!$B$6:$B$500, B584)&gt;5, " + " &amp; IFERROR(INDEX('SAÍDA DE VENDAS'!$H$6:$H$500 &amp; "x " &amp; 'SAÍDA DE VENDAS'!$G$6:$G$500, MATCH(B584, 'SAÍDA DE VENDAS'!$B$6:$B$500, 0)+5), ""), ""))</f>
        <v/>
      </c>
      <c r="G584" s="28">
        <f>IFERROR(VLOOKUP(B584,'SAÍDA DE VENDAS'!$B$6:$P$500,10,FALSE),"")</f>
        <v>0</v>
      </c>
      <c r="H584" s="28" t="str">
        <f>IF(OR(ISBLANK(B584),B584=""), "", IF(B584=B583, (VALUE(LEFT(H583,FIND("/",H583)-1))+1)&amp;"/"&amp;RIGHT(H583,LEN(H583)-FIND("/",H583)), "1/"&amp;IFERROR(VLOOKUP(B584,'SAÍDA DE VENDAS'!$B$6:$P$500,13,FALSE),"1")))</f>
        <v/>
      </c>
      <c r="I584" s="69" t="str">
        <f t="shared" si="18"/>
        <v/>
      </c>
      <c r="J584" s="33" t="str">
        <f>IFERROR(VLOOKUP(B584,'SAÍDA DE VENDAS'!$B$6:$P$500,15,FALSE),"")</f>
        <v/>
      </c>
      <c r="K584" s="28" t="str">
        <f t="shared" ca="1" si="19"/>
        <v/>
      </c>
      <c r="L584" s="28"/>
      <c r="M584" s="28"/>
    </row>
    <row r="585" spans="2:13" ht="15" customHeight="1" x14ac:dyDescent="0.3">
      <c r="B585" s="34" t="str">
        <f>IF(B584="","", IF(VALUE(LEFT(H584,FIND("/",H584)-1)) &lt; VALUE(RIGHT(H584,LEN(H584)-FIND("/",H584))), B584, IFERROR(INDEX('SAÍDA DE VENDAS'!$B$6:$B$500, MATCH(B584,'SAÍDA DE VENDAS'!$B$6:$B$500,0)+COUNTIF('SAÍDA DE VENDAS'!$B$6:$B$500, B584)),"")))</f>
        <v/>
      </c>
      <c r="C585" s="35">
        <f>IFERROR(VLOOKUP(B585,'SAÍDA DE VENDAS'!$B$6:$P$500,3,FALSE),"")</f>
        <v>0</v>
      </c>
      <c r="D585" s="34">
        <f>IFERROR(VLOOKUP(B585,'SAÍDA DE VENDAS'!$B$6:$P$500,4,FALSE),"")</f>
        <v>0</v>
      </c>
      <c r="E585" s="34" t="str">
        <f>IFERROR(VLOOKUP(B585,'SAÍDA DE VENDAS'!$B$6:$P$500,5,FALSE),"")</f>
        <v/>
      </c>
      <c r="F585" s="34" t="str">
        <f>IF(OR(ISBLANK(B585),B585=""), "", IFERROR(INDEX('SAÍDA DE VENDAS'!$H$6:$H$500 &amp; "x " &amp; 'SAÍDA DE VENDAS'!$G$6:$G$500, MATCH(B585, 'SAÍDA DE VENDAS'!$B$6:$B$500, 0)), "")&amp; IF(COUNTIF('SAÍDA DE VENDAS'!$B$6:$B$500, B585)&gt;1, " + " &amp; IFERROR(INDEX('SAÍDA DE VENDAS'!$H$6:$H$500 &amp; "x " &amp; 'SAÍDA DE VENDAS'!$G$6:$G$500, MATCH(B585, 'SAÍDA DE VENDAS'!$B$6:$B$500, 0)+1), ""), "")&amp; IF(COUNTIF('SAÍDA DE VENDAS'!$B$6:$B$500, B585)&gt;2, " + " &amp; IFERROR(INDEX('SAÍDA DE VENDAS'!$H$6:$H$500 &amp; "x " &amp; 'SAÍDA DE VENDAS'!$G$6:$G$500, MATCH(B585, 'SAÍDA DE VENDAS'!$B$6:$B$500, 0)+2), ""), "")&amp; IF(COUNTIF('SAÍDA DE VENDAS'!$B$6:$B$500, B585)&gt;3, " + " &amp; IFERROR(INDEX('SAÍDA DE VENDAS'!$H$6:$H$500 &amp; "x " &amp; 'SAÍDA DE VENDAS'!$G$6:$G$500, MATCH(B585, 'SAÍDA DE VENDAS'!$B$6:$B$500, 0)+3), ""), "")&amp; IF(COUNTIF('SAÍDA DE VENDAS'!$B$6:$B$500, B585)&gt;4, " + " &amp; IFERROR(INDEX('SAÍDA DE VENDAS'!$H$6:$H$500 &amp; "x " &amp; 'SAÍDA DE VENDAS'!$G$6:$G$500, MATCH(B585, 'SAÍDA DE VENDAS'!$B$6:$B$500, 0)+4), ""), "")&amp; IF(COUNTIF('SAÍDA DE VENDAS'!$B$6:$B$500, B585)&gt;5, " + " &amp; IFERROR(INDEX('SAÍDA DE VENDAS'!$H$6:$H$500 &amp; "x " &amp; 'SAÍDA DE VENDAS'!$G$6:$G$500, MATCH(B585, 'SAÍDA DE VENDAS'!$B$6:$B$500, 0)+5), ""), ""))</f>
        <v/>
      </c>
      <c r="G585" s="34">
        <f>IFERROR(VLOOKUP(B585,'SAÍDA DE VENDAS'!$B$6:$P$500,10,FALSE),"")</f>
        <v>0</v>
      </c>
      <c r="H585" s="34" t="str">
        <f>IF(OR(ISBLANK(B585),B585=""), "", IF(B585=B584, (VALUE(LEFT(H584,FIND("/",H584)-1))+1)&amp;"/"&amp;RIGHT(H584,LEN(H584)-FIND("/",H584)), "1/"&amp;IFERROR(VLOOKUP(B585,'SAÍDA DE VENDAS'!$B$6:$P$500,13,FALSE),"1")))</f>
        <v/>
      </c>
      <c r="I585" s="35" t="str">
        <f t="shared" si="18"/>
        <v/>
      </c>
      <c r="J585" s="39" t="str">
        <f>IFERROR(VLOOKUP(B585,'SAÍDA DE VENDAS'!$B$6:$P$500,15,FALSE),"")</f>
        <v/>
      </c>
      <c r="K585" s="34" t="str">
        <f t="shared" ca="1" si="19"/>
        <v/>
      </c>
      <c r="L585" s="34"/>
      <c r="M585" s="34"/>
    </row>
    <row r="586" spans="2:13" ht="15" customHeight="1" x14ac:dyDescent="0.3">
      <c r="B586" s="28" t="str">
        <f>IF(B585="","", IF(VALUE(LEFT(H585,FIND("/",H585)-1)) &lt; VALUE(RIGHT(H585,LEN(H585)-FIND("/",H585))), B585, IFERROR(INDEX('SAÍDA DE VENDAS'!$B$6:$B$500, MATCH(B585,'SAÍDA DE VENDAS'!$B$6:$B$500,0)+COUNTIF('SAÍDA DE VENDAS'!$B$6:$B$500, B585)),"")))</f>
        <v/>
      </c>
      <c r="C586" s="29">
        <f>IFERROR(VLOOKUP(B586,'SAÍDA DE VENDAS'!$B$6:$P$500,3,FALSE),"")</f>
        <v>0</v>
      </c>
      <c r="D586" s="28">
        <f>IFERROR(VLOOKUP(B586,'SAÍDA DE VENDAS'!$B$6:$P$500,4,FALSE),"")</f>
        <v>0</v>
      </c>
      <c r="E586" s="28" t="str">
        <f>IFERROR(VLOOKUP(B586,'SAÍDA DE VENDAS'!$B$6:$P$500,5,FALSE),"")</f>
        <v/>
      </c>
      <c r="F586" s="28" t="str">
        <f>IF(OR(ISBLANK(B586),B586=""), "", IFERROR(INDEX('SAÍDA DE VENDAS'!$H$6:$H$500 &amp; "x " &amp; 'SAÍDA DE VENDAS'!$G$6:$G$500, MATCH(B586, 'SAÍDA DE VENDAS'!$B$6:$B$500, 0)), "")&amp; IF(COUNTIF('SAÍDA DE VENDAS'!$B$6:$B$500, B586)&gt;1, " + " &amp; IFERROR(INDEX('SAÍDA DE VENDAS'!$H$6:$H$500 &amp; "x " &amp; 'SAÍDA DE VENDAS'!$G$6:$G$500, MATCH(B586, 'SAÍDA DE VENDAS'!$B$6:$B$500, 0)+1), ""), "")&amp; IF(COUNTIF('SAÍDA DE VENDAS'!$B$6:$B$500, B586)&gt;2, " + " &amp; IFERROR(INDEX('SAÍDA DE VENDAS'!$H$6:$H$500 &amp; "x " &amp; 'SAÍDA DE VENDAS'!$G$6:$G$500, MATCH(B586, 'SAÍDA DE VENDAS'!$B$6:$B$500, 0)+2), ""), "")&amp; IF(COUNTIF('SAÍDA DE VENDAS'!$B$6:$B$500, B586)&gt;3, " + " &amp; IFERROR(INDEX('SAÍDA DE VENDAS'!$H$6:$H$500 &amp; "x " &amp; 'SAÍDA DE VENDAS'!$G$6:$G$500, MATCH(B586, 'SAÍDA DE VENDAS'!$B$6:$B$500, 0)+3), ""), "")&amp; IF(COUNTIF('SAÍDA DE VENDAS'!$B$6:$B$500, B586)&gt;4, " + " &amp; IFERROR(INDEX('SAÍDA DE VENDAS'!$H$6:$H$500 &amp; "x " &amp; 'SAÍDA DE VENDAS'!$G$6:$G$500, MATCH(B586, 'SAÍDA DE VENDAS'!$B$6:$B$500, 0)+4), ""), "")&amp; IF(COUNTIF('SAÍDA DE VENDAS'!$B$6:$B$500, B586)&gt;5, " + " &amp; IFERROR(INDEX('SAÍDA DE VENDAS'!$H$6:$H$500 &amp; "x " &amp; 'SAÍDA DE VENDAS'!$G$6:$G$500, MATCH(B586, 'SAÍDA DE VENDAS'!$B$6:$B$500, 0)+5), ""), ""))</f>
        <v/>
      </c>
      <c r="G586" s="28">
        <f>IFERROR(VLOOKUP(B586,'SAÍDA DE VENDAS'!$B$6:$P$500,10,FALSE),"")</f>
        <v>0</v>
      </c>
      <c r="H586" s="28" t="str">
        <f>IF(OR(ISBLANK(B586),B586=""), "", IF(B586=B585, (VALUE(LEFT(H585,FIND("/",H585)-1))+1)&amp;"/"&amp;RIGHT(H585,LEN(H585)-FIND("/",H585)), "1/"&amp;IFERROR(VLOOKUP(B586,'SAÍDA DE VENDAS'!$B$6:$P$500,13,FALSE),"1")))</f>
        <v/>
      </c>
      <c r="I586" s="69" t="str">
        <f t="shared" si="18"/>
        <v/>
      </c>
      <c r="J586" s="33" t="str">
        <f>IFERROR(VLOOKUP(B586,'SAÍDA DE VENDAS'!$B$6:$P$500,15,FALSE),"")</f>
        <v/>
      </c>
      <c r="K586" s="28" t="str">
        <f t="shared" ca="1" si="19"/>
        <v/>
      </c>
      <c r="L586" s="28"/>
      <c r="M586" s="28"/>
    </row>
    <row r="587" spans="2:13" ht="15" customHeight="1" x14ac:dyDescent="0.3">
      <c r="B587" s="34" t="str">
        <f>IF(B586="","", IF(VALUE(LEFT(H586,FIND("/",H586)-1)) &lt; VALUE(RIGHT(H586,LEN(H586)-FIND("/",H586))), B586, IFERROR(INDEX('SAÍDA DE VENDAS'!$B$6:$B$500, MATCH(B586,'SAÍDA DE VENDAS'!$B$6:$B$500,0)+COUNTIF('SAÍDA DE VENDAS'!$B$6:$B$500, B586)),"")))</f>
        <v/>
      </c>
      <c r="C587" s="35">
        <f>IFERROR(VLOOKUP(B587,'SAÍDA DE VENDAS'!$B$6:$P$500,3,FALSE),"")</f>
        <v>0</v>
      </c>
      <c r="D587" s="34">
        <f>IFERROR(VLOOKUP(B587,'SAÍDA DE VENDAS'!$B$6:$P$500,4,FALSE),"")</f>
        <v>0</v>
      </c>
      <c r="E587" s="34" t="str">
        <f>IFERROR(VLOOKUP(B587,'SAÍDA DE VENDAS'!$B$6:$P$500,5,FALSE),"")</f>
        <v/>
      </c>
      <c r="F587" s="34" t="str">
        <f>IF(OR(ISBLANK(B587),B587=""), "", IFERROR(INDEX('SAÍDA DE VENDAS'!$H$6:$H$500 &amp; "x " &amp; 'SAÍDA DE VENDAS'!$G$6:$G$500, MATCH(B587, 'SAÍDA DE VENDAS'!$B$6:$B$500, 0)), "")&amp; IF(COUNTIF('SAÍDA DE VENDAS'!$B$6:$B$500, B587)&gt;1, " + " &amp; IFERROR(INDEX('SAÍDA DE VENDAS'!$H$6:$H$500 &amp; "x " &amp; 'SAÍDA DE VENDAS'!$G$6:$G$500, MATCH(B587, 'SAÍDA DE VENDAS'!$B$6:$B$500, 0)+1), ""), "")&amp; IF(COUNTIF('SAÍDA DE VENDAS'!$B$6:$B$500, B587)&gt;2, " + " &amp; IFERROR(INDEX('SAÍDA DE VENDAS'!$H$6:$H$500 &amp; "x " &amp; 'SAÍDA DE VENDAS'!$G$6:$G$500, MATCH(B587, 'SAÍDA DE VENDAS'!$B$6:$B$500, 0)+2), ""), "")&amp; IF(COUNTIF('SAÍDA DE VENDAS'!$B$6:$B$500, B587)&gt;3, " + " &amp; IFERROR(INDEX('SAÍDA DE VENDAS'!$H$6:$H$500 &amp; "x " &amp; 'SAÍDA DE VENDAS'!$G$6:$G$500, MATCH(B587, 'SAÍDA DE VENDAS'!$B$6:$B$500, 0)+3), ""), "")&amp; IF(COUNTIF('SAÍDA DE VENDAS'!$B$6:$B$500, B587)&gt;4, " + " &amp; IFERROR(INDEX('SAÍDA DE VENDAS'!$H$6:$H$500 &amp; "x " &amp; 'SAÍDA DE VENDAS'!$G$6:$G$500, MATCH(B587, 'SAÍDA DE VENDAS'!$B$6:$B$500, 0)+4), ""), "")&amp; IF(COUNTIF('SAÍDA DE VENDAS'!$B$6:$B$500, B587)&gt;5, " + " &amp; IFERROR(INDEX('SAÍDA DE VENDAS'!$H$6:$H$500 &amp; "x " &amp; 'SAÍDA DE VENDAS'!$G$6:$G$500, MATCH(B587, 'SAÍDA DE VENDAS'!$B$6:$B$500, 0)+5), ""), ""))</f>
        <v/>
      </c>
      <c r="G587" s="34">
        <f>IFERROR(VLOOKUP(B587,'SAÍDA DE VENDAS'!$B$6:$P$500,10,FALSE),"")</f>
        <v>0</v>
      </c>
      <c r="H587" s="34" t="str">
        <f>IF(OR(ISBLANK(B587),B587=""), "", IF(B587=B586, (VALUE(LEFT(H586,FIND("/",H586)-1))+1)&amp;"/"&amp;RIGHT(H586,LEN(H586)-FIND("/",H586)), "1/"&amp;IFERROR(VLOOKUP(B587,'SAÍDA DE VENDAS'!$B$6:$P$500,13,FALSE),"1")))</f>
        <v/>
      </c>
      <c r="I587" s="35" t="str">
        <f t="shared" si="18"/>
        <v/>
      </c>
      <c r="J587" s="39" t="str">
        <f>IFERROR(VLOOKUP(B587,'SAÍDA DE VENDAS'!$B$6:$P$500,15,FALSE),"")</f>
        <v/>
      </c>
      <c r="K587" s="34" t="str">
        <f t="shared" ca="1" si="19"/>
        <v/>
      </c>
      <c r="L587" s="34"/>
      <c r="M587" s="34"/>
    </row>
    <row r="588" spans="2:13" ht="15" customHeight="1" x14ac:dyDescent="0.3">
      <c r="B588" s="28" t="str">
        <f>IF(B587="","", IF(VALUE(LEFT(H587,FIND("/",H587)-1)) &lt; VALUE(RIGHT(H587,LEN(H587)-FIND("/",H587))), B587, IFERROR(INDEX('SAÍDA DE VENDAS'!$B$6:$B$500, MATCH(B587,'SAÍDA DE VENDAS'!$B$6:$B$500,0)+COUNTIF('SAÍDA DE VENDAS'!$B$6:$B$500, B587)),"")))</f>
        <v/>
      </c>
      <c r="C588" s="29">
        <f>IFERROR(VLOOKUP(B588,'SAÍDA DE VENDAS'!$B$6:$P$500,3,FALSE),"")</f>
        <v>0</v>
      </c>
      <c r="D588" s="28">
        <f>IFERROR(VLOOKUP(B588,'SAÍDA DE VENDAS'!$B$6:$P$500,4,FALSE),"")</f>
        <v>0</v>
      </c>
      <c r="E588" s="28" t="str">
        <f>IFERROR(VLOOKUP(B588,'SAÍDA DE VENDAS'!$B$6:$P$500,5,FALSE),"")</f>
        <v/>
      </c>
      <c r="F588" s="28" t="str">
        <f>IF(OR(ISBLANK(B588),B588=""), "", IFERROR(INDEX('SAÍDA DE VENDAS'!$H$6:$H$500 &amp; "x " &amp; 'SAÍDA DE VENDAS'!$G$6:$G$500, MATCH(B588, 'SAÍDA DE VENDAS'!$B$6:$B$500, 0)), "")&amp; IF(COUNTIF('SAÍDA DE VENDAS'!$B$6:$B$500, B588)&gt;1, " + " &amp; IFERROR(INDEX('SAÍDA DE VENDAS'!$H$6:$H$500 &amp; "x " &amp; 'SAÍDA DE VENDAS'!$G$6:$G$500, MATCH(B588, 'SAÍDA DE VENDAS'!$B$6:$B$500, 0)+1), ""), "")&amp; IF(COUNTIF('SAÍDA DE VENDAS'!$B$6:$B$500, B588)&gt;2, " + " &amp; IFERROR(INDEX('SAÍDA DE VENDAS'!$H$6:$H$500 &amp; "x " &amp; 'SAÍDA DE VENDAS'!$G$6:$G$500, MATCH(B588, 'SAÍDA DE VENDAS'!$B$6:$B$500, 0)+2), ""), "")&amp; IF(COUNTIF('SAÍDA DE VENDAS'!$B$6:$B$500, B588)&gt;3, " + " &amp; IFERROR(INDEX('SAÍDA DE VENDAS'!$H$6:$H$500 &amp; "x " &amp; 'SAÍDA DE VENDAS'!$G$6:$G$500, MATCH(B588, 'SAÍDA DE VENDAS'!$B$6:$B$500, 0)+3), ""), "")&amp; IF(COUNTIF('SAÍDA DE VENDAS'!$B$6:$B$500, B588)&gt;4, " + " &amp; IFERROR(INDEX('SAÍDA DE VENDAS'!$H$6:$H$500 &amp; "x " &amp; 'SAÍDA DE VENDAS'!$G$6:$G$500, MATCH(B588, 'SAÍDA DE VENDAS'!$B$6:$B$500, 0)+4), ""), "")&amp; IF(COUNTIF('SAÍDA DE VENDAS'!$B$6:$B$500, B588)&gt;5, " + " &amp; IFERROR(INDEX('SAÍDA DE VENDAS'!$H$6:$H$500 &amp; "x " &amp; 'SAÍDA DE VENDAS'!$G$6:$G$500, MATCH(B588, 'SAÍDA DE VENDAS'!$B$6:$B$500, 0)+5), ""), ""))</f>
        <v/>
      </c>
      <c r="G588" s="28">
        <f>IFERROR(VLOOKUP(B588,'SAÍDA DE VENDAS'!$B$6:$P$500,10,FALSE),"")</f>
        <v>0</v>
      </c>
      <c r="H588" s="28" t="str">
        <f>IF(OR(ISBLANK(B588),B588=""), "", IF(B588=B587, (VALUE(LEFT(H587,FIND("/",H587)-1))+1)&amp;"/"&amp;RIGHT(H587,LEN(H587)-FIND("/",H587)), "1/"&amp;IFERROR(VLOOKUP(B588,'SAÍDA DE VENDAS'!$B$6:$P$500,13,FALSE),"1")))</f>
        <v/>
      </c>
      <c r="I588" s="69" t="str">
        <f t="shared" si="18"/>
        <v/>
      </c>
      <c r="J588" s="33" t="str">
        <f>IFERROR(VLOOKUP(B588,'SAÍDA DE VENDAS'!$B$6:$P$500,15,FALSE),"")</f>
        <v/>
      </c>
      <c r="K588" s="28" t="str">
        <f t="shared" ca="1" si="19"/>
        <v/>
      </c>
      <c r="L588" s="28"/>
      <c r="M588" s="28"/>
    </row>
    <row r="589" spans="2:13" ht="15" customHeight="1" x14ac:dyDescent="0.3">
      <c r="B589" s="34" t="str">
        <f>IF(B588="","", IF(VALUE(LEFT(H588,FIND("/",H588)-1)) &lt; VALUE(RIGHT(H588,LEN(H588)-FIND("/",H588))), B588, IFERROR(INDEX('SAÍDA DE VENDAS'!$B$6:$B$500, MATCH(B588,'SAÍDA DE VENDAS'!$B$6:$B$500,0)+COUNTIF('SAÍDA DE VENDAS'!$B$6:$B$500, B588)),"")))</f>
        <v/>
      </c>
      <c r="C589" s="35">
        <f>IFERROR(VLOOKUP(B589,'SAÍDA DE VENDAS'!$B$6:$P$500,3,FALSE),"")</f>
        <v>0</v>
      </c>
      <c r="D589" s="34">
        <f>IFERROR(VLOOKUP(B589,'SAÍDA DE VENDAS'!$B$6:$P$500,4,FALSE),"")</f>
        <v>0</v>
      </c>
      <c r="E589" s="34" t="str">
        <f>IFERROR(VLOOKUP(B589,'SAÍDA DE VENDAS'!$B$6:$P$500,5,FALSE),"")</f>
        <v/>
      </c>
      <c r="F589" s="34" t="str">
        <f>IF(OR(ISBLANK(B589),B589=""), "", IFERROR(INDEX('SAÍDA DE VENDAS'!$H$6:$H$500 &amp; "x " &amp; 'SAÍDA DE VENDAS'!$G$6:$G$500, MATCH(B589, 'SAÍDA DE VENDAS'!$B$6:$B$500, 0)), "")&amp; IF(COUNTIF('SAÍDA DE VENDAS'!$B$6:$B$500, B589)&gt;1, " + " &amp; IFERROR(INDEX('SAÍDA DE VENDAS'!$H$6:$H$500 &amp; "x " &amp; 'SAÍDA DE VENDAS'!$G$6:$G$500, MATCH(B589, 'SAÍDA DE VENDAS'!$B$6:$B$500, 0)+1), ""), "")&amp; IF(COUNTIF('SAÍDA DE VENDAS'!$B$6:$B$500, B589)&gt;2, " + " &amp; IFERROR(INDEX('SAÍDA DE VENDAS'!$H$6:$H$500 &amp; "x " &amp; 'SAÍDA DE VENDAS'!$G$6:$G$500, MATCH(B589, 'SAÍDA DE VENDAS'!$B$6:$B$500, 0)+2), ""), "")&amp; IF(COUNTIF('SAÍDA DE VENDAS'!$B$6:$B$500, B589)&gt;3, " + " &amp; IFERROR(INDEX('SAÍDA DE VENDAS'!$H$6:$H$500 &amp; "x " &amp; 'SAÍDA DE VENDAS'!$G$6:$G$500, MATCH(B589, 'SAÍDA DE VENDAS'!$B$6:$B$500, 0)+3), ""), "")&amp; IF(COUNTIF('SAÍDA DE VENDAS'!$B$6:$B$500, B589)&gt;4, " + " &amp; IFERROR(INDEX('SAÍDA DE VENDAS'!$H$6:$H$500 &amp; "x " &amp; 'SAÍDA DE VENDAS'!$G$6:$G$500, MATCH(B589, 'SAÍDA DE VENDAS'!$B$6:$B$500, 0)+4), ""), "")&amp; IF(COUNTIF('SAÍDA DE VENDAS'!$B$6:$B$500, B589)&gt;5, " + " &amp; IFERROR(INDEX('SAÍDA DE VENDAS'!$H$6:$H$500 &amp; "x " &amp; 'SAÍDA DE VENDAS'!$G$6:$G$500, MATCH(B589, 'SAÍDA DE VENDAS'!$B$6:$B$500, 0)+5), ""), ""))</f>
        <v/>
      </c>
      <c r="G589" s="34">
        <f>IFERROR(VLOOKUP(B589,'SAÍDA DE VENDAS'!$B$6:$P$500,10,FALSE),"")</f>
        <v>0</v>
      </c>
      <c r="H589" s="34" t="str">
        <f>IF(OR(ISBLANK(B589),B589=""), "", IF(B589=B588, (VALUE(LEFT(H588,FIND("/",H588)-1))+1)&amp;"/"&amp;RIGHT(H588,LEN(H588)-FIND("/",H588)), "1/"&amp;IFERROR(VLOOKUP(B589,'SAÍDA DE VENDAS'!$B$6:$P$500,13,FALSE),"1")))</f>
        <v/>
      </c>
      <c r="I589" s="35" t="str">
        <f t="shared" si="18"/>
        <v/>
      </c>
      <c r="J589" s="39" t="str">
        <f>IFERROR(VLOOKUP(B589,'SAÍDA DE VENDAS'!$B$6:$P$500,15,FALSE),"")</f>
        <v/>
      </c>
      <c r="K589" s="34" t="str">
        <f t="shared" ca="1" si="19"/>
        <v/>
      </c>
      <c r="L589" s="34"/>
      <c r="M589" s="34"/>
    </row>
    <row r="590" spans="2:13" ht="15" customHeight="1" x14ac:dyDescent="0.3">
      <c r="B590" s="28" t="str">
        <f>IF(B589="","", IF(VALUE(LEFT(H589,FIND("/",H589)-1)) &lt; VALUE(RIGHT(H589,LEN(H589)-FIND("/",H589))), B589, IFERROR(INDEX('SAÍDA DE VENDAS'!$B$6:$B$500, MATCH(B589,'SAÍDA DE VENDAS'!$B$6:$B$500,0)+COUNTIF('SAÍDA DE VENDAS'!$B$6:$B$500, B589)),"")))</f>
        <v/>
      </c>
      <c r="C590" s="29">
        <f>IFERROR(VLOOKUP(B590,'SAÍDA DE VENDAS'!$B$6:$P$500,3,FALSE),"")</f>
        <v>0</v>
      </c>
      <c r="D590" s="28">
        <f>IFERROR(VLOOKUP(B590,'SAÍDA DE VENDAS'!$B$6:$P$500,4,FALSE),"")</f>
        <v>0</v>
      </c>
      <c r="E590" s="28" t="str">
        <f>IFERROR(VLOOKUP(B590,'SAÍDA DE VENDAS'!$B$6:$P$500,5,FALSE),"")</f>
        <v/>
      </c>
      <c r="F590" s="28" t="str">
        <f>IF(OR(ISBLANK(B590),B590=""), "", IFERROR(INDEX('SAÍDA DE VENDAS'!$H$6:$H$500 &amp; "x " &amp; 'SAÍDA DE VENDAS'!$G$6:$G$500, MATCH(B590, 'SAÍDA DE VENDAS'!$B$6:$B$500, 0)), "")&amp; IF(COUNTIF('SAÍDA DE VENDAS'!$B$6:$B$500, B590)&gt;1, " + " &amp; IFERROR(INDEX('SAÍDA DE VENDAS'!$H$6:$H$500 &amp; "x " &amp; 'SAÍDA DE VENDAS'!$G$6:$G$500, MATCH(B590, 'SAÍDA DE VENDAS'!$B$6:$B$500, 0)+1), ""), "")&amp; IF(COUNTIF('SAÍDA DE VENDAS'!$B$6:$B$500, B590)&gt;2, " + " &amp; IFERROR(INDEX('SAÍDA DE VENDAS'!$H$6:$H$500 &amp; "x " &amp; 'SAÍDA DE VENDAS'!$G$6:$G$500, MATCH(B590, 'SAÍDA DE VENDAS'!$B$6:$B$500, 0)+2), ""), "")&amp; IF(COUNTIF('SAÍDA DE VENDAS'!$B$6:$B$500, B590)&gt;3, " + " &amp; IFERROR(INDEX('SAÍDA DE VENDAS'!$H$6:$H$500 &amp; "x " &amp; 'SAÍDA DE VENDAS'!$G$6:$G$500, MATCH(B590, 'SAÍDA DE VENDAS'!$B$6:$B$500, 0)+3), ""), "")&amp; IF(COUNTIF('SAÍDA DE VENDAS'!$B$6:$B$500, B590)&gt;4, " + " &amp; IFERROR(INDEX('SAÍDA DE VENDAS'!$H$6:$H$500 &amp; "x " &amp; 'SAÍDA DE VENDAS'!$G$6:$G$500, MATCH(B590, 'SAÍDA DE VENDAS'!$B$6:$B$500, 0)+4), ""), "")&amp; IF(COUNTIF('SAÍDA DE VENDAS'!$B$6:$B$500, B590)&gt;5, " + " &amp; IFERROR(INDEX('SAÍDA DE VENDAS'!$H$6:$H$500 &amp; "x " &amp; 'SAÍDA DE VENDAS'!$G$6:$G$500, MATCH(B590, 'SAÍDA DE VENDAS'!$B$6:$B$500, 0)+5), ""), ""))</f>
        <v/>
      </c>
      <c r="G590" s="28">
        <f>IFERROR(VLOOKUP(B590,'SAÍDA DE VENDAS'!$B$6:$P$500,10,FALSE),"")</f>
        <v>0</v>
      </c>
      <c r="H590" s="28" t="str">
        <f>IF(OR(ISBLANK(B590),B590=""), "", IF(B590=B589, (VALUE(LEFT(H589,FIND("/",H589)-1))+1)&amp;"/"&amp;RIGHT(H589,LEN(H589)-FIND("/",H589)), "1/"&amp;IFERROR(VLOOKUP(B590,'SAÍDA DE VENDAS'!$B$6:$P$500,13,FALSE),"1")))</f>
        <v/>
      </c>
      <c r="I590" s="69" t="str">
        <f t="shared" si="18"/>
        <v/>
      </c>
      <c r="J590" s="33" t="str">
        <f>IFERROR(VLOOKUP(B590,'SAÍDA DE VENDAS'!$B$6:$P$500,15,FALSE),"")</f>
        <v/>
      </c>
      <c r="K590" s="28" t="str">
        <f t="shared" ca="1" si="19"/>
        <v/>
      </c>
      <c r="L590" s="28"/>
      <c r="M590" s="28"/>
    </row>
    <row r="591" spans="2:13" ht="15" customHeight="1" x14ac:dyDescent="0.3">
      <c r="B591" s="34" t="str">
        <f>IF(B590="","", IF(VALUE(LEFT(H590,FIND("/",H590)-1)) &lt; VALUE(RIGHT(H590,LEN(H590)-FIND("/",H590))), B590, IFERROR(INDEX('SAÍDA DE VENDAS'!$B$6:$B$500, MATCH(B590,'SAÍDA DE VENDAS'!$B$6:$B$500,0)+COUNTIF('SAÍDA DE VENDAS'!$B$6:$B$500, B590)),"")))</f>
        <v/>
      </c>
      <c r="C591" s="35">
        <f>IFERROR(VLOOKUP(B591,'SAÍDA DE VENDAS'!$B$6:$P$500,3,FALSE),"")</f>
        <v>0</v>
      </c>
      <c r="D591" s="34">
        <f>IFERROR(VLOOKUP(B591,'SAÍDA DE VENDAS'!$B$6:$P$500,4,FALSE),"")</f>
        <v>0</v>
      </c>
      <c r="E591" s="34" t="str">
        <f>IFERROR(VLOOKUP(B591,'SAÍDA DE VENDAS'!$B$6:$P$500,5,FALSE),"")</f>
        <v/>
      </c>
      <c r="F591" s="34" t="str">
        <f>IF(OR(ISBLANK(B591),B591=""), "", IFERROR(INDEX('SAÍDA DE VENDAS'!$H$6:$H$500 &amp; "x " &amp; 'SAÍDA DE VENDAS'!$G$6:$G$500, MATCH(B591, 'SAÍDA DE VENDAS'!$B$6:$B$500, 0)), "")&amp; IF(COUNTIF('SAÍDA DE VENDAS'!$B$6:$B$500, B591)&gt;1, " + " &amp; IFERROR(INDEX('SAÍDA DE VENDAS'!$H$6:$H$500 &amp; "x " &amp; 'SAÍDA DE VENDAS'!$G$6:$G$500, MATCH(B591, 'SAÍDA DE VENDAS'!$B$6:$B$500, 0)+1), ""), "")&amp; IF(COUNTIF('SAÍDA DE VENDAS'!$B$6:$B$500, B591)&gt;2, " + " &amp; IFERROR(INDEX('SAÍDA DE VENDAS'!$H$6:$H$500 &amp; "x " &amp; 'SAÍDA DE VENDAS'!$G$6:$G$500, MATCH(B591, 'SAÍDA DE VENDAS'!$B$6:$B$500, 0)+2), ""), "")&amp; IF(COUNTIF('SAÍDA DE VENDAS'!$B$6:$B$500, B591)&gt;3, " + " &amp; IFERROR(INDEX('SAÍDA DE VENDAS'!$H$6:$H$500 &amp; "x " &amp; 'SAÍDA DE VENDAS'!$G$6:$G$500, MATCH(B591, 'SAÍDA DE VENDAS'!$B$6:$B$500, 0)+3), ""), "")&amp; IF(COUNTIF('SAÍDA DE VENDAS'!$B$6:$B$500, B591)&gt;4, " + " &amp; IFERROR(INDEX('SAÍDA DE VENDAS'!$H$6:$H$500 &amp; "x " &amp; 'SAÍDA DE VENDAS'!$G$6:$G$500, MATCH(B591, 'SAÍDA DE VENDAS'!$B$6:$B$500, 0)+4), ""), "")&amp; IF(COUNTIF('SAÍDA DE VENDAS'!$B$6:$B$500, B591)&gt;5, " + " &amp; IFERROR(INDEX('SAÍDA DE VENDAS'!$H$6:$H$500 &amp; "x " &amp; 'SAÍDA DE VENDAS'!$G$6:$G$500, MATCH(B591, 'SAÍDA DE VENDAS'!$B$6:$B$500, 0)+5), ""), ""))</f>
        <v/>
      </c>
      <c r="G591" s="34">
        <f>IFERROR(VLOOKUP(B591,'SAÍDA DE VENDAS'!$B$6:$P$500,10,FALSE),"")</f>
        <v>0</v>
      </c>
      <c r="H591" s="34" t="str">
        <f>IF(OR(ISBLANK(B591),B591=""), "", IF(B591=B590, (VALUE(LEFT(H590,FIND("/",H590)-1))+1)&amp;"/"&amp;RIGHT(H590,LEN(H590)-FIND("/",H590)), "1/"&amp;IFERROR(VLOOKUP(B591,'SAÍDA DE VENDAS'!$B$6:$P$500,13,FALSE),"1")))</f>
        <v/>
      </c>
      <c r="I591" s="35" t="str">
        <f t="shared" si="18"/>
        <v/>
      </c>
      <c r="J591" s="39" t="str">
        <f>IFERROR(VLOOKUP(B591,'SAÍDA DE VENDAS'!$B$6:$P$500,15,FALSE),"")</f>
        <v/>
      </c>
      <c r="K591" s="34" t="str">
        <f t="shared" ca="1" si="19"/>
        <v/>
      </c>
      <c r="L591" s="34"/>
      <c r="M591" s="34"/>
    </row>
    <row r="592" spans="2:13" ht="15" customHeight="1" x14ac:dyDescent="0.3">
      <c r="B592" s="28" t="str">
        <f>IF(B591="","", IF(VALUE(LEFT(H591,FIND("/",H591)-1)) &lt; VALUE(RIGHT(H591,LEN(H591)-FIND("/",H591))), B591, IFERROR(INDEX('SAÍDA DE VENDAS'!$B$6:$B$500, MATCH(B591,'SAÍDA DE VENDAS'!$B$6:$B$500,0)+COUNTIF('SAÍDA DE VENDAS'!$B$6:$B$500, B591)),"")))</f>
        <v/>
      </c>
      <c r="C592" s="29">
        <f>IFERROR(VLOOKUP(B592,'SAÍDA DE VENDAS'!$B$6:$P$500,3,FALSE),"")</f>
        <v>0</v>
      </c>
      <c r="D592" s="28">
        <f>IFERROR(VLOOKUP(B592,'SAÍDA DE VENDAS'!$B$6:$P$500,4,FALSE),"")</f>
        <v>0</v>
      </c>
      <c r="E592" s="28" t="str">
        <f>IFERROR(VLOOKUP(B592,'SAÍDA DE VENDAS'!$B$6:$P$500,5,FALSE),"")</f>
        <v/>
      </c>
      <c r="F592" s="28" t="str">
        <f>IF(OR(ISBLANK(B592),B592=""), "", IFERROR(INDEX('SAÍDA DE VENDAS'!$H$6:$H$500 &amp; "x " &amp; 'SAÍDA DE VENDAS'!$G$6:$G$500, MATCH(B592, 'SAÍDA DE VENDAS'!$B$6:$B$500, 0)), "")&amp; IF(COUNTIF('SAÍDA DE VENDAS'!$B$6:$B$500, B592)&gt;1, " + " &amp; IFERROR(INDEX('SAÍDA DE VENDAS'!$H$6:$H$500 &amp; "x " &amp; 'SAÍDA DE VENDAS'!$G$6:$G$500, MATCH(B592, 'SAÍDA DE VENDAS'!$B$6:$B$500, 0)+1), ""), "")&amp; IF(COUNTIF('SAÍDA DE VENDAS'!$B$6:$B$500, B592)&gt;2, " + " &amp; IFERROR(INDEX('SAÍDA DE VENDAS'!$H$6:$H$500 &amp; "x " &amp; 'SAÍDA DE VENDAS'!$G$6:$G$500, MATCH(B592, 'SAÍDA DE VENDAS'!$B$6:$B$500, 0)+2), ""), "")&amp; IF(COUNTIF('SAÍDA DE VENDAS'!$B$6:$B$500, B592)&gt;3, " + " &amp; IFERROR(INDEX('SAÍDA DE VENDAS'!$H$6:$H$500 &amp; "x " &amp; 'SAÍDA DE VENDAS'!$G$6:$G$500, MATCH(B592, 'SAÍDA DE VENDAS'!$B$6:$B$500, 0)+3), ""), "")&amp; IF(COUNTIF('SAÍDA DE VENDAS'!$B$6:$B$500, B592)&gt;4, " + " &amp; IFERROR(INDEX('SAÍDA DE VENDAS'!$H$6:$H$500 &amp; "x " &amp; 'SAÍDA DE VENDAS'!$G$6:$G$500, MATCH(B592, 'SAÍDA DE VENDAS'!$B$6:$B$500, 0)+4), ""), "")&amp; IF(COUNTIF('SAÍDA DE VENDAS'!$B$6:$B$500, B592)&gt;5, " + " &amp; IFERROR(INDEX('SAÍDA DE VENDAS'!$H$6:$H$500 &amp; "x " &amp; 'SAÍDA DE VENDAS'!$G$6:$G$500, MATCH(B592, 'SAÍDA DE VENDAS'!$B$6:$B$500, 0)+5), ""), ""))</f>
        <v/>
      </c>
      <c r="G592" s="28">
        <f>IFERROR(VLOOKUP(B592,'SAÍDA DE VENDAS'!$B$6:$P$500,10,FALSE),"")</f>
        <v>0</v>
      </c>
      <c r="H592" s="28" t="str">
        <f>IF(OR(ISBLANK(B592),B592=""), "", IF(B592=B591, (VALUE(LEFT(H591,FIND("/",H591)-1))+1)&amp;"/"&amp;RIGHT(H591,LEN(H591)-FIND("/",H591)), "1/"&amp;IFERROR(VLOOKUP(B592,'SAÍDA DE VENDAS'!$B$6:$P$500,13,FALSE),"1")))</f>
        <v/>
      </c>
      <c r="I592" s="69" t="str">
        <f t="shared" si="18"/>
        <v/>
      </c>
      <c r="J592" s="33" t="str">
        <f>IFERROR(VLOOKUP(B592,'SAÍDA DE VENDAS'!$B$6:$P$500,15,FALSE),"")</f>
        <v/>
      </c>
      <c r="K592" s="28" t="str">
        <f t="shared" ca="1" si="19"/>
        <v/>
      </c>
      <c r="L592" s="28"/>
      <c r="M592" s="28"/>
    </row>
    <row r="593" spans="2:13" ht="15" customHeight="1" x14ac:dyDescent="0.3">
      <c r="B593" s="34" t="str">
        <f>IF(B592="","", IF(VALUE(LEFT(H592,FIND("/",H592)-1)) &lt; VALUE(RIGHT(H592,LEN(H592)-FIND("/",H592))), B592, IFERROR(INDEX('SAÍDA DE VENDAS'!$B$6:$B$500, MATCH(B592,'SAÍDA DE VENDAS'!$B$6:$B$500,0)+COUNTIF('SAÍDA DE VENDAS'!$B$6:$B$500, B592)),"")))</f>
        <v/>
      </c>
      <c r="C593" s="35">
        <f>IFERROR(VLOOKUP(B593,'SAÍDA DE VENDAS'!$B$6:$P$500,3,FALSE),"")</f>
        <v>0</v>
      </c>
      <c r="D593" s="34">
        <f>IFERROR(VLOOKUP(B593,'SAÍDA DE VENDAS'!$B$6:$P$500,4,FALSE),"")</f>
        <v>0</v>
      </c>
      <c r="E593" s="34" t="str">
        <f>IFERROR(VLOOKUP(B593,'SAÍDA DE VENDAS'!$B$6:$P$500,5,FALSE),"")</f>
        <v/>
      </c>
      <c r="F593" s="34" t="str">
        <f>IF(OR(ISBLANK(B593),B593=""), "", IFERROR(INDEX('SAÍDA DE VENDAS'!$H$6:$H$500 &amp; "x " &amp; 'SAÍDA DE VENDAS'!$G$6:$G$500, MATCH(B593, 'SAÍDA DE VENDAS'!$B$6:$B$500, 0)), "")&amp; IF(COUNTIF('SAÍDA DE VENDAS'!$B$6:$B$500, B593)&gt;1, " + " &amp; IFERROR(INDEX('SAÍDA DE VENDAS'!$H$6:$H$500 &amp; "x " &amp; 'SAÍDA DE VENDAS'!$G$6:$G$500, MATCH(B593, 'SAÍDA DE VENDAS'!$B$6:$B$500, 0)+1), ""), "")&amp; IF(COUNTIF('SAÍDA DE VENDAS'!$B$6:$B$500, B593)&gt;2, " + " &amp; IFERROR(INDEX('SAÍDA DE VENDAS'!$H$6:$H$500 &amp; "x " &amp; 'SAÍDA DE VENDAS'!$G$6:$G$500, MATCH(B593, 'SAÍDA DE VENDAS'!$B$6:$B$500, 0)+2), ""), "")&amp; IF(COUNTIF('SAÍDA DE VENDAS'!$B$6:$B$500, B593)&gt;3, " + " &amp; IFERROR(INDEX('SAÍDA DE VENDAS'!$H$6:$H$500 &amp; "x " &amp; 'SAÍDA DE VENDAS'!$G$6:$G$500, MATCH(B593, 'SAÍDA DE VENDAS'!$B$6:$B$500, 0)+3), ""), "")&amp; IF(COUNTIF('SAÍDA DE VENDAS'!$B$6:$B$500, B593)&gt;4, " + " &amp; IFERROR(INDEX('SAÍDA DE VENDAS'!$H$6:$H$500 &amp; "x " &amp; 'SAÍDA DE VENDAS'!$G$6:$G$500, MATCH(B593, 'SAÍDA DE VENDAS'!$B$6:$B$500, 0)+4), ""), "")&amp; IF(COUNTIF('SAÍDA DE VENDAS'!$B$6:$B$500, B593)&gt;5, " + " &amp; IFERROR(INDEX('SAÍDA DE VENDAS'!$H$6:$H$500 &amp; "x " &amp; 'SAÍDA DE VENDAS'!$G$6:$G$500, MATCH(B593, 'SAÍDA DE VENDAS'!$B$6:$B$500, 0)+5), ""), ""))</f>
        <v/>
      </c>
      <c r="G593" s="34">
        <f>IFERROR(VLOOKUP(B593,'SAÍDA DE VENDAS'!$B$6:$P$500,10,FALSE),"")</f>
        <v>0</v>
      </c>
      <c r="H593" s="34" t="str">
        <f>IF(OR(ISBLANK(B593),B593=""), "", IF(B593=B592, (VALUE(LEFT(H592,FIND("/",H592)-1))+1)&amp;"/"&amp;RIGHT(H592,LEN(H592)-FIND("/",H592)), "1/"&amp;IFERROR(VLOOKUP(B593,'SAÍDA DE VENDAS'!$B$6:$P$500,13,FALSE),"1")))</f>
        <v/>
      </c>
      <c r="I593" s="35" t="str">
        <f t="shared" si="18"/>
        <v/>
      </c>
      <c r="J593" s="39" t="str">
        <f>IFERROR(VLOOKUP(B593,'SAÍDA DE VENDAS'!$B$6:$P$500,15,FALSE),"")</f>
        <v/>
      </c>
      <c r="K593" s="34" t="str">
        <f t="shared" ca="1" si="19"/>
        <v/>
      </c>
      <c r="L593" s="34"/>
      <c r="M593" s="34"/>
    </row>
    <row r="594" spans="2:13" ht="15" customHeight="1" x14ac:dyDescent="0.3">
      <c r="B594" s="28" t="str">
        <f>IF(B593="","", IF(VALUE(LEFT(H593,FIND("/",H593)-1)) &lt; VALUE(RIGHT(H593,LEN(H593)-FIND("/",H593))), B593, IFERROR(INDEX('SAÍDA DE VENDAS'!$B$6:$B$500, MATCH(B593,'SAÍDA DE VENDAS'!$B$6:$B$500,0)+COUNTIF('SAÍDA DE VENDAS'!$B$6:$B$500, B593)),"")))</f>
        <v/>
      </c>
      <c r="C594" s="29">
        <f>IFERROR(VLOOKUP(B594,'SAÍDA DE VENDAS'!$B$6:$P$500,3,FALSE),"")</f>
        <v>0</v>
      </c>
      <c r="D594" s="28">
        <f>IFERROR(VLOOKUP(B594,'SAÍDA DE VENDAS'!$B$6:$P$500,4,FALSE),"")</f>
        <v>0</v>
      </c>
      <c r="E594" s="28" t="str">
        <f>IFERROR(VLOOKUP(B594,'SAÍDA DE VENDAS'!$B$6:$P$500,5,FALSE),"")</f>
        <v/>
      </c>
      <c r="F594" s="28" t="str">
        <f>IF(OR(ISBLANK(B594),B594=""), "", IFERROR(INDEX('SAÍDA DE VENDAS'!$H$6:$H$500 &amp; "x " &amp; 'SAÍDA DE VENDAS'!$G$6:$G$500, MATCH(B594, 'SAÍDA DE VENDAS'!$B$6:$B$500, 0)), "")&amp; IF(COUNTIF('SAÍDA DE VENDAS'!$B$6:$B$500, B594)&gt;1, " + " &amp; IFERROR(INDEX('SAÍDA DE VENDAS'!$H$6:$H$500 &amp; "x " &amp; 'SAÍDA DE VENDAS'!$G$6:$G$500, MATCH(B594, 'SAÍDA DE VENDAS'!$B$6:$B$500, 0)+1), ""), "")&amp; IF(COUNTIF('SAÍDA DE VENDAS'!$B$6:$B$500, B594)&gt;2, " + " &amp; IFERROR(INDEX('SAÍDA DE VENDAS'!$H$6:$H$500 &amp; "x " &amp; 'SAÍDA DE VENDAS'!$G$6:$G$500, MATCH(B594, 'SAÍDA DE VENDAS'!$B$6:$B$500, 0)+2), ""), "")&amp; IF(COUNTIF('SAÍDA DE VENDAS'!$B$6:$B$500, B594)&gt;3, " + " &amp; IFERROR(INDEX('SAÍDA DE VENDAS'!$H$6:$H$500 &amp; "x " &amp; 'SAÍDA DE VENDAS'!$G$6:$G$500, MATCH(B594, 'SAÍDA DE VENDAS'!$B$6:$B$500, 0)+3), ""), "")&amp; IF(COUNTIF('SAÍDA DE VENDAS'!$B$6:$B$500, B594)&gt;4, " + " &amp; IFERROR(INDEX('SAÍDA DE VENDAS'!$H$6:$H$500 &amp; "x " &amp; 'SAÍDA DE VENDAS'!$G$6:$G$500, MATCH(B594, 'SAÍDA DE VENDAS'!$B$6:$B$500, 0)+4), ""), "")&amp; IF(COUNTIF('SAÍDA DE VENDAS'!$B$6:$B$500, B594)&gt;5, " + " &amp; IFERROR(INDEX('SAÍDA DE VENDAS'!$H$6:$H$500 &amp; "x " &amp; 'SAÍDA DE VENDAS'!$G$6:$G$500, MATCH(B594, 'SAÍDA DE VENDAS'!$B$6:$B$500, 0)+5), ""), ""))</f>
        <v/>
      </c>
      <c r="G594" s="28">
        <f>IFERROR(VLOOKUP(B594,'SAÍDA DE VENDAS'!$B$6:$P$500,10,FALSE),"")</f>
        <v>0</v>
      </c>
      <c r="H594" s="28" t="str">
        <f>IF(OR(ISBLANK(B594),B594=""), "", IF(B594=B593, (VALUE(LEFT(H593,FIND("/",H593)-1))+1)&amp;"/"&amp;RIGHT(H593,LEN(H593)-FIND("/",H593)), "1/"&amp;IFERROR(VLOOKUP(B594,'SAÍDA DE VENDAS'!$B$6:$P$500,13,FALSE),"1")))</f>
        <v/>
      </c>
      <c r="I594" s="69" t="str">
        <f t="shared" si="18"/>
        <v/>
      </c>
      <c r="J594" s="33" t="str">
        <f>IFERROR(VLOOKUP(B594,'SAÍDA DE VENDAS'!$B$6:$P$500,15,FALSE),"")</f>
        <v/>
      </c>
      <c r="K594" s="28" t="str">
        <f t="shared" ca="1" si="19"/>
        <v/>
      </c>
      <c r="L594" s="28"/>
      <c r="M594" s="28"/>
    </row>
    <row r="595" spans="2:13" ht="15" customHeight="1" x14ac:dyDescent="0.3">
      <c r="B595" s="34" t="str">
        <f>IF(B594="","", IF(VALUE(LEFT(H594,FIND("/",H594)-1)) &lt; VALUE(RIGHT(H594,LEN(H594)-FIND("/",H594))), B594, IFERROR(INDEX('SAÍDA DE VENDAS'!$B$6:$B$500, MATCH(B594,'SAÍDA DE VENDAS'!$B$6:$B$500,0)+COUNTIF('SAÍDA DE VENDAS'!$B$6:$B$500, B594)),"")))</f>
        <v/>
      </c>
      <c r="C595" s="35">
        <f>IFERROR(VLOOKUP(B595,'SAÍDA DE VENDAS'!$B$6:$P$500,3,FALSE),"")</f>
        <v>0</v>
      </c>
      <c r="D595" s="34">
        <f>IFERROR(VLOOKUP(B595,'SAÍDA DE VENDAS'!$B$6:$P$500,4,FALSE),"")</f>
        <v>0</v>
      </c>
      <c r="E595" s="34" t="str">
        <f>IFERROR(VLOOKUP(B595,'SAÍDA DE VENDAS'!$B$6:$P$500,5,FALSE),"")</f>
        <v/>
      </c>
      <c r="F595" s="34" t="str">
        <f>IF(OR(ISBLANK(B595),B595=""), "", IFERROR(INDEX('SAÍDA DE VENDAS'!$H$6:$H$500 &amp; "x " &amp; 'SAÍDA DE VENDAS'!$G$6:$G$500, MATCH(B595, 'SAÍDA DE VENDAS'!$B$6:$B$500, 0)), "")&amp; IF(COUNTIF('SAÍDA DE VENDAS'!$B$6:$B$500, B595)&gt;1, " + " &amp; IFERROR(INDEX('SAÍDA DE VENDAS'!$H$6:$H$500 &amp; "x " &amp; 'SAÍDA DE VENDAS'!$G$6:$G$500, MATCH(B595, 'SAÍDA DE VENDAS'!$B$6:$B$500, 0)+1), ""), "")&amp; IF(COUNTIF('SAÍDA DE VENDAS'!$B$6:$B$500, B595)&gt;2, " + " &amp; IFERROR(INDEX('SAÍDA DE VENDAS'!$H$6:$H$500 &amp; "x " &amp; 'SAÍDA DE VENDAS'!$G$6:$G$500, MATCH(B595, 'SAÍDA DE VENDAS'!$B$6:$B$500, 0)+2), ""), "")&amp; IF(COUNTIF('SAÍDA DE VENDAS'!$B$6:$B$500, B595)&gt;3, " + " &amp; IFERROR(INDEX('SAÍDA DE VENDAS'!$H$6:$H$500 &amp; "x " &amp; 'SAÍDA DE VENDAS'!$G$6:$G$500, MATCH(B595, 'SAÍDA DE VENDAS'!$B$6:$B$500, 0)+3), ""), "")&amp; IF(COUNTIF('SAÍDA DE VENDAS'!$B$6:$B$500, B595)&gt;4, " + " &amp; IFERROR(INDEX('SAÍDA DE VENDAS'!$H$6:$H$500 &amp; "x " &amp; 'SAÍDA DE VENDAS'!$G$6:$G$500, MATCH(B595, 'SAÍDA DE VENDAS'!$B$6:$B$500, 0)+4), ""), "")&amp; IF(COUNTIF('SAÍDA DE VENDAS'!$B$6:$B$500, B595)&gt;5, " + " &amp; IFERROR(INDEX('SAÍDA DE VENDAS'!$H$6:$H$500 &amp; "x " &amp; 'SAÍDA DE VENDAS'!$G$6:$G$500, MATCH(B595, 'SAÍDA DE VENDAS'!$B$6:$B$500, 0)+5), ""), ""))</f>
        <v/>
      </c>
      <c r="G595" s="34">
        <f>IFERROR(VLOOKUP(B595,'SAÍDA DE VENDAS'!$B$6:$P$500,10,FALSE),"")</f>
        <v>0</v>
      </c>
      <c r="H595" s="34" t="str">
        <f>IF(OR(ISBLANK(B595),B595=""), "", IF(B595=B594, (VALUE(LEFT(H594,FIND("/",H594)-1))+1)&amp;"/"&amp;RIGHT(H594,LEN(H594)-FIND("/",H594)), "1/"&amp;IFERROR(VLOOKUP(B595,'SAÍDA DE VENDAS'!$B$6:$P$500,13,FALSE),"1")))</f>
        <v/>
      </c>
      <c r="I595" s="35" t="str">
        <f t="shared" si="18"/>
        <v/>
      </c>
      <c r="J595" s="39" t="str">
        <f>IFERROR(VLOOKUP(B595,'SAÍDA DE VENDAS'!$B$6:$P$500,15,FALSE),"")</f>
        <v/>
      </c>
      <c r="K595" s="34" t="str">
        <f t="shared" ca="1" si="19"/>
        <v/>
      </c>
      <c r="L595" s="34"/>
      <c r="M595" s="34"/>
    </row>
    <row r="596" spans="2:13" ht="15" customHeight="1" x14ac:dyDescent="0.3">
      <c r="B596" s="28" t="str">
        <f>IF(B595="","", IF(VALUE(LEFT(H595,FIND("/",H595)-1)) &lt; VALUE(RIGHT(H595,LEN(H595)-FIND("/",H595))), B595, IFERROR(INDEX('SAÍDA DE VENDAS'!$B$6:$B$500, MATCH(B595,'SAÍDA DE VENDAS'!$B$6:$B$500,0)+COUNTIF('SAÍDA DE VENDAS'!$B$6:$B$500, B595)),"")))</f>
        <v/>
      </c>
      <c r="C596" s="29">
        <f>IFERROR(VLOOKUP(B596,'SAÍDA DE VENDAS'!$B$6:$P$500,3,FALSE),"")</f>
        <v>0</v>
      </c>
      <c r="D596" s="28">
        <f>IFERROR(VLOOKUP(B596,'SAÍDA DE VENDAS'!$B$6:$P$500,4,FALSE),"")</f>
        <v>0</v>
      </c>
      <c r="E596" s="28" t="str">
        <f>IFERROR(VLOOKUP(B596,'SAÍDA DE VENDAS'!$B$6:$P$500,5,FALSE),"")</f>
        <v/>
      </c>
      <c r="F596" s="28" t="str">
        <f>IF(OR(ISBLANK(B596),B596=""), "", IFERROR(INDEX('SAÍDA DE VENDAS'!$H$6:$H$500 &amp; "x " &amp; 'SAÍDA DE VENDAS'!$G$6:$G$500, MATCH(B596, 'SAÍDA DE VENDAS'!$B$6:$B$500, 0)), "")&amp; IF(COUNTIF('SAÍDA DE VENDAS'!$B$6:$B$500, B596)&gt;1, " + " &amp; IFERROR(INDEX('SAÍDA DE VENDAS'!$H$6:$H$500 &amp; "x " &amp; 'SAÍDA DE VENDAS'!$G$6:$G$500, MATCH(B596, 'SAÍDA DE VENDAS'!$B$6:$B$500, 0)+1), ""), "")&amp; IF(COUNTIF('SAÍDA DE VENDAS'!$B$6:$B$500, B596)&gt;2, " + " &amp; IFERROR(INDEX('SAÍDA DE VENDAS'!$H$6:$H$500 &amp; "x " &amp; 'SAÍDA DE VENDAS'!$G$6:$G$500, MATCH(B596, 'SAÍDA DE VENDAS'!$B$6:$B$500, 0)+2), ""), "")&amp; IF(COUNTIF('SAÍDA DE VENDAS'!$B$6:$B$500, B596)&gt;3, " + " &amp; IFERROR(INDEX('SAÍDA DE VENDAS'!$H$6:$H$500 &amp; "x " &amp; 'SAÍDA DE VENDAS'!$G$6:$G$500, MATCH(B596, 'SAÍDA DE VENDAS'!$B$6:$B$500, 0)+3), ""), "")&amp; IF(COUNTIF('SAÍDA DE VENDAS'!$B$6:$B$500, B596)&gt;4, " + " &amp; IFERROR(INDEX('SAÍDA DE VENDAS'!$H$6:$H$500 &amp; "x " &amp; 'SAÍDA DE VENDAS'!$G$6:$G$500, MATCH(B596, 'SAÍDA DE VENDAS'!$B$6:$B$500, 0)+4), ""), "")&amp; IF(COUNTIF('SAÍDA DE VENDAS'!$B$6:$B$500, B596)&gt;5, " + " &amp; IFERROR(INDEX('SAÍDA DE VENDAS'!$H$6:$H$500 &amp; "x " &amp; 'SAÍDA DE VENDAS'!$G$6:$G$500, MATCH(B596, 'SAÍDA DE VENDAS'!$B$6:$B$500, 0)+5), ""), ""))</f>
        <v/>
      </c>
      <c r="G596" s="28">
        <f>IFERROR(VLOOKUP(B596,'SAÍDA DE VENDAS'!$B$6:$P$500,10,FALSE),"")</f>
        <v>0</v>
      </c>
      <c r="H596" s="28" t="str">
        <f>IF(OR(ISBLANK(B596),B596=""), "", IF(B596=B595, (VALUE(LEFT(H595,FIND("/",H595)-1))+1)&amp;"/"&amp;RIGHT(H595,LEN(H595)-FIND("/",H595)), "1/"&amp;IFERROR(VLOOKUP(B596,'SAÍDA DE VENDAS'!$B$6:$P$500,13,FALSE),"1")))</f>
        <v/>
      </c>
      <c r="I596" s="69" t="str">
        <f t="shared" si="18"/>
        <v/>
      </c>
      <c r="J596" s="33" t="str">
        <f>IFERROR(VLOOKUP(B596,'SAÍDA DE VENDAS'!$B$6:$P$500,15,FALSE),"")</f>
        <v/>
      </c>
      <c r="K596" s="28" t="str">
        <f t="shared" ca="1" si="19"/>
        <v/>
      </c>
      <c r="L596" s="28"/>
      <c r="M596" s="28"/>
    </row>
    <row r="597" spans="2:13" ht="15" customHeight="1" x14ac:dyDescent="0.3">
      <c r="B597" s="34" t="str">
        <f>IF(B596="","", IF(VALUE(LEFT(H596,FIND("/",H596)-1)) &lt; VALUE(RIGHT(H596,LEN(H596)-FIND("/",H596))), B596, IFERROR(INDEX('SAÍDA DE VENDAS'!$B$6:$B$500, MATCH(B596,'SAÍDA DE VENDAS'!$B$6:$B$500,0)+COUNTIF('SAÍDA DE VENDAS'!$B$6:$B$500, B596)),"")))</f>
        <v/>
      </c>
      <c r="C597" s="35">
        <f>IFERROR(VLOOKUP(B597,'SAÍDA DE VENDAS'!$B$6:$P$500,3,FALSE),"")</f>
        <v>0</v>
      </c>
      <c r="D597" s="34">
        <f>IFERROR(VLOOKUP(B597,'SAÍDA DE VENDAS'!$B$6:$P$500,4,FALSE),"")</f>
        <v>0</v>
      </c>
      <c r="E597" s="34" t="str">
        <f>IFERROR(VLOOKUP(B597,'SAÍDA DE VENDAS'!$B$6:$P$500,5,FALSE),"")</f>
        <v/>
      </c>
      <c r="F597" s="34" t="str">
        <f>IF(OR(ISBLANK(B597),B597=""), "", IFERROR(INDEX('SAÍDA DE VENDAS'!$H$6:$H$500 &amp; "x " &amp; 'SAÍDA DE VENDAS'!$G$6:$G$500, MATCH(B597, 'SAÍDA DE VENDAS'!$B$6:$B$500, 0)), "")&amp; IF(COUNTIF('SAÍDA DE VENDAS'!$B$6:$B$500, B597)&gt;1, " + " &amp; IFERROR(INDEX('SAÍDA DE VENDAS'!$H$6:$H$500 &amp; "x " &amp; 'SAÍDA DE VENDAS'!$G$6:$G$500, MATCH(B597, 'SAÍDA DE VENDAS'!$B$6:$B$500, 0)+1), ""), "")&amp; IF(COUNTIF('SAÍDA DE VENDAS'!$B$6:$B$500, B597)&gt;2, " + " &amp; IFERROR(INDEX('SAÍDA DE VENDAS'!$H$6:$H$500 &amp; "x " &amp; 'SAÍDA DE VENDAS'!$G$6:$G$500, MATCH(B597, 'SAÍDA DE VENDAS'!$B$6:$B$500, 0)+2), ""), "")&amp; IF(COUNTIF('SAÍDA DE VENDAS'!$B$6:$B$500, B597)&gt;3, " + " &amp; IFERROR(INDEX('SAÍDA DE VENDAS'!$H$6:$H$500 &amp; "x " &amp; 'SAÍDA DE VENDAS'!$G$6:$G$500, MATCH(B597, 'SAÍDA DE VENDAS'!$B$6:$B$500, 0)+3), ""), "")&amp; IF(COUNTIF('SAÍDA DE VENDAS'!$B$6:$B$500, B597)&gt;4, " + " &amp; IFERROR(INDEX('SAÍDA DE VENDAS'!$H$6:$H$500 &amp; "x " &amp; 'SAÍDA DE VENDAS'!$G$6:$G$500, MATCH(B597, 'SAÍDA DE VENDAS'!$B$6:$B$500, 0)+4), ""), "")&amp; IF(COUNTIF('SAÍDA DE VENDAS'!$B$6:$B$500, B597)&gt;5, " + " &amp; IFERROR(INDEX('SAÍDA DE VENDAS'!$H$6:$H$500 &amp; "x " &amp; 'SAÍDA DE VENDAS'!$G$6:$G$500, MATCH(B597, 'SAÍDA DE VENDAS'!$B$6:$B$500, 0)+5), ""), ""))</f>
        <v/>
      </c>
      <c r="G597" s="34">
        <f>IFERROR(VLOOKUP(B597,'SAÍDA DE VENDAS'!$B$6:$P$500,10,FALSE),"")</f>
        <v>0</v>
      </c>
      <c r="H597" s="34" t="str">
        <f>IF(OR(ISBLANK(B597),B597=""), "", IF(B597=B596, (VALUE(LEFT(H596,FIND("/",H596)-1))+1)&amp;"/"&amp;RIGHT(H596,LEN(H596)-FIND("/",H596)), "1/"&amp;IFERROR(VLOOKUP(B597,'SAÍDA DE VENDAS'!$B$6:$P$500,13,FALSE),"1")))</f>
        <v/>
      </c>
      <c r="I597" s="35" t="str">
        <f t="shared" si="18"/>
        <v/>
      </c>
      <c r="J597" s="39" t="str">
        <f>IFERROR(VLOOKUP(B597,'SAÍDA DE VENDAS'!$B$6:$P$500,15,FALSE),"")</f>
        <v/>
      </c>
      <c r="K597" s="34" t="str">
        <f t="shared" ca="1" si="19"/>
        <v/>
      </c>
      <c r="L597" s="34"/>
      <c r="M597" s="34"/>
    </row>
    <row r="598" spans="2:13" ht="15" customHeight="1" x14ac:dyDescent="0.3">
      <c r="B598" s="28" t="str">
        <f>IF(B597="","", IF(VALUE(LEFT(H597,FIND("/",H597)-1)) &lt; VALUE(RIGHT(H597,LEN(H597)-FIND("/",H597))), B597, IFERROR(INDEX('SAÍDA DE VENDAS'!$B$6:$B$500, MATCH(B597,'SAÍDA DE VENDAS'!$B$6:$B$500,0)+COUNTIF('SAÍDA DE VENDAS'!$B$6:$B$500, B597)),"")))</f>
        <v/>
      </c>
      <c r="C598" s="29">
        <f>IFERROR(VLOOKUP(B598,'SAÍDA DE VENDAS'!$B$6:$P$500,3,FALSE),"")</f>
        <v>0</v>
      </c>
      <c r="D598" s="28">
        <f>IFERROR(VLOOKUP(B598,'SAÍDA DE VENDAS'!$B$6:$P$500,4,FALSE),"")</f>
        <v>0</v>
      </c>
      <c r="E598" s="28" t="str">
        <f>IFERROR(VLOOKUP(B598,'SAÍDA DE VENDAS'!$B$6:$P$500,5,FALSE),"")</f>
        <v/>
      </c>
      <c r="F598" s="28" t="str">
        <f>IF(OR(ISBLANK(B598),B598=""), "", IFERROR(INDEX('SAÍDA DE VENDAS'!$H$6:$H$500 &amp; "x " &amp; 'SAÍDA DE VENDAS'!$G$6:$G$500, MATCH(B598, 'SAÍDA DE VENDAS'!$B$6:$B$500, 0)), "")&amp; IF(COUNTIF('SAÍDA DE VENDAS'!$B$6:$B$500, B598)&gt;1, " + " &amp; IFERROR(INDEX('SAÍDA DE VENDAS'!$H$6:$H$500 &amp; "x " &amp; 'SAÍDA DE VENDAS'!$G$6:$G$500, MATCH(B598, 'SAÍDA DE VENDAS'!$B$6:$B$500, 0)+1), ""), "")&amp; IF(COUNTIF('SAÍDA DE VENDAS'!$B$6:$B$500, B598)&gt;2, " + " &amp; IFERROR(INDEX('SAÍDA DE VENDAS'!$H$6:$H$500 &amp; "x " &amp; 'SAÍDA DE VENDAS'!$G$6:$G$500, MATCH(B598, 'SAÍDA DE VENDAS'!$B$6:$B$500, 0)+2), ""), "")&amp; IF(COUNTIF('SAÍDA DE VENDAS'!$B$6:$B$500, B598)&gt;3, " + " &amp; IFERROR(INDEX('SAÍDA DE VENDAS'!$H$6:$H$500 &amp; "x " &amp; 'SAÍDA DE VENDAS'!$G$6:$G$500, MATCH(B598, 'SAÍDA DE VENDAS'!$B$6:$B$500, 0)+3), ""), "")&amp; IF(COUNTIF('SAÍDA DE VENDAS'!$B$6:$B$500, B598)&gt;4, " + " &amp; IFERROR(INDEX('SAÍDA DE VENDAS'!$H$6:$H$500 &amp; "x " &amp; 'SAÍDA DE VENDAS'!$G$6:$G$500, MATCH(B598, 'SAÍDA DE VENDAS'!$B$6:$B$500, 0)+4), ""), "")&amp; IF(COUNTIF('SAÍDA DE VENDAS'!$B$6:$B$500, B598)&gt;5, " + " &amp; IFERROR(INDEX('SAÍDA DE VENDAS'!$H$6:$H$500 &amp; "x " &amp; 'SAÍDA DE VENDAS'!$G$6:$G$500, MATCH(B598, 'SAÍDA DE VENDAS'!$B$6:$B$500, 0)+5), ""), ""))</f>
        <v/>
      </c>
      <c r="G598" s="28">
        <f>IFERROR(VLOOKUP(B598,'SAÍDA DE VENDAS'!$B$6:$P$500,10,FALSE),"")</f>
        <v>0</v>
      </c>
      <c r="H598" s="28" t="str">
        <f>IF(OR(ISBLANK(B598),B598=""), "", IF(B598=B597, (VALUE(LEFT(H597,FIND("/",H597)-1))+1)&amp;"/"&amp;RIGHT(H597,LEN(H597)-FIND("/",H597)), "1/"&amp;IFERROR(VLOOKUP(B598,'SAÍDA DE VENDAS'!$B$6:$P$500,13,FALSE),"1")))</f>
        <v/>
      </c>
      <c r="I598" s="69" t="str">
        <f t="shared" si="18"/>
        <v/>
      </c>
      <c r="J598" s="33" t="str">
        <f>IFERROR(VLOOKUP(B598,'SAÍDA DE VENDAS'!$B$6:$P$500,15,FALSE),"")</f>
        <v/>
      </c>
      <c r="K598" s="28" t="str">
        <f t="shared" ca="1" si="19"/>
        <v/>
      </c>
      <c r="L598" s="28"/>
      <c r="M598" s="28"/>
    </row>
    <row r="599" spans="2:13" ht="15" customHeight="1" x14ac:dyDescent="0.3">
      <c r="B599" s="34" t="str">
        <f>IF(B598="","", IF(VALUE(LEFT(H598,FIND("/",H598)-1)) &lt; VALUE(RIGHT(H598,LEN(H598)-FIND("/",H598))), B598, IFERROR(INDEX('SAÍDA DE VENDAS'!$B$6:$B$500, MATCH(B598,'SAÍDA DE VENDAS'!$B$6:$B$500,0)+COUNTIF('SAÍDA DE VENDAS'!$B$6:$B$500, B598)),"")))</f>
        <v/>
      </c>
      <c r="C599" s="35">
        <f>IFERROR(VLOOKUP(B599,'SAÍDA DE VENDAS'!$B$6:$P$500,3,FALSE),"")</f>
        <v>0</v>
      </c>
      <c r="D599" s="34">
        <f>IFERROR(VLOOKUP(B599,'SAÍDA DE VENDAS'!$B$6:$P$500,4,FALSE),"")</f>
        <v>0</v>
      </c>
      <c r="E599" s="34" t="str">
        <f>IFERROR(VLOOKUP(B599,'SAÍDA DE VENDAS'!$B$6:$P$500,5,FALSE),"")</f>
        <v/>
      </c>
      <c r="F599" s="34" t="str">
        <f>IF(OR(ISBLANK(B599),B599=""), "", IFERROR(INDEX('SAÍDA DE VENDAS'!$H$6:$H$500 &amp; "x " &amp; 'SAÍDA DE VENDAS'!$G$6:$G$500, MATCH(B599, 'SAÍDA DE VENDAS'!$B$6:$B$500, 0)), "")&amp; IF(COUNTIF('SAÍDA DE VENDAS'!$B$6:$B$500, B599)&gt;1, " + " &amp; IFERROR(INDEX('SAÍDA DE VENDAS'!$H$6:$H$500 &amp; "x " &amp; 'SAÍDA DE VENDAS'!$G$6:$G$500, MATCH(B599, 'SAÍDA DE VENDAS'!$B$6:$B$500, 0)+1), ""), "")&amp; IF(COUNTIF('SAÍDA DE VENDAS'!$B$6:$B$500, B599)&gt;2, " + " &amp; IFERROR(INDEX('SAÍDA DE VENDAS'!$H$6:$H$500 &amp; "x " &amp; 'SAÍDA DE VENDAS'!$G$6:$G$500, MATCH(B599, 'SAÍDA DE VENDAS'!$B$6:$B$500, 0)+2), ""), "")&amp; IF(COUNTIF('SAÍDA DE VENDAS'!$B$6:$B$500, B599)&gt;3, " + " &amp; IFERROR(INDEX('SAÍDA DE VENDAS'!$H$6:$H$500 &amp; "x " &amp; 'SAÍDA DE VENDAS'!$G$6:$G$500, MATCH(B599, 'SAÍDA DE VENDAS'!$B$6:$B$500, 0)+3), ""), "")&amp; IF(COUNTIF('SAÍDA DE VENDAS'!$B$6:$B$500, B599)&gt;4, " + " &amp; IFERROR(INDEX('SAÍDA DE VENDAS'!$H$6:$H$500 &amp; "x " &amp; 'SAÍDA DE VENDAS'!$G$6:$G$500, MATCH(B599, 'SAÍDA DE VENDAS'!$B$6:$B$500, 0)+4), ""), "")&amp; IF(COUNTIF('SAÍDA DE VENDAS'!$B$6:$B$500, B599)&gt;5, " + " &amp; IFERROR(INDEX('SAÍDA DE VENDAS'!$H$6:$H$500 &amp; "x " &amp; 'SAÍDA DE VENDAS'!$G$6:$G$500, MATCH(B599, 'SAÍDA DE VENDAS'!$B$6:$B$500, 0)+5), ""), ""))</f>
        <v/>
      </c>
      <c r="G599" s="34">
        <f>IFERROR(VLOOKUP(B599,'SAÍDA DE VENDAS'!$B$6:$P$500,10,FALSE),"")</f>
        <v>0</v>
      </c>
      <c r="H599" s="34" t="str">
        <f>IF(OR(ISBLANK(B599),B599=""), "", IF(B599=B598, (VALUE(LEFT(H598,FIND("/",H598)-1))+1)&amp;"/"&amp;RIGHT(H598,LEN(H598)-FIND("/",H598)), "1/"&amp;IFERROR(VLOOKUP(B599,'SAÍDA DE VENDAS'!$B$6:$P$500,13,FALSE),"1")))</f>
        <v/>
      </c>
      <c r="I599" s="35" t="str">
        <f t="shared" si="18"/>
        <v/>
      </c>
      <c r="J599" s="39" t="str">
        <f>IFERROR(VLOOKUP(B599,'SAÍDA DE VENDAS'!$B$6:$P$500,15,FALSE),"")</f>
        <v/>
      </c>
      <c r="K599" s="34" t="str">
        <f t="shared" ca="1" si="19"/>
        <v/>
      </c>
      <c r="L599" s="34"/>
      <c r="M599" s="34"/>
    </row>
    <row r="600" spans="2:13" ht="15" customHeight="1" x14ac:dyDescent="0.3">
      <c r="B600" s="28" t="str">
        <f>IF(B599="","", IF(VALUE(LEFT(H599,FIND("/",H599)-1)) &lt; VALUE(RIGHT(H599,LEN(H599)-FIND("/",H599))), B599, IFERROR(INDEX('SAÍDA DE VENDAS'!$B$6:$B$500, MATCH(B599,'SAÍDA DE VENDAS'!$B$6:$B$500,0)+COUNTIF('SAÍDA DE VENDAS'!$B$6:$B$500, B599)),"")))</f>
        <v/>
      </c>
      <c r="C600" s="29">
        <f>IFERROR(VLOOKUP(B600,'SAÍDA DE VENDAS'!$B$6:$P$500,3,FALSE),"")</f>
        <v>0</v>
      </c>
      <c r="D600" s="28">
        <f>IFERROR(VLOOKUP(B600,'SAÍDA DE VENDAS'!$B$6:$P$500,4,FALSE),"")</f>
        <v>0</v>
      </c>
      <c r="E600" s="28" t="str">
        <f>IFERROR(VLOOKUP(B600,'SAÍDA DE VENDAS'!$B$6:$P$500,5,FALSE),"")</f>
        <v/>
      </c>
      <c r="F600" s="28" t="str">
        <f>IF(OR(ISBLANK(B600),B600=""), "", IFERROR(INDEX('SAÍDA DE VENDAS'!$H$6:$H$500 &amp; "x " &amp; 'SAÍDA DE VENDAS'!$G$6:$G$500, MATCH(B600, 'SAÍDA DE VENDAS'!$B$6:$B$500, 0)), "")&amp; IF(COUNTIF('SAÍDA DE VENDAS'!$B$6:$B$500, B600)&gt;1, " + " &amp; IFERROR(INDEX('SAÍDA DE VENDAS'!$H$6:$H$500 &amp; "x " &amp; 'SAÍDA DE VENDAS'!$G$6:$G$500, MATCH(B600, 'SAÍDA DE VENDAS'!$B$6:$B$500, 0)+1), ""), "")&amp; IF(COUNTIF('SAÍDA DE VENDAS'!$B$6:$B$500, B600)&gt;2, " + " &amp; IFERROR(INDEX('SAÍDA DE VENDAS'!$H$6:$H$500 &amp; "x " &amp; 'SAÍDA DE VENDAS'!$G$6:$G$500, MATCH(B600, 'SAÍDA DE VENDAS'!$B$6:$B$500, 0)+2), ""), "")&amp; IF(COUNTIF('SAÍDA DE VENDAS'!$B$6:$B$500, B600)&gt;3, " + " &amp; IFERROR(INDEX('SAÍDA DE VENDAS'!$H$6:$H$500 &amp; "x " &amp; 'SAÍDA DE VENDAS'!$G$6:$G$500, MATCH(B600, 'SAÍDA DE VENDAS'!$B$6:$B$500, 0)+3), ""), "")&amp; IF(COUNTIF('SAÍDA DE VENDAS'!$B$6:$B$500, B600)&gt;4, " + " &amp; IFERROR(INDEX('SAÍDA DE VENDAS'!$H$6:$H$500 &amp; "x " &amp; 'SAÍDA DE VENDAS'!$G$6:$G$500, MATCH(B600, 'SAÍDA DE VENDAS'!$B$6:$B$500, 0)+4), ""), "")&amp; IF(COUNTIF('SAÍDA DE VENDAS'!$B$6:$B$500, B600)&gt;5, " + " &amp; IFERROR(INDEX('SAÍDA DE VENDAS'!$H$6:$H$500 &amp; "x " &amp; 'SAÍDA DE VENDAS'!$G$6:$G$500, MATCH(B600, 'SAÍDA DE VENDAS'!$B$6:$B$500, 0)+5), ""), ""))</f>
        <v/>
      </c>
      <c r="G600" s="28">
        <f>IFERROR(VLOOKUP(B600,'SAÍDA DE VENDAS'!$B$6:$P$500,10,FALSE),"")</f>
        <v>0</v>
      </c>
      <c r="H600" s="28" t="str">
        <f>IF(OR(ISBLANK(B600),B600=""), "", IF(B600=B599, (VALUE(LEFT(H599,FIND("/",H599)-1))+1)&amp;"/"&amp;RIGHT(H599,LEN(H599)-FIND("/",H599)), "1/"&amp;IFERROR(VLOOKUP(B600,'SAÍDA DE VENDAS'!$B$6:$P$500,13,FALSE),"1")))</f>
        <v/>
      </c>
      <c r="I600" s="69" t="str">
        <f t="shared" si="18"/>
        <v/>
      </c>
      <c r="J600" s="33" t="str">
        <f>IFERROR(VLOOKUP(B600,'SAÍDA DE VENDAS'!$B$6:$P$500,15,FALSE),"")</f>
        <v/>
      </c>
      <c r="K600" s="28" t="str">
        <f t="shared" ca="1" si="19"/>
        <v/>
      </c>
      <c r="L600" s="28"/>
      <c r="M600" s="28"/>
    </row>
    <row r="601" spans="2:13" ht="15" customHeight="1" x14ac:dyDescent="0.3">
      <c r="B601" s="34" t="str">
        <f>IF(B600="","", IF(VALUE(LEFT(H600,FIND("/",H600)-1)) &lt; VALUE(RIGHT(H600,LEN(H600)-FIND("/",H600))), B600, IFERROR(INDEX('SAÍDA DE VENDAS'!$B$6:$B$500, MATCH(B600,'SAÍDA DE VENDAS'!$B$6:$B$500,0)+COUNTIF('SAÍDA DE VENDAS'!$B$6:$B$500, B600)),"")))</f>
        <v/>
      </c>
      <c r="C601" s="35">
        <f>IFERROR(VLOOKUP(B601,'SAÍDA DE VENDAS'!$B$6:$P$500,3,FALSE),"")</f>
        <v>0</v>
      </c>
      <c r="D601" s="34">
        <f>IFERROR(VLOOKUP(B601,'SAÍDA DE VENDAS'!$B$6:$P$500,4,FALSE),"")</f>
        <v>0</v>
      </c>
      <c r="E601" s="34" t="str">
        <f>IFERROR(VLOOKUP(B601,'SAÍDA DE VENDAS'!$B$6:$P$500,5,FALSE),"")</f>
        <v/>
      </c>
      <c r="F601" s="34" t="str">
        <f>IF(OR(ISBLANK(B601),B601=""), "", IFERROR(INDEX('SAÍDA DE VENDAS'!$H$6:$H$500 &amp; "x " &amp; 'SAÍDA DE VENDAS'!$G$6:$G$500, MATCH(B601, 'SAÍDA DE VENDAS'!$B$6:$B$500, 0)), "")&amp; IF(COUNTIF('SAÍDA DE VENDAS'!$B$6:$B$500, B601)&gt;1, " + " &amp; IFERROR(INDEX('SAÍDA DE VENDAS'!$H$6:$H$500 &amp; "x " &amp; 'SAÍDA DE VENDAS'!$G$6:$G$500, MATCH(B601, 'SAÍDA DE VENDAS'!$B$6:$B$500, 0)+1), ""), "")&amp; IF(COUNTIF('SAÍDA DE VENDAS'!$B$6:$B$500, B601)&gt;2, " + " &amp; IFERROR(INDEX('SAÍDA DE VENDAS'!$H$6:$H$500 &amp; "x " &amp; 'SAÍDA DE VENDAS'!$G$6:$G$500, MATCH(B601, 'SAÍDA DE VENDAS'!$B$6:$B$500, 0)+2), ""), "")&amp; IF(COUNTIF('SAÍDA DE VENDAS'!$B$6:$B$500, B601)&gt;3, " + " &amp; IFERROR(INDEX('SAÍDA DE VENDAS'!$H$6:$H$500 &amp; "x " &amp; 'SAÍDA DE VENDAS'!$G$6:$G$500, MATCH(B601, 'SAÍDA DE VENDAS'!$B$6:$B$500, 0)+3), ""), "")&amp; IF(COUNTIF('SAÍDA DE VENDAS'!$B$6:$B$500, B601)&gt;4, " + " &amp; IFERROR(INDEX('SAÍDA DE VENDAS'!$H$6:$H$500 &amp; "x " &amp; 'SAÍDA DE VENDAS'!$G$6:$G$500, MATCH(B601, 'SAÍDA DE VENDAS'!$B$6:$B$500, 0)+4), ""), "")&amp; IF(COUNTIF('SAÍDA DE VENDAS'!$B$6:$B$500, B601)&gt;5, " + " &amp; IFERROR(INDEX('SAÍDA DE VENDAS'!$H$6:$H$500 &amp; "x " &amp; 'SAÍDA DE VENDAS'!$G$6:$G$500, MATCH(B601, 'SAÍDA DE VENDAS'!$B$6:$B$500, 0)+5), ""), ""))</f>
        <v/>
      </c>
      <c r="G601" s="34">
        <f>IFERROR(VLOOKUP(B601,'SAÍDA DE VENDAS'!$B$6:$P$500,10,FALSE),"")</f>
        <v>0</v>
      </c>
      <c r="H601" s="34" t="str">
        <f>IF(OR(ISBLANK(B601),B601=""), "", IF(B601=B600, (VALUE(LEFT(H600,FIND("/",H600)-1))+1)&amp;"/"&amp;RIGHT(H600,LEN(H600)-FIND("/",H600)), "1/"&amp;IFERROR(VLOOKUP(B601,'SAÍDA DE VENDAS'!$B$6:$P$500,13,FALSE),"1")))</f>
        <v/>
      </c>
      <c r="I601" s="35" t="str">
        <f t="shared" si="18"/>
        <v/>
      </c>
      <c r="J601" s="39" t="str">
        <f>IFERROR(VLOOKUP(B601,'SAÍDA DE VENDAS'!$B$6:$P$500,15,FALSE),"")</f>
        <v/>
      </c>
      <c r="K601" s="34" t="str">
        <f t="shared" ca="1" si="19"/>
        <v/>
      </c>
      <c r="L601" s="34"/>
      <c r="M601" s="34"/>
    </row>
    <row r="602" spans="2:13" ht="15" customHeight="1" x14ac:dyDescent="0.3">
      <c r="B602" s="28" t="str">
        <f>IF(B601="","", IF(VALUE(LEFT(H601,FIND("/",H601)-1)) &lt; VALUE(RIGHT(H601,LEN(H601)-FIND("/",H601))), B601, IFERROR(INDEX('SAÍDA DE VENDAS'!$B$6:$B$500, MATCH(B601,'SAÍDA DE VENDAS'!$B$6:$B$500,0)+COUNTIF('SAÍDA DE VENDAS'!$B$6:$B$500, B601)),"")))</f>
        <v/>
      </c>
      <c r="C602" s="29">
        <f>IFERROR(VLOOKUP(B602,'SAÍDA DE VENDAS'!$B$6:$P$500,3,FALSE),"")</f>
        <v>0</v>
      </c>
      <c r="D602" s="28">
        <f>IFERROR(VLOOKUP(B602,'SAÍDA DE VENDAS'!$B$6:$P$500,4,FALSE),"")</f>
        <v>0</v>
      </c>
      <c r="E602" s="28" t="str">
        <f>IFERROR(VLOOKUP(B602,'SAÍDA DE VENDAS'!$B$6:$P$500,5,FALSE),"")</f>
        <v/>
      </c>
      <c r="F602" s="28" t="str">
        <f>IF(OR(ISBLANK(B602),B602=""), "", IFERROR(INDEX('SAÍDA DE VENDAS'!$H$6:$H$500 &amp; "x " &amp; 'SAÍDA DE VENDAS'!$G$6:$G$500, MATCH(B602, 'SAÍDA DE VENDAS'!$B$6:$B$500, 0)), "")&amp; IF(COUNTIF('SAÍDA DE VENDAS'!$B$6:$B$500, B602)&gt;1, " + " &amp; IFERROR(INDEX('SAÍDA DE VENDAS'!$H$6:$H$500 &amp; "x " &amp; 'SAÍDA DE VENDAS'!$G$6:$G$500, MATCH(B602, 'SAÍDA DE VENDAS'!$B$6:$B$500, 0)+1), ""), "")&amp; IF(COUNTIF('SAÍDA DE VENDAS'!$B$6:$B$500, B602)&gt;2, " + " &amp; IFERROR(INDEX('SAÍDA DE VENDAS'!$H$6:$H$500 &amp; "x " &amp; 'SAÍDA DE VENDAS'!$G$6:$G$500, MATCH(B602, 'SAÍDA DE VENDAS'!$B$6:$B$500, 0)+2), ""), "")&amp; IF(COUNTIF('SAÍDA DE VENDAS'!$B$6:$B$500, B602)&gt;3, " + " &amp; IFERROR(INDEX('SAÍDA DE VENDAS'!$H$6:$H$500 &amp; "x " &amp; 'SAÍDA DE VENDAS'!$G$6:$G$500, MATCH(B602, 'SAÍDA DE VENDAS'!$B$6:$B$500, 0)+3), ""), "")&amp; IF(COUNTIF('SAÍDA DE VENDAS'!$B$6:$B$500, B602)&gt;4, " + " &amp; IFERROR(INDEX('SAÍDA DE VENDAS'!$H$6:$H$500 &amp; "x " &amp; 'SAÍDA DE VENDAS'!$G$6:$G$500, MATCH(B602, 'SAÍDA DE VENDAS'!$B$6:$B$500, 0)+4), ""), "")&amp; IF(COUNTIF('SAÍDA DE VENDAS'!$B$6:$B$500, B602)&gt;5, " + " &amp; IFERROR(INDEX('SAÍDA DE VENDAS'!$H$6:$H$500 &amp; "x " &amp; 'SAÍDA DE VENDAS'!$G$6:$G$500, MATCH(B602, 'SAÍDA DE VENDAS'!$B$6:$B$500, 0)+5), ""), ""))</f>
        <v/>
      </c>
      <c r="G602" s="28">
        <f>IFERROR(VLOOKUP(B602,'SAÍDA DE VENDAS'!$B$6:$P$500,10,FALSE),"")</f>
        <v>0</v>
      </c>
      <c r="H602" s="28" t="str">
        <f>IF(OR(ISBLANK(B602),B602=""), "", IF(B602=B601, (VALUE(LEFT(H601,FIND("/",H601)-1))+1)&amp;"/"&amp;RIGHT(H601,LEN(H601)-FIND("/",H601)), "1/"&amp;IFERROR(VLOOKUP(B602,'SAÍDA DE VENDAS'!$B$6:$P$500,13,FALSE),"1")))</f>
        <v/>
      </c>
      <c r="I602" s="69" t="str">
        <f t="shared" si="18"/>
        <v/>
      </c>
      <c r="J602" s="33" t="str">
        <f>IFERROR(VLOOKUP(B602,'SAÍDA DE VENDAS'!$B$6:$P$500,15,FALSE),"")</f>
        <v/>
      </c>
      <c r="K602" s="28" t="str">
        <f t="shared" ca="1" si="19"/>
        <v/>
      </c>
      <c r="L602" s="28"/>
      <c r="M602" s="28"/>
    </row>
    <row r="603" spans="2:13" ht="15" customHeight="1" x14ac:dyDescent="0.3">
      <c r="B603" s="34" t="str">
        <f>IF(B602="","", IF(VALUE(LEFT(H602,FIND("/",H602)-1)) &lt; VALUE(RIGHT(H602,LEN(H602)-FIND("/",H602))), B602, IFERROR(INDEX('SAÍDA DE VENDAS'!$B$6:$B$500, MATCH(B602,'SAÍDA DE VENDAS'!$B$6:$B$500,0)+COUNTIF('SAÍDA DE VENDAS'!$B$6:$B$500, B602)),"")))</f>
        <v/>
      </c>
      <c r="C603" s="35">
        <f>IFERROR(VLOOKUP(B603,'SAÍDA DE VENDAS'!$B$6:$P$500,3,FALSE),"")</f>
        <v>0</v>
      </c>
      <c r="D603" s="34">
        <f>IFERROR(VLOOKUP(B603,'SAÍDA DE VENDAS'!$B$6:$P$500,4,FALSE),"")</f>
        <v>0</v>
      </c>
      <c r="E603" s="34" t="str">
        <f>IFERROR(VLOOKUP(B603,'SAÍDA DE VENDAS'!$B$6:$P$500,5,FALSE),"")</f>
        <v/>
      </c>
      <c r="F603" s="34" t="str">
        <f>IF(OR(ISBLANK(B603),B603=""), "", IFERROR(INDEX('SAÍDA DE VENDAS'!$H$6:$H$500 &amp; "x " &amp; 'SAÍDA DE VENDAS'!$G$6:$G$500, MATCH(B603, 'SAÍDA DE VENDAS'!$B$6:$B$500, 0)), "")&amp; IF(COUNTIF('SAÍDA DE VENDAS'!$B$6:$B$500, B603)&gt;1, " + " &amp; IFERROR(INDEX('SAÍDA DE VENDAS'!$H$6:$H$500 &amp; "x " &amp; 'SAÍDA DE VENDAS'!$G$6:$G$500, MATCH(B603, 'SAÍDA DE VENDAS'!$B$6:$B$500, 0)+1), ""), "")&amp; IF(COUNTIF('SAÍDA DE VENDAS'!$B$6:$B$500, B603)&gt;2, " + " &amp; IFERROR(INDEX('SAÍDA DE VENDAS'!$H$6:$H$500 &amp; "x " &amp; 'SAÍDA DE VENDAS'!$G$6:$G$500, MATCH(B603, 'SAÍDA DE VENDAS'!$B$6:$B$500, 0)+2), ""), "")&amp; IF(COUNTIF('SAÍDA DE VENDAS'!$B$6:$B$500, B603)&gt;3, " + " &amp; IFERROR(INDEX('SAÍDA DE VENDAS'!$H$6:$H$500 &amp; "x " &amp; 'SAÍDA DE VENDAS'!$G$6:$G$500, MATCH(B603, 'SAÍDA DE VENDAS'!$B$6:$B$500, 0)+3), ""), "")&amp; IF(COUNTIF('SAÍDA DE VENDAS'!$B$6:$B$500, B603)&gt;4, " + " &amp; IFERROR(INDEX('SAÍDA DE VENDAS'!$H$6:$H$500 &amp; "x " &amp; 'SAÍDA DE VENDAS'!$G$6:$G$500, MATCH(B603, 'SAÍDA DE VENDAS'!$B$6:$B$500, 0)+4), ""), "")&amp; IF(COUNTIF('SAÍDA DE VENDAS'!$B$6:$B$500, B603)&gt;5, " + " &amp; IFERROR(INDEX('SAÍDA DE VENDAS'!$H$6:$H$500 &amp; "x " &amp; 'SAÍDA DE VENDAS'!$G$6:$G$500, MATCH(B603, 'SAÍDA DE VENDAS'!$B$6:$B$500, 0)+5), ""), ""))</f>
        <v/>
      </c>
      <c r="G603" s="34">
        <f>IFERROR(VLOOKUP(B603,'SAÍDA DE VENDAS'!$B$6:$P$500,10,FALSE),"")</f>
        <v>0</v>
      </c>
      <c r="H603" s="34" t="str">
        <f>IF(OR(ISBLANK(B603),B603=""), "", IF(B603=B602, (VALUE(LEFT(H602,FIND("/",H602)-1))+1)&amp;"/"&amp;RIGHT(H602,LEN(H602)-FIND("/",H602)), "1/"&amp;IFERROR(VLOOKUP(B603,'SAÍDA DE VENDAS'!$B$6:$P$500,13,FALSE),"1")))</f>
        <v/>
      </c>
      <c r="I603" s="35" t="str">
        <f t="shared" si="18"/>
        <v/>
      </c>
      <c r="J603" s="39" t="str">
        <f>IFERROR(VLOOKUP(B603,'SAÍDA DE VENDAS'!$B$6:$P$500,15,FALSE),"")</f>
        <v/>
      </c>
      <c r="K603" s="34" t="str">
        <f t="shared" ca="1" si="19"/>
        <v/>
      </c>
      <c r="L603" s="34"/>
      <c r="M603" s="34"/>
    </row>
    <row r="604" spans="2:13" ht="15" customHeight="1" x14ac:dyDescent="0.3">
      <c r="B604" s="28" t="str">
        <f>IF(B603="","", IF(VALUE(LEFT(H603,FIND("/",H603)-1)) &lt; VALUE(RIGHT(H603,LEN(H603)-FIND("/",H603))), B603, IFERROR(INDEX('SAÍDA DE VENDAS'!$B$6:$B$500, MATCH(B603,'SAÍDA DE VENDAS'!$B$6:$B$500,0)+COUNTIF('SAÍDA DE VENDAS'!$B$6:$B$500, B603)),"")))</f>
        <v/>
      </c>
      <c r="C604" s="29">
        <f>IFERROR(VLOOKUP(B604,'SAÍDA DE VENDAS'!$B$6:$P$500,3,FALSE),"")</f>
        <v>0</v>
      </c>
      <c r="D604" s="28">
        <f>IFERROR(VLOOKUP(B604,'SAÍDA DE VENDAS'!$B$6:$P$500,4,FALSE),"")</f>
        <v>0</v>
      </c>
      <c r="E604" s="28" t="str">
        <f>IFERROR(VLOOKUP(B604,'SAÍDA DE VENDAS'!$B$6:$P$500,5,FALSE),"")</f>
        <v/>
      </c>
      <c r="F604" s="28" t="str">
        <f>IF(OR(ISBLANK(B604),B604=""), "", IFERROR(INDEX('SAÍDA DE VENDAS'!$H$6:$H$500 &amp; "x " &amp; 'SAÍDA DE VENDAS'!$G$6:$G$500, MATCH(B604, 'SAÍDA DE VENDAS'!$B$6:$B$500, 0)), "")&amp; IF(COUNTIF('SAÍDA DE VENDAS'!$B$6:$B$500, B604)&gt;1, " + " &amp; IFERROR(INDEX('SAÍDA DE VENDAS'!$H$6:$H$500 &amp; "x " &amp; 'SAÍDA DE VENDAS'!$G$6:$G$500, MATCH(B604, 'SAÍDA DE VENDAS'!$B$6:$B$500, 0)+1), ""), "")&amp; IF(COUNTIF('SAÍDA DE VENDAS'!$B$6:$B$500, B604)&gt;2, " + " &amp; IFERROR(INDEX('SAÍDA DE VENDAS'!$H$6:$H$500 &amp; "x " &amp; 'SAÍDA DE VENDAS'!$G$6:$G$500, MATCH(B604, 'SAÍDA DE VENDAS'!$B$6:$B$500, 0)+2), ""), "")&amp; IF(COUNTIF('SAÍDA DE VENDAS'!$B$6:$B$500, B604)&gt;3, " + " &amp; IFERROR(INDEX('SAÍDA DE VENDAS'!$H$6:$H$500 &amp; "x " &amp; 'SAÍDA DE VENDAS'!$G$6:$G$500, MATCH(B604, 'SAÍDA DE VENDAS'!$B$6:$B$500, 0)+3), ""), "")&amp; IF(COUNTIF('SAÍDA DE VENDAS'!$B$6:$B$500, B604)&gt;4, " + " &amp; IFERROR(INDEX('SAÍDA DE VENDAS'!$H$6:$H$500 &amp; "x " &amp; 'SAÍDA DE VENDAS'!$G$6:$G$500, MATCH(B604, 'SAÍDA DE VENDAS'!$B$6:$B$500, 0)+4), ""), "")&amp; IF(COUNTIF('SAÍDA DE VENDAS'!$B$6:$B$500, B604)&gt;5, " + " &amp; IFERROR(INDEX('SAÍDA DE VENDAS'!$H$6:$H$500 &amp; "x " &amp; 'SAÍDA DE VENDAS'!$G$6:$G$500, MATCH(B604, 'SAÍDA DE VENDAS'!$B$6:$B$500, 0)+5), ""), ""))</f>
        <v/>
      </c>
      <c r="G604" s="28">
        <f>IFERROR(VLOOKUP(B604,'SAÍDA DE VENDAS'!$B$6:$P$500,10,FALSE),"")</f>
        <v>0</v>
      </c>
      <c r="H604" s="28" t="str">
        <f>IF(OR(ISBLANK(B604),B604=""), "", IF(B604=B603, (VALUE(LEFT(H603,FIND("/",H603)-1))+1)&amp;"/"&amp;RIGHT(H603,LEN(H603)-FIND("/",H603)), "1/"&amp;IFERROR(VLOOKUP(B604,'SAÍDA DE VENDAS'!$B$6:$P$500,13,FALSE),"1")))</f>
        <v/>
      </c>
      <c r="I604" s="69" t="str">
        <f t="shared" si="18"/>
        <v/>
      </c>
      <c r="J604" s="33" t="str">
        <f>IFERROR(VLOOKUP(B604,'SAÍDA DE VENDAS'!$B$6:$P$500,15,FALSE),"")</f>
        <v/>
      </c>
      <c r="K604" s="28" t="str">
        <f t="shared" ca="1" si="19"/>
        <v/>
      </c>
      <c r="L604" s="28"/>
      <c r="M604" s="28"/>
    </row>
    <row r="605" spans="2:13" ht="15" customHeight="1" x14ac:dyDescent="0.3">
      <c r="B605" s="34" t="str">
        <f>IF(B604="","", IF(VALUE(LEFT(H604,FIND("/",H604)-1)) &lt; VALUE(RIGHT(H604,LEN(H604)-FIND("/",H604))), B604, IFERROR(INDEX('SAÍDA DE VENDAS'!$B$6:$B$500, MATCH(B604,'SAÍDA DE VENDAS'!$B$6:$B$500,0)+COUNTIF('SAÍDA DE VENDAS'!$B$6:$B$500, B604)),"")))</f>
        <v/>
      </c>
      <c r="C605" s="35">
        <f>IFERROR(VLOOKUP(B605,'SAÍDA DE VENDAS'!$B$6:$P$500,3,FALSE),"")</f>
        <v>0</v>
      </c>
      <c r="D605" s="34">
        <f>IFERROR(VLOOKUP(B605,'SAÍDA DE VENDAS'!$B$6:$P$500,4,FALSE),"")</f>
        <v>0</v>
      </c>
      <c r="E605" s="34" t="str">
        <f>IFERROR(VLOOKUP(B605,'SAÍDA DE VENDAS'!$B$6:$P$500,5,FALSE),"")</f>
        <v/>
      </c>
      <c r="F605" s="34" t="str">
        <f>IF(OR(ISBLANK(B605),B605=""), "", IFERROR(INDEX('SAÍDA DE VENDAS'!$H$6:$H$500 &amp; "x " &amp; 'SAÍDA DE VENDAS'!$G$6:$G$500, MATCH(B605, 'SAÍDA DE VENDAS'!$B$6:$B$500, 0)), "")&amp; IF(COUNTIF('SAÍDA DE VENDAS'!$B$6:$B$500, B605)&gt;1, " + " &amp; IFERROR(INDEX('SAÍDA DE VENDAS'!$H$6:$H$500 &amp; "x " &amp; 'SAÍDA DE VENDAS'!$G$6:$G$500, MATCH(B605, 'SAÍDA DE VENDAS'!$B$6:$B$500, 0)+1), ""), "")&amp; IF(COUNTIF('SAÍDA DE VENDAS'!$B$6:$B$500, B605)&gt;2, " + " &amp; IFERROR(INDEX('SAÍDA DE VENDAS'!$H$6:$H$500 &amp; "x " &amp; 'SAÍDA DE VENDAS'!$G$6:$G$500, MATCH(B605, 'SAÍDA DE VENDAS'!$B$6:$B$500, 0)+2), ""), "")&amp; IF(COUNTIF('SAÍDA DE VENDAS'!$B$6:$B$500, B605)&gt;3, " + " &amp; IFERROR(INDEX('SAÍDA DE VENDAS'!$H$6:$H$500 &amp; "x " &amp; 'SAÍDA DE VENDAS'!$G$6:$G$500, MATCH(B605, 'SAÍDA DE VENDAS'!$B$6:$B$500, 0)+3), ""), "")&amp; IF(COUNTIF('SAÍDA DE VENDAS'!$B$6:$B$500, B605)&gt;4, " + " &amp; IFERROR(INDEX('SAÍDA DE VENDAS'!$H$6:$H$500 &amp; "x " &amp; 'SAÍDA DE VENDAS'!$G$6:$G$500, MATCH(B605, 'SAÍDA DE VENDAS'!$B$6:$B$500, 0)+4), ""), "")&amp; IF(COUNTIF('SAÍDA DE VENDAS'!$B$6:$B$500, B605)&gt;5, " + " &amp; IFERROR(INDEX('SAÍDA DE VENDAS'!$H$6:$H$500 &amp; "x " &amp; 'SAÍDA DE VENDAS'!$G$6:$G$500, MATCH(B605, 'SAÍDA DE VENDAS'!$B$6:$B$500, 0)+5), ""), ""))</f>
        <v/>
      </c>
      <c r="G605" s="34">
        <f>IFERROR(VLOOKUP(B605,'SAÍDA DE VENDAS'!$B$6:$P$500,10,FALSE),"")</f>
        <v>0</v>
      </c>
      <c r="H605" s="34" t="str">
        <f>IF(OR(ISBLANK(B605),B605=""), "", IF(B605=B604, (VALUE(LEFT(H604,FIND("/",H604)-1))+1)&amp;"/"&amp;RIGHT(H604,LEN(H604)-FIND("/",H604)), "1/"&amp;IFERROR(VLOOKUP(B605,'SAÍDA DE VENDAS'!$B$6:$P$500,13,FALSE),"1")))</f>
        <v/>
      </c>
      <c r="I605" s="35" t="str">
        <f t="shared" si="18"/>
        <v/>
      </c>
      <c r="J605" s="39" t="str">
        <f>IFERROR(VLOOKUP(B605,'SAÍDA DE VENDAS'!$B$6:$P$500,15,FALSE),"")</f>
        <v/>
      </c>
      <c r="K605" s="34" t="str">
        <f t="shared" ca="1" si="19"/>
        <v/>
      </c>
      <c r="L605" s="34"/>
      <c r="M605" s="34"/>
    </row>
    <row r="606" spans="2:13" ht="15" customHeight="1" x14ac:dyDescent="0.3">
      <c r="B606" s="28" t="str">
        <f>IF(B605="","", IF(VALUE(LEFT(H605,FIND("/",H605)-1)) &lt; VALUE(RIGHT(H605,LEN(H605)-FIND("/",H605))), B605, IFERROR(INDEX('SAÍDA DE VENDAS'!$B$6:$B$500, MATCH(B605,'SAÍDA DE VENDAS'!$B$6:$B$500,0)+COUNTIF('SAÍDA DE VENDAS'!$B$6:$B$500, B605)),"")))</f>
        <v/>
      </c>
      <c r="C606" s="29">
        <f>IFERROR(VLOOKUP(B606,'SAÍDA DE VENDAS'!$B$6:$P$500,3,FALSE),"")</f>
        <v>0</v>
      </c>
      <c r="D606" s="28">
        <f>IFERROR(VLOOKUP(B606,'SAÍDA DE VENDAS'!$B$6:$P$500,4,FALSE),"")</f>
        <v>0</v>
      </c>
      <c r="E606" s="28" t="str">
        <f>IFERROR(VLOOKUP(B606,'SAÍDA DE VENDAS'!$B$6:$P$500,5,FALSE),"")</f>
        <v/>
      </c>
      <c r="F606" s="28" t="str">
        <f>IF(OR(ISBLANK(B606),B606=""), "", IFERROR(INDEX('SAÍDA DE VENDAS'!$H$6:$H$500 &amp; "x " &amp; 'SAÍDA DE VENDAS'!$G$6:$G$500, MATCH(B606, 'SAÍDA DE VENDAS'!$B$6:$B$500, 0)), "")&amp; IF(COUNTIF('SAÍDA DE VENDAS'!$B$6:$B$500, B606)&gt;1, " + " &amp; IFERROR(INDEX('SAÍDA DE VENDAS'!$H$6:$H$500 &amp; "x " &amp; 'SAÍDA DE VENDAS'!$G$6:$G$500, MATCH(B606, 'SAÍDA DE VENDAS'!$B$6:$B$500, 0)+1), ""), "")&amp; IF(COUNTIF('SAÍDA DE VENDAS'!$B$6:$B$500, B606)&gt;2, " + " &amp; IFERROR(INDEX('SAÍDA DE VENDAS'!$H$6:$H$500 &amp; "x " &amp; 'SAÍDA DE VENDAS'!$G$6:$G$500, MATCH(B606, 'SAÍDA DE VENDAS'!$B$6:$B$500, 0)+2), ""), "")&amp; IF(COUNTIF('SAÍDA DE VENDAS'!$B$6:$B$500, B606)&gt;3, " + " &amp; IFERROR(INDEX('SAÍDA DE VENDAS'!$H$6:$H$500 &amp; "x " &amp; 'SAÍDA DE VENDAS'!$G$6:$G$500, MATCH(B606, 'SAÍDA DE VENDAS'!$B$6:$B$500, 0)+3), ""), "")&amp; IF(COUNTIF('SAÍDA DE VENDAS'!$B$6:$B$500, B606)&gt;4, " + " &amp; IFERROR(INDEX('SAÍDA DE VENDAS'!$H$6:$H$500 &amp; "x " &amp; 'SAÍDA DE VENDAS'!$G$6:$G$500, MATCH(B606, 'SAÍDA DE VENDAS'!$B$6:$B$500, 0)+4), ""), "")&amp; IF(COUNTIF('SAÍDA DE VENDAS'!$B$6:$B$500, B606)&gt;5, " + " &amp; IFERROR(INDEX('SAÍDA DE VENDAS'!$H$6:$H$500 &amp; "x " &amp; 'SAÍDA DE VENDAS'!$G$6:$G$500, MATCH(B606, 'SAÍDA DE VENDAS'!$B$6:$B$500, 0)+5), ""), ""))</f>
        <v/>
      </c>
      <c r="G606" s="28">
        <f>IFERROR(VLOOKUP(B606,'SAÍDA DE VENDAS'!$B$6:$P$500,10,FALSE),"")</f>
        <v>0</v>
      </c>
      <c r="H606" s="28" t="str">
        <f>IF(OR(ISBLANK(B606),B606=""), "", IF(B606=B605, (VALUE(LEFT(H605,FIND("/",H605)-1))+1)&amp;"/"&amp;RIGHT(H605,LEN(H605)-FIND("/",H605)), "1/"&amp;IFERROR(VLOOKUP(B606,'SAÍDA DE VENDAS'!$B$6:$P$500,13,FALSE),"1")))</f>
        <v/>
      </c>
      <c r="I606" s="69" t="str">
        <f t="shared" si="18"/>
        <v/>
      </c>
      <c r="J606" s="33" t="str">
        <f>IFERROR(VLOOKUP(B606,'SAÍDA DE VENDAS'!$B$6:$P$500,15,FALSE),"")</f>
        <v/>
      </c>
      <c r="K606" s="28" t="str">
        <f t="shared" ca="1" si="19"/>
        <v/>
      </c>
      <c r="L606" s="28"/>
      <c r="M606" s="28"/>
    </row>
    <row r="607" spans="2:13" ht="15" customHeight="1" x14ac:dyDescent="0.3">
      <c r="B607" s="34" t="str">
        <f>IF(B606="","", IF(VALUE(LEFT(H606,FIND("/",H606)-1)) &lt; VALUE(RIGHT(H606,LEN(H606)-FIND("/",H606))), B606, IFERROR(INDEX('SAÍDA DE VENDAS'!$B$6:$B$500, MATCH(B606,'SAÍDA DE VENDAS'!$B$6:$B$500,0)+COUNTIF('SAÍDA DE VENDAS'!$B$6:$B$500, B606)),"")))</f>
        <v/>
      </c>
      <c r="C607" s="35">
        <f>IFERROR(VLOOKUP(B607,'SAÍDA DE VENDAS'!$B$6:$P$500,3,FALSE),"")</f>
        <v>0</v>
      </c>
      <c r="D607" s="34">
        <f>IFERROR(VLOOKUP(B607,'SAÍDA DE VENDAS'!$B$6:$P$500,4,FALSE),"")</f>
        <v>0</v>
      </c>
      <c r="E607" s="34" t="str">
        <f>IFERROR(VLOOKUP(B607,'SAÍDA DE VENDAS'!$B$6:$P$500,5,FALSE),"")</f>
        <v/>
      </c>
      <c r="F607" s="34" t="str">
        <f>IF(OR(ISBLANK(B607),B607=""), "", IFERROR(INDEX('SAÍDA DE VENDAS'!$H$6:$H$500 &amp; "x " &amp; 'SAÍDA DE VENDAS'!$G$6:$G$500, MATCH(B607, 'SAÍDA DE VENDAS'!$B$6:$B$500, 0)), "")&amp; IF(COUNTIF('SAÍDA DE VENDAS'!$B$6:$B$500, B607)&gt;1, " + " &amp; IFERROR(INDEX('SAÍDA DE VENDAS'!$H$6:$H$500 &amp; "x " &amp; 'SAÍDA DE VENDAS'!$G$6:$G$500, MATCH(B607, 'SAÍDA DE VENDAS'!$B$6:$B$500, 0)+1), ""), "")&amp; IF(COUNTIF('SAÍDA DE VENDAS'!$B$6:$B$500, B607)&gt;2, " + " &amp; IFERROR(INDEX('SAÍDA DE VENDAS'!$H$6:$H$500 &amp; "x " &amp; 'SAÍDA DE VENDAS'!$G$6:$G$500, MATCH(B607, 'SAÍDA DE VENDAS'!$B$6:$B$500, 0)+2), ""), "")&amp; IF(COUNTIF('SAÍDA DE VENDAS'!$B$6:$B$500, B607)&gt;3, " + " &amp; IFERROR(INDEX('SAÍDA DE VENDAS'!$H$6:$H$500 &amp; "x " &amp; 'SAÍDA DE VENDAS'!$G$6:$G$500, MATCH(B607, 'SAÍDA DE VENDAS'!$B$6:$B$500, 0)+3), ""), "")&amp; IF(COUNTIF('SAÍDA DE VENDAS'!$B$6:$B$500, B607)&gt;4, " + " &amp; IFERROR(INDEX('SAÍDA DE VENDAS'!$H$6:$H$500 &amp; "x " &amp; 'SAÍDA DE VENDAS'!$G$6:$G$500, MATCH(B607, 'SAÍDA DE VENDAS'!$B$6:$B$500, 0)+4), ""), "")&amp; IF(COUNTIF('SAÍDA DE VENDAS'!$B$6:$B$500, B607)&gt;5, " + " &amp; IFERROR(INDEX('SAÍDA DE VENDAS'!$H$6:$H$500 &amp; "x " &amp; 'SAÍDA DE VENDAS'!$G$6:$G$500, MATCH(B607, 'SAÍDA DE VENDAS'!$B$6:$B$500, 0)+5), ""), ""))</f>
        <v/>
      </c>
      <c r="G607" s="34">
        <f>IFERROR(VLOOKUP(B607,'SAÍDA DE VENDAS'!$B$6:$P$500,10,FALSE),"")</f>
        <v>0</v>
      </c>
      <c r="H607" s="34" t="str">
        <f>IF(OR(ISBLANK(B607),B607=""), "", IF(B607=B606, (VALUE(LEFT(H606,FIND("/",H606)-1))+1)&amp;"/"&amp;RIGHT(H606,LEN(H606)-FIND("/",H606)), "1/"&amp;IFERROR(VLOOKUP(B607,'SAÍDA DE VENDAS'!$B$6:$P$500,13,FALSE),"1")))</f>
        <v/>
      </c>
      <c r="I607" s="35" t="str">
        <f t="shared" si="18"/>
        <v/>
      </c>
      <c r="J607" s="39" t="str">
        <f>IFERROR(VLOOKUP(B607,'SAÍDA DE VENDAS'!$B$6:$P$500,15,FALSE),"")</f>
        <v/>
      </c>
      <c r="K607" s="34" t="str">
        <f t="shared" ca="1" si="19"/>
        <v/>
      </c>
      <c r="L607" s="34"/>
      <c r="M607" s="34"/>
    </row>
    <row r="608" spans="2:13" ht="15" customHeight="1" x14ac:dyDescent="0.3">
      <c r="B608" s="28" t="str">
        <f>IF(B607="","", IF(VALUE(LEFT(H607,FIND("/",H607)-1)) &lt; VALUE(RIGHT(H607,LEN(H607)-FIND("/",H607))), B607, IFERROR(INDEX('SAÍDA DE VENDAS'!$B$6:$B$500, MATCH(B607,'SAÍDA DE VENDAS'!$B$6:$B$500,0)+COUNTIF('SAÍDA DE VENDAS'!$B$6:$B$500, B607)),"")))</f>
        <v/>
      </c>
      <c r="C608" s="29">
        <f>IFERROR(VLOOKUP(B608,'SAÍDA DE VENDAS'!$B$6:$P$500,3,FALSE),"")</f>
        <v>0</v>
      </c>
      <c r="D608" s="28">
        <f>IFERROR(VLOOKUP(B608,'SAÍDA DE VENDAS'!$B$6:$P$500,4,FALSE),"")</f>
        <v>0</v>
      </c>
      <c r="E608" s="28" t="str">
        <f>IFERROR(VLOOKUP(B608,'SAÍDA DE VENDAS'!$B$6:$P$500,5,FALSE),"")</f>
        <v/>
      </c>
      <c r="F608" s="28" t="str">
        <f>IF(OR(ISBLANK(B608),B608=""), "", IFERROR(INDEX('SAÍDA DE VENDAS'!$H$6:$H$500 &amp; "x " &amp; 'SAÍDA DE VENDAS'!$G$6:$G$500, MATCH(B608, 'SAÍDA DE VENDAS'!$B$6:$B$500, 0)), "")&amp; IF(COUNTIF('SAÍDA DE VENDAS'!$B$6:$B$500, B608)&gt;1, " + " &amp; IFERROR(INDEX('SAÍDA DE VENDAS'!$H$6:$H$500 &amp; "x " &amp; 'SAÍDA DE VENDAS'!$G$6:$G$500, MATCH(B608, 'SAÍDA DE VENDAS'!$B$6:$B$500, 0)+1), ""), "")&amp; IF(COUNTIF('SAÍDA DE VENDAS'!$B$6:$B$500, B608)&gt;2, " + " &amp; IFERROR(INDEX('SAÍDA DE VENDAS'!$H$6:$H$500 &amp; "x " &amp; 'SAÍDA DE VENDAS'!$G$6:$G$500, MATCH(B608, 'SAÍDA DE VENDAS'!$B$6:$B$500, 0)+2), ""), "")&amp; IF(COUNTIF('SAÍDA DE VENDAS'!$B$6:$B$500, B608)&gt;3, " + " &amp; IFERROR(INDEX('SAÍDA DE VENDAS'!$H$6:$H$500 &amp; "x " &amp; 'SAÍDA DE VENDAS'!$G$6:$G$500, MATCH(B608, 'SAÍDA DE VENDAS'!$B$6:$B$500, 0)+3), ""), "")&amp; IF(COUNTIF('SAÍDA DE VENDAS'!$B$6:$B$500, B608)&gt;4, " + " &amp; IFERROR(INDEX('SAÍDA DE VENDAS'!$H$6:$H$500 &amp; "x " &amp; 'SAÍDA DE VENDAS'!$G$6:$G$500, MATCH(B608, 'SAÍDA DE VENDAS'!$B$6:$B$500, 0)+4), ""), "")&amp; IF(COUNTIF('SAÍDA DE VENDAS'!$B$6:$B$500, B608)&gt;5, " + " &amp; IFERROR(INDEX('SAÍDA DE VENDAS'!$H$6:$H$500 &amp; "x " &amp; 'SAÍDA DE VENDAS'!$G$6:$G$500, MATCH(B608, 'SAÍDA DE VENDAS'!$B$6:$B$500, 0)+5), ""), ""))</f>
        <v/>
      </c>
      <c r="G608" s="28">
        <f>IFERROR(VLOOKUP(B608,'SAÍDA DE VENDAS'!$B$6:$P$500,10,FALSE),"")</f>
        <v>0</v>
      </c>
      <c r="H608" s="28" t="str">
        <f>IF(OR(ISBLANK(B608),B608=""), "", IF(B608=B607, (VALUE(LEFT(H607,FIND("/",H607)-1))+1)&amp;"/"&amp;RIGHT(H607,LEN(H607)-FIND("/",H607)), "1/"&amp;IFERROR(VLOOKUP(B608,'SAÍDA DE VENDAS'!$B$6:$P$500,13,FALSE),"1")))</f>
        <v/>
      </c>
      <c r="I608" s="69" t="str">
        <f t="shared" si="18"/>
        <v/>
      </c>
      <c r="J608" s="33" t="str">
        <f>IFERROR(VLOOKUP(B608,'SAÍDA DE VENDAS'!$B$6:$P$500,15,FALSE),"")</f>
        <v/>
      </c>
      <c r="K608" s="28" t="str">
        <f t="shared" ca="1" si="19"/>
        <v/>
      </c>
      <c r="L608" s="28"/>
      <c r="M608" s="28"/>
    </row>
    <row r="609" spans="2:13" ht="15" customHeight="1" x14ac:dyDescent="0.3">
      <c r="B609" s="34" t="str">
        <f>IF(B608="","", IF(VALUE(LEFT(H608,FIND("/",H608)-1)) &lt; VALUE(RIGHT(H608,LEN(H608)-FIND("/",H608))), B608, IFERROR(INDEX('SAÍDA DE VENDAS'!$B$6:$B$500, MATCH(B608,'SAÍDA DE VENDAS'!$B$6:$B$500,0)+COUNTIF('SAÍDA DE VENDAS'!$B$6:$B$500, B608)),"")))</f>
        <v/>
      </c>
      <c r="C609" s="35">
        <f>IFERROR(VLOOKUP(B609,'SAÍDA DE VENDAS'!$B$6:$P$500,3,FALSE),"")</f>
        <v>0</v>
      </c>
      <c r="D609" s="34">
        <f>IFERROR(VLOOKUP(B609,'SAÍDA DE VENDAS'!$B$6:$P$500,4,FALSE),"")</f>
        <v>0</v>
      </c>
      <c r="E609" s="34" t="str">
        <f>IFERROR(VLOOKUP(B609,'SAÍDA DE VENDAS'!$B$6:$P$500,5,FALSE),"")</f>
        <v/>
      </c>
      <c r="F609" s="34" t="str">
        <f>IF(OR(ISBLANK(B609),B609=""), "", IFERROR(INDEX('SAÍDA DE VENDAS'!$H$6:$H$500 &amp; "x " &amp; 'SAÍDA DE VENDAS'!$G$6:$G$500, MATCH(B609, 'SAÍDA DE VENDAS'!$B$6:$B$500, 0)), "")&amp; IF(COUNTIF('SAÍDA DE VENDAS'!$B$6:$B$500, B609)&gt;1, " + " &amp; IFERROR(INDEX('SAÍDA DE VENDAS'!$H$6:$H$500 &amp; "x " &amp; 'SAÍDA DE VENDAS'!$G$6:$G$500, MATCH(B609, 'SAÍDA DE VENDAS'!$B$6:$B$500, 0)+1), ""), "")&amp; IF(COUNTIF('SAÍDA DE VENDAS'!$B$6:$B$500, B609)&gt;2, " + " &amp; IFERROR(INDEX('SAÍDA DE VENDAS'!$H$6:$H$500 &amp; "x " &amp; 'SAÍDA DE VENDAS'!$G$6:$G$500, MATCH(B609, 'SAÍDA DE VENDAS'!$B$6:$B$500, 0)+2), ""), "")&amp; IF(COUNTIF('SAÍDA DE VENDAS'!$B$6:$B$500, B609)&gt;3, " + " &amp; IFERROR(INDEX('SAÍDA DE VENDAS'!$H$6:$H$500 &amp; "x " &amp; 'SAÍDA DE VENDAS'!$G$6:$G$500, MATCH(B609, 'SAÍDA DE VENDAS'!$B$6:$B$500, 0)+3), ""), "")&amp; IF(COUNTIF('SAÍDA DE VENDAS'!$B$6:$B$500, B609)&gt;4, " + " &amp; IFERROR(INDEX('SAÍDA DE VENDAS'!$H$6:$H$500 &amp; "x " &amp; 'SAÍDA DE VENDAS'!$G$6:$G$500, MATCH(B609, 'SAÍDA DE VENDAS'!$B$6:$B$500, 0)+4), ""), "")&amp; IF(COUNTIF('SAÍDA DE VENDAS'!$B$6:$B$500, B609)&gt;5, " + " &amp; IFERROR(INDEX('SAÍDA DE VENDAS'!$H$6:$H$500 &amp; "x " &amp; 'SAÍDA DE VENDAS'!$G$6:$G$500, MATCH(B609, 'SAÍDA DE VENDAS'!$B$6:$B$500, 0)+5), ""), ""))</f>
        <v/>
      </c>
      <c r="G609" s="34">
        <f>IFERROR(VLOOKUP(B609,'SAÍDA DE VENDAS'!$B$6:$P$500,10,FALSE),"")</f>
        <v>0</v>
      </c>
      <c r="H609" s="34" t="str">
        <f>IF(OR(ISBLANK(B609),B609=""), "", IF(B609=B608, (VALUE(LEFT(H608,FIND("/",H608)-1))+1)&amp;"/"&amp;RIGHT(H608,LEN(H608)-FIND("/",H608)), "1/"&amp;IFERROR(VLOOKUP(B609,'SAÍDA DE VENDAS'!$B$6:$P$500,13,FALSE),"1")))</f>
        <v/>
      </c>
      <c r="I609" s="35" t="str">
        <f t="shared" si="18"/>
        <v/>
      </c>
      <c r="J609" s="39" t="str">
        <f>IFERROR(VLOOKUP(B609,'SAÍDA DE VENDAS'!$B$6:$P$500,15,FALSE),"")</f>
        <v/>
      </c>
      <c r="K609" s="34" t="str">
        <f t="shared" ca="1" si="19"/>
        <v/>
      </c>
      <c r="L609" s="34"/>
      <c r="M609" s="34"/>
    </row>
    <row r="610" spans="2:13" ht="15" customHeight="1" x14ac:dyDescent="0.3">
      <c r="B610" s="28" t="str">
        <f>IF(B609="","", IF(VALUE(LEFT(H609,FIND("/",H609)-1)) &lt; VALUE(RIGHT(H609,LEN(H609)-FIND("/",H609))), B609, IFERROR(INDEX('SAÍDA DE VENDAS'!$B$6:$B$500, MATCH(B609,'SAÍDA DE VENDAS'!$B$6:$B$500,0)+COUNTIF('SAÍDA DE VENDAS'!$B$6:$B$500, B609)),"")))</f>
        <v/>
      </c>
      <c r="C610" s="29">
        <f>IFERROR(VLOOKUP(B610,'SAÍDA DE VENDAS'!$B$6:$P$500,3,FALSE),"")</f>
        <v>0</v>
      </c>
      <c r="D610" s="28">
        <f>IFERROR(VLOOKUP(B610,'SAÍDA DE VENDAS'!$B$6:$P$500,4,FALSE),"")</f>
        <v>0</v>
      </c>
      <c r="E610" s="28" t="str">
        <f>IFERROR(VLOOKUP(B610,'SAÍDA DE VENDAS'!$B$6:$P$500,5,FALSE),"")</f>
        <v/>
      </c>
      <c r="F610" s="28" t="str">
        <f>IF(OR(ISBLANK(B610),B610=""), "", IFERROR(INDEX('SAÍDA DE VENDAS'!$H$6:$H$500 &amp; "x " &amp; 'SAÍDA DE VENDAS'!$G$6:$G$500, MATCH(B610, 'SAÍDA DE VENDAS'!$B$6:$B$500, 0)), "")&amp; IF(COUNTIF('SAÍDA DE VENDAS'!$B$6:$B$500, B610)&gt;1, " + " &amp; IFERROR(INDEX('SAÍDA DE VENDAS'!$H$6:$H$500 &amp; "x " &amp; 'SAÍDA DE VENDAS'!$G$6:$G$500, MATCH(B610, 'SAÍDA DE VENDAS'!$B$6:$B$500, 0)+1), ""), "")&amp; IF(COUNTIF('SAÍDA DE VENDAS'!$B$6:$B$500, B610)&gt;2, " + " &amp; IFERROR(INDEX('SAÍDA DE VENDAS'!$H$6:$H$500 &amp; "x " &amp; 'SAÍDA DE VENDAS'!$G$6:$G$500, MATCH(B610, 'SAÍDA DE VENDAS'!$B$6:$B$500, 0)+2), ""), "")&amp; IF(COUNTIF('SAÍDA DE VENDAS'!$B$6:$B$500, B610)&gt;3, " + " &amp; IFERROR(INDEX('SAÍDA DE VENDAS'!$H$6:$H$500 &amp; "x " &amp; 'SAÍDA DE VENDAS'!$G$6:$G$500, MATCH(B610, 'SAÍDA DE VENDAS'!$B$6:$B$500, 0)+3), ""), "")&amp; IF(COUNTIF('SAÍDA DE VENDAS'!$B$6:$B$500, B610)&gt;4, " + " &amp; IFERROR(INDEX('SAÍDA DE VENDAS'!$H$6:$H$500 &amp; "x " &amp; 'SAÍDA DE VENDAS'!$G$6:$G$500, MATCH(B610, 'SAÍDA DE VENDAS'!$B$6:$B$500, 0)+4), ""), "")&amp; IF(COUNTIF('SAÍDA DE VENDAS'!$B$6:$B$500, B610)&gt;5, " + " &amp; IFERROR(INDEX('SAÍDA DE VENDAS'!$H$6:$H$500 &amp; "x " &amp; 'SAÍDA DE VENDAS'!$G$6:$G$500, MATCH(B610, 'SAÍDA DE VENDAS'!$B$6:$B$500, 0)+5), ""), ""))</f>
        <v/>
      </c>
      <c r="G610" s="28">
        <f>IFERROR(VLOOKUP(B610,'SAÍDA DE VENDAS'!$B$6:$P$500,10,FALSE),"")</f>
        <v>0</v>
      </c>
      <c r="H610" s="28" t="str">
        <f>IF(OR(ISBLANK(B610),B610=""), "", IF(B610=B609, (VALUE(LEFT(H609,FIND("/",H609)-1))+1)&amp;"/"&amp;RIGHT(H609,LEN(H609)-FIND("/",H609)), "1/"&amp;IFERROR(VLOOKUP(B610,'SAÍDA DE VENDAS'!$B$6:$P$500,13,FALSE),"1")))</f>
        <v/>
      </c>
      <c r="I610" s="69" t="str">
        <f t="shared" si="18"/>
        <v/>
      </c>
      <c r="J610" s="33" t="str">
        <f>IFERROR(VLOOKUP(B610,'SAÍDA DE VENDAS'!$B$6:$P$500,15,FALSE),"")</f>
        <v/>
      </c>
      <c r="K610" s="28" t="str">
        <f t="shared" ca="1" si="19"/>
        <v/>
      </c>
      <c r="L610" s="28"/>
      <c r="M610" s="28"/>
    </row>
    <row r="611" spans="2:13" ht="15" customHeight="1" x14ac:dyDescent="0.3">
      <c r="B611" s="34" t="str">
        <f>IF(B610="","", IF(VALUE(LEFT(H610,FIND("/",H610)-1)) &lt; VALUE(RIGHT(H610,LEN(H610)-FIND("/",H610))), B610, IFERROR(INDEX('SAÍDA DE VENDAS'!$B$6:$B$500, MATCH(B610,'SAÍDA DE VENDAS'!$B$6:$B$500,0)+COUNTIF('SAÍDA DE VENDAS'!$B$6:$B$500, B610)),"")))</f>
        <v/>
      </c>
      <c r="C611" s="35">
        <f>IFERROR(VLOOKUP(B611,'SAÍDA DE VENDAS'!$B$6:$P$500,3,FALSE),"")</f>
        <v>0</v>
      </c>
      <c r="D611" s="34">
        <f>IFERROR(VLOOKUP(B611,'SAÍDA DE VENDAS'!$B$6:$P$500,4,FALSE),"")</f>
        <v>0</v>
      </c>
      <c r="E611" s="34" t="str">
        <f>IFERROR(VLOOKUP(B611,'SAÍDA DE VENDAS'!$B$6:$P$500,5,FALSE),"")</f>
        <v/>
      </c>
      <c r="F611" s="34" t="str">
        <f>IF(OR(ISBLANK(B611),B611=""), "", IFERROR(INDEX('SAÍDA DE VENDAS'!$H$6:$H$500 &amp; "x " &amp; 'SAÍDA DE VENDAS'!$G$6:$G$500, MATCH(B611, 'SAÍDA DE VENDAS'!$B$6:$B$500, 0)), "")&amp; IF(COUNTIF('SAÍDA DE VENDAS'!$B$6:$B$500, B611)&gt;1, " + " &amp; IFERROR(INDEX('SAÍDA DE VENDAS'!$H$6:$H$500 &amp; "x " &amp; 'SAÍDA DE VENDAS'!$G$6:$G$500, MATCH(B611, 'SAÍDA DE VENDAS'!$B$6:$B$500, 0)+1), ""), "")&amp; IF(COUNTIF('SAÍDA DE VENDAS'!$B$6:$B$500, B611)&gt;2, " + " &amp; IFERROR(INDEX('SAÍDA DE VENDAS'!$H$6:$H$500 &amp; "x " &amp; 'SAÍDA DE VENDAS'!$G$6:$G$500, MATCH(B611, 'SAÍDA DE VENDAS'!$B$6:$B$500, 0)+2), ""), "")&amp; IF(COUNTIF('SAÍDA DE VENDAS'!$B$6:$B$500, B611)&gt;3, " + " &amp; IFERROR(INDEX('SAÍDA DE VENDAS'!$H$6:$H$500 &amp; "x " &amp; 'SAÍDA DE VENDAS'!$G$6:$G$500, MATCH(B611, 'SAÍDA DE VENDAS'!$B$6:$B$500, 0)+3), ""), "")&amp; IF(COUNTIF('SAÍDA DE VENDAS'!$B$6:$B$500, B611)&gt;4, " + " &amp; IFERROR(INDEX('SAÍDA DE VENDAS'!$H$6:$H$500 &amp; "x " &amp; 'SAÍDA DE VENDAS'!$G$6:$G$500, MATCH(B611, 'SAÍDA DE VENDAS'!$B$6:$B$500, 0)+4), ""), "")&amp; IF(COUNTIF('SAÍDA DE VENDAS'!$B$6:$B$500, B611)&gt;5, " + " &amp; IFERROR(INDEX('SAÍDA DE VENDAS'!$H$6:$H$500 &amp; "x " &amp; 'SAÍDA DE VENDAS'!$G$6:$G$500, MATCH(B611, 'SAÍDA DE VENDAS'!$B$6:$B$500, 0)+5), ""), ""))</f>
        <v/>
      </c>
      <c r="G611" s="34">
        <f>IFERROR(VLOOKUP(B611,'SAÍDA DE VENDAS'!$B$6:$P$500,10,FALSE),"")</f>
        <v>0</v>
      </c>
      <c r="H611" s="34" t="str">
        <f>IF(OR(ISBLANK(B611),B611=""), "", IF(B611=B610, (VALUE(LEFT(H610,FIND("/",H610)-1))+1)&amp;"/"&amp;RIGHT(H610,LEN(H610)-FIND("/",H610)), "1/"&amp;IFERROR(VLOOKUP(B611,'SAÍDA DE VENDAS'!$B$6:$P$500,13,FALSE),"1")))</f>
        <v/>
      </c>
      <c r="I611" s="35" t="str">
        <f t="shared" si="18"/>
        <v/>
      </c>
      <c r="J611" s="39" t="str">
        <f>IFERROR(VLOOKUP(B611,'SAÍDA DE VENDAS'!$B$6:$P$500,15,FALSE),"")</f>
        <v/>
      </c>
      <c r="K611" s="34" t="str">
        <f t="shared" ca="1" si="19"/>
        <v/>
      </c>
      <c r="L611" s="34"/>
      <c r="M611" s="34"/>
    </row>
    <row r="612" spans="2:13" ht="15" customHeight="1" x14ac:dyDescent="0.3">
      <c r="B612" s="28" t="str">
        <f>IF(B611="","", IF(VALUE(LEFT(H611,FIND("/",H611)-1)) &lt; VALUE(RIGHT(H611,LEN(H611)-FIND("/",H611))), B611, IFERROR(INDEX('SAÍDA DE VENDAS'!$B$6:$B$500, MATCH(B611,'SAÍDA DE VENDAS'!$B$6:$B$500,0)+COUNTIF('SAÍDA DE VENDAS'!$B$6:$B$500, B611)),"")))</f>
        <v/>
      </c>
      <c r="C612" s="29">
        <f>IFERROR(VLOOKUP(B612,'SAÍDA DE VENDAS'!$B$6:$P$500,3,FALSE),"")</f>
        <v>0</v>
      </c>
      <c r="D612" s="28">
        <f>IFERROR(VLOOKUP(B612,'SAÍDA DE VENDAS'!$B$6:$P$500,4,FALSE),"")</f>
        <v>0</v>
      </c>
      <c r="E612" s="28" t="str">
        <f>IFERROR(VLOOKUP(B612,'SAÍDA DE VENDAS'!$B$6:$P$500,5,FALSE),"")</f>
        <v/>
      </c>
      <c r="F612" s="28" t="str">
        <f>IF(OR(ISBLANK(B612),B612=""), "", IFERROR(INDEX('SAÍDA DE VENDAS'!$H$6:$H$500 &amp; "x " &amp; 'SAÍDA DE VENDAS'!$G$6:$G$500, MATCH(B612, 'SAÍDA DE VENDAS'!$B$6:$B$500, 0)), "")&amp; IF(COUNTIF('SAÍDA DE VENDAS'!$B$6:$B$500, B612)&gt;1, " + " &amp; IFERROR(INDEX('SAÍDA DE VENDAS'!$H$6:$H$500 &amp; "x " &amp; 'SAÍDA DE VENDAS'!$G$6:$G$500, MATCH(B612, 'SAÍDA DE VENDAS'!$B$6:$B$500, 0)+1), ""), "")&amp; IF(COUNTIF('SAÍDA DE VENDAS'!$B$6:$B$500, B612)&gt;2, " + " &amp; IFERROR(INDEX('SAÍDA DE VENDAS'!$H$6:$H$500 &amp; "x " &amp; 'SAÍDA DE VENDAS'!$G$6:$G$500, MATCH(B612, 'SAÍDA DE VENDAS'!$B$6:$B$500, 0)+2), ""), "")&amp; IF(COUNTIF('SAÍDA DE VENDAS'!$B$6:$B$500, B612)&gt;3, " + " &amp; IFERROR(INDEX('SAÍDA DE VENDAS'!$H$6:$H$500 &amp; "x " &amp; 'SAÍDA DE VENDAS'!$G$6:$G$500, MATCH(B612, 'SAÍDA DE VENDAS'!$B$6:$B$500, 0)+3), ""), "")&amp; IF(COUNTIF('SAÍDA DE VENDAS'!$B$6:$B$500, B612)&gt;4, " + " &amp; IFERROR(INDEX('SAÍDA DE VENDAS'!$H$6:$H$500 &amp; "x " &amp; 'SAÍDA DE VENDAS'!$G$6:$G$500, MATCH(B612, 'SAÍDA DE VENDAS'!$B$6:$B$500, 0)+4), ""), "")&amp; IF(COUNTIF('SAÍDA DE VENDAS'!$B$6:$B$500, B612)&gt;5, " + " &amp; IFERROR(INDEX('SAÍDA DE VENDAS'!$H$6:$H$500 &amp; "x " &amp; 'SAÍDA DE VENDAS'!$G$6:$G$500, MATCH(B612, 'SAÍDA DE VENDAS'!$B$6:$B$500, 0)+5), ""), ""))</f>
        <v/>
      </c>
      <c r="G612" s="28">
        <f>IFERROR(VLOOKUP(B612,'SAÍDA DE VENDAS'!$B$6:$P$500,10,FALSE),"")</f>
        <v>0</v>
      </c>
      <c r="H612" s="28" t="str">
        <f>IF(OR(ISBLANK(B612),B612=""), "", IF(B612=B611, (VALUE(LEFT(H611,FIND("/",H611)-1))+1)&amp;"/"&amp;RIGHT(H611,LEN(H611)-FIND("/",H611)), "1/"&amp;IFERROR(VLOOKUP(B612,'SAÍDA DE VENDAS'!$B$6:$P$500,13,FALSE),"1")))</f>
        <v/>
      </c>
      <c r="I612" s="69" t="str">
        <f t="shared" si="18"/>
        <v/>
      </c>
      <c r="J612" s="33" t="str">
        <f>IFERROR(VLOOKUP(B612,'SAÍDA DE VENDAS'!$B$6:$P$500,15,FALSE),"")</f>
        <v/>
      </c>
      <c r="K612" s="28" t="str">
        <f t="shared" ca="1" si="19"/>
        <v/>
      </c>
      <c r="L612" s="28"/>
      <c r="M612" s="28"/>
    </row>
    <row r="613" spans="2:13" ht="15" customHeight="1" x14ac:dyDescent="0.3">
      <c r="B613" s="34" t="str">
        <f>IF(B612="","", IF(VALUE(LEFT(H612,FIND("/",H612)-1)) &lt; VALUE(RIGHT(H612,LEN(H612)-FIND("/",H612))), B612, IFERROR(INDEX('SAÍDA DE VENDAS'!$B$6:$B$500, MATCH(B612,'SAÍDA DE VENDAS'!$B$6:$B$500,0)+COUNTIF('SAÍDA DE VENDAS'!$B$6:$B$500, B612)),"")))</f>
        <v/>
      </c>
      <c r="C613" s="35">
        <f>IFERROR(VLOOKUP(B613,'SAÍDA DE VENDAS'!$B$6:$P$500,3,FALSE),"")</f>
        <v>0</v>
      </c>
      <c r="D613" s="34">
        <f>IFERROR(VLOOKUP(B613,'SAÍDA DE VENDAS'!$B$6:$P$500,4,FALSE),"")</f>
        <v>0</v>
      </c>
      <c r="E613" s="34" t="str">
        <f>IFERROR(VLOOKUP(B613,'SAÍDA DE VENDAS'!$B$6:$P$500,5,FALSE),"")</f>
        <v/>
      </c>
      <c r="F613" s="34" t="str">
        <f>IF(OR(ISBLANK(B613),B613=""), "", IFERROR(INDEX('SAÍDA DE VENDAS'!$H$6:$H$500 &amp; "x " &amp; 'SAÍDA DE VENDAS'!$G$6:$G$500, MATCH(B613, 'SAÍDA DE VENDAS'!$B$6:$B$500, 0)), "")&amp; IF(COUNTIF('SAÍDA DE VENDAS'!$B$6:$B$500, B613)&gt;1, " + " &amp; IFERROR(INDEX('SAÍDA DE VENDAS'!$H$6:$H$500 &amp; "x " &amp; 'SAÍDA DE VENDAS'!$G$6:$G$500, MATCH(B613, 'SAÍDA DE VENDAS'!$B$6:$B$500, 0)+1), ""), "")&amp; IF(COUNTIF('SAÍDA DE VENDAS'!$B$6:$B$500, B613)&gt;2, " + " &amp; IFERROR(INDEX('SAÍDA DE VENDAS'!$H$6:$H$500 &amp; "x " &amp; 'SAÍDA DE VENDAS'!$G$6:$G$500, MATCH(B613, 'SAÍDA DE VENDAS'!$B$6:$B$500, 0)+2), ""), "")&amp; IF(COUNTIF('SAÍDA DE VENDAS'!$B$6:$B$500, B613)&gt;3, " + " &amp; IFERROR(INDEX('SAÍDA DE VENDAS'!$H$6:$H$500 &amp; "x " &amp; 'SAÍDA DE VENDAS'!$G$6:$G$500, MATCH(B613, 'SAÍDA DE VENDAS'!$B$6:$B$500, 0)+3), ""), "")&amp; IF(COUNTIF('SAÍDA DE VENDAS'!$B$6:$B$500, B613)&gt;4, " + " &amp; IFERROR(INDEX('SAÍDA DE VENDAS'!$H$6:$H$500 &amp; "x " &amp; 'SAÍDA DE VENDAS'!$G$6:$G$500, MATCH(B613, 'SAÍDA DE VENDAS'!$B$6:$B$500, 0)+4), ""), "")&amp; IF(COUNTIF('SAÍDA DE VENDAS'!$B$6:$B$500, B613)&gt;5, " + " &amp; IFERROR(INDEX('SAÍDA DE VENDAS'!$H$6:$H$500 &amp; "x " &amp; 'SAÍDA DE VENDAS'!$G$6:$G$500, MATCH(B613, 'SAÍDA DE VENDAS'!$B$6:$B$500, 0)+5), ""), ""))</f>
        <v/>
      </c>
      <c r="G613" s="34">
        <f>IFERROR(VLOOKUP(B613,'SAÍDA DE VENDAS'!$B$6:$P$500,10,FALSE),"")</f>
        <v>0</v>
      </c>
      <c r="H613" s="34" t="str">
        <f>IF(OR(ISBLANK(B613),B613=""), "", IF(B613=B612, (VALUE(LEFT(H612,FIND("/",H612)-1))+1)&amp;"/"&amp;RIGHT(H612,LEN(H612)-FIND("/",H612)), "1/"&amp;IFERROR(VLOOKUP(B613,'SAÍDA DE VENDAS'!$B$6:$P$500,13,FALSE),"1")))</f>
        <v/>
      </c>
      <c r="I613" s="35" t="str">
        <f t="shared" si="18"/>
        <v/>
      </c>
      <c r="J613" s="39" t="str">
        <f>IFERROR(VLOOKUP(B613,'SAÍDA DE VENDAS'!$B$6:$P$500,15,FALSE),"")</f>
        <v/>
      </c>
      <c r="K613" s="34" t="str">
        <f t="shared" ca="1" si="19"/>
        <v/>
      </c>
      <c r="L613" s="34"/>
      <c r="M613" s="34"/>
    </row>
    <row r="614" spans="2:13" ht="15" customHeight="1" x14ac:dyDescent="0.3">
      <c r="B614" s="28" t="str">
        <f>IF(B613="","", IF(VALUE(LEFT(H613,FIND("/",H613)-1)) &lt; VALUE(RIGHT(H613,LEN(H613)-FIND("/",H613))), B613, IFERROR(INDEX('SAÍDA DE VENDAS'!$B$6:$B$500, MATCH(B613,'SAÍDA DE VENDAS'!$B$6:$B$500,0)+COUNTIF('SAÍDA DE VENDAS'!$B$6:$B$500, B613)),"")))</f>
        <v/>
      </c>
      <c r="C614" s="29">
        <f>IFERROR(VLOOKUP(B614,'SAÍDA DE VENDAS'!$B$6:$P$500,3,FALSE),"")</f>
        <v>0</v>
      </c>
      <c r="D614" s="28">
        <f>IFERROR(VLOOKUP(B614,'SAÍDA DE VENDAS'!$B$6:$P$500,4,FALSE),"")</f>
        <v>0</v>
      </c>
      <c r="E614" s="28" t="str">
        <f>IFERROR(VLOOKUP(B614,'SAÍDA DE VENDAS'!$B$6:$P$500,5,FALSE),"")</f>
        <v/>
      </c>
      <c r="F614" s="28" t="str">
        <f>IF(OR(ISBLANK(B614),B614=""), "", IFERROR(INDEX('SAÍDA DE VENDAS'!$H$6:$H$500 &amp; "x " &amp; 'SAÍDA DE VENDAS'!$G$6:$G$500, MATCH(B614, 'SAÍDA DE VENDAS'!$B$6:$B$500, 0)), "")&amp; IF(COUNTIF('SAÍDA DE VENDAS'!$B$6:$B$500, B614)&gt;1, " + " &amp; IFERROR(INDEX('SAÍDA DE VENDAS'!$H$6:$H$500 &amp; "x " &amp; 'SAÍDA DE VENDAS'!$G$6:$G$500, MATCH(B614, 'SAÍDA DE VENDAS'!$B$6:$B$500, 0)+1), ""), "")&amp; IF(COUNTIF('SAÍDA DE VENDAS'!$B$6:$B$500, B614)&gt;2, " + " &amp; IFERROR(INDEX('SAÍDA DE VENDAS'!$H$6:$H$500 &amp; "x " &amp; 'SAÍDA DE VENDAS'!$G$6:$G$500, MATCH(B614, 'SAÍDA DE VENDAS'!$B$6:$B$500, 0)+2), ""), "")&amp; IF(COUNTIF('SAÍDA DE VENDAS'!$B$6:$B$500, B614)&gt;3, " + " &amp; IFERROR(INDEX('SAÍDA DE VENDAS'!$H$6:$H$500 &amp; "x " &amp; 'SAÍDA DE VENDAS'!$G$6:$G$500, MATCH(B614, 'SAÍDA DE VENDAS'!$B$6:$B$500, 0)+3), ""), "")&amp; IF(COUNTIF('SAÍDA DE VENDAS'!$B$6:$B$500, B614)&gt;4, " + " &amp; IFERROR(INDEX('SAÍDA DE VENDAS'!$H$6:$H$500 &amp; "x " &amp; 'SAÍDA DE VENDAS'!$G$6:$G$500, MATCH(B614, 'SAÍDA DE VENDAS'!$B$6:$B$500, 0)+4), ""), "")&amp; IF(COUNTIF('SAÍDA DE VENDAS'!$B$6:$B$500, B614)&gt;5, " + " &amp; IFERROR(INDEX('SAÍDA DE VENDAS'!$H$6:$H$500 &amp; "x " &amp; 'SAÍDA DE VENDAS'!$G$6:$G$500, MATCH(B614, 'SAÍDA DE VENDAS'!$B$6:$B$500, 0)+5), ""), ""))</f>
        <v/>
      </c>
      <c r="G614" s="28">
        <f>IFERROR(VLOOKUP(B614,'SAÍDA DE VENDAS'!$B$6:$P$500,10,FALSE),"")</f>
        <v>0</v>
      </c>
      <c r="H614" s="28" t="str">
        <f>IF(OR(ISBLANK(B614),B614=""), "", IF(B614=B613, (VALUE(LEFT(H613,FIND("/",H613)-1))+1)&amp;"/"&amp;RIGHT(H613,LEN(H613)-FIND("/",H613)), "1/"&amp;IFERROR(VLOOKUP(B614,'SAÍDA DE VENDAS'!$B$6:$P$500,13,FALSE),"1")))</f>
        <v/>
      </c>
      <c r="I614" s="69" t="str">
        <f t="shared" si="18"/>
        <v/>
      </c>
      <c r="J614" s="33" t="str">
        <f>IFERROR(VLOOKUP(B614,'SAÍDA DE VENDAS'!$B$6:$P$500,15,FALSE),"")</f>
        <v/>
      </c>
      <c r="K614" s="28" t="str">
        <f t="shared" ca="1" si="19"/>
        <v/>
      </c>
      <c r="L614" s="28"/>
      <c r="M614" s="28"/>
    </row>
    <row r="615" spans="2:13" ht="15" customHeight="1" x14ac:dyDescent="0.3">
      <c r="B615" s="34" t="str">
        <f>IF(B614="","", IF(VALUE(LEFT(H614,FIND("/",H614)-1)) &lt; VALUE(RIGHT(H614,LEN(H614)-FIND("/",H614))), B614, IFERROR(INDEX('SAÍDA DE VENDAS'!$B$6:$B$500, MATCH(B614,'SAÍDA DE VENDAS'!$B$6:$B$500,0)+COUNTIF('SAÍDA DE VENDAS'!$B$6:$B$500, B614)),"")))</f>
        <v/>
      </c>
      <c r="C615" s="35">
        <f>IFERROR(VLOOKUP(B615,'SAÍDA DE VENDAS'!$B$6:$P$500,3,FALSE),"")</f>
        <v>0</v>
      </c>
      <c r="D615" s="34">
        <f>IFERROR(VLOOKUP(B615,'SAÍDA DE VENDAS'!$B$6:$P$500,4,FALSE),"")</f>
        <v>0</v>
      </c>
      <c r="E615" s="34" t="str">
        <f>IFERROR(VLOOKUP(B615,'SAÍDA DE VENDAS'!$B$6:$P$500,5,FALSE),"")</f>
        <v/>
      </c>
      <c r="F615" s="34" t="str">
        <f>IF(OR(ISBLANK(B615),B615=""), "", IFERROR(INDEX('SAÍDA DE VENDAS'!$H$6:$H$500 &amp; "x " &amp; 'SAÍDA DE VENDAS'!$G$6:$G$500, MATCH(B615, 'SAÍDA DE VENDAS'!$B$6:$B$500, 0)), "")&amp; IF(COUNTIF('SAÍDA DE VENDAS'!$B$6:$B$500, B615)&gt;1, " + " &amp; IFERROR(INDEX('SAÍDA DE VENDAS'!$H$6:$H$500 &amp; "x " &amp; 'SAÍDA DE VENDAS'!$G$6:$G$500, MATCH(B615, 'SAÍDA DE VENDAS'!$B$6:$B$500, 0)+1), ""), "")&amp; IF(COUNTIF('SAÍDA DE VENDAS'!$B$6:$B$500, B615)&gt;2, " + " &amp; IFERROR(INDEX('SAÍDA DE VENDAS'!$H$6:$H$500 &amp; "x " &amp; 'SAÍDA DE VENDAS'!$G$6:$G$500, MATCH(B615, 'SAÍDA DE VENDAS'!$B$6:$B$500, 0)+2), ""), "")&amp; IF(COUNTIF('SAÍDA DE VENDAS'!$B$6:$B$500, B615)&gt;3, " + " &amp; IFERROR(INDEX('SAÍDA DE VENDAS'!$H$6:$H$500 &amp; "x " &amp; 'SAÍDA DE VENDAS'!$G$6:$G$500, MATCH(B615, 'SAÍDA DE VENDAS'!$B$6:$B$500, 0)+3), ""), "")&amp; IF(COUNTIF('SAÍDA DE VENDAS'!$B$6:$B$500, B615)&gt;4, " + " &amp; IFERROR(INDEX('SAÍDA DE VENDAS'!$H$6:$H$500 &amp; "x " &amp; 'SAÍDA DE VENDAS'!$G$6:$G$500, MATCH(B615, 'SAÍDA DE VENDAS'!$B$6:$B$500, 0)+4), ""), "")&amp; IF(COUNTIF('SAÍDA DE VENDAS'!$B$6:$B$500, B615)&gt;5, " + " &amp; IFERROR(INDEX('SAÍDA DE VENDAS'!$H$6:$H$500 &amp; "x " &amp; 'SAÍDA DE VENDAS'!$G$6:$G$500, MATCH(B615, 'SAÍDA DE VENDAS'!$B$6:$B$500, 0)+5), ""), ""))</f>
        <v/>
      </c>
      <c r="G615" s="34">
        <f>IFERROR(VLOOKUP(B615,'SAÍDA DE VENDAS'!$B$6:$P$500,10,FALSE),"")</f>
        <v>0</v>
      </c>
      <c r="H615" s="34" t="str">
        <f>IF(OR(ISBLANK(B615),B615=""), "", IF(B615=B614, (VALUE(LEFT(H614,FIND("/",H614)-1))+1)&amp;"/"&amp;RIGHT(H614,LEN(H614)-FIND("/",H614)), "1/"&amp;IFERROR(VLOOKUP(B615,'SAÍDA DE VENDAS'!$B$6:$P$500,13,FALSE),"1")))</f>
        <v/>
      </c>
      <c r="I615" s="35" t="str">
        <f t="shared" si="18"/>
        <v/>
      </c>
      <c r="J615" s="39" t="str">
        <f>IFERROR(VLOOKUP(B615,'SAÍDA DE VENDAS'!$B$6:$P$500,15,FALSE),"")</f>
        <v/>
      </c>
      <c r="K615" s="34" t="str">
        <f t="shared" ca="1" si="19"/>
        <v/>
      </c>
      <c r="L615" s="34"/>
      <c r="M615" s="34"/>
    </row>
    <row r="616" spans="2:13" ht="15" customHeight="1" x14ac:dyDescent="0.3">
      <c r="B616" s="28" t="str">
        <f>IF(B615="","", IF(VALUE(LEFT(H615,FIND("/",H615)-1)) &lt; VALUE(RIGHT(H615,LEN(H615)-FIND("/",H615))), B615, IFERROR(INDEX('SAÍDA DE VENDAS'!$B$6:$B$500, MATCH(B615,'SAÍDA DE VENDAS'!$B$6:$B$500,0)+COUNTIF('SAÍDA DE VENDAS'!$B$6:$B$500, B615)),"")))</f>
        <v/>
      </c>
      <c r="C616" s="29">
        <f>IFERROR(VLOOKUP(B616,'SAÍDA DE VENDAS'!$B$6:$P$500,3,FALSE),"")</f>
        <v>0</v>
      </c>
      <c r="D616" s="28">
        <f>IFERROR(VLOOKUP(B616,'SAÍDA DE VENDAS'!$B$6:$P$500,4,FALSE),"")</f>
        <v>0</v>
      </c>
      <c r="E616" s="28" t="str">
        <f>IFERROR(VLOOKUP(B616,'SAÍDA DE VENDAS'!$B$6:$P$500,5,FALSE),"")</f>
        <v/>
      </c>
      <c r="F616" s="28" t="str">
        <f>IF(OR(ISBLANK(B616),B616=""), "", IFERROR(INDEX('SAÍDA DE VENDAS'!$H$6:$H$500 &amp; "x " &amp; 'SAÍDA DE VENDAS'!$G$6:$G$500, MATCH(B616, 'SAÍDA DE VENDAS'!$B$6:$B$500, 0)), "")&amp; IF(COUNTIF('SAÍDA DE VENDAS'!$B$6:$B$500, B616)&gt;1, " + " &amp; IFERROR(INDEX('SAÍDA DE VENDAS'!$H$6:$H$500 &amp; "x " &amp; 'SAÍDA DE VENDAS'!$G$6:$G$500, MATCH(B616, 'SAÍDA DE VENDAS'!$B$6:$B$500, 0)+1), ""), "")&amp; IF(COUNTIF('SAÍDA DE VENDAS'!$B$6:$B$500, B616)&gt;2, " + " &amp; IFERROR(INDEX('SAÍDA DE VENDAS'!$H$6:$H$500 &amp; "x " &amp; 'SAÍDA DE VENDAS'!$G$6:$G$500, MATCH(B616, 'SAÍDA DE VENDAS'!$B$6:$B$500, 0)+2), ""), "")&amp; IF(COUNTIF('SAÍDA DE VENDAS'!$B$6:$B$500, B616)&gt;3, " + " &amp; IFERROR(INDEX('SAÍDA DE VENDAS'!$H$6:$H$500 &amp; "x " &amp; 'SAÍDA DE VENDAS'!$G$6:$G$500, MATCH(B616, 'SAÍDA DE VENDAS'!$B$6:$B$500, 0)+3), ""), "")&amp; IF(COUNTIF('SAÍDA DE VENDAS'!$B$6:$B$500, B616)&gt;4, " + " &amp; IFERROR(INDEX('SAÍDA DE VENDAS'!$H$6:$H$500 &amp; "x " &amp; 'SAÍDA DE VENDAS'!$G$6:$G$500, MATCH(B616, 'SAÍDA DE VENDAS'!$B$6:$B$500, 0)+4), ""), "")&amp; IF(COUNTIF('SAÍDA DE VENDAS'!$B$6:$B$500, B616)&gt;5, " + " &amp; IFERROR(INDEX('SAÍDA DE VENDAS'!$H$6:$H$500 &amp; "x " &amp; 'SAÍDA DE VENDAS'!$G$6:$G$500, MATCH(B616, 'SAÍDA DE VENDAS'!$B$6:$B$500, 0)+5), ""), ""))</f>
        <v/>
      </c>
      <c r="G616" s="28">
        <f>IFERROR(VLOOKUP(B616,'SAÍDA DE VENDAS'!$B$6:$P$500,10,FALSE),"")</f>
        <v>0</v>
      </c>
      <c r="H616" s="28" t="str">
        <f>IF(OR(ISBLANK(B616),B616=""), "", IF(B616=B615, (VALUE(LEFT(H615,FIND("/",H615)-1))+1)&amp;"/"&amp;RIGHT(H615,LEN(H615)-FIND("/",H615)), "1/"&amp;IFERROR(VLOOKUP(B616,'SAÍDA DE VENDAS'!$B$6:$P$500,13,FALSE),"1")))</f>
        <v/>
      </c>
      <c r="I616" s="69" t="str">
        <f t="shared" si="18"/>
        <v/>
      </c>
      <c r="J616" s="33" t="str">
        <f>IFERROR(VLOOKUP(B616,'SAÍDA DE VENDAS'!$B$6:$P$500,15,FALSE),"")</f>
        <v/>
      </c>
      <c r="K616" s="28" t="str">
        <f t="shared" ca="1" si="19"/>
        <v/>
      </c>
      <c r="L616" s="28"/>
      <c r="M616" s="28"/>
    </row>
    <row r="617" spans="2:13" ht="15" customHeight="1" x14ac:dyDescent="0.3">
      <c r="B617" s="34" t="str">
        <f>IF(B616="","", IF(VALUE(LEFT(H616,FIND("/",H616)-1)) &lt; VALUE(RIGHT(H616,LEN(H616)-FIND("/",H616))), B616, IFERROR(INDEX('SAÍDA DE VENDAS'!$B$6:$B$500, MATCH(B616,'SAÍDA DE VENDAS'!$B$6:$B$500,0)+COUNTIF('SAÍDA DE VENDAS'!$B$6:$B$500, B616)),"")))</f>
        <v/>
      </c>
      <c r="C617" s="35">
        <f>IFERROR(VLOOKUP(B617,'SAÍDA DE VENDAS'!$B$6:$P$500,3,FALSE),"")</f>
        <v>0</v>
      </c>
      <c r="D617" s="34">
        <f>IFERROR(VLOOKUP(B617,'SAÍDA DE VENDAS'!$B$6:$P$500,4,FALSE),"")</f>
        <v>0</v>
      </c>
      <c r="E617" s="34" t="str">
        <f>IFERROR(VLOOKUP(B617,'SAÍDA DE VENDAS'!$B$6:$P$500,5,FALSE),"")</f>
        <v/>
      </c>
      <c r="F617" s="34" t="str">
        <f>IF(OR(ISBLANK(B617),B617=""), "", IFERROR(INDEX('SAÍDA DE VENDAS'!$H$6:$H$500 &amp; "x " &amp; 'SAÍDA DE VENDAS'!$G$6:$G$500, MATCH(B617, 'SAÍDA DE VENDAS'!$B$6:$B$500, 0)), "")&amp; IF(COUNTIF('SAÍDA DE VENDAS'!$B$6:$B$500, B617)&gt;1, " + " &amp; IFERROR(INDEX('SAÍDA DE VENDAS'!$H$6:$H$500 &amp; "x " &amp; 'SAÍDA DE VENDAS'!$G$6:$G$500, MATCH(B617, 'SAÍDA DE VENDAS'!$B$6:$B$500, 0)+1), ""), "")&amp; IF(COUNTIF('SAÍDA DE VENDAS'!$B$6:$B$500, B617)&gt;2, " + " &amp; IFERROR(INDEX('SAÍDA DE VENDAS'!$H$6:$H$500 &amp; "x " &amp; 'SAÍDA DE VENDAS'!$G$6:$G$500, MATCH(B617, 'SAÍDA DE VENDAS'!$B$6:$B$500, 0)+2), ""), "")&amp; IF(COUNTIF('SAÍDA DE VENDAS'!$B$6:$B$500, B617)&gt;3, " + " &amp; IFERROR(INDEX('SAÍDA DE VENDAS'!$H$6:$H$500 &amp; "x " &amp; 'SAÍDA DE VENDAS'!$G$6:$G$500, MATCH(B617, 'SAÍDA DE VENDAS'!$B$6:$B$500, 0)+3), ""), "")&amp; IF(COUNTIF('SAÍDA DE VENDAS'!$B$6:$B$500, B617)&gt;4, " + " &amp; IFERROR(INDEX('SAÍDA DE VENDAS'!$H$6:$H$500 &amp; "x " &amp; 'SAÍDA DE VENDAS'!$G$6:$G$500, MATCH(B617, 'SAÍDA DE VENDAS'!$B$6:$B$500, 0)+4), ""), "")&amp; IF(COUNTIF('SAÍDA DE VENDAS'!$B$6:$B$500, B617)&gt;5, " + " &amp; IFERROR(INDEX('SAÍDA DE VENDAS'!$H$6:$H$500 &amp; "x " &amp; 'SAÍDA DE VENDAS'!$G$6:$G$500, MATCH(B617, 'SAÍDA DE VENDAS'!$B$6:$B$500, 0)+5), ""), ""))</f>
        <v/>
      </c>
      <c r="G617" s="34">
        <f>IFERROR(VLOOKUP(B617,'SAÍDA DE VENDAS'!$B$6:$P$500,10,FALSE),"")</f>
        <v>0</v>
      </c>
      <c r="H617" s="34" t="str">
        <f>IF(OR(ISBLANK(B617),B617=""), "", IF(B617=B616, (VALUE(LEFT(H616,FIND("/",H616)-1))+1)&amp;"/"&amp;RIGHT(H616,LEN(H616)-FIND("/",H616)), "1/"&amp;IFERROR(VLOOKUP(B617,'SAÍDA DE VENDAS'!$B$6:$P$500,13,FALSE),"1")))</f>
        <v/>
      </c>
      <c r="I617" s="35" t="str">
        <f t="shared" si="18"/>
        <v/>
      </c>
      <c r="J617" s="39" t="str">
        <f>IFERROR(VLOOKUP(B617,'SAÍDA DE VENDAS'!$B$6:$P$500,15,FALSE),"")</f>
        <v/>
      </c>
      <c r="K617" s="34" t="str">
        <f t="shared" ca="1" si="19"/>
        <v/>
      </c>
      <c r="L617" s="34"/>
      <c r="M617" s="34"/>
    </row>
    <row r="618" spans="2:13" ht="15" customHeight="1" x14ac:dyDescent="0.3">
      <c r="B618" s="28" t="str">
        <f>IF(B617="","", IF(VALUE(LEFT(H617,FIND("/",H617)-1)) &lt; VALUE(RIGHT(H617,LEN(H617)-FIND("/",H617))), B617, IFERROR(INDEX('SAÍDA DE VENDAS'!$B$6:$B$500, MATCH(B617,'SAÍDA DE VENDAS'!$B$6:$B$500,0)+COUNTIF('SAÍDA DE VENDAS'!$B$6:$B$500, B617)),"")))</f>
        <v/>
      </c>
      <c r="C618" s="29">
        <f>IFERROR(VLOOKUP(B618,'SAÍDA DE VENDAS'!$B$6:$P$500,3,FALSE),"")</f>
        <v>0</v>
      </c>
      <c r="D618" s="28">
        <f>IFERROR(VLOOKUP(B618,'SAÍDA DE VENDAS'!$B$6:$P$500,4,FALSE),"")</f>
        <v>0</v>
      </c>
      <c r="E618" s="28" t="str">
        <f>IFERROR(VLOOKUP(B618,'SAÍDA DE VENDAS'!$B$6:$P$500,5,FALSE),"")</f>
        <v/>
      </c>
      <c r="F618" s="28" t="str">
        <f>IF(OR(ISBLANK(B618),B618=""), "", IFERROR(INDEX('SAÍDA DE VENDAS'!$H$6:$H$500 &amp; "x " &amp; 'SAÍDA DE VENDAS'!$G$6:$G$500, MATCH(B618, 'SAÍDA DE VENDAS'!$B$6:$B$500, 0)), "")&amp; IF(COUNTIF('SAÍDA DE VENDAS'!$B$6:$B$500, B618)&gt;1, " + " &amp; IFERROR(INDEX('SAÍDA DE VENDAS'!$H$6:$H$500 &amp; "x " &amp; 'SAÍDA DE VENDAS'!$G$6:$G$500, MATCH(B618, 'SAÍDA DE VENDAS'!$B$6:$B$500, 0)+1), ""), "")&amp; IF(COUNTIF('SAÍDA DE VENDAS'!$B$6:$B$500, B618)&gt;2, " + " &amp; IFERROR(INDEX('SAÍDA DE VENDAS'!$H$6:$H$500 &amp; "x " &amp; 'SAÍDA DE VENDAS'!$G$6:$G$500, MATCH(B618, 'SAÍDA DE VENDAS'!$B$6:$B$500, 0)+2), ""), "")&amp; IF(COUNTIF('SAÍDA DE VENDAS'!$B$6:$B$500, B618)&gt;3, " + " &amp; IFERROR(INDEX('SAÍDA DE VENDAS'!$H$6:$H$500 &amp; "x " &amp; 'SAÍDA DE VENDAS'!$G$6:$G$500, MATCH(B618, 'SAÍDA DE VENDAS'!$B$6:$B$500, 0)+3), ""), "")&amp; IF(COUNTIF('SAÍDA DE VENDAS'!$B$6:$B$500, B618)&gt;4, " + " &amp; IFERROR(INDEX('SAÍDA DE VENDAS'!$H$6:$H$500 &amp; "x " &amp; 'SAÍDA DE VENDAS'!$G$6:$G$500, MATCH(B618, 'SAÍDA DE VENDAS'!$B$6:$B$500, 0)+4), ""), "")&amp; IF(COUNTIF('SAÍDA DE VENDAS'!$B$6:$B$500, B618)&gt;5, " + " &amp; IFERROR(INDEX('SAÍDA DE VENDAS'!$H$6:$H$500 &amp; "x " &amp; 'SAÍDA DE VENDAS'!$G$6:$G$500, MATCH(B618, 'SAÍDA DE VENDAS'!$B$6:$B$500, 0)+5), ""), ""))</f>
        <v/>
      </c>
      <c r="G618" s="28">
        <f>IFERROR(VLOOKUP(B618,'SAÍDA DE VENDAS'!$B$6:$P$500,10,FALSE),"")</f>
        <v>0</v>
      </c>
      <c r="H618" s="28" t="str">
        <f>IF(OR(ISBLANK(B618),B618=""), "", IF(B618=B617, (VALUE(LEFT(H617,FIND("/",H617)-1))+1)&amp;"/"&amp;RIGHT(H617,LEN(H617)-FIND("/",H617)), "1/"&amp;IFERROR(VLOOKUP(B618,'SAÍDA DE VENDAS'!$B$6:$P$500,13,FALSE),"1")))</f>
        <v/>
      </c>
      <c r="I618" s="69" t="str">
        <f t="shared" si="18"/>
        <v/>
      </c>
      <c r="J618" s="33" t="str">
        <f>IFERROR(VLOOKUP(B618,'SAÍDA DE VENDAS'!$B$6:$P$500,15,FALSE),"")</f>
        <v/>
      </c>
      <c r="K618" s="28" t="str">
        <f t="shared" ca="1" si="19"/>
        <v/>
      </c>
      <c r="L618" s="28"/>
      <c r="M618" s="28"/>
    </row>
    <row r="619" spans="2:13" ht="15" customHeight="1" x14ac:dyDescent="0.3">
      <c r="B619" s="34" t="str">
        <f>IF(B618="","", IF(VALUE(LEFT(H618,FIND("/",H618)-1)) &lt; VALUE(RIGHT(H618,LEN(H618)-FIND("/",H618))), B618, IFERROR(INDEX('SAÍDA DE VENDAS'!$B$6:$B$500, MATCH(B618,'SAÍDA DE VENDAS'!$B$6:$B$500,0)+COUNTIF('SAÍDA DE VENDAS'!$B$6:$B$500, B618)),"")))</f>
        <v/>
      </c>
      <c r="C619" s="35">
        <f>IFERROR(VLOOKUP(B619,'SAÍDA DE VENDAS'!$B$6:$P$500,3,FALSE),"")</f>
        <v>0</v>
      </c>
      <c r="D619" s="34">
        <f>IFERROR(VLOOKUP(B619,'SAÍDA DE VENDAS'!$B$6:$P$500,4,FALSE),"")</f>
        <v>0</v>
      </c>
      <c r="E619" s="34" t="str">
        <f>IFERROR(VLOOKUP(B619,'SAÍDA DE VENDAS'!$B$6:$P$500,5,FALSE),"")</f>
        <v/>
      </c>
      <c r="F619" s="34" t="str">
        <f>IF(OR(ISBLANK(B619),B619=""), "", IFERROR(INDEX('SAÍDA DE VENDAS'!$H$6:$H$500 &amp; "x " &amp; 'SAÍDA DE VENDAS'!$G$6:$G$500, MATCH(B619, 'SAÍDA DE VENDAS'!$B$6:$B$500, 0)), "")&amp; IF(COUNTIF('SAÍDA DE VENDAS'!$B$6:$B$500, B619)&gt;1, " + " &amp; IFERROR(INDEX('SAÍDA DE VENDAS'!$H$6:$H$500 &amp; "x " &amp; 'SAÍDA DE VENDAS'!$G$6:$G$500, MATCH(B619, 'SAÍDA DE VENDAS'!$B$6:$B$500, 0)+1), ""), "")&amp; IF(COUNTIF('SAÍDA DE VENDAS'!$B$6:$B$500, B619)&gt;2, " + " &amp; IFERROR(INDEX('SAÍDA DE VENDAS'!$H$6:$H$500 &amp; "x " &amp; 'SAÍDA DE VENDAS'!$G$6:$G$500, MATCH(B619, 'SAÍDA DE VENDAS'!$B$6:$B$500, 0)+2), ""), "")&amp; IF(COUNTIF('SAÍDA DE VENDAS'!$B$6:$B$500, B619)&gt;3, " + " &amp; IFERROR(INDEX('SAÍDA DE VENDAS'!$H$6:$H$500 &amp; "x " &amp; 'SAÍDA DE VENDAS'!$G$6:$G$500, MATCH(B619, 'SAÍDA DE VENDAS'!$B$6:$B$500, 0)+3), ""), "")&amp; IF(COUNTIF('SAÍDA DE VENDAS'!$B$6:$B$500, B619)&gt;4, " + " &amp; IFERROR(INDEX('SAÍDA DE VENDAS'!$H$6:$H$500 &amp; "x " &amp; 'SAÍDA DE VENDAS'!$G$6:$G$500, MATCH(B619, 'SAÍDA DE VENDAS'!$B$6:$B$500, 0)+4), ""), "")&amp; IF(COUNTIF('SAÍDA DE VENDAS'!$B$6:$B$500, B619)&gt;5, " + " &amp; IFERROR(INDEX('SAÍDA DE VENDAS'!$H$6:$H$500 &amp; "x " &amp; 'SAÍDA DE VENDAS'!$G$6:$G$500, MATCH(B619, 'SAÍDA DE VENDAS'!$B$6:$B$500, 0)+5), ""), ""))</f>
        <v/>
      </c>
      <c r="G619" s="34">
        <f>IFERROR(VLOOKUP(B619,'SAÍDA DE VENDAS'!$B$6:$P$500,10,FALSE),"")</f>
        <v>0</v>
      </c>
      <c r="H619" s="34" t="str">
        <f>IF(OR(ISBLANK(B619),B619=""), "", IF(B619=B618, (VALUE(LEFT(H618,FIND("/",H618)-1))+1)&amp;"/"&amp;RIGHT(H618,LEN(H618)-FIND("/",H618)), "1/"&amp;IFERROR(VLOOKUP(B619,'SAÍDA DE VENDAS'!$B$6:$P$500,13,FALSE),"1")))</f>
        <v/>
      </c>
      <c r="I619" s="35" t="str">
        <f t="shared" si="18"/>
        <v/>
      </c>
      <c r="J619" s="39" t="str">
        <f>IFERROR(VLOOKUP(B619,'SAÍDA DE VENDAS'!$B$6:$P$500,15,FALSE),"")</f>
        <v/>
      </c>
      <c r="K619" s="34" t="str">
        <f t="shared" ca="1" si="19"/>
        <v/>
      </c>
      <c r="L619" s="34"/>
      <c r="M619" s="34"/>
    </row>
    <row r="620" spans="2:13" ht="15" customHeight="1" x14ac:dyDescent="0.3">
      <c r="B620" s="28" t="str">
        <f>IF(B619="","", IF(VALUE(LEFT(H619,FIND("/",H619)-1)) &lt; VALUE(RIGHT(H619,LEN(H619)-FIND("/",H619))), B619, IFERROR(INDEX('SAÍDA DE VENDAS'!$B$6:$B$500, MATCH(B619,'SAÍDA DE VENDAS'!$B$6:$B$500,0)+COUNTIF('SAÍDA DE VENDAS'!$B$6:$B$500, B619)),"")))</f>
        <v/>
      </c>
      <c r="C620" s="29">
        <f>IFERROR(VLOOKUP(B620,'SAÍDA DE VENDAS'!$B$6:$P$500,3,FALSE),"")</f>
        <v>0</v>
      </c>
      <c r="D620" s="28">
        <f>IFERROR(VLOOKUP(B620,'SAÍDA DE VENDAS'!$B$6:$P$500,4,FALSE),"")</f>
        <v>0</v>
      </c>
      <c r="E620" s="28" t="str">
        <f>IFERROR(VLOOKUP(B620,'SAÍDA DE VENDAS'!$B$6:$P$500,5,FALSE),"")</f>
        <v/>
      </c>
      <c r="F620" s="28" t="str">
        <f>IF(OR(ISBLANK(B620),B620=""), "", IFERROR(INDEX('SAÍDA DE VENDAS'!$H$6:$H$500 &amp; "x " &amp; 'SAÍDA DE VENDAS'!$G$6:$G$500, MATCH(B620, 'SAÍDA DE VENDAS'!$B$6:$B$500, 0)), "")&amp; IF(COUNTIF('SAÍDA DE VENDAS'!$B$6:$B$500, B620)&gt;1, " + " &amp; IFERROR(INDEX('SAÍDA DE VENDAS'!$H$6:$H$500 &amp; "x " &amp; 'SAÍDA DE VENDAS'!$G$6:$G$500, MATCH(B620, 'SAÍDA DE VENDAS'!$B$6:$B$500, 0)+1), ""), "")&amp; IF(COUNTIF('SAÍDA DE VENDAS'!$B$6:$B$500, B620)&gt;2, " + " &amp; IFERROR(INDEX('SAÍDA DE VENDAS'!$H$6:$H$500 &amp; "x " &amp; 'SAÍDA DE VENDAS'!$G$6:$G$500, MATCH(B620, 'SAÍDA DE VENDAS'!$B$6:$B$500, 0)+2), ""), "")&amp; IF(COUNTIF('SAÍDA DE VENDAS'!$B$6:$B$500, B620)&gt;3, " + " &amp; IFERROR(INDEX('SAÍDA DE VENDAS'!$H$6:$H$500 &amp; "x " &amp; 'SAÍDA DE VENDAS'!$G$6:$G$500, MATCH(B620, 'SAÍDA DE VENDAS'!$B$6:$B$500, 0)+3), ""), "")&amp; IF(COUNTIF('SAÍDA DE VENDAS'!$B$6:$B$500, B620)&gt;4, " + " &amp; IFERROR(INDEX('SAÍDA DE VENDAS'!$H$6:$H$500 &amp; "x " &amp; 'SAÍDA DE VENDAS'!$G$6:$G$500, MATCH(B620, 'SAÍDA DE VENDAS'!$B$6:$B$500, 0)+4), ""), "")&amp; IF(COUNTIF('SAÍDA DE VENDAS'!$B$6:$B$500, B620)&gt;5, " + " &amp; IFERROR(INDEX('SAÍDA DE VENDAS'!$H$6:$H$500 &amp; "x " &amp; 'SAÍDA DE VENDAS'!$G$6:$G$500, MATCH(B620, 'SAÍDA DE VENDAS'!$B$6:$B$500, 0)+5), ""), ""))</f>
        <v/>
      </c>
      <c r="G620" s="28">
        <f>IFERROR(VLOOKUP(B620,'SAÍDA DE VENDAS'!$B$6:$P$500,10,FALSE),"")</f>
        <v>0</v>
      </c>
      <c r="H620" s="28" t="str">
        <f>IF(OR(ISBLANK(B620),B620=""), "", IF(B620=B619, (VALUE(LEFT(H619,FIND("/",H619)-1))+1)&amp;"/"&amp;RIGHT(H619,LEN(H619)-FIND("/",H619)), "1/"&amp;IFERROR(VLOOKUP(B620,'SAÍDA DE VENDAS'!$B$6:$P$500,13,FALSE),"1")))</f>
        <v/>
      </c>
      <c r="I620" s="69" t="str">
        <f t="shared" si="18"/>
        <v/>
      </c>
      <c r="J620" s="33" t="str">
        <f>IFERROR(VLOOKUP(B620,'SAÍDA DE VENDAS'!$B$6:$P$500,15,FALSE),"")</f>
        <v/>
      </c>
      <c r="K620" s="28" t="str">
        <f t="shared" ca="1" si="19"/>
        <v/>
      </c>
      <c r="L620" s="28"/>
      <c r="M620" s="28"/>
    </row>
    <row r="621" spans="2:13" ht="15" customHeight="1" x14ac:dyDescent="0.3">
      <c r="B621" s="34" t="str">
        <f>IF(B620="","", IF(VALUE(LEFT(H620,FIND("/",H620)-1)) &lt; VALUE(RIGHT(H620,LEN(H620)-FIND("/",H620))), B620, IFERROR(INDEX('SAÍDA DE VENDAS'!$B$6:$B$500, MATCH(B620,'SAÍDA DE VENDAS'!$B$6:$B$500,0)+COUNTIF('SAÍDA DE VENDAS'!$B$6:$B$500, B620)),"")))</f>
        <v/>
      </c>
      <c r="C621" s="35">
        <f>IFERROR(VLOOKUP(B621,'SAÍDA DE VENDAS'!$B$6:$P$500,3,FALSE),"")</f>
        <v>0</v>
      </c>
      <c r="D621" s="34">
        <f>IFERROR(VLOOKUP(B621,'SAÍDA DE VENDAS'!$B$6:$P$500,4,FALSE),"")</f>
        <v>0</v>
      </c>
      <c r="E621" s="34" t="str">
        <f>IFERROR(VLOOKUP(B621,'SAÍDA DE VENDAS'!$B$6:$P$500,5,FALSE),"")</f>
        <v/>
      </c>
      <c r="F621" s="34" t="str">
        <f>IF(OR(ISBLANK(B621),B621=""), "", IFERROR(INDEX('SAÍDA DE VENDAS'!$H$6:$H$500 &amp; "x " &amp; 'SAÍDA DE VENDAS'!$G$6:$G$500, MATCH(B621, 'SAÍDA DE VENDAS'!$B$6:$B$500, 0)), "")&amp; IF(COUNTIF('SAÍDA DE VENDAS'!$B$6:$B$500, B621)&gt;1, " + " &amp; IFERROR(INDEX('SAÍDA DE VENDAS'!$H$6:$H$500 &amp; "x " &amp; 'SAÍDA DE VENDAS'!$G$6:$G$500, MATCH(B621, 'SAÍDA DE VENDAS'!$B$6:$B$500, 0)+1), ""), "")&amp; IF(COUNTIF('SAÍDA DE VENDAS'!$B$6:$B$500, B621)&gt;2, " + " &amp; IFERROR(INDEX('SAÍDA DE VENDAS'!$H$6:$H$500 &amp; "x " &amp; 'SAÍDA DE VENDAS'!$G$6:$G$500, MATCH(B621, 'SAÍDA DE VENDAS'!$B$6:$B$500, 0)+2), ""), "")&amp; IF(COUNTIF('SAÍDA DE VENDAS'!$B$6:$B$500, B621)&gt;3, " + " &amp; IFERROR(INDEX('SAÍDA DE VENDAS'!$H$6:$H$500 &amp; "x " &amp; 'SAÍDA DE VENDAS'!$G$6:$G$500, MATCH(B621, 'SAÍDA DE VENDAS'!$B$6:$B$500, 0)+3), ""), "")&amp; IF(COUNTIF('SAÍDA DE VENDAS'!$B$6:$B$500, B621)&gt;4, " + " &amp; IFERROR(INDEX('SAÍDA DE VENDAS'!$H$6:$H$500 &amp; "x " &amp; 'SAÍDA DE VENDAS'!$G$6:$G$500, MATCH(B621, 'SAÍDA DE VENDAS'!$B$6:$B$500, 0)+4), ""), "")&amp; IF(COUNTIF('SAÍDA DE VENDAS'!$B$6:$B$500, B621)&gt;5, " + " &amp; IFERROR(INDEX('SAÍDA DE VENDAS'!$H$6:$H$500 &amp; "x " &amp; 'SAÍDA DE VENDAS'!$G$6:$G$500, MATCH(B621, 'SAÍDA DE VENDAS'!$B$6:$B$500, 0)+5), ""), ""))</f>
        <v/>
      </c>
      <c r="G621" s="34">
        <f>IFERROR(VLOOKUP(B621,'SAÍDA DE VENDAS'!$B$6:$P$500,10,FALSE),"")</f>
        <v>0</v>
      </c>
      <c r="H621" s="34" t="str">
        <f>IF(OR(ISBLANK(B621),B621=""), "", IF(B621=B620, (VALUE(LEFT(H620,FIND("/",H620)-1))+1)&amp;"/"&amp;RIGHT(H620,LEN(H620)-FIND("/",H620)), "1/"&amp;IFERROR(VLOOKUP(B621,'SAÍDA DE VENDAS'!$B$6:$P$500,13,FALSE),"1")))</f>
        <v/>
      </c>
      <c r="I621" s="35" t="str">
        <f t="shared" si="18"/>
        <v/>
      </c>
      <c r="J621" s="39" t="str">
        <f>IFERROR(VLOOKUP(B621,'SAÍDA DE VENDAS'!$B$6:$P$500,15,FALSE),"")</f>
        <v/>
      </c>
      <c r="K621" s="34" t="str">
        <f t="shared" ca="1" si="19"/>
        <v/>
      </c>
      <c r="L621" s="34"/>
      <c r="M621" s="34"/>
    </row>
    <row r="622" spans="2:13" ht="15" customHeight="1" x14ac:dyDescent="0.3">
      <c r="B622" s="28" t="str">
        <f>IF(B621="","", IF(VALUE(LEFT(H621,FIND("/",H621)-1)) &lt; VALUE(RIGHT(H621,LEN(H621)-FIND("/",H621))), B621, IFERROR(INDEX('SAÍDA DE VENDAS'!$B$6:$B$500, MATCH(B621,'SAÍDA DE VENDAS'!$B$6:$B$500,0)+COUNTIF('SAÍDA DE VENDAS'!$B$6:$B$500, B621)),"")))</f>
        <v/>
      </c>
      <c r="C622" s="29">
        <f>IFERROR(VLOOKUP(B622,'SAÍDA DE VENDAS'!$B$6:$P$500,3,FALSE),"")</f>
        <v>0</v>
      </c>
      <c r="D622" s="28">
        <f>IFERROR(VLOOKUP(B622,'SAÍDA DE VENDAS'!$B$6:$P$500,4,FALSE),"")</f>
        <v>0</v>
      </c>
      <c r="E622" s="28" t="str">
        <f>IFERROR(VLOOKUP(B622,'SAÍDA DE VENDAS'!$B$6:$P$500,5,FALSE),"")</f>
        <v/>
      </c>
      <c r="F622" s="28" t="str">
        <f>IF(OR(ISBLANK(B622),B622=""), "", IFERROR(INDEX('SAÍDA DE VENDAS'!$H$6:$H$500 &amp; "x " &amp; 'SAÍDA DE VENDAS'!$G$6:$G$500, MATCH(B622, 'SAÍDA DE VENDAS'!$B$6:$B$500, 0)), "")&amp; IF(COUNTIF('SAÍDA DE VENDAS'!$B$6:$B$500, B622)&gt;1, " + " &amp; IFERROR(INDEX('SAÍDA DE VENDAS'!$H$6:$H$500 &amp; "x " &amp; 'SAÍDA DE VENDAS'!$G$6:$G$500, MATCH(B622, 'SAÍDA DE VENDAS'!$B$6:$B$500, 0)+1), ""), "")&amp; IF(COUNTIF('SAÍDA DE VENDAS'!$B$6:$B$500, B622)&gt;2, " + " &amp; IFERROR(INDEX('SAÍDA DE VENDAS'!$H$6:$H$500 &amp; "x " &amp; 'SAÍDA DE VENDAS'!$G$6:$G$500, MATCH(B622, 'SAÍDA DE VENDAS'!$B$6:$B$500, 0)+2), ""), "")&amp; IF(COUNTIF('SAÍDA DE VENDAS'!$B$6:$B$500, B622)&gt;3, " + " &amp; IFERROR(INDEX('SAÍDA DE VENDAS'!$H$6:$H$500 &amp; "x " &amp; 'SAÍDA DE VENDAS'!$G$6:$G$500, MATCH(B622, 'SAÍDA DE VENDAS'!$B$6:$B$500, 0)+3), ""), "")&amp; IF(COUNTIF('SAÍDA DE VENDAS'!$B$6:$B$500, B622)&gt;4, " + " &amp; IFERROR(INDEX('SAÍDA DE VENDAS'!$H$6:$H$500 &amp; "x " &amp; 'SAÍDA DE VENDAS'!$G$6:$G$500, MATCH(B622, 'SAÍDA DE VENDAS'!$B$6:$B$500, 0)+4), ""), "")&amp; IF(COUNTIF('SAÍDA DE VENDAS'!$B$6:$B$500, B622)&gt;5, " + " &amp; IFERROR(INDEX('SAÍDA DE VENDAS'!$H$6:$H$500 &amp; "x " &amp; 'SAÍDA DE VENDAS'!$G$6:$G$500, MATCH(B622, 'SAÍDA DE VENDAS'!$B$6:$B$500, 0)+5), ""), ""))</f>
        <v/>
      </c>
      <c r="G622" s="28">
        <f>IFERROR(VLOOKUP(B622,'SAÍDA DE VENDAS'!$B$6:$P$500,10,FALSE),"")</f>
        <v>0</v>
      </c>
      <c r="H622" s="28" t="str">
        <f>IF(OR(ISBLANK(B622),B622=""), "", IF(B622=B621, (VALUE(LEFT(H621,FIND("/",H621)-1))+1)&amp;"/"&amp;RIGHT(H621,LEN(H621)-FIND("/",H621)), "1/"&amp;IFERROR(VLOOKUP(B622,'SAÍDA DE VENDAS'!$B$6:$P$500,13,FALSE),"1")))</f>
        <v/>
      </c>
      <c r="I622" s="69" t="str">
        <f t="shared" si="18"/>
        <v/>
      </c>
      <c r="J622" s="33" t="str">
        <f>IFERROR(VLOOKUP(B622,'SAÍDA DE VENDAS'!$B$6:$P$500,15,FALSE),"")</f>
        <v/>
      </c>
      <c r="K622" s="28" t="str">
        <f t="shared" ca="1" si="19"/>
        <v/>
      </c>
      <c r="L622" s="28"/>
      <c r="M622" s="28"/>
    </row>
    <row r="623" spans="2:13" ht="15" customHeight="1" x14ac:dyDescent="0.3">
      <c r="B623" s="34" t="str">
        <f>IF(B622="","", IF(VALUE(LEFT(H622,FIND("/",H622)-1)) &lt; VALUE(RIGHT(H622,LEN(H622)-FIND("/",H622))), B622, IFERROR(INDEX('SAÍDA DE VENDAS'!$B$6:$B$500, MATCH(B622,'SAÍDA DE VENDAS'!$B$6:$B$500,0)+COUNTIF('SAÍDA DE VENDAS'!$B$6:$B$500, B622)),"")))</f>
        <v/>
      </c>
      <c r="C623" s="35">
        <f>IFERROR(VLOOKUP(B623,'SAÍDA DE VENDAS'!$B$6:$P$500,3,FALSE),"")</f>
        <v>0</v>
      </c>
      <c r="D623" s="34">
        <f>IFERROR(VLOOKUP(B623,'SAÍDA DE VENDAS'!$B$6:$P$500,4,FALSE),"")</f>
        <v>0</v>
      </c>
      <c r="E623" s="34" t="str">
        <f>IFERROR(VLOOKUP(B623,'SAÍDA DE VENDAS'!$B$6:$P$500,5,FALSE),"")</f>
        <v/>
      </c>
      <c r="F623" s="34" t="str">
        <f>IF(OR(ISBLANK(B623),B623=""), "", IFERROR(INDEX('SAÍDA DE VENDAS'!$H$6:$H$500 &amp; "x " &amp; 'SAÍDA DE VENDAS'!$G$6:$G$500, MATCH(B623, 'SAÍDA DE VENDAS'!$B$6:$B$500, 0)), "")&amp; IF(COUNTIF('SAÍDA DE VENDAS'!$B$6:$B$500, B623)&gt;1, " + " &amp; IFERROR(INDEX('SAÍDA DE VENDAS'!$H$6:$H$500 &amp; "x " &amp; 'SAÍDA DE VENDAS'!$G$6:$G$500, MATCH(B623, 'SAÍDA DE VENDAS'!$B$6:$B$500, 0)+1), ""), "")&amp; IF(COUNTIF('SAÍDA DE VENDAS'!$B$6:$B$500, B623)&gt;2, " + " &amp; IFERROR(INDEX('SAÍDA DE VENDAS'!$H$6:$H$500 &amp; "x " &amp; 'SAÍDA DE VENDAS'!$G$6:$G$500, MATCH(B623, 'SAÍDA DE VENDAS'!$B$6:$B$500, 0)+2), ""), "")&amp; IF(COUNTIF('SAÍDA DE VENDAS'!$B$6:$B$500, B623)&gt;3, " + " &amp; IFERROR(INDEX('SAÍDA DE VENDAS'!$H$6:$H$500 &amp; "x " &amp; 'SAÍDA DE VENDAS'!$G$6:$G$500, MATCH(B623, 'SAÍDA DE VENDAS'!$B$6:$B$500, 0)+3), ""), "")&amp; IF(COUNTIF('SAÍDA DE VENDAS'!$B$6:$B$500, B623)&gt;4, " + " &amp; IFERROR(INDEX('SAÍDA DE VENDAS'!$H$6:$H$500 &amp; "x " &amp; 'SAÍDA DE VENDAS'!$G$6:$G$500, MATCH(B623, 'SAÍDA DE VENDAS'!$B$6:$B$500, 0)+4), ""), "")&amp; IF(COUNTIF('SAÍDA DE VENDAS'!$B$6:$B$500, B623)&gt;5, " + " &amp; IFERROR(INDEX('SAÍDA DE VENDAS'!$H$6:$H$500 &amp; "x " &amp; 'SAÍDA DE VENDAS'!$G$6:$G$500, MATCH(B623, 'SAÍDA DE VENDAS'!$B$6:$B$500, 0)+5), ""), ""))</f>
        <v/>
      </c>
      <c r="G623" s="34">
        <f>IFERROR(VLOOKUP(B623,'SAÍDA DE VENDAS'!$B$6:$P$500,10,FALSE),"")</f>
        <v>0</v>
      </c>
      <c r="H623" s="34" t="str">
        <f>IF(OR(ISBLANK(B623),B623=""), "", IF(B623=B622, (VALUE(LEFT(H622,FIND("/",H622)-1))+1)&amp;"/"&amp;RIGHT(H622,LEN(H622)-FIND("/",H622)), "1/"&amp;IFERROR(VLOOKUP(B623,'SAÍDA DE VENDAS'!$B$6:$P$500,13,FALSE),"1")))</f>
        <v/>
      </c>
      <c r="I623" s="35" t="str">
        <f t="shared" si="18"/>
        <v/>
      </c>
      <c r="J623" s="39" t="str">
        <f>IFERROR(VLOOKUP(B623,'SAÍDA DE VENDAS'!$B$6:$P$500,15,FALSE),"")</f>
        <v/>
      </c>
      <c r="K623" s="34" t="str">
        <f t="shared" ca="1" si="19"/>
        <v/>
      </c>
      <c r="L623" s="34"/>
      <c r="M623" s="34"/>
    </row>
    <row r="624" spans="2:13" ht="15" customHeight="1" x14ac:dyDescent="0.3">
      <c r="B624" s="28" t="str">
        <f>IF(B623="","", IF(VALUE(LEFT(H623,FIND("/",H623)-1)) &lt; VALUE(RIGHT(H623,LEN(H623)-FIND("/",H623))), B623, IFERROR(INDEX('SAÍDA DE VENDAS'!$B$6:$B$500, MATCH(B623,'SAÍDA DE VENDAS'!$B$6:$B$500,0)+COUNTIF('SAÍDA DE VENDAS'!$B$6:$B$500, B623)),"")))</f>
        <v/>
      </c>
      <c r="C624" s="29">
        <f>IFERROR(VLOOKUP(B624,'SAÍDA DE VENDAS'!$B$6:$P$500,3,FALSE),"")</f>
        <v>0</v>
      </c>
      <c r="D624" s="28">
        <f>IFERROR(VLOOKUP(B624,'SAÍDA DE VENDAS'!$B$6:$P$500,4,FALSE),"")</f>
        <v>0</v>
      </c>
      <c r="E624" s="28" t="str">
        <f>IFERROR(VLOOKUP(B624,'SAÍDA DE VENDAS'!$B$6:$P$500,5,FALSE),"")</f>
        <v/>
      </c>
      <c r="F624" s="28" t="str">
        <f>IF(OR(ISBLANK(B624),B624=""), "", IFERROR(INDEX('SAÍDA DE VENDAS'!$H$6:$H$500 &amp; "x " &amp; 'SAÍDA DE VENDAS'!$G$6:$G$500, MATCH(B624, 'SAÍDA DE VENDAS'!$B$6:$B$500, 0)), "")&amp; IF(COUNTIF('SAÍDA DE VENDAS'!$B$6:$B$500, B624)&gt;1, " + " &amp; IFERROR(INDEX('SAÍDA DE VENDAS'!$H$6:$H$500 &amp; "x " &amp; 'SAÍDA DE VENDAS'!$G$6:$G$500, MATCH(B624, 'SAÍDA DE VENDAS'!$B$6:$B$500, 0)+1), ""), "")&amp; IF(COUNTIF('SAÍDA DE VENDAS'!$B$6:$B$500, B624)&gt;2, " + " &amp; IFERROR(INDEX('SAÍDA DE VENDAS'!$H$6:$H$500 &amp; "x " &amp; 'SAÍDA DE VENDAS'!$G$6:$G$500, MATCH(B624, 'SAÍDA DE VENDAS'!$B$6:$B$500, 0)+2), ""), "")&amp; IF(COUNTIF('SAÍDA DE VENDAS'!$B$6:$B$500, B624)&gt;3, " + " &amp; IFERROR(INDEX('SAÍDA DE VENDAS'!$H$6:$H$500 &amp; "x " &amp; 'SAÍDA DE VENDAS'!$G$6:$G$500, MATCH(B624, 'SAÍDA DE VENDAS'!$B$6:$B$500, 0)+3), ""), "")&amp; IF(COUNTIF('SAÍDA DE VENDAS'!$B$6:$B$500, B624)&gt;4, " + " &amp; IFERROR(INDEX('SAÍDA DE VENDAS'!$H$6:$H$500 &amp; "x " &amp; 'SAÍDA DE VENDAS'!$G$6:$G$500, MATCH(B624, 'SAÍDA DE VENDAS'!$B$6:$B$500, 0)+4), ""), "")&amp; IF(COUNTIF('SAÍDA DE VENDAS'!$B$6:$B$500, B624)&gt;5, " + " &amp; IFERROR(INDEX('SAÍDA DE VENDAS'!$H$6:$H$500 &amp; "x " &amp; 'SAÍDA DE VENDAS'!$G$6:$G$500, MATCH(B624, 'SAÍDA DE VENDAS'!$B$6:$B$500, 0)+5), ""), ""))</f>
        <v/>
      </c>
      <c r="G624" s="28">
        <f>IFERROR(VLOOKUP(B624,'SAÍDA DE VENDAS'!$B$6:$P$500,10,FALSE),"")</f>
        <v>0</v>
      </c>
      <c r="H624" s="28" t="str">
        <f>IF(OR(ISBLANK(B624),B624=""), "", IF(B624=B623, (VALUE(LEFT(H623,FIND("/",H623)-1))+1)&amp;"/"&amp;RIGHT(H623,LEN(H623)-FIND("/",H623)), "1/"&amp;IFERROR(VLOOKUP(B624,'SAÍDA DE VENDAS'!$B$6:$P$500,13,FALSE),"1")))</f>
        <v/>
      </c>
      <c r="I624" s="69" t="str">
        <f t="shared" si="18"/>
        <v/>
      </c>
      <c r="J624" s="33" t="str">
        <f>IFERROR(VLOOKUP(B624,'SAÍDA DE VENDAS'!$B$6:$P$500,15,FALSE),"")</f>
        <v/>
      </c>
      <c r="K624" s="28" t="str">
        <f t="shared" ca="1" si="19"/>
        <v/>
      </c>
      <c r="L624" s="28"/>
      <c r="M624" s="28"/>
    </row>
    <row r="625" spans="2:13" ht="15" customHeight="1" x14ac:dyDescent="0.3">
      <c r="B625" s="34" t="str">
        <f>IF(B624="","", IF(VALUE(LEFT(H624,FIND("/",H624)-1)) &lt; VALUE(RIGHT(H624,LEN(H624)-FIND("/",H624))), B624, IFERROR(INDEX('SAÍDA DE VENDAS'!$B$6:$B$500, MATCH(B624,'SAÍDA DE VENDAS'!$B$6:$B$500,0)+COUNTIF('SAÍDA DE VENDAS'!$B$6:$B$500, B624)),"")))</f>
        <v/>
      </c>
      <c r="C625" s="35">
        <f>IFERROR(VLOOKUP(B625,'SAÍDA DE VENDAS'!$B$6:$P$500,3,FALSE),"")</f>
        <v>0</v>
      </c>
      <c r="D625" s="34">
        <f>IFERROR(VLOOKUP(B625,'SAÍDA DE VENDAS'!$B$6:$P$500,4,FALSE),"")</f>
        <v>0</v>
      </c>
      <c r="E625" s="34" t="str">
        <f>IFERROR(VLOOKUP(B625,'SAÍDA DE VENDAS'!$B$6:$P$500,5,FALSE),"")</f>
        <v/>
      </c>
      <c r="F625" s="34" t="str">
        <f>IF(OR(ISBLANK(B625),B625=""), "", IFERROR(INDEX('SAÍDA DE VENDAS'!$H$6:$H$500 &amp; "x " &amp; 'SAÍDA DE VENDAS'!$G$6:$G$500, MATCH(B625, 'SAÍDA DE VENDAS'!$B$6:$B$500, 0)), "")&amp; IF(COUNTIF('SAÍDA DE VENDAS'!$B$6:$B$500, B625)&gt;1, " + " &amp; IFERROR(INDEX('SAÍDA DE VENDAS'!$H$6:$H$500 &amp; "x " &amp; 'SAÍDA DE VENDAS'!$G$6:$G$500, MATCH(B625, 'SAÍDA DE VENDAS'!$B$6:$B$500, 0)+1), ""), "")&amp; IF(COUNTIF('SAÍDA DE VENDAS'!$B$6:$B$500, B625)&gt;2, " + " &amp; IFERROR(INDEX('SAÍDA DE VENDAS'!$H$6:$H$500 &amp; "x " &amp; 'SAÍDA DE VENDAS'!$G$6:$G$500, MATCH(B625, 'SAÍDA DE VENDAS'!$B$6:$B$500, 0)+2), ""), "")&amp; IF(COUNTIF('SAÍDA DE VENDAS'!$B$6:$B$500, B625)&gt;3, " + " &amp; IFERROR(INDEX('SAÍDA DE VENDAS'!$H$6:$H$500 &amp; "x " &amp; 'SAÍDA DE VENDAS'!$G$6:$G$500, MATCH(B625, 'SAÍDA DE VENDAS'!$B$6:$B$500, 0)+3), ""), "")&amp; IF(COUNTIF('SAÍDA DE VENDAS'!$B$6:$B$500, B625)&gt;4, " + " &amp; IFERROR(INDEX('SAÍDA DE VENDAS'!$H$6:$H$500 &amp; "x " &amp; 'SAÍDA DE VENDAS'!$G$6:$G$500, MATCH(B625, 'SAÍDA DE VENDAS'!$B$6:$B$500, 0)+4), ""), "")&amp; IF(COUNTIF('SAÍDA DE VENDAS'!$B$6:$B$500, B625)&gt;5, " + " &amp; IFERROR(INDEX('SAÍDA DE VENDAS'!$H$6:$H$500 &amp; "x " &amp; 'SAÍDA DE VENDAS'!$G$6:$G$500, MATCH(B625, 'SAÍDA DE VENDAS'!$B$6:$B$500, 0)+5), ""), ""))</f>
        <v/>
      </c>
      <c r="G625" s="34">
        <f>IFERROR(VLOOKUP(B625,'SAÍDA DE VENDAS'!$B$6:$P$500,10,FALSE),"")</f>
        <v>0</v>
      </c>
      <c r="H625" s="34" t="str">
        <f>IF(OR(ISBLANK(B625),B625=""), "", IF(B625=B624, (VALUE(LEFT(H624,FIND("/",H624)-1))+1)&amp;"/"&amp;RIGHT(H624,LEN(H624)-FIND("/",H624)), "1/"&amp;IFERROR(VLOOKUP(B625,'SAÍDA DE VENDAS'!$B$6:$P$500,13,FALSE),"1")))</f>
        <v/>
      </c>
      <c r="I625" s="35" t="str">
        <f t="shared" si="18"/>
        <v/>
      </c>
      <c r="J625" s="39" t="str">
        <f>IFERROR(VLOOKUP(B625,'SAÍDA DE VENDAS'!$B$6:$P$500,15,FALSE),"")</f>
        <v/>
      </c>
      <c r="K625" s="34" t="str">
        <f t="shared" ca="1" si="19"/>
        <v/>
      </c>
      <c r="L625" s="34"/>
      <c r="M625" s="34"/>
    </row>
    <row r="626" spans="2:13" ht="15" customHeight="1" x14ac:dyDescent="0.3">
      <c r="B626" s="28" t="str">
        <f>IF(B625="","", IF(VALUE(LEFT(H625,FIND("/",H625)-1)) &lt; VALUE(RIGHT(H625,LEN(H625)-FIND("/",H625))), B625, IFERROR(INDEX('SAÍDA DE VENDAS'!$B$6:$B$500, MATCH(B625,'SAÍDA DE VENDAS'!$B$6:$B$500,0)+COUNTIF('SAÍDA DE VENDAS'!$B$6:$B$500, B625)),"")))</f>
        <v/>
      </c>
      <c r="C626" s="29">
        <f>IFERROR(VLOOKUP(B626,'SAÍDA DE VENDAS'!$B$6:$P$500,3,FALSE),"")</f>
        <v>0</v>
      </c>
      <c r="D626" s="28">
        <f>IFERROR(VLOOKUP(B626,'SAÍDA DE VENDAS'!$B$6:$P$500,4,FALSE),"")</f>
        <v>0</v>
      </c>
      <c r="E626" s="28" t="str">
        <f>IFERROR(VLOOKUP(B626,'SAÍDA DE VENDAS'!$B$6:$P$500,5,FALSE),"")</f>
        <v/>
      </c>
      <c r="F626" s="28" t="str">
        <f>IF(OR(ISBLANK(B626),B626=""), "", IFERROR(INDEX('SAÍDA DE VENDAS'!$H$6:$H$500 &amp; "x " &amp; 'SAÍDA DE VENDAS'!$G$6:$G$500, MATCH(B626, 'SAÍDA DE VENDAS'!$B$6:$B$500, 0)), "")&amp; IF(COUNTIF('SAÍDA DE VENDAS'!$B$6:$B$500, B626)&gt;1, " + " &amp; IFERROR(INDEX('SAÍDA DE VENDAS'!$H$6:$H$500 &amp; "x " &amp; 'SAÍDA DE VENDAS'!$G$6:$G$500, MATCH(B626, 'SAÍDA DE VENDAS'!$B$6:$B$500, 0)+1), ""), "")&amp; IF(COUNTIF('SAÍDA DE VENDAS'!$B$6:$B$500, B626)&gt;2, " + " &amp; IFERROR(INDEX('SAÍDA DE VENDAS'!$H$6:$H$500 &amp; "x " &amp; 'SAÍDA DE VENDAS'!$G$6:$G$500, MATCH(B626, 'SAÍDA DE VENDAS'!$B$6:$B$500, 0)+2), ""), "")&amp; IF(COUNTIF('SAÍDA DE VENDAS'!$B$6:$B$500, B626)&gt;3, " + " &amp; IFERROR(INDEX('SAÍDA DE VENDAS'!$H$6:$H$500 &amp; "x " &amp; 'SAÍDA DE VENDAS'!$G$6:$G$500, MATCH(B626, 'SAÍDA DE VENDAS'!$B$6:$B$500, 0)+3), ""), "")&amp; IF(COUNTIF('SAÍDA DE VENDAS'!$B$6:$B$500, B626)&gt;4, " + " &amp; IFERROR(INDEX('SAÍDA DE VENDAS'!$H$6:$H$500 &amp; "x " &amp; 'SAÍDA DE VENDAS'!$G$6:$G$500, MATCH(B626, 'SAÍDA DE VENDAS'!$B$6:$B$500, 0)+4), ""), "")&amp; IF(COUNTIF('SAÍDA DE VENDAS'!$B$6:$B$500, B626)&gt;5, " + " &amp; IFERROR(INDEX('SAÍDA DE VENDAS'!$H$6:$H$500 &amp; "x " &amp; 'SAÍDA DE VENDAS'!$G$6:$G$500, MATCH(B626, 'SAÍDA DE VENDAS'!$B$6:$B$500, 0)+5), ""), ""))</f>
        <v/>
      </c>
      <c r="G626" s="28">
        <f>IFERROR(VLOOKUP(B626,'SAÍDA DE VENDAS'!$B$6:$P$500,10,FALSE),"")</f>
        <v>0</v>
      </c>
      <c r="H626" s="28" t="str">
        <f>IF(OR(ISBLANK(B626),B626=""), "", IF(B626=B625, (VALUE(LEFT(H625,FIND("/",H625)-1))+1)&amp;"/"&amp;RIGHT(H625,LEN(H625)-FIND("/",H625)), "1/"&amp;IFERROR(VLOOKUP(B626,'SAÍDA DE VENDAS'!$B$6:$P$500,13,FALSE),"1")))</f>
        <v/>
      </c>
      <c r="I626" s="69" t="str">
        <f t="shared" si="18"/>
        <v/>
      </c>
      <c r="J626" s="33" t="str">
        <f>IFERROR(VLOOKUP(B626,'SAÍDA DE VENDAS'!$B$6:$P$500,15,FALSE),"")</f>
        <v/>
      </c>
      <c r="K626" s="28" t="str">
        <f t="shared" ca="1" si="19"/>
        <v/>
      </c>
      <c r="L626" s="28"/>
      <c r="M626" s="28"/>
    </row>
    <row r="627" spans="2:13" ht="15" customHeight="1" x14ac:dyDescent="0.3">
      <c r="B627" s="34" t="str">
        <f>IF(B626="","", IF(VALUE(LEFT(H626,FIND("/",H626)-1)) &lt; VALUE(RIGHT(H626,LEN(H626)-FIND("/",H626))), B626, IFERROR(INDEX('SAÍDA DE VENDAS'!$B$6:$B$500, MATCH(B626,'SAÍDA DE VENDAS'!$B$6:$B$500,0)+COUNTIF('SAÍDA DE VENDAS'!$B$6:$B$500, B626)),"")))</f>
        <v/>
      </c>
      <c r="C627" s="35">
        <f>IFERROR(VLOOKUP(B627,'SAÍDA DE VENDAS'!$B$6:$P$500,3,FALSE),"")</f>
        <v>0</v>
      </c>
      <c r="D627" s="34">
        <f>IFERROR(VLOOKUP(B627,'SAÍDA DE VENDAS'!$B$6:$P$500,4,FALSE),"")</f>
        <v>0</v>
      </c>
      <c r="E627" s="34" t="str">
        <f>IFERROR(VLOOKUP(B627,'SAÍDA DE VENDAS'!$B$6:$P$500,5,FALSE),"")</f>
        <v/>
      </c>
      <c r="F627" s="34" t="str">
        <f>IF(OR(ISBLANK(B627),B627=""), "", IFERROR(INDEX('SAÍDA DE VENDAS'!$H$6:$H$500 &amp; "x " &amp; 'SAÍDA DE VENDAS'!$G$6:$G$500, MATCH(B627, 'SAÍDA DE VENDAS'!$B$6:$B$500, 0)), "")&amp; IF(COUNTIF('SAÍDA DE VENDAS'!$B$6:$B$500, B627)&gt;1, " + " &amp; IFERROR(INDEX('SAÍDA DE VENDAS'!$H$6:$H$500 &amp; "x " &amp; 'SAÍDA DE VENDAS'!$G$6:$G$500, MATCH(B627, 'SAÍDA DE VENDAS'!$B$6:$B$500, 0)+1), ""), "")&amp; IF(COUNTIF('SAÍDA DE VENDAS'!$B$6:$B$500, B627)&gt;2, " + " &amp; IFERROR(INDEX('SAÍDA DE VENDAS'!$H$6:$H$500 &amp; "x " &amp; 'SAÍDA DE VENDAS'!$G$6:$G$500, MATCH(B627, 'SAÍDA DE VENDAS'!$B$6:$B$500, 0)+2), ""), "")&amp; IF(COUNTIF('SAÍDA DE VENDAS'!$B$6:$B$500, B627)&gt;3, " + " &amp; IFERROR(INDEX('SAÍDA DE VENDAS'!$H$6:$H$500 &amp; "x " &amp; 'SAÍDA DE VENDAS'!$G$6:$G$500, MATCH(B627, 'SAÍDA DE VENDAS'!$B$6:$B$500, 0)+3), ""), "")&amp; IF(COUNTIF('SAÍDA DE VENDAS'!$B$6:$B$500, B627)&gt;4, " + " &amp; IFERROR(INDEX('SAÍDA DE VENDAS'!$H$6:$H$500 &amp; "x " &amp; 'SAÍDA DE VENDAS'!$G$6:$G$500, MATCH(B627, 'SAÍDA DE VENDAS'!$B$6:$B$500, 0)+4), ""), "")&amp; IF(COUNTIF('SAÍDA DE VENDAS'!$B$6:$B$500, B627)&gt;5, " + " &amp; IFERROR(INDEX('SAÍDA DE VENDAS'!$H$6:$H$500 &amp; "x " &amp; 'SAÍDA DE VENDAS'!$G$6:$G$500, MATCH(B627, 'SAÍDA DE VENDAS'!$B$6:$B$500, 0)+5), ""), ""))</f>
        <v/>
      </c>
      <c r="G627" s="34">
        <f>IFERROR(VLOOKUP(B627,'SAÍDA DE VENDAS'!$B$6:$P$500,10,FALSE),"")</f>
        <v>0</v>
      </c>
      <c r="H627" s="34" t="str">
        <f>IF(OR(ISBLANK(B627),B627=""), "", IF(B627=B626, (VALUE(LEFT(H626,FIND("/",H626)-1))+1)&amp;"/"&amp;RIGHT(H626,LEN(H626)-FIND("/",H626)), "1/"&amp;IFERROR(VLOOKUP(B627,'SAÍDA DE VENDAS'!$B$6:$P$500,13,FALSE),"1")))</f>
        <v/>
      </c>
      <c r="I627" s="35" t="str">
        <f t="shared" si="18"/>
        <v/>
      </c>
      <c r="J627" s="39" t="str">
        <f>IFERROR(VLOOKUP(B627,'SAÍDA DE VENDAS'!$B$6:$P$500,15,FALSE),"")</f>
        <v/>
      </c>
      <c r="K627" s="34" t="str">
        <f t="shared" ca="1" si="19"/>
        <v/>
      </c>
      <c r="L627" s="34"/>
      <c r="M627" s="34"/>
    </row>
    <row r="628" spans="2:13" ht="15" customHeight="1" x14ac:dyDescent="0.3">
      <c r="B628" s="28" t="str">
        <f>IF(B627="","", IF(VALUE(LEFT(H627,FIND("/",H627)-1)) &lt; VALUE(RIGHT(H627,LEN(H627)-FIND("/",H627))), B627, IFERROR(INDEX('SAÍDA DE VENDAS'!$B$6:$B$500, MATCH(B627,'SAÍDA DE VENDAS'!$B$6:$B$500,0)+COUNTIF('SAÍDA DE VENDAS'!$B$6:$B$500, B627)),"")))</f>
        <v/>
      </c>
      <c r="C628" s="29">
        <f>IFERROR(VLOOKUP(B628,'SAÍDA DE VENDAS'!$B$6:$P$500,3,FALSE),"")</f>
        <v>0</v>
      </c>
      <c r="D628" s="28">
        <f>IFERROR(VLOOKUP(B628,'SAÍDA DE VENDAS'!$B$6:$P$500,4,FALSE),"")</f>
        <v>0</v>
      </c>
      <c r="E628" s="28" t="str">
        <f>IFERROR(VLOOKUP(B628,'SAÍDA DE VENDAS'!$B$6:$P$500,5,FALSE),"")</f>
        <v/>
      </c>
      <c r="F628" s="28" t="str">
        <f>IF(OR(ISBLANK(B628),B628=""), "", IFERROR(INDEX('SAÍDA DE VENDAS'!$H$6:$H$500 &amp; "x " &amp; 'SAÍDA DE VENDAS'!$G$6:$G$500, MATCH(B628, 'SAÍDA DE VENDAS'!$B$6:$B$500, 0)), "")&amp; IF(COUNTIF('SAÍDA DE VENDAS'!$B$6:$B$500, B628)&gt;1, " + " &amp; IFERROR(INDEX('SAÍDA DE VENDAS'!$H$6:$H$500 &amp; "x " &amp; 'SAÍDA DE VENDAS'!$G$6:$G$500, MATCH(B628, 'SAÍDA DE VENDAS'!$B$6:$B$500, 0)+1), ""), "")&amp; IF(COUNTIF('SAÍDA DE VENDAS'!$B$6:$B$500, B628)&gt;2, " + " &amp; IFERROR(INDEX('SAÍDA DE VENDAS'!$H$6:$H$500 &amp; "x " &amp; 'SAÍDA DE VENDAS'!$G$6:$G$500, MATCH(B628, 'SAÍDA DE VENDAS'!$B$6:$B$500, 0)+2), ""), "")&amp; IF(COUNTIF('SAÍDA DE VENDAS'!$B$6:$B$500, B628)&gt;3, " + " &amp; IFERROR(INDEX('SAÍDA DE VENDAS'!$H$6:$H$500 &amp; "x " &amp; 'SAÍDA DE VENDAS'!$G$6:$G$500, MATCH(B628, 'SAÍDA DE VENDAS'!$B$6:$B$500, 0)+3), ""), "")&amp; IF(COUNTIF('SAÍDA DE VENDAS'!$B$6:$B$500, B628)&gt;4, " + " &amp; IFERROR(INDEX('SAÍDA DE VENDAS'!$H$6:$H$500 &amp; "x " &amp; 'SAÍDA DE VENDAS'!$G$6:$G$500, MATCH(B628, 'SAÍDA DE VENDAS'!$B$6:$B$500, 0)+4), ""), "")&amp; IF(COUNTIF('SAÍDA DE VENDAS'!$B$6:$B$500, B628)&gt;5, " + " &amp; IFERROR(INDEX('SAÍDA DE VENDAS'!$H$6:$H$500 &amp; "x " &amp; 'SAÍDA DE VENDAS'!$G$6:$G$500, MATCH(B628, 'SAÍDA DE VENDAS'!$B$6:$B$500, 0)+5), ""), ""))</f>
        <v/>
      </c>
      <c r="G628" s="28">
        <f>IFERROR(VLOOKUP(B628,'SAÍDA DE VENDAS'!$B$6:$P$500,10,FALSE),"")</f>
        <v>0</v>
      </c>
      <c r="H628" s="28" t="str">
        <f>IF(OR(ISBLANK(B628),B628=""), "", IF(B628=B627, (VALUE(LEFT(H627,FIND("/",H627)-1))+1)&amp;"/"&amp;RIGHT(H627,LEN(H627)-FIND("/",H627)), "1/"&amp;IFERROR(VLOOKUP(B628,'SAÍDA DE VENDAS'!$B$6:$P$500,13,FALSE),"1")))</f>
        <v/>
      </c>
      <c r="I628" s="69" t="str">
        <f t="shared" si="18"/>
        <v/>
      </c>
      <c r="J628" s="33" t="str">
        <f>IFERROR(VLOOKUP(B628,'SAÍDA DE VENDAS'!$B$6:$P$500,15,FALSE),"")</f>
        <v/>
      </c>
      <c r="K628" s="28" t="str">
        <f t="shared" ca="1" si="19"/>
        <v/>
      </c>
      <c r="L628" s="28"/>
      <c r="M628" s="28"/>
    </row>
    <row r="629" spans="2:13" ht="15" customHeight="1" x14ac:dyDescent="0.3">
      <c r="B629" s="34" t="str">
        <f>IF(B628="","", IF(VALUE(LEFT(H628,FIND("/",H628)-1)) &lt; VALUE(RIGHT(H628,LEN(H628)-FIND("/",H628))), B628, IFERROR(INDEX('SAÍDA DE VENDAS'!$B$6:$B$500, MATCH(B628,'SAÍDA DE VENDAS'!$B$6:$B$500,0)+COUNTIF('SAÍDA DE VENDAS'!$B$6:$B$500, B628)),"")))</f>
        <v/>
      </c>
      <c r="C629" s="35">
        <f>IFERROR(VLOOKUP(B629,'SAÍDA DE VENDAS'!$B$6:$P$500,3,FALSE),"")</f>
        <v>0</v>
      </c>
      <c r="D629" s="34">
        <f>IFERROR(VLOOKUP(B629,'SAÍDA DE VENDAS'!$B$6:$P$500,4,FALSE),"")</f>
        <v>0</v>
      </c>
      <c r="E629" s="34" t="str">
        <f>IFERROR(VLOOKUP(B629,'SAÍDA DE VENDAS'!$B$6:$P$500,5,FALSE),"")</f>
        <v/>
      </c>
      <c r="F629" s="34" t="str">
        <f>IF(OR(ISBLANK(B629),B629=""), "", IFERROR(INDEX('SAÍDA DE VENDAS'!$H$6:$H$500 &amp; "x " &amp; 'SAÍDA DE VENDAS'!$G$6:$G$500, MATCH(B629, 'SAÍDA DE VENDAS'!$B$6:$B$500, 0)), "")&amp; IF(COUNTIF('SAÍDA DE VENDAS'!$B$6:$B$500, B629)&gt;1, " + " &amp; IFERROR(INDEX('SAÍDA DE VENDAS'!$H$6:$H$500 &amp; "x " &amp; 'SAÍDA DE VENDAS'!$G$6:$G$500, MATCH(B629, 'SAÍDA DE VENDAS'!$B$6:$B$500, 0)+1), ""), "")&amp; IF(COUNTIF('SAÍDA DE VENDAS'!$B$6:$B$500, B629)&gt;2, " + " &amp; IFERROR(INDEX('SAÍDA DE VENDAS'!$H$6:$H$500 &amp; "x " &amp; 'SAÍDA DE VENDAS'!$G$6:$G$500, MATCH(B629, 'SAÍDA DE VENDAS'!$B$6:$B$500, 0)+2), ""), "")&amp; IF(COUNTIF('SAÍDA DE VENDAS'!$B$6:$B$500, B629)&gt;3, " + " &amp; IFERROR(INDEX('SAÍDA DE VENDAS'!$H$6:$H$500 &amp; "x " &amp; 'SAÍDA DE VENDAS'!$G$6:$G$500, MATCH(B629, 'SAÍDA DE VENDAS'!$B$6:$B$500, 0)+3), ""), "")&amp; IF(COUNTIF('SAÍDA DE VENDAS'!$B$6:$B$500, B629)&gt;4, " + " &amp; IFERROR(INDEX('SAÍDA DE VENDAS'!$H$6:$H$500 &amp; "x " &amp; 'SAÍDA DE VENDAS'!$G$6:$G$500, MATCH(B629, 'SAÍDA DE VENDAS'!$B$6:$B$500, 0)+4), ""), "")&amp; IF(COUNTIF('SAÍDA DE VENDAS'!$B$6:$B$500, B629)&gt;5, " + " &amp; IFERROR(INDEX('SAÍDA DE VENDAS'!$H$6:$H$500 &amp; "x " &amp; 'SAÍDA DE VENDAS'!$G$6:$G$500, MATCH(B629, 'SAÍDA DE VENDAS'!$B$6:$B$500, 0)+5), ""), ""))</f>
        <v/>
      </c>
      <c r="G629" s="34">
        <f>IFERROR(VLOOKUP(B629,'SAÍDA DE VENDAS'!$B$6:$P$500,10,FALSE),"")</f>
        <v>0</v>
      </c>
      <c r="H629" s="34" t="str">
        <f>IF(OR(ISBLANK(B629),B629=""), "", IF(B629=B628, (VALUE(LEFT(H628,FIND("/",H628)-1))+1)&amp;"/"&amp;RIGHT(H628,LEN(H628)-FIND("/",H628)), "1/"&amp;IFERROR(VLOOKUP(B629,'SAÍDA DE VENDAS'!$B$6:$P$500,13,FALSE),"1")))</f>
        <v/>
      </c>
      <c r="I629" s="35" t="str">
        <f t="shared" si="18"/>
        <v/>
      </c>
      <c r="J629" s="39" t="str">
        <f>IFERROR(VLOOKUP(B629,'SAÍDA DE VENDAS'!$B$6:$P$500,15,FALSE),"")</f>
        <v/>
      </c>
      <c r="K629" s="34" t="str">
        <f t="shared" ca="1" si="19"/>
        <v/>
      </c>
      <c r="L629" s="34"/>
      <c r="M629" s="34"/>
    </row>
    <row r="630" spans="2:13" ht="15" customHeight="1" x14ac:dyDescent="0.3">
      <c r="B630" s="28" t="str">
        <f>IF(B629="","", IF(VALUE(LEFT(H629,FIND("/",H629)-1)) &lt; VALUE(RIGHT(H629,LEN(H629)-FIND("/",H629))), B629, IFERROR(INDEX('SAÍDA DE VENDAS'!$B$6:$B$500, MATCH(B629,'SAÍDA DE VENDAS'!$B$6:$B$500,0)+COUNTIF('SAÍDA DE VENDAS'!$B$6:$B$500, B629)),"")))</f>
        <v/>
      </c>
      <c r="C630" s="29">
        <f>IFERROR(VLOOKUP(B630,'SAÍDA DE VENDAS'!$B$6:$P$500,3,FALSE),"")</f>
        <v>0</v>
      </c>
      <c r="D630" s="28">
        <f>IFERROR(VLOOKUP(B630,'SAÍDA DE VENDAS'!$B$6:$P$500,4,FALSE),"")</f>
        <v>0</v>
      </c>
      <c r="E630" s="28" t="str">
        <f>IFERROR(VLOOKUP(B630,'SAÍDA DE VENDAS'!$B$6:$P$500,5,FALSE),"")</f>
        <v/>
      </c>
      <c r="F630" s="28" t="str">
        <f>IF(OR(ISBLANK(B630),B630=""), "", IFERROR(INDEX('SAÍDA DE VENDAS'!$H$6:$H$500 &amp; "x " &amp; 'SAÍDA DE VENDAS'!$G$6:$G$500, MATCH(B630, 'SAÍDA DE VENDAS'!$B$6:$B$500, 0)), "")&amp; IF(COUNTIF('SAÍDA DE VENDAS'!$B$6:$B$500, B630)&gt;1, " + " &amp; IFERROR(INDEX('SAÍDA DE VENDAS'!$H$6:$H$500 &amp; "x " &amp; 'SAÍDA DE VENDAS'!$G$6:$G$500, MATCH(B630, 'SAÍDA DE VENDAS'!$B$6:$B$500, 0)+1), ""), "")&amp; IF(COUNTIF('SAÍDA DE VENDAS'!$B$6:$B$500, B630)&gt;2, " + " &amp; IFERROR(INDEX('SAÍDA DE VENDAS'!$H$6:$H$500 &amp; "x " &amp; 'SAÍDA DE VENDAS'!$G$6:$G$500, MATCH(B630, 'SAÍDA DE VENDAS'!$B$6:$B$500, 0)+2), ""), "")&amp; IF(COUNTIF('SAÍDA DE VENDAS'!$B$6:$B$500, B630)&gt;3, " + " &amp; IFERROR(INDEX('SAÍDA DE VENDAS'!$H$6:$H$500 &amp; "x " &amp; 'SAÍDA DE VENDAS'!$G$6:$G$500, MATCH(B630, 'SAÍDA DE VENDAS'!$B$6:$B$500, 0)+3), ""), "")&amp; IF(COUNTIF('SAÍDA DE VENDAS'!$B$6:$B$500, B630)&gt;4, " + " &amp; IFERROR(INDEX('SAÍDA DE VENDAS'!$H$6:$H$500 &amp; "x " &amp; 'SAÍDA DE VENDAS'!$G$6:$G$500, MATCH(B630, 'SAÍDA DE VENDAS'!$B$6:$B$500, 0)+4), ""), "")&amp; IF(COUNTIF('SAÍDA DE VENDAS'!$B$6:$B$500, B630)&gt;5, " + " &amp; IFERROR(INDEX('SAÍDA DE VENDAS'!$H$6:$H$500 &amp; "x " &amp; 'SAÍDA DE VENDAS'!$G$6:$G$500, MATCH(B630, 'SAÍDA DE VENDAS'!$B$6:$B$500, 0)+5), ""), ""))</f>
        <v/>
      </c>
      <c r="G630" s="28">
        <f>IFERROR(VLOOKUP(B630,'SAÍDA DE VENDAS'!$B$6:$P$500,10,FALSE),"")</f>
        <v>0</v>
      </c>
      <c r="H630" s="28" t="str">
        <f>IF(OR(ISBLANK(B630),B630=""), "", IF(B630=B629, (VALUE(LEFT(H629,FIND("/",H629)-1))+1)&amp;"/"&amp;RIGHT(H629,LEN(H629)-FIND("/",H629)), "1/"&amp;IFERROR(VLOOKUP(B630,'SAÍDA DE VENDAS'!$B$6:$P$500,13,FALSE),"1")))</f>
        <v/>
      </c>
      <c r="I630" s="69" t="str">
        <f t="shared" si="18"/>
        <v/>
      </c>
      <c r="J630" s="33" t="str">
        <f>IFERROR(VLOOKUP(B630,'SAÍDA DE VENDAS'!$B$6:$P$500,15,FALSE),"")</f>
        <v/>
      </c>
      <c r="K630" s="28" t="str">
        <f t="shared" ca="1" si="19"/>
        <v/>
      </c>
      <c r="L630" s="28"/>
      <c r="M630" s="28"/>
    </row>
    <row r="631" spans="2:13" ht="15" customHeight="1" x14ac:dyDescent="0.3">
      <c r="B631" s="34" t="str">
        <f>IF(B630="","", IF(VALUE(LEFT(H630,FIND("/",H630)-1)) &lt; VALUE(RIGHT(H630,LEN(H630)-FIND("/",H630))), B630, IFERROR(INDEX('SAÍDA DE VENDAS'!$B$6:$B$500, MATCH(B630,'SAÍDA DE VENDAS'!$B$6:$B$500,0)+COUNTIF('SAÍDA DE VENDAS'!$B$6:$B$500, B630)),"")))</f>
        <v/>
      </c>
      <c r="C631" s="35">
        <f>IFERROR(VLOOKUP(B631,'SAÍDA DE VENDAS'!$B$6:$P$500,3,FALSE),"")</f>
        <v>0</v>
      </c>
      <c r="D631" s="34">
        <f>IFERROR(VLOOKUP(B631,'SAÍDA DE VENDAS'!$B$6:$P$500,4,FALSE),"")</f>
        <v>0</v>
      </c>
      <c r="E631" s="34" t="str">
        <f>IFERROR(VLOOKUP(B631,'SAÍDA DE VENDAS'!$B$6:$P$500,5,FALSE),"")</f>
        <v/>
      </c>
      <c r="F631" s="34" t="str">
        <f>IF(OR(ISBLANK(B631),B631=""), "", IFERROR(INDEX('SAÍDA DE VENDAS'!$H$6:$H$500 &amp; "x " &amp; 'SAÍDA DE VENDAS'!$G$6:$G$500, MATCH(B631, 'SAÍDA DE VENDAS'!$B$6:$B$500, 0)), "")&amp; IF(COUNTIF('SAÍDA DE VENDAS'!$B$6:$B$500, B631)&gt;1, " + " &amp; IFERROR(INDEX('SAÍDA DE VENDAS'!$H$6:$H$500 &amp; "x " &amp; 'SAÍDA DE VENDAS'!$G$6:$G$500, MATCH(B631, 'SAÍDA DE VENDAS'!$B$6:$B$500, 0)+1), ""), "")&amp; IF(COUNTIF('SAÍDA DE VENDAS'!$B$6:$B$500, B631)&gt;2, " + " &amp; IFERROR(INDEX('SAÍDA DE VENDAS'!$H$6:$H$500 &amp; "x " &amp; 'SAÍDA DE VENDAS'!$G$6:$G$500, MATCH(B631, 'SAÍDA DE VENDAS'!$B$6:$B$500, 0)+2), ""), "")&amp; IF(COUNTIF('SAÍDA DE VENDAS'!$B$6:$B$500, B631)&gt;3, " + " &amp; IFERROR(INDEX('SAÍDA DE VENDAS'!$H$6:$H$500 &amp; "x " &amp; 'SAÍDA DE VENDAS'!$G$6:$G$500, MATCH(B631, 'SAÍDA DE VENDAS'!$B$6:$B$500, 0)+3), ""), "")&amp; IF(COUNTIF('SAÍDA DE VENDAS'!$B$6:$B$500, B631)&gt;4, " + " &amp; IFERROR(INDEX('SAÍDA DE VENDAS'!$H$6:$H$500 &amp; "x " &amp; 'SAÍDA DE VENDAS'!$G$6:$G$500, MATCH(B631, 'SAÍDA DE VENDAS'!$B$6:$B$500, 0)+4), ""), "")&amp; IF(COUNTIF('SAÍDA DE VENDAS'!$B$6:$B$500, B631)&gt;5, " + " &amp; IFERROR(INDEX('SAÍDA DE VENDAS'!$H$6:$H$500 &amp; "x " &amp; 'SAÍDA DE VENDAS'!$G$6:$G$500, MATCH(B631, 'SAÍDA DE VENDAS'!$B$6:$B$500, 0)+5), ""), ""))</f>
        <v/>
      </c>
      <c r="G631" s="34">
        <f>IFERROR(VLOOKUP(B631,'SAÍDA DE VENDAS'!$B$6:$P$500,10,FALSE),"")</f>
        <v>0</v>
      </c>
      <c r="H631" s="34" t="str">
        <f>IF(OR(ISBLANK(B631),B631=""), "", IF(B631=B630, (VALUE(LEFT(H630,FIND("/",H630)-1))+1)&amp;"/"&amp;RIGHT(H630,LEN(H630)-FIND("/",H630)), "1/"&amp;IFERROR(VLOOKUP(B631,'SAÍDA DE VENDAS'!$B$6:$P$500,13,FALSE),"1")))</f>
        <v/>
      </c>
      <c r="I631" s="35" t="str">
        <f t="shared" si="18"/>
        <v/>
      </c>
      <c r="J631" s="39" t="str">
        <f>IFERROR(VLOOKUP(B631,'SAÍDA DE VENDAS'!$B$6:$P$500,15,FALSE),"")</f>
        <v/>
      </c>
      <c r="K631" s="34" t="str">
        <f t="shared" ca="1" si="19"/>
        <v/>
      </c>
      <c r="L631" s="34"/>
      <c r="M631" s="34"/>
    </row>
    <row r="632" spans="2:13" ht="15" customHeight="1" x14ac:dyDescent="0.3">
      <c r="B632" s="28" t="str">
        <f>IF(B631="","", IF(VALUE(LEFT(H631,FIND("/",H631)-1)) &lt; VALUE(RIGHT(H631,LEN(H631)-FIND("/",H631))), B631, IFERROR(INDEX('SAÍDA DE VENDAS'!$B$6:$B$500, MATCH(B631,'SAÍDA DE VENDAS'!$B$6:$B$500,0)+COUNTIF('SAÍDA DE VENDAS'!$B$6:$B$500, B631)),"")))</f>
        <v/>
      </c>
      <c r="C632" s="29">
        <f>IFERROR(VLOOKUP(B632,'SAÍDA DE VENDAS'!$B$6:$P$500,3,FALSE),"")</f>
        <v>0</v>
      </c>
      <c r="D632" s="28">
        <f>IFERROR(VLOOKUP(B632,'SAÍDA DE VENDAS'!$B$6:$P$500,4,FALSE),"")</f>
        <v>0</v>
      </c>
      <c r="E632" s="28" t="str">
        <f>IFERROR(VLOOKUP(B632,'SAÍDA DE VENDAS'!$B$6:$P$500,5,FALSE),"")</f>
        <v/>
      </c>
      <c r="F632" s="28" t="str">
        <f>IF(OR(ISBLANK(B632),B632=""), "", IFERROR(INDEX('SAÍDA DE VENDAS'!$H$6:$H$500 &amp; "x " &amp; 'SAÍDA DE VENDAS'!$G$6:$G$500, MATCH(B632, 'SAÍDA DE VENDAS'!$B$6:$B$500, 0)), "")&amp; IF(COUNTIF('SAÍDA DE VENDAS'!$B$6:$B$500, B632)&gt;1, " + " &amp; IFERROR(INDEX('SAÍDA DE VENDAS'!$H$6:$H$500 &amp; "x " &amp; 'SAÍDA DE VENDAS'!$G$6:$G$500, MATCH(B632, 'SAÍDA DE VENDAS'!$B$6:$B$500, 0)+1), ""), "")&amp; IF(COUNTIF('SAÍDA DE VENDAS'!$B$6:$B$500, B632)&gt;2, " + " &amp; IFERROR(INDEX('SAÍDA DE VENDAS'!$H$6:$H$500 &amp; "x " &amp; 'SAÍDA DE VENDAS'!$G$6:$G$500, MATCH(B632, 'SAÍDA DE VENDAS'!$B$6:$B$500, 0)+2), ""), "")&amp; IF(COUNTIF('SAÍDA DE VENDAS'!$B$6:$B$500, B632)&gt;3, " + " &amp; IFERROR(INDEX('SAÍDA DE VENDAS'!$H$6:$H$500 &amp; "x " &amp; 'SAÍDA DE VENDAS'!$G$6:$G$500, MATCH(B632, 'SAÍDA DE VENDAS'!$B$6:$B$500, 0)+3), ""), "")&amp; IF(COUNTIF('SAÍDA DE VENDAS'!$B$6:$B$500, B632)&gt;4, " + " &amp; IFERROR(INDEX('SAÍDA DE VENDAS'!$H$6:$H$500 &amp; "x " &amp; 'SAÍDA DE VENDAS'!$G$6:$G$500, MATCH(B632, 'SAÍDA DE VENDAS'!$B$6:$B$500, 0)+4), ""), "")&amp; IF(COUNTIF('SAÍDA DE VENDAS'!$B$6:$B$500, B632)&gt;5, " + " &amp; IFERROR(INDEX('SAÍDA DE VENDAS'!$H$6:$H$500 &amp; "x " &amp; 'SAÍDA DE VENDAS'!$G$6:$G$500, MATCH(B632, 'SAÍDA DE VENDAS'!$B$6:$B$500, 0)+5), ""), ""))</f>
        <v/>
      </c>
      <c r="G632" s="28">
        <f>IFERROR(VLOOKUP(B632,'SAÍDA DE VENDAS'!$B$6:$P$500,10,FALSE),"")</f>
        <v>0</v>
      </c>
      <c r="H632" s="28" t="str">
        <f>IF(OR(ISBLANK(B632),B632=""), "", IF(B632=B631, (VALUE(LEFT(H631,FIND("/",H631)-1))+1)&amp;"/"&amp;RIGHT(H631,LEN(H631)-FIND("/",H631)), "1/"&amp;IFERROR(VLOOKUP(B632,'SAÍDA DE VENDAS'!$B$6:$P$500,13,FALSE),"1")))</f>
        <v/>
      </c>
      <c r="I632" s="69" t="str">
        <f t="shared" si="18"/>
        <v/>
      </c>
      <c r="J632" s="33" t="str">
        <f>IFERROR(VLOOKUP(B632,'SAÍDA DE VENDAS'!$B$6:$P$500,15,FALSE),"")</f>
        <v/>
      </c>
      <c r="K632" s="28" t="str">
        <f t="shared" ca="1" si="19"/>
        <v/>
      </c>
      <c r="L632" s="28"/>
      <c r="M632" s="28"/>
    </row>
    <row r="633" spans="2:13" ht="15" customHeight="1" x14ac:dyDescent="0.3">
      <c r="B633" s="34" t="str">
        <f>IF(B632="","", IF(VALUE(LEFT(H632,FIND("/",H632)-1)) &lt; VALUE(RIGHT(H632,LEN(H632)-FIND("/",H632))), B632, IFERROR(INDEX('SAÍDA DE VENDAS'!$B$6:$B$500, MATCH(B632,'SAÍDA DE VENDAS'!$B$6:$B$500,0)+COUNTIF('SAÍDA DE VENDAS'!$B$6:$B$500, B632)),"")))</f>
        <v/>
      </c>
      <c r="C633" s="35">
        <f>IFERROR(VLOOKUP(B633,'SAÍDA DE VENDAS'!$B$6:$P$500,3,FALSE),"")</f>
        <v>0</v>
      </c>
      <c r="D633" s="34">
        <f>IFERROR(VLOOKUP(B633,'SAÍDA DE VENDAS'!$B$6:$P$500,4,FALSE),"")</f>
        <v>0</v>
      </c>
      <c r="E633" s="34" t="str">
        <f>IFERROR(VLOOKUP(B633,'SAÍDA DE VENDAS'!$B$6:$P$500,5,FALSE),"")</f>
        <v/>
      </c>
      <c r="F633" s="34" t="str">
        <f>IF(OR(ISBLANK(B633),B633=""), "", IFERROR(INDEX('SAÍDA DE VENDAS'!$H$6:$H$500 &amp; "x " &amp; 'SAÍDA DE VENDAS'!$G$6:$G$500, MATCH(B633, 'SAÍDA DE VENDAS'!$B$6:$B$500, 0)), "")&amp; IF(COUNTIF('SAÍDA DE VENDAS'!$B$6:$B$500, B633)&gt;1, " + " &amp; IFERROR(INDEX('SAÍDA DE VENDAS'!$H$6:$H$500 &amp; "x " &amp; 'SAÍDA DE VENDAS'!$G$6:$G$500, MATCH(B633, 'SAÍDA DE VENDAS'!$B$6:$B$500, 0)+1), ""), "")&amp; IF(COUNTIF('SAÍDA DE VENDAS'!$B$6:$B$500, B633)&gt;2, " + " &amp; IFERROR(INDEX('SAÍDA DE VENDAS'!$H$6:$H$500 &amp; "x " &amp; 'SAÍDA DE VENDAS'!$G$6:$G$500, MATCH(B633, 'SAÍDA DE VENDAS'!$B$6:$B$500, 0)+2), ""), "")&amp; IF(COUNTIF('SAÍDA DE VENDAS'!$B$6:$B$500, B633)&gt;3, " + " &amp; IFERROR(INDEX('SAÍDA DE VENDAS'!$H$6:$H$500 &amp; "x " &amp; 'SAÍDA DE VENDAS'!$G$6:$G$500, MATCH(B633, 'SAÍDA DE VENDAS'!$B$6:$B$500, 0)+3), ""), "")&amp; IF(COUNTIF('SAÍDA DE VENDAS'!$B$6:$B$500, B633)&gt;4, " + " &amp; IFERROR(INDEX('SAÍDA DE VENDAS'!$H$6:$H$500 &amp; "x " &amp; 'SAÍDA DE VENDAS'!$G$6:$G$500, MATCH(B633, 'SAÍDA DE VENDAS'!$B$6:$B$500, 0)+4), ""), "")&amp; IF(COUNTIF('SAÍDA DE VENDAS'!$B$6:$B$500, B633)&gt;5, " + " &amp; IFERROR(INDEX('SAÍDA DE VENDAS'!$H$6:$H$500 &amp; "x " &amp; 'SAÍDA DE VENDAS'!$G$6:$G$500, MATCH(B633, 'SAÍDA DE VENDAS'!$B$6:$B$500, 0)+5), ""), ""))</f>
        <v/>
      </c>
      <c r="G633" s="34">
        <f>IFERROR(VLOOKUP(B633,'SAÍDA DE VENDAS'!$B$6:$P$500,10,FALSE),"")</f>
        <v>0</v>
      </c>
      <c r="H633" s="34" t="str">
        <f>IF(OR(ISBLANK(B633),B633=""), "", IF(B633=B632, (VALUE(LEFT(H632,FIND("/",H632)-1))+1)&amp;"/"&amp;RIGHT(H632,LEN(H632)-FIND("/",H632)), "1/"&amp;IFERROR(VLOOKUP(B633,'SAÍDA DE VENDAS'!$B$6:$P$500,13,FALSE),"1")))</f>
        <v/>
      </c>
      <c r="I633" s="35" t="str">
        <f t="shared" si="18"/>
        <v/>
      </c>
      <c r="J633" s="39" t="str">
        <f>IFERROR(VLOOKUP(B633,'SAÍDA DE VENDAS'!$B$6:$P$500,15,FALSE),"")</f>
        <v/>
      </c>
      <c r="K633" s="34" t="str">
        <f t="shared" ca="1" si="19"/>
        <v/>
      </c>
      <c r="L633" s="34"/>
      <c r="M633" s="34"/>
    </row>
    <row r="634" spans="2:13" ht="15" customHeight="1" x14ac:dyDescent="0.3">
      <c r="B634" s="28" t="str">
        <f>IF(B633="","", IF(VALUE(LEFT(H633,FIND("/",H633)-1)) &lt; VALUE(RIGHT(H633,LEN(H633)-FIND("/",H633))), B633, IFERROR(INDEX('SAÍDA DE VENDAS'!$B$6:$B$500, MATCH(B633,'SAÍDA DE VENDAS'!$B$6:$B$500,0)+COUNTIF('SAÍDA DE VENDAS'!$B$6:$B$500, B633)),"")))</f>
        <v/>
      </c>
      <c r="C634" s="29">
        <f>IFERROR(VLOOKUP(B634,'SAÍDA DE VENDAS'!$B$6:$P$500,3,FALSE),"")</f>
        <v>0</v>
      </c>
      <c r="D634" s="28">
        <f>IFERROR(VLOOKUP(B634,'SAÍDA DE VENDAS'!$B$6:$P$500,4,FALSE),"")</f>
        <v>0</v>
      </c>
      <c r="E634" s="28" t="str">
        <f>IFERROR(VLOOKUP(B634,'SAÍDA DE VENDAS'!$B$6:$P$500,5,FALSE),"")</f>
        <v/>
      </c>
      <c r="F634" s="28" t="str">
        <f>IF(OR(ISBLANK(B634),B634=""), "", IFERROR(INDEX('SAÍDA DE VENDAS'!$H$6:$H$500 &amp; "x " &amp; 'SAÍDA DE VENDAS'!$G$6:$G$500, MATCH(B634, 'SAÍDA DE VENDAS'!$B$6:$B$500, 0)), "")&amp; IF(COUNTIF('SAÍDA DE VENDAS'!$B$6:$B$500, B634)&gt;1, " + " &amp; IFERROR(INDEX('SAÍDA DE VENDAS'!$H$6:$H$500 &amp; "x " &amp; 'SAÍDA DE VENDAS'!$G$6:$G$500, MATCH(B634, 'SAÍDA DE VENDAS'!$B$6:$B$500, 0)+1), ""), "")&amp; IF(COUNTIF('SAÍDA DE VENDAS'!$B$6:$B$500, B634)&gt;2, " + " &amp; IFERROR(INDEX('SAÍDA DE VENDAS'!$H$6:$H$500 &amp; "x " &amp; 'SAÍDA DE VENDAS'!$G$6:$G$500, MATCH(B634, 'SAÍDA DE VENDAS'!$B$6:$B$500, 0)+2), ""), "")&amp; IF(COUNTIF('SAÍDA DE VENDAS'!$B$6:$B$500, B634)&gt;3, " + " &amp; IFERROR(INDEX('SAÍDA DE VENDAS'!$H$6:$H$500 &amp; "x " &amp; 'SAÍDA DE VENDAS'!$G$6:$G$500, MATCH(B634, 'SAÍDA DE VENDAS'!$B$6:$B$500, 0)+3), ""), "")&amp; IF(COUNTIF('SAÍDA DE VENDAS'!$B$6:$B$500, B634)&gt;4, " + " &amp; IFERROR(INDEX('SAÍDA DE VENDAS'!$H$6:$H$500 &amp; "x " &amp; 'SAÍDA DE VENDAS'!$G$6:$G$500, MATCH(B634, 'SAÍDA DE VENDAS'!$B$6:$B$500, 0)+4), ""), "")&amp; IF(COUNTIF('SAÍDA DE VENDAS'!$B$6:$B$500, B634)&gt;5, " + " &amp; IFERROR(INDEX('SAÍDA DE VENDAS'!$H$6:$H$500 &amp; "x " &amp; 'SAÍDA DE VENDAS'!$G$6:$G$500, MATCH(B634, 'SAÍDA DE VENDAS'!$B$6:$B$500, 0)+5), ""), ""))</f>
        <v/>
      </c>
      <c r="G634" s="28">
        <f>IFERROR(VLOOKUP(B634,'SAÍDA DE VENDAS'!$B$6:$P$500,10,FALSE),"")</f>
        <v>0</v>
      </c>
      <c r="H634" s="28" t="str">
        <f>IF(OR(ISBLANK(B634),B634=""), "", IF(B634=B633, (VALUE(LEFT(H633,FIND("/",H633)-1))+1)&amp;"/"&amp;RIGHT(H633,LEN(H633)-FIND("/",H633)), "1/"&amp;IFERROR(VLOOKUP(B634,'SAÍDA DE VENDAS'!$B$6:$P$500,13,FALSE),"1")))</f>
        <v/>
      </c>
      <c r="I634" s="69" t="str">
        <f t="shared" si="18"/>
        <v/>
      </c>
      <c r="J634" s="33" t="str">
        <f>IFERROR(VLOOKUP(B634,'SAÍDA DE VENDAS'!$B$6:$P$500,15,FALSE),"")</f>
        <v/>
      </c>
      <c r="K634" s="28" t="str">
        <f t="shared" ca="1" si="19"/>
        <v/>
      </c>
      <c r="L634" s="28"/>
      <c r="M634" s="28"/>
    </row>
    <row r="635" spans="2:13" ht="15" customHeight="1" x14ac:dyDescent="0.3">
      <c r="B635" s="34" t="str">
        <f>IF(B634="","", IF(VALUE(LEFT(H634,FIND("/",H634)-1)) &lt; VALUE(RIGHT(H634,LEN(H634)-FIND("/",H634))), B634, IFERROR(INDEX('SAÍDA DE VENDAS'!$B$6:$B$500, MATCH(B634,'SAÍDA DE VENDAS'!$B$6:$B$500,0)+COUNTIF('SAÍDA DE VENDAS'!$B$6:$B$500, B634)),"")))</f>
        <v/>
      </c>
      <c r="C635" s="35">
        <f>IFERROR(VLOOKUP(B635,'SAÍDA DE VENDAS'!$B$6:$P$500,3,FALSE),"")</f>
        <v>0</v>
      </c>
      <c r="D635" s="34">
        <f>IFERROR(VLOOKUP(B635,'SAÍDA DE VENDAS'!$B$6:$P$500,4,FALSE),"")</f>
        <v>0</v>
      </c>
      <c r="E635" s="34" t="str">
        <f>IFERROR(VLOOKUP(B635,'SAÍDA DE VENDAS'!$B$6:$P$500,5,FALSE),"")</f>
        <v/>
      </c>
      <c r="F635" s="34" t="str">
        <f>IF(OR(ISBLANK(B635),B635=""), "", IFERROR(INDEX('SAÍDA DE VENDAS'!$H$6:$H$500 &amp; "x " &amp; 'SAÍDA DE VENDAS'!$G$6:$G$500, MATCH(B635, 'SAÍDA DE VENDAS'!$B$6:$B$500, 0)), "")&amp; IF(COUNTIF('SAÍDA DE VENDAS'!$B$6:$B$500, B635)&gt;1, " + " &amp; IFERROR(INDEX('SAÍDA DE VENDAS'!$H$6:$H$500 &amp; "x " &amp; 'SAÍDA DE VENDAS'!$G$6:$G$500, MATCH(B635, 'SAÍDA DE VENDAS'!$B$6:$B$500, 0)+1), ""), "")&amp; IF(COUNTIF('SAÍDA DE VENDAS'!$B$6:$B$500, B635)&gt;2, " + " &amp; IFERROR(INDEX('SAÍDA DE VENDAS'!$H$6:$H$500 &amp; "x " &amp; 'SAÍDA DE VENDAS'!$G$6:$G$500, MATCH(B635, 'SAÍDA DE VENDAS'!$B$6:$B$500, 0)+2), ""), "")&amp; IF(COUNTIF('SAÍDA DE VENDAS'!$B$6:$B$500, B635)&gt;3, " + " &amp; IFERROR(INDEX('SAÍDA DE VENDAS'!$H$6:$H$500 &amp; "x " &amp; 'SAÍDA DE VENDAS'!$G$6:$G$500, MATCH(B635, 'SAÍDA DE VENDAS'!$B$6:$B$500, 0)+3), ""), "")&amp; IF(COUNTIF('SAÍDA DE VENDAS'!$B$6:$B$500, B635)&gt;4, " + " &amp; IFERROR(INDEX('SAÍDA DE VENDAS'!$H$6:$H$500 &amp; "x " &amp; 'SAÍDA DE VENDAS'!$G$6:$G$500, MATCH(B635, 'SAÍDA DE VENDAS'!$B$6:$B$500, 0)+4), ""), "")&amp; IF(COUNTIF('SAÍDA DE VENDAS'!$B$6:$B$500, B635)&gt;5, " + " &amp; IFERROR(INDEX('SAÍDA DE VENDAS'!$H$6:$H$500 &amp; "x " &amp; 'SAÍDA DE VENDAS'!$G$6:$G$500, MATCH(B635, 'SAÍDA DE VENDAS'!$B$6:$B$500, 0)+5), ""), ""))</f>
        <v/>
      </c>
      <c r="G635" s="34">
        <f>IFERROR(VLOOKUP(B635,'SAÍDA DE VENDAS'!$B$6:$P$500,10,FALSE),"")</f>
        <v>0</v>
      </c>
      <c r="H635" s="34" t="str">
        <f>IF(OR(ISBLANK(B635),B635=""), "", IF(B635=B634, (VALUE(LEFT(H634,FIND("/",H634)-1))+1)&amp;"/"&amp;RIGHT(H634,LEN(H634)-FIND("/",H634)), "1/"&amp;IFERROR(VLOOKUP(B635,'SAÍDA DE VENDAS'!$B$6:$P$500,13,FALSE),"1")))</f>
        <v/>
      </c>
      <c r="I635" s="35" t="str">
        <f t="shared" si="18"/>
        <v/>
      </c>
      <c r="J635" s="39" t="str">
        <f>IFERROR(VLOOKUP(B635,'SAÍDA DE VENDAS'!$B$6:$P$500,15,FALSE),"")</f>
        <v/>
      </c>
      <c r="K635" s="34" t="str">
        <f t="shared" ca="1" si="19"/>
        <v/>
      </c>
      <c r="L635" s="34"/>
      <c r="M635" s="34"/>
    </row>
    <row r="636" spans="2:13" ht="15" customHeight="1" x14ac:dyDescent="0.3">
      <c r="B636" s="28" t="str">
        <f>IF(B635="","", IF(VALUE(LEFT(H635,FIND("/",H635)-1)) &lt; VALUE(RIGHT(H635,LEN(H635)-FIND("/",H635))), B635, IFERROR(INDEX('SAÍDA DE VENDAS'!$B$6:$B$500, MATCH(B635,'SAÍDA DE VENDAS'!$B$6:$B$500,0)+COUNTIF('SAÍDA DE VENDAS'!$B$6:$B$500, B635)),"")))</f>
        <v/>
      </c>
      <c r="C636" s="29">
        <f>IFERROR(VLOOKUP(B636,'SAÍDA DE VENDAS'!$B$6:$P$500,3,FALSE),"")</f>
        <v>0</v>
      </c>
      <c r="D636" s="28">
        <f>IFERROR(VLOOKUP(B636,'SAÍDA DE VENDAS'!$B$6:$P$500,4,FALSE),"")</f>
        <v>0</v>
      </c>
      <c r="E636" s="28" t="str">
        <f>IFERROR(VLOOKUP(B636,'SAÍDA DE VENDAS'!$B$6:$P$500,5,FALSE),"")</f>
        <v/>
      </c>
      <c r="F636" s="28" t="str">
        <f>IF(OR(ISBLANK(B636),B636=""), "", IFERROR(INDEX('SAÍDA DE VENDAS'!$H$6:$H$500 &amp; "x " &amp; 'SAÍDA DE VENDAS'!$G$6:$G$500, MATCH(B636, 'SAÍDA DE VENDAS'!$B$6:$B$500, 0)), "")&amp; IF(COUNTIF('SAÍDA DE VENDAS'!$B$6:$B$500, B636)&gt;1, " + " &amp; IFERROR(INDEX('SAÍDA DE VENDAS'!$H$6:$H$500 &amp; "x " &amp; 'SAÍDA DE VENDAS'!$G$6:$G$500, MATCH(B636, 'SAÍDA DE VENDAS'!$B$6:$B$500, 0)+1), ""), "")&amp; IF(COUNTIF('SAÍDA DE VENDAS'!$B$6:$B$500, B636)&gt;2, " + " &amp; IFERROR(INDEX('SAÍDA DE VENDAS'!$H$6:$H$500 &amp; "x " &amp; 'SAÍDA DE VENDAS'!$G$6:$G$500, MATCH(B636, 'SAÍDA DE VENDAS'!$B$6:$B$500, 0)+2), ""), "")&amp; IF(COUNTIF('SAÍDA DE VENDAS'!$B$6:$B$500, B636)&gt;3, " + " &amp; IFERROR(INDEX('SAÍDA DE VENDAS'!$H$6:$H$500 &amp; "x " &amp; 'SAÍDA DE VENDAS'!$G$6:$G$500, MATCH(B636, 'SAÍDA DE VENDAS'!$B$6:$B$500, 0)+3), ""), "")&amp; IF(COUNTIF('SAÍDA DE VENDAS'!$B$6:$B$500, B636)&gt;4, " + " &amp; IFERROR(INDEX('SAÍDA DE VENDAS'!$H$6:$H$500 &amp; "x " &amp; 'SAÍDA DE VENDAS'!$G$6:$G$500, MATCH(B636, 'SAÍDA DE VENDAS'!$B$6:$B$500, 0)+4), ""), "")&amp; IF(COUNTIF('SAÍDA DE VENDAS'!$B$6:$B$500, B636)&gt;5, " + " &amp; IFERROR(INDEX('SAÍDA DE VENDAS'!$H$6:$H$500 &amp; "x " &amp; 'SAÍDA DE VENDAS'!$G$6:$G$500, MATCH(B636, 'SAÍDA DE VENDAS'!$B$6:$B$500, 0)+5), ""), ""))</f>
        <v/>
      </c>
      <c r="G636" s="28">
        <f>IFERROR(VLOOKUP(B636,'SAÍDA DE VENDAS'!$B$6:$P$500,10,FALSE),"")</f>
        <v>0</v>
      </c>
      <c r="H636" s="28" t="str">
        <f>IF(OR(ISBLANK(B636),B636=""), "", IF(B636=B635, (VALUE(LEFT(H635,FIND("/",H635)-1))+1)&amp;"/"&amp;RIGHT(H635,LEN(H635)-FIND("/",H635)), "1/"&amp;IFERROR(VLOOKUP(B636,'SAÍDA DE VENDAS'!$B$6:$P$500,13,FALSE),"1")))</f>
        <v/>
      </c>
      <c r="I636" s="69" t="str">
        <f t="shared" si="18"/>
        <v/>
      </c>
      <c r="J636" s="33" t="str">
        <f>IFERROR(VLOOKUP(B636,'SAÍDA DE VENDAS'!$B$6:$P$500,15,FALSE),"")</f>
        <v/>
      </c>
      <c r="K636" s="28" t="str">
        <f t="shared" ca="1" si="19"/>
        <v/>
      </c>
      <c r="L636" s="28"/>
      <c r="M636" s="28"/>
    </row>
    <row r="637" spans="2:13" ht="15" customHeight="1" x14ac:dyDescent="0.3">
      <c r="B637" s="34" t="str">
        <f>IF(B636="","", IF(VALUE(LEFT(H636,FIND("/",H636)-1)) &lt; VALUE(RIGHT(H636,LEN(H636)-FIND("/",H636))), B636, IFERROR(INDEX('SAÍDA DE VENDAS'!$B$6:$B$500, MATCH(B636,'SAÍDA DE VENDAS'!$B$6:$B$500,0)+COUNTIF('SAÍDA DE VENDAS'!$B$6:$B$500, B636)),"")))</f>
        <v/>
      </c>
      <c r="C637" s="35">
        <f>IFERROR(VLOOKUP(B637,'SAÍDA DE VENDAS'!$B$6:$P$500,3,FALSE),"")</f>
        <v>0</v>
      </c>
      <c r="D637" s="34">
        <f>IFERROR(VLOOKUP(B637,'SAÍDA DE VENDAS'!$B$6:$P$500,4,FALSE),"")</f>
        <v>0</v>
      </c>
      <c r="E637" s="34" t="str">
        <f>IFERROR(VLOOKUP(B637,'SAÍDA DE VENDAS'!$B$6:$P$500,5,FALSE),"")</f>
        <v/>
      </c>
      <c r="F637" s="34" t="str">
        <f>IF(OR(ISBLANK(B637),B637=""), "", IFERROR(INDEX('SAÍDA DE VENDAS'!$H$6:$H$500 &amp; "x " &amp; 'SAÍDA DE VENDAS'!$G$6:$G$500, MATCH(B637, 'SAÍDA DE VENDAS'!$B$6:$B$500, 0)), "")&amp; IF(COUNTIF('SAÍDA DE VENDAS'!$B$6:$B$500, B637)&gt;1, " + " &amp; IFERROR(INDEX('SAÍDA DE VENDAS'!$H$6:$H$500 &amp; "x " &amp; 'SAÍDA DE VENDAS'!$G$6:$G$500, MATCH(B637, 'SAÍDA DE VENDAS'!$B$6:$B$500, 0)+1), ""), "")&amp; IF(COUNTIF('SAÍDA DE VENDAS'!$B$6:$B$500, B637)&gt;2, " + " &amp; IFERROR(INDEX('SAÍDA DE VENDAS'!$H$6:$H$500 &amp; "x " &amp; 'SAÍDA DE VENDAS'!$G$6:$G$500, MATCH(B637, 'SAÍDA DE VENDAS'!$B$6:$B$500, 0)+2), ""), "")&amp; IF(COUNTIF('SAÍDA DE VENDAS'!$B$6:$B$500, B637)&gt;3, " + " &amp; IFERROR(INDEX('SAÍDA DE VENDAS'!$H$6:$H$500 &amp; "x " &amp; 'SAÍDA DE VENDAS'!$G$6:$G$500, MATCH(B637, 'SAÍDA DE VENDAS'!$B$6:$B$500, 0)+3), ""), "")&amp; IF(COUNTIF('SAÍDA DE VENDAS'!$B$6:$B$500, B637)&gt;4, " + " &amp; IFERROR(INDEX('SAÍDA DE VENDAS'!$H$6:$H$500 &amp; "x " &amp; 'SAÍDA DE VENDAS'!$G$6:$G$500, MATCH(B637, 'SAÍDA DE VENDAS'!$B$6:$B$500, 0)+4), ""), "")&amp; IF(COUNTIF('SAÍDA DE VENDAS'!$B$6:$B$500, B637)&gt;5, " + " &amp; IFERROR(INDEX('SAÍDA DE VENDAS'!$H$6:$H$500 &amp; "x " &amp; 'SAÍDA DE VENDAS'!$G$6:$G$500, MATCH(B637, 'SAÍDA DE VENDAS'!$B$6:$B$500, 0)+5), ""), ""))</f>
        <v/>
      </c>
      <c r="G637" s="34">
        <f>IFERROR(VLOOKUP(B637,'SAÍDA DE VENDAS'!$B$6:$P$500,10,FALSE),"")</f>
        <v>0</v>
      </c>
      <c r="H637" s="34" t="str">
        <f>IF(OR(ISBLANK(B637),B637=""), "", IF(B637=B636, (VALUE(LEFT(H636,FIND("/",H636)-1))+1)&amp;"/"&amp;RIGHT(H636,LEN(H636)-FIND("/",H636)), "1/"&amp;IFERROR(VLOOKUP(B637,'SAÍDA DE VENDAS'!$B$6:$P$500,13,FALSE),"1")))</f>
        <v/>
      </c>
      <c r="I637" s="35" t="str">
        <f t="shared" si="18"/>
        <v/>
      </c>
      <c r="J637" s="39" t="str">
        <f>IFERROR(VLOOKUP(B637,'SAÍDA DE VENDAS'!$B$6:$P$500,15,FALSE),"")</f>
        <v/>
      </c>
      <c r="K637" s="34" t="str">
        <f t="shared" ca="1" si="19"/>
        <v/>
      </c>
      <c r="L637" s="34"/>
      <c r="M637" s="34"/>
    </row>
    <row r="638" spans="2:13" ht="15" customHeight="1" x14ac:dyDescent="0.3">
      <c r="B638" s="28" t="str">
        <f>IF(B637="","", IF(VALUE(LEFT(H637,FIND("/",H637)-1)) &lt; VALUE(RIGHT(H637,LEN(H637)-FIND("/",H637))), B637, IFERROR(INDEX('SAÍDA DE VENDAS'!$B$6:$B$500, MATCH(B637,'SAÍDA DE VENDAS'!$B$6:$B$500,0)+COUNTIF('SAÍDA DE VENDAS'!$B$6:$B$500, B637)),"")))</f>
        <v/>
      </c>
      <c r="C638" s="29">
        <f>IFERROR(VLOOKUP(B638,'SAÍDA DE VENDAS'!$B$6:$P$500,3,FALSE),"")</f>
        <v>0</v>
      </c>
      <c r="D638" s="28">
        <f>IFERROR(VLOOKUP(B638,'SAÍDA DE VENDAS'!$B$6:$P$500,4,FALSE),"")</f>
        <v>0</v>
      </c>
      <c r="E638" s="28" t="str">
        <f>IFERROR(VLOOKUP(B638,'SAÍDA DE VENDAS'!$B$6:$P$500,5,FALSE),"")</f>
        <v/>
      </c>
      <c r="F638" s="28" t="str">
        <f>IF(OR(ISBLANK(B638),B638=""), "", IFERROR(INDEX('SAÍDA DE VENDAS'!$H$6:$H$500 &amp; "x " &amp; 'SAÍDA DE VENDAS'!$G$6:$G$500, MATCH(B638, 'SAÍDA DE VENDAS'!$B$6:$B$500, 0)), "")&amp; IF(COUNTIF('SAÍDA DE VENDAS'!$B$6:$B$500, B638)&gt;1, " + " &amp; IFERROR(INDEX('SAÍDA DE VENDAS'!$H$6:$H$500 &amp; "x " &amp; 'SAÍDA DE VENDAS'!$G$6:$G$500, MATCH(B638, 'SAÍDA DE VENDAS'!$B$6:$B$500, 0)+1), ""), "")&amp; IF(COUNTIF('SAÍDA DE VENDAS'!$B$6:$B$500, B638)&gt;2, " + " &amp; IFERROR(INDEX('SAÍDA DE VENDAS'!$H$6:$H$500 &amp; "x " &amp; 'SAÍDA DE VENDAS'!$G$6:$G$500, MATCH(B638, 'SAÍDA DE VENDAS'!$B$6:$B$500, 0)+2), ""), "")&amp; IF(COUNTIF('SAÍDA DE VENDAS'!$B$6:$B$500, B638)&gt;3, " + " &amp; IFERROR(INDEX('SAÍDA DE VENDAS'!$H$6:$H$500 &amp; "x " &amp; 'SAÍDA DE VENDAS'!$G$6:$G$500, MATCH(B638, 'SAÍDA DE VENDAS'!$B$6:$B$500, 0)+3), ""), "")&amp; IF(COUNTIF('SAÍDA DE VENDAS'!$B$6:$B$500, B638)&gt;4, " + " &amp; IFERROR(INDEX('SAÍDA DE VENDAS'!$H$6:$H$500 &amp; "x " &amp; 'SAÍDA DE VENDAS'!$G$6:$G$500, MATCH(B638, 'SAÍDA DE VENDAS'!$B$6:$B$500, 0)+4), ""), "")&amp; IF(COUNTIF('SAÍDA DE VENDAS'!$B$6:$B$500, B638)&gt;5, " + " &amp; IFERROR(INDEX('SAÍDA DE VENDAS'!$H$6:$H$500 &amp; "x " &amp; 'SAÍDA DE VENDAS'!$G$6:$G$500, MATCH(B638, 'SAÍDA DE VENDAS'!$B$6:$B$500, 0)+5), ""), ""))</f>
        <v/>
      </c>
      <c r="G638" s="28">
        <f>IFERROR(VLOOKUP(B638,'SAÍDA DE VENDAS'!$B$6:$P$500,10,FALSE),"")</f>
        <v>0</v>
      </c>
      <c r="H638" s="28" t="str">
        <f>IF(OR(ISBLANK(B638),B638=""), "", IF(B638=B637, (VALUE(LEFT(H637,FIND("/",H637)-1))+1)&amp;"/"&amp;RIGHT(H637,LEN(H637)-FIND("/",H637)), "1/"&amp;IFERROR(VLOOKUP(B638,'SAÍDA DE VENDAS'!$B$6:$P$500,13,FALSE),"1")))</f>
        <v/>
      </c>
      <c r="I638" s="69" t="str">
        <f t="shared" si="18"/>
        <v/>
      </c>
      <c r="J638" s="33" t="str">
        <f>IFERROR(VLOOKUP(B638,'SAÍDA DE VENDAS'!$B$6:$P$500,15,FALSE),"")</f>
        <v/>
      </c>
      <c r="K638" s="28" t="str">
        <f t="shared" ca="1" si="19"/>
        <v/>
      </c>
      <c r="L638" s="28"/>
      <c r="M638" s="28"/>
    </row>
    <row r="639" spans="2:13" ht="15" customHeight="1" x14ac:dyDescent="0.3">
      <c r="B639" s="34" t="str">
        <f>IF(B638="","", IF(VALUE(LEFT(H638,FIND("/",H638)-1)) &lt; VALUE(RIGHT(H638,LEN(H638)-FIND("/",H638))), B638, IFERROR(INDEX('SAÍDA DE VENDAS'!$B$6:$B$500, MATCH(B638,'SAÍDA DE VENDAS'!$B$6:$B$500,0)+COUNTIF('SAÍDA DE VENDAS'!$B$6:$B$500, B638)),"")))</f>
        <v/>
      </c>
      <c r="C639" s="35">
        <f>IFERROR(VLOOKUP(B639,'SAÍDA DE VENDAS'!$B$6:$P$500,3,FALSE),"")</f>
        <v>0</v>
      </c>
      <c r="D639" s="34">
        <f>IFERROR(VLOOKUP(B639,'SAÍDA DE VENDAS'!$B$6:$P$500,4,FALSE),"")</f>
        <v>0</v>
      </c>
      <c r="E639" s="34" t="str">
        <f>IFERROR(VLOOKUP(B639,'SAÍDA DE VENDAS'!$B$6:$P$500,5,FALSE),"")</f>
        <v/>
      </c>
      <c r="F639" s="34" t="str">
        <f>IF(OR(ISBLANK(B639),B639=""), "", IFERROR(INDEX('SAÍDA DE VENDAS'!$H$6:$H$500 &amp; "x " &amp; 'SAÍDA DE VENDAS'!$G$6:$G$500, MATCH(B639, 'SAÍDA DE VENDAS'!$B$6:$B$500, 0)), "")&amp; IF(COUNTIF('SAÍDA DE VENDAS'!$B$6:$B$500, B639)&gt;1, " + " &amp; IFERROR(INDEX('SAÍDA DE VENDAS'!$H$6:$H$500 &amp; "x " &amp; 'SAÍDA DE VENDAS'!$G$6:$G$500, MATCH(B639, 'SAÍDA DE VENDAS'!$B$6:$B$500, 0)+1), ""), "")&amp; IF(COUNTIF('SAÍDA DE VENDAS'!$B$6:$B$500, B639)&gt;2, " + " &amp; IFERROR(INDEX('SAÍDA DE VENDAS'!$H$6:$H$500 &amp; "x " &amp; 'SAÍDA DE VENDAS'!$G$6:$G$500, MATCH(B639, 'SAÍDA DE VENDAS'!$B$6:$B$500, 0)+2), ""), "")&amp; IF(COUNTIF('SAÍDA DE VENDAS'!$B$6:$B$500, B639)&gt;3, " + " &amp; IFERROR(INDEX('SAÍDA DE VENDAS'!$H$6:$H$500 &amp; "x " &amp; 'SAÍDA DE VENDAS'!$G$6:$G$500, MATCH(B639, 'SAÍDA DE VENDAS'!$B$6:$B$500, 0)+3), ""), "")&amp; IF(COUNTIF('SAÍDA DE VENDAS'!$B$6:$B$500, B639)&gt;4, " + " &amp; IFERROR(INDEX('SAÍDA DE VENDAS'!$H$6:$H$500 &amp; "x " &amp; 'SAÍDA DE VENDAS'!$G$6:$G$500, MATCH(B639, 'SAÍDA DE VENDAS'!$B$6:$B$500, 0)+4), ""), "")&amp; IF(COUNTIF('SAÍDA DE VENDAS'!$B$6:$B$500, B639)&gt;5, " + " &amp; IFERROR(INDEX('SAÍDA DE VENDAS'!$H$6:$H$500 &amp; "x " &amp; 'SAÍDA DE VENDAS'!$G$6:$G$500, MATCH(B639, 'SAÍDA DE VENDAS'!$B$6:$B$500, 0)+5), ""), ""))</f>
        <v/>
      </c>
      <c r="G639" s="34">
        <f>IFERROR(VLOOKUP(B639,'SAÍDA DE VENDAS'!$B$6:$P$500,10,FALSE),"")</f>
        <v>0</v>
      </c>
      <c r="H639" s="34" t="str">
        <f>IF(OR(ISBLANK(B639),B639=""), "", IF(B639=B638, (VALUE(LEFT(H638,FIND("/",H638)-1))+1)&amp;"/"&amp;RIGHT(H638,LEN(H638)-FIND("/",H638)), "1/"&amp;IFERROR(VLOOKUP(B639,'SAÍDA DE VENDAS'!$B$6:$P$500,13,FALSE),"1")))</f>
        <v/>
      </c>
      <c r="I639" s="35" t="str">
        <f t="shared" si="18"/>
        <v/>
      </c>
      <c r="J639" s="39" t="str">
        <f>IFERROR(VLOOKUP(B639,'SAÍDA DE VENDAS'!$B$6:$P$500,15,FALSE),"")</f>
        <v/>
      </c>
      <c r="K639" s="34" t="str">
        <f t="shared" ca="1" si="19"/>
        <v/>
      </c>
      <c r="L639" s="34"/>
      <c r="M639" s="34"/>
    </row>
    <row r="640" spans="2:13" ht="15" customHeight="1" x14ac:dyDescent="0.3">
      <c r="B640" s="28" t="str">
        <f>IF(B639="","", IF(VALUE(LEFT(H639,FIND("/",H639)-1)) &lt; VALUE(RIGHT(H639,LEN(H639)-FIND("/",H639))), B639, IFERROR(INDEX('SAÍDA DE VENDAS'!$B$6:$B$500, MATCH(B639,'SAÍDA DE VENDAS'!$B$6:$B$500,0)+COUNTIF('SAÍDA DE VENDAS'!$B$6:$B$500, B639)),"")))</f>
        <v/>
      </c>
      <c r="C640" s="29">
        <f>IFERROR(VLOOKUP(B640,'SAÍDA DE VENDAS'!$B$6:$P$500,3,FALSE),"")</f>
        <v>0</v>
      </c>
      <c r="D640" s="28">
        <f>IFERROR(VLOOKUP(B640,'SAÍDA DE VENDAS'!$B$6:$P$500,4,FALSE),"")</f>
        <v>0</v>
      </c>
      <c r="E640" s="28" t="str">
        <f>IFERROR(VLOOKUP(B640,'SAÍDA DE VENDAS'!$B$6:$P$500,5,FALSE),"")</f>
        <v/>
      </c>
      <c r="F640" s="28" t="str">
        <f>IF(OR(ISBLANK(B640),B640=""), "", IFERROR(INDEX('SAÍDA DE VENDAS'!$H$6:$H$500 &amp; "x " &amp; 'SAÍDA DE VENDAS'!$G$6:$G$500, MATCH(B640, 'SAÍDA DE VENDAS'!$B$6:$B$500, 0)), "")&amp; IF(COUNTIF('SAÍDA DE VENDAS'!$B$6:$B$500, B640)&gt;1, " + " &amp; IFERROR(INDEX('SAÍDA DE VENDAS'!$H$6:$H$500 &amp; "x " &amp; 'SAÍDA DE VENDAS'!$G$6:$G$500, MATCH(B640, 'SAÍDA DE VENDAS'!$B$6:$B$500, 0)+1), ""), "")&amp; IF(COUNTIF('SAÍDA DE VENDAS'!$B$6:$B$500, B640)&gt;2, " + " &amp; IFERROR(INDEX('SAÍDA DE VENDAS'!$H$6:$H$500 &amp; "x " &amp; 'SAÍDA DE VENDAS'!$G$6:$G$500, MATCH(B640, 'SAÍDA DE VENDAS'!$B$6:$B$500, 0)+2), ""), "")&amp; IF(COUNTIF('SAÍDA DE VENDAS'!$B$6:$B$500, B640)&gt;3, " + " &amp; IFERROR(INDEX('SAÍDA DE VENDAS'!$H$6:$H$500 &amp; "x " &amp; 'SAÍDA DE VENDAS'!$G$6:$G$500, MATCH(B640, 'SAÍDA DE VENDAS'!$B$6:$B$500, 0)+3), ""), "")&amp; IF(COUNTIF('SAÍDA DE VENDAS'!$B$6:$B$500, B640)&gt;4, " + " &amp; IFERROR(INDEX('SAÍDA DE VENDAS'!$H$6:$H$500 &amp; "x " &amp; 'SAÍDA DE VENDAS'!$G$6:$G$500, MATCH(B640, 'SAÍDA DE VENDAS'!$B$6:$B$500, 0)+4), ""), "")&amp; IF(COUNTIF('SAÍDA DE VENDAS'!$B$6:$B$500, B640)&gt;5, " + " &amp; IFERROR(INDEX('SAÍDA DE VENDAS'!$H$6:$H$500 &amp; "x " &amp; 'SAÍDA DE VENDAS'!$G$6:$G$500, MATCH(B640, 'SAÍDA DE VENDAS'!$B$6:$B$500, 0)+5), ""), ""))</f>
        <v/>
      </c>
      <c r="G640" s="28">
        <f>IFERROR(VLOOKUP(B640,'SAÍDA DE VENDAS'!$B$6:$P$500,10,FALSE),"")</f>
        <v>0</v>
      </c>
      <c r="H640" s="28" t="str">
        <f>IF(OR(ISBLANK(B640),B640=""), "", IF(B640=B639, (VALUE(LEFT(H639,FIND("/",H639)-1))+1)&amp;"/"&amp;RIGHT(H639,LEN(H639)-FIND("/",H639)), "1/"&amp;IFERROR(VLOOKUP(B640,'SAÍDA DE VENDAS'!$B$6:$P$500,13,FALSE),"1")))</f>
        <v/>
      </c>
      <c r="I640" s="69" t="str">
        <f t="shared" si="18"/>
        <v/>
      </c>
      <c r="J640" s="33" t="str">
        <f>IFERROR(VLOOKUP(B640,'SAÍDA DE VENDAS'!$B$6:$P$500,15,FALSE),"")</f>
        <v/>
      </c>
      <c r="K640" s="28" t="str">
        <f t="shared" ca="1" si="19"/>
        <v/>
      </c>
      <c r="L640" s="28"/>
      <c r="M640" s="28"/>
    </row>
    <row r="641" spans="2:13" ht="15" customHeight="1" x14ac:dyDescent="0.3">
      <c r="B641" s="34" t="str">
        <f>IF(B640="","", IF(VALUE(LEFT(H640,FIND("/",H640)-1)) &lt; VALUE(RIGHT(H640,LEN(H640)-FIND("/",H640))), B640, IFERROR(INDEX('SAÍDA DE VENDAS'!$B$6:$B$500, MATCH(B640,'SAÍDA DE VENDAS'!$B$6:$B$500,0)+COUNTIF('SAÍDA DE VENDAS'!$B$6:$B$500, B640)),"")))</f>
        <v/>
      </c>
      <c r="C641" s="35">
        <f>IFERROR(VLOOKUP(B641,'SAÍDA DE VENDAS'!$B$6:$P$500,3,FALSE),"")</f>
        <v>0</v>
      </c>
      <c r="D641" s="34">
        <f>IFERROR(VLOOKUP(B641,'SAÍDA DE VENDAS'!$B$6:$P$500,4,FALSE),"")</f>
        <v>0</v>
      </c>
      <c r="E641" s="34" t="str">
        <f>IFERROR(VLOOKUP(B641,'SAÍDA DE VENDAS'!$B$6:$P$500,5,FALSE),"")</f>
        <v/>
      </c>
      <c r="F641" s="34" t="str">
        <f>IF(OR(ISBLANK(B641),B641=""), "", IFERROR(INDEX('SAÍDA DE VENDAS'!$H$6:$H$500 &amp; "x " &amp; 'SAÍDA DE VENDAS'!$G$6:$G$500, MATCH(B641, 'SAÍDA DE VENDAS'!$B$6:$B$500, 0)), "")&amp; IF(COUNTIF('SAÍDA DE VENDAS'!$B$6:$B$500, B641)&gt;1, " + " &amp; IFERROR(INDEX('SAÍDA DE VENDAS'!$H$6:$H$500 &amp; "x " &amp; 'SAÍDA DE VENDAS'!$G$6:$G$500, MATCH(B641, 'SAÍDA DE VENDAS'!$B$6:$B$500, 0)+1), ""), "")&amp; IF(COUNTIF('SAÍDA DE VENDAS'!$B$6:$B$500, B641)&gt;2, " + " &amp; IFERROR(INDEX('SAÍDA DE VENDAS'!$H$6:$H$500 &amp; "x " &amp; 'SAÍDA DE VENDAS'!$G$6:$G$500, MATCH(B641, 'SAÍDA DE VENDAS'!$B$6:$B$500, 0)+2), ""), "")&amp; IF(COUNTIF('SAÍDA DE VENDAS'!$B$6:$B$500, B641)&gt;3, " + " &amp; IFERROR(INDEX('SAÍDA DE VENDAS'!$H$6:$H$500 &amp; "x " &amp; 'SAÍDA DE VENDAS'!$G$6:$G$500, MATCH(B641, 'SAÍDA DE VENDAS'!$B$6:$B$500, 0)+3), ""), "")&amp; IF(COUNTIF('SAÍDA DE VENDAS'!$B$6:$B$500, B641)&gt;4, " + " &amp; IFERROR(INDEX('SAÍDA DE VENDAS'!$H$6:$H$500 &amp; "x " &amp; 'SAÍDA DE VENDAS'!$G$6:$G$500, MATCH(B641, 'SAÍDA DE VENDAS'!$B$6:$B$500, 0)+4), ""), "")&amp; IF(COUNTIF('SAÍDA DE VENDAS'!$B$6:$B$500, B641)&gt;5, " + " &amp; IFERROR(INDEX('SAÍDA DE VENDAS'!$H$6:$H$500 &amp; "x " &amp; 'SAÍDA DE VENDAS'!$G$6:$G$500, MATCH(B641, 'SAÍDA DE VENDAS'!$B$6:$B$500, 0)+5), ""), ""))</f>
        <v/>
      </c>
      <c r="G641" s="34">
        <f>IFERROR(VLOOKUP(B641,'SAÍDA DE VENDAS'!$B$6:$P$500,10,FALSE),"")</f>
        <v>0</v>
      </c>
      <c r="H641" s="34" t="str">
        <f>IF(OR(ISBLANK(B641),B641=""), "", IF(B641=B640, (VALUE(LEFT(H640,FIND("/",H640)-1))+1)&amp;"/"&amp;RIGHT(H640,LEN(H640)-FIND("/",H640)), "1/"&amp;IFERROR(VLOOKUP(B641,'SAÍDA DE VENDAS'!$B$6:$P$500,13,FALSE),"1")))</f>
        <v/>
      </c>
      <c r="I641" s="35" t="str">
        <f t="shared" si="18"/>
        <v/>
      </c>
      <c r="J641" s="39" t="str">
        <f>IFERROR(VLOOKUP(B641,'SAÍDA DE VENDAS'!$B$6:$P$500,15,FALSE),"")</f>
        <v/>
      </c>
      <c r="K641" s="34" t="str">
        <f t="shared" ca="1" si="19"/>
        <v/>
      </c>
      <c r="L641" s="34"/>
      <c r="M641" s="34"/>
    </row>
    <row r="642" spans="2:13" ht="15" customHeight="1" x14ac:dyDescent="0.3">
      <c r="B642" s="28" t="str">
        <f>IF(B641="","", IF(VALUE(LEFT(H641,FIND("/",H641)-1)) &lt; VALUE(RIGHT(H641,LEN(H641)-FIND("/",H641))), B641, IFERROR(INDEX('SAÍDA DE VENDAS'!$B$6:$B$500, MATCH(B641,'SAÍDA DE VENDAS'!$B$6:$B$500,0)+COUNTIF('SAÍDA DE VENDAS'!$B$6:$B$500, B641)),"")))</f>
        <v/>
      </c>
      <c r="C642" s="29">
        <f>IFERROR(VLOOKUP(B642,'SAÍDA DE VENDAS'!$B$6:$P$500,3,FALSE),"")</f>
        <v>0</v>
      </c>
      <c r="D642" s="28">
        <f>IFERROR(VLOOKUP(B642,'SAÍDA DE VENDAS'!$B$6:$P$500,4,FALSE),"")</f>
        <v>0</v>
      </c>
      <c r="E642" s="28" t="str">
        <f>IFERROR(VLOOKUP(B642,'SAÍDA DE VENDAS'!$B$6:$P$500,5,FALSE),"")</f>
        <v/>
      </c>
      <c r="F642" s="28" t="str">
        <f>IF(OR(ISBLANK(B642),B642=""), "", IFERROR(INDEX('SAÍDA DE VENDAS'!$H$6:$H$500 &amp; "x " &amp; 'SAÍDA DE VENDAS'!$G$6:$G$500, MATCH(B642, 'SAÍDA DE VENDAS'!$B$6:$B$500, 0)), "")&amp; IF(COUNTIF('SAÍDA DE VENDAS'!$B$6:$B$500, B642)&gt;1, " + " &amp; IFERROR(INDEX('SAÍDA DE VENDAS'!$H$6:$H$500 &amp; "x " &amp; 'SAÍDA DE VENDAS'!$G$6:$G$500, MATCH(B642, 'SAÍDA DE VENDAS'!$B$6:$B$500, 0)+1), ""), "")&amp; IF(COUNTIF('SAÍDA DE VENDAS'!$B$6:$B$500, B642)&gt;2, " + " &amp; IFERROR(INDEX('SAÍDA DE VENDAS'!$H$6:$H$500 &amp; "x " &amp; 'SAÍDA DE VENDAS'!$G$6:$G$500, MATCH(B642, 'SAÍDA DE VENDAS'!$B$6:$B$500, 0)+2), ""), "")&amp; IF(COUNTIF('SAÍDA DE VENDAS'!$B$6:$B$500, B642)&gt;3, " + " &amp; IFERROR(INDEX('SAÍDA DE VENDAS'!$H$6:$H$500 &amp; "x " &amp; 'SAÍDA DE VENDAS'!$G$6:$G$500, MATCH(B642, 'SAÍDA DE VENDAS'!$B$6:$B$500, 0)+3), ""), "")&amp; IF(COUNTIF('SAÍDA DE VENDAS'!$B$6:$B$500, B642)&gt;4, " + " &amp; IFERROR(INDEX('SAÍDA DE VENDAS'!$H$6:$H$500 &amp; "x " &amp; 'SAÍDA DE VENDAS'!$G$6:$G$500, MATCH(B642, 'SAÍDA DE VENDAS'!$B$6:$B$500, 0)+4), ""), "")&amp; IF(COUNTIF('SAÍDA DE VENDAS'!$B$6:$B$500, B642)&gt;5, " + " &amp; IFERROR(INDEX('SAÍDA DE VENDAS'!$H$6:$H$500 &amp; "x " &amp; 'SAÍDA DE VENDAS'!$G$6:$G$500, MATCH(B642, 'SAÍDA DE VENDAS'!$B$6:$B$500, 0)+5), ""), ""))</f>
        <v/>
      </c>
      <c r="G642" s="28">
        <f>IFERROR(VLOOKUP(B642,'SAÍDA DE VENDAS'!$B$6:$P$500,10,FALSE),"")</f>
        <v>0</v>
      </c>
      <c r="H642" s="28" t="str">
        <f>IF(OR(ISBLANK(B642),B642=""), "", IF(B642=B641, (VALUE(LEFT(H641,FIND("/",H641)-1))+1)&amp;"/"&amp;RIGHT(H641,LEN(H641)-FIND("/",H641)), "1/"&amp;IFERROR(VLOOKUP(B642,'SAÍDA DE VENDAS'!$B$6:$P$500,13,FALSE),"1")))</f>
        <v/>
      </c>
      <c r="I642" s="69" t="str">
        <f t="shared" si="18"/>
        <v/>
      </c>
      <c r="J642" s="33" t="str">
        <f>IFERROR(VLOOKUP(B642,'SAÍDA DE VENDAS'!$B$6:$P$500,15,FALSE),"")</f>
        <v/>
      </c>
      <c r="K642" s="28" t="str">
        <f t="shared" ca="1" si="19"/>
        <v/>
      </c>
      <c r="L642" s="28"/>
      <c r="M642" s="28"/>
    </row>
    <row r="643" spans="2:13" ht="15" customHeight="1" x14ac:dyDescent="0.3">
      <c r="B643" s="34" t="str">
        <f>IF(B642="","", IF(VALUE(LEFT(H642,FIND("/",H642)-1)) &lt; VALUE(RIGHT(H642,LEN(H642)-FIND("/",H642))), B642, IFERROR(INDEX('SAÍDA DE VENDAS'!$B$6:$B$500, MATCH(B642,'SAÍDA DE VENDAS'!$B$6:$B$500,0)+COUNTIF('SAÍDA DE VENDAS'!$B$6:$B$500, B642)),"")))</f>
        <v/>
      </c>
      <c r="C643" s="35">
        <f>IFERROR(VLOOKUP(B643,'SAÍDA DE VENDAS'!$B$6:$P$500,3,FALSE),"")</f>
        <v>0</v>
      </c>
      <c r="D643" s="34">
        <f>IFERROR(VLOOKUP(B643,'SAÍDA DE VENDAS'!$B$6:$P$500,4,FALSE),"")</f>
        <v>0</v>
      </c>
      <c r="E643" s="34" t="str">
        <f>IFERROR(VLOOKUP(B643,'SAÍDA DE VENDAS'!$B$6:$P$500,5,FALSE),"")</f>
        <v/>
      </c>
      <c r="F643" s="34" t="str">
        <f>IF(OR(ISBLANK(B643),B643=""), "", IFERROR(INDEX('SAÍDA DE VENDAS'!$H$6:$H$500 &amp; "x " &amp; 'SAÍDA DE VENDAS'!$G$6:$G$500, MATCH(B643, 'SAÍDA DE VENDAS'!$B$6:$B$500, 0)), "")&amp; IF(COUNTIF('SAÍDA DE VENDAS'!$B$6:$B$500, B643)&gt;1, " + " &amp; IFERROR(INDEX('SAÍDA DE VENDAS'!$H$6:$H$500 &amp; "x " &amp; 'SAÍDA DE VENDAS'!$G$6:$G$500, MATCH(B643, 'SAÍDA DE VENDAS'!$B$6:$B$500, 0)+1), ""), "")&amp; IF(COUNTIF('SAÍDA DE VENDAS'!$B$6:$B$500, B643)&gt;2, " + " &amp; IFERROR(INDEX('SAÍDA DE VENDAS'!$H$6:$H$500 &amp; "x " &amp; 'SAÍDA DE VENDAS'!$G$6:$G$500, MATCH(B643, 'SAÍDA DE VENDAS'!$B$6:$B$500, 0)+2), ""), "")&amp; IF(COUNTIF('SAÍDA DE VENDAS'!$B$6:$B$500, B643)&gt;3, " + " &amp; IFERROR(INDEX('SAÍDA DE VENDAS'!$H$6:$H$500 &amp; "x " &amp; 'SAÍDA DE VENDAS'!$G$6:$G$500, MATCH(B643, 'SAÍDA DE VENDAS'!$B$6:$B$500, 0)+3), ""), "")&amp; IF(COUNTIF('SAÍDA DE VENDAS'!$B$6:$B$500, B643)&gt;4, " + " &amp; IFERROR(INDEX('SAÍDA DE VENDAS'!$H$6:$H$500 &amp; "x " &amp; 'SAÍDA DE VENDAS'!$G$6:$G$500, MATCH(B643, 'SAÍDA DE VENDAS'!$B$6:$B$500, 0)+4), ""), "")&amp; IF(COUNTIF('SAÍDA DE VENDAS'!$B$6:$B$500, B643)&gt;5, " + " &amp; IFERROR(INDEX('SAÍDA DE VENDAS'!$H$6:$H$500 &amp; "x " &amp; 'SAÍDA DE VENDAS'!$G$6:$G$500, MATCH(B643, 'SAÍDA DE VENDAS'!$B$6:$B$500, 0)+5), ""), ""))</f>
        <v/>
      </c>
      <c r="G643" s="34">
        <f>IFERROR(VLOOKUP(B643,'SAÍDA DE VENDAS'!$B$6:$P$500,10,FALSE),"")</f>
        <v>0</v>
      </c>
      <c r="H643" s="34" t="str">
        <f>IF(OR(ISBLANK(B643),B643=""), "", IF(B643=B642, (VALUE(LEFT(H642,FIND("/",H642)-1))+1)&amp;"/"&amp;RIGHT(H642,LEN(H642)-FIND("/",H642)), "1/"&amp;IFERROR(VLOOKUP(B643,'SAÍDA DE VENDAS'!$B$6:$P$500,13,FALSE),"1")))</f>
        <v/>
      </c>
      <c r="I643" s="35" t="str">
        <f t="shared" si="18"/>
        <v/>
      </c>
      <c r="J643" s="39" t="str">
        <f>IFERROR(VLOOKUP(B643,'SAÍDA DE VENDAS'!$B$6:$P$500,15,FALSE),"")</f>
        <v/>
      </c>
      <c r="K643" s="34" t="str">
        <f t="shared" ca="1" si="19"/>
        <v/>
      </c>
      <c r="L643" s="34"/>
      <c r="M643" s="34"/>
    </row>
    <row r="644" spans="2:13" ht="15" customHeight="1" x14ac:dyDescent="0.3">
      <c r="B644" s="28" t="str">
        <f>IF(B643="","", IF(VALUE(LEFT(H643,FIND("/",H643)-1)) &lt; VALUE(RIGHT(H643,LEN(H643)-FIND("/",H643))), B643, IFERROR(INDEX('SAÍDA DE VENDAS'!$B$6:$B$500, MATCH(B643,'SAÍDA DE VENDAS'!$B$6:$B$500,0)+COUNTIF('SAÍDA DE VENDAS'!$B$6:$B$500, B643)),"")))</f>
        <v/>
      </c>
      <c r="C644" s="29">
        <f>IFERROR(VLOOKUP(B644,'SAÍDA DE VENDAS'!$B$6:$P$500,3,FALSE),"")</f>
        <v>0</v>
      </c>
      <c r="D644" s="28">
        <f>IFERROR(VLOOKUP(B644,'SAÍDA DE VENDAS'!$B$6:$P$500,4,FALSE),"")</f>
        <v>0</v>
      </c>
      <c r="E644" s="28" t="str">
        <f>IFERROR(VLOOKUP(B644,'SAÍDA DE VENDAS'!$B$6:$P$500,5,FALSE),"")</f>
        <v/>
      </c>
      <c r="F644" s="28" t="str">
        <f>IF(OR(ISBLANK(B644),B644=""), "", IFERROR(INDEX('SAÍDA DE VENDAS'!$H$6:$H$500 &amp; "x " &amp; 'SAÍDA DE VENDAS'!$G$6:$G$500, MATCH(B644, 'SAÍDA DE VENDAS'!$B$6:$B$500, 0)), "")&amp; IF(COUNTIF('SAÍDA DE VENDAS'!$B$6:$B$500, B644)&gt;1, " + " &amp; IFERROR(INDEX('SAÍDA DE VENDAS'!$H$6:$H$500 &amp; "x " &amp; 'SAÍDA DE VENDAS'!$G$6:$G$500, MATCH(B644, 'SAÍDA DE VENDAS'!$B$6:$B$500, 0)+1), ""), "")&amp; IF(COUNTIF('SAÍDA DE VENDAS'!$B$6:$B$500, B644)&gt;2, " + " &amp; IFERROR(INDEX('SAÍDA DE VENDAS'!$H$6:$H$500 &amp; "x " &amp; 'SAÍDA DE VENDAS'!$G$6:$G$500, MATCH(B644, 'SAÍDA DE VENDAS'!$B$6:$B$500, 0)+2), ""), "")&amp; IF(COUNTIF('SAÍDA DE VENDAS'!$B$6:$B$500, B644)&gt;3, " + " &amp; IFERROR(INDEX('SAÍDA DE VENDAS'!$H$6:$H$500 &amp; "x " &amp; 'SAÍDA DE VENDAS'!$G$6:$G$500, MATCH(B644, 'SAÍDA DE VENDAS'!$B$6:$B$500, 0)+3), ""), "")&amp; IF(COUNTIF('SAÍDA DE VENDAS'!$B$6:$B$500, B644)&gt;4, " + " &amp; IFERROR(INDEX('SAÍDA DE VENDAS'!$H$6:$H$500 &amp; "x " &amp; 'SAÍDA DE VENDAS'!$G$6:$G$500, MATCH(B644, 'SAÍDA DE VENDAS'!$B$6:$B$500, 0)+4), ""), "")&amp; IF(COUNTIF('SAÍDA DE VENDAS'!$B$6:$B$500, B644)&gt;5, " + " &amp; IFERROR(INDEX('SAÍDA DE VENDAS'!$H$6:$H$500 &amp; "x " &amp; 'SAÍDA DE VENDAS'!$G$6:$G$500, MATCH(B644, 'SAÍDA DE VENDAS'!$B$6:$B$500, 0)+5), ""), ""))</f>
        <v/>
      </c>
      <c r="G644" s="28">
        <f>IFERROR(VLOOKUP(B644,'SAÍDA DE VENDAS'!$B$6:$P$500,10,FALSE),"")</f>
        <v>0</v>
      </c>
      <c r="H644" s="28" t="str">
        <f>IF(OR(ISBLANK(B644),B644=""), "", IF(B644=B643, (VALUE(LEFT(H643,FIND("/",H643)-1))+1)&amp;"/"&amp;RIGHT(H643,LEN(H643)-FIND("/",H643)), "1/"&amp;IFERROR(VLOOKUP(B644,'SAÍDA DE VENDAS'!$B$6:$P$500,13,FALSE),"1")))</f>
        <v/>
      </c>
      <c r="I644" s="69" t="str">
        <f t="shared" si="18"/>
        <v/>
      </c>
      <c r="J644" s="33" t="str">
        <f>IFERROR(VLOOKUP(B644,'SAÍDA DE VENDAS'!$B$6:$P$500,15,FALSE),"")</f>
        <v/>
      </c>
      <c r="K644" s="28" t="str">
        <f t="shared" ca="1" si="19"/>
        <v/>
      </c>
      <c r="L644" s="28"/>
      <c r="M644" s="28"/>
    </row>
    <row r="645" spans="2:13" ht="15" customHeight="1" x14ac:dyDescent="0.3">
      <c r="B645" s="34" t="str">
        <f>IF(B644="","", IF(VALUE(LEFT(H644,FIND("/",H644)-1)) &lt; VALUE(RIGHT(H644,LEN(H644)-FIND("/",H644))), B644, IFERROR(INDEX('SAÍDA DE VENDAS'!$B$6:$B$500, MATCH(B644,'SAÍDA DE VENDAS'!$B$6:$B$500,0)+COUNTIF('SAÍDA DE VENDAS'!$B$6:$B$500, B644)),"")))</f>
        <v/>
      </c>
      <c r="C645" s="35">
        <f>IFERROR(VLOOKUP(B645,'SAÍDA DE VENDAS'!$B$6:$P$500,3,FALSE),"")</f>
        <v>0</v>
      </c>
      <c r="D645" s="34">
        <f>IFERROR(VLOOKUP(B645,'SAÍDA DE VENDAS'!$B$6:$P$500,4,FALSE),"")</f>
        <v>0</v>
      </c>
      <c r="E645" s="34" t="str">
        <f>IFERROR(VLOOKUP(B645,'SAÍDA DE VENDAS'!$B$6:$P$500,5,FALSE),"")</f>
        <v/>
      </c>
      <c r="F645" s="34" t="str">
        <f>IF(OR(ISBLANK(B645),B645=""), "", IFERROR(INDEX('SAÍDA DE VENDAS'!$H$6:$H$500 &amp; "x " &amp; 'SAÍDA DE VENDAS'!$G$6:$G$500, MATCH(B645, 'SAÍDA DE VENDAS'!$B$6:$B$500, 0)), "")&amp; IF(COUNTIF('SAÍDA DE VENDAS'!$B$6:$B$500, B645)&gt;1, " + " &amp; IFERROR(INDEX('SAÍDA DE VENDAS'!$H$6:$H$500 &amp; "x " &amp; 'SAÍDA DE VENDAS'!$G$6:$G$500, MATCH(B645, 'SAÍDA DE VENDAS'!$B$6:$B$500, 0)+1), ""), "")&amp; IF(COUNTIF('SAÍDA DE VENDAS'!$B$6:$B$500, B645)&gt;2, " + " &amp; IFERROR(INDEX('SAÍDA DE VENDAS'!$H$6:$H$500 &amp; "x " &amp; 'SAÍDA DE VENDAS'!$G$6:$G$500, MATCH(B645, 'SAÍDA DE VENDAS'!$B$6:$B$500, 0)+2), ""), "")&amp; IF(COUNTIF('SAÍDA DE VENDAS'!$B$6:$B$500, B645)&gt;3, " + " &amp; IFERROR(INDEX('SAÍDA DE VENDAS'!$H$6:$H$500 &amp; "x " &amp; 'SAÍDA DE VENDAS'!$G$6:$G$500, MATCH(B645, 'SAÍDA DE VENDAS'!$B$6:$B$500, 0)+3), ""), "")&amp; IF(COUNTIF('SAÍDA DE VENDAS'!$B$6:$B$500, B645)&gt;4, " + " &amp; IFERROR(INDEX('SAÍDA DE VENDAS'!$H$6:$H$500 &amp; "x " &amp; 'SAÍDA DE VENDAS'!$G$6:$G$500, MATCH(B645, 'SAÍDA DE VENDAS'!$B$6:$B$500, 0)+4), ""), "")&amp; IF(COUNTIF('SAÍDA DE VENDAS'!$B$6:$B$500, B645)&gt;5, " + " &amp; IFERROR(INDEX('SAÍDA DE VENDAS'!$H$6:$H$500 &amp; "x " &amp; 'SAÍDA DE VENDAS'!$G$6:$G$500, MATCH(B645, 'SAÍDA DE VENDAS'!$B$6:$B$500, 0)+5), ""), ""))</f>
        <v/>
      </c>
      <c r="G645" s="34">
        <f>IFERROR(VLOOKUP(B645,'SAÍDA DE VENDAS'!$B$6:$P$500,10,FALSE),"")</f>
        <v>0</v>
      </c>
      <c r="H645" s="34" t="str">
        <f>IF(OR(ISBLANK(B645),B645=""), "", IF(B645=B644, (VALUE(LEFT(H644,FIND("/",H644)-1))+1)&amp;"/"&amp;RIGHT(H644,LEN(H644)-FIND("/",H644)), "1/"&amp;IFERROR(VLOOKUP(B645,'SAÍDA DE VENDAS'!$B$6:$P$500,13,FALSE),"1")))</f>
        <v/>
      </c>
      <c r="I645" s="35" t="str">
        <f t="shared" si="18"/>
        <v/>
      </c>
      <c r="J645" s="39" t="str">
        <f>IFERROR(VLOOKUP(B645,'SAÍDA DE VENDAS'!$B$6:$P$500,15,FALSE),"")</f>
        <v/>
      </c>
      <c r="K645" s="34" t="str">
        <f t="shared" ca="1" si="19"/>
        <v/>
      </c>
      <c r="L645" s="34"/>
      <c r="M645" s="34"/>
    </row>
    <row r="646" spans="2:13" ht="15" customHeight="1" x14ac:dyDescent="0.3">
      <c r="B646" s="28" t="str">
        <f>IF(B645="","", IF(VALUE(LEFT(H645,FIND("/",H645)-1)) &lt; VALUE(RIGHT(H645,LEN(H645)-FIND("/",H645))), B645, IFERROR(INDEX('SAÍDA DE VENDAS'!$B$6:$B$500, MATCH(B645,'SAÍDA DE VENDAS'!$B$6:$B$500,0)+COUNTIF('SAÍDA DE VENDAS'!$B$6:$B$500, B645)),"")))</f>
        <v/>
      </c>
      <c r="C646" s="29">
        <f>IFERROR(VLOOKUP(B646,'SAÍDA DE VENDAS'!$B$6:$P$500,3,FALSE),"")</f>
        <v>0</v>
      </c>
      <c r="D646" s="28">
        <f>IFERROR(VLOOKUP(B646,'SAÍDA DE VENDAS'!$B$6:$P$500,4,FALSE),"")</f>
        <v>0</v>
      </c>
      <c r="E646" s="28" t="str">
        <f>IFERROR(VLOOKUP(B646,'SAÍDA DE VENDAS'!$B$6:$P$500,5,FALSE),"")</f>
        <v/>
      </c>
      <c r="F646" s="28" t="str">
        <f>IF(OR(ISBLANK(B646),B646=""), "", IFERROR(INDEX('SAÍDA DE VENDAS'!$H$6:$H$500 &amp; "x " &amp; 'SAÍDA DE VENDAS'!$G$6:$G$500, MATCH(B646, 'SAÍDA DE VENDAS'!$B$6:$B$500, 0)), "")&amp; IF(COUNTIF('SAÍDA DE VENDAS'!$B$6:$B$500, B646)&gt;1, " + " &amp; IFERROR(INDEX('SAÍDA DE VENDAS'!$H$6:$H$500 &amp; "x " &amp; 'SAÍDA DE VENDAS'!$G$6:$G$500, MATCH(B646, 'SAÍDA DE VENDAS'!$B$6:$B$500, 0)+1), ""), "")&amp; IF(COUNTIF('SAÍDA DE VENDAS'!$B$6:$B$500, B646)&gt;2, " + " &amp; IFERROR(INDEX('SAÍDA DE VENDAS'!$H$6:$H$500 &amp; "x " &amp; 'SAÍDA DE VENDAS'!$G$6:$G$500, MATCH(B646, 'SAÍDA DE VENDAS'!$B$6:$B$500, 0)+2), ""), "")&amp; IF(COUNTIF('SAÍDA DE VENDAS'!$B$6:$B$500, B646)&gt;3, " + " &amp; IFERROR(INDEX('SAÍDA DE VENDAS'!$H$6:$H$500 &amp; "x " &amp; 'SAÍDA DE VENDAS'!$G$6:$G$500, MATCH(B646, 'SAÍDA DE VENDAS'!$B$6:$B$500, 0)+3), ""), "")&amp; IF(COUNTIF('SAÍDA DE VENDAS'!$B$6:$B$500, B646)&gt;4, " + " &amp; IFERROR(INDEX('SAÍDA DE VENDAS'!$H$6:$H$500 &amp; "x " &amp; 'SAÍDA DE VENDAS'!$G$6:$G$500, MATCH(B646, 'SAÍDA DE VENDAS'!$B$6:$B$500, 0)+4), ""), "")&amp; IF(COUNTIF('SAÍDA DE VENDAS'!$B$6:$B$500, B646)&gt;5, " + " &amp; IFERROR(INDEX('SAÍDA DE VENDAS'!$H$6:$H$500 &amp; "x " &amp; 'SAÍDA DE VENDAS'!$G$6:$G$500, MATCH(B646, 'SAÍDA DE VENDAS'!$B$6:$B$500, 0)+5), ""), ""))</f>
        <v/>
      </c>
      <c r="G646" s="28">
        <f>IFERROR(VLOOKUP(B646,'SAÍDA DE VENDAS'!$B$6:$P$500,10,FALSE),"")</f>
        <v>0</v>
      </c>
      <c r="H646" s="28" t="str">
        <f>IF(OR(ISBLANK(B646),B646=""), "", IF(B646=B645, (VALUE(LEFT(H645,FIND("/",H645)-1))+1)&amp;"/"&amp;RIGHT(H645,LEN(H645)-FIND("/",H645)), "1/"&amp;IFERROR(VLOOKUP(B646,'SAÍDA DE VENDAS'!$B$6:$P$500,13,FALSE),"1")))</f>
        <v/>
      </c>
      <c r="I646" s="69" t="str">
        <f t="shared" ref="I646:I709" si="20">IF(OR(ISBLANK(B646), B646="", C646=""), "", C646 + (IFERROR(VALUE(LEFT(H646, FIND("/", H646)-1)), 1) * 30))</f>
        <v/>
      </c>
      <c r="J646" s="33" t="str">
        <f>IFERROR(VLOOKUP(B646,'SAÍDA DE VENDAS'!$B$6:$P$500,15,FALSE),"")</f>
        <v/>
      </c>
      <c r="K646" s="28" t="str">
        <f t="shared" ref="K646:K709" ca="1" si="21">IF(B646="","", IF(OR(G646="À Vista", L646&lt;&gt;""), "Pago", IF(AND(I646&lt;&gt;"", I646&lt;TODAY()), "Atrasado", "Pendente")))</f>
        <v/>
      </c>
      <c r="L646" s="28"/>
      <c r="M646" s="28"/>
    </row>
    <row r="647" spans="2:13" ht="15" customHeight="1" x14ac:dyDescent="0.3">
      <c r="B647" s="34" t="str">
        <f>IF(B646="","", IF(VALUE(LEFT(H646,FIND("/",H646)-1)) &lt; VALUE(RIGHT(H646,LEN(H646)-FIND("/",H646))), B646, IFERROR(INDEX('SAÍDA DE VENDAS'!$B$6:$B$500, MATCH(B646,'SAÍDA DE VENDAS'!$B$6:$B$500,0)+COUNTIF('SAÍDA DE VENDAS'!$B$6:$B$500, B646)),"")))</f>
        <v/>
      </c>
      <c r="C647" s="35">
        <f>IFERROR(VLOOKUP(B647,'SAÍDA DE VENDAS'!$B$6:$P$500,3,FALSE),"")</f>
        <v>0</v>
      </c>
      <c r="D647" s="34">
        <f>IFERROR(VLOOKUP(B647,'SAÍDA DE VENDAS'!$B$6:$P$500,4,FALSE),"")</f>
        <v>0</v>
      </c>
      <c r="E647" s="34" t="str">
        <f>IFERROR(VLOOKUP(B647,'SAÍDA DE VENDAS'!$B$6:$P$500,5,FALSE),"")</f>
        <v/>
      </c>
      <c r="F647" s="34" t="str">
        <f>IF(OR(ISBLANK(B647),B647=""), "", IFERROR(INDEX('SAÍDA DE VENDAS'!$H$6:$H$500 &amp; "x " &amp; 'SAÍDA DE VENDAS'!$G$6:$G$500, MATCH(B647, 'SAÍDA DE VENDAS'!$B$6:$B$500, 0)), "")&amp; IF(COUNTIF('SAÍDA DE VENDAS'!$B$6:$B$500, B647)&gt;1, " + " &amp; IFERROR(INDEX('SAÍDA DE VENDAS'!$H$6:$H$500 &amp; "x " &amp; 'SAÍDA DE VENDAS'!$G$6:$G$500, MATCH(B647, 'SAÍDA DE VENDAS'!$B$6:$B$500, 0)+1), ""), "")&amp; IF(COUNTIF('SAÍDA DE VENDAS'!$B$6:$B$500, B647)&gt;2, " + " &amp; IFERROR(INDEX('SAÍDA DE VENDAS'!$H$6:$H$500 &amp; "x " &amp; 'SAÍDA DE VENDAS'!$G$6:$G$500, MATCH(B647, 'SAÍDA DE VENDAS'!$B$6:$B$500, 0)+2), ""), "")&amp; IF(COUNTIF('SAÍDA DE VENDAS'!$B$6:$B$500, B647)&gt;3, " + " &amp; IFERROR(INDEX('SAÍDA DE VENDAS'!$H$6:$H$500 &amp; "x " &amp; 'SAÍDA DE VENDAS'!$G$6:$G$500, MATCH(B647, 'SAÍDA DE VENDAS'!$B$6:$B$500, 0)+3), ""), "")&amp; IF(COUNTIF('SAÍDA DE VENDAS'!$B$6:$B$500, B647)&gt;4, " + " &amp; IFERROR(INDEX('SAÍDA DE VENDAS'!$H$6:$H$500 &amp; "x " &amp; 'SAÍDA DE VENDAS'!$G$6:$G$500, MATCH(B647, 'SAÍDA DE VENDAS'!$B$6:$B$500, 0)+4), ""), "")&amp; IF(COUNTIF('SAÍDA DE VENDAS'!$B$6:$B$500, B647)&gt;5, " + " &amp; IFERROR(INDEX('SAÍDA DE VENDAS'!$H$6:$H$500 &amp; "x " &amp; 'SAÍDA DE VENDAS'!$G$6:$G$500, MATCH(B647, 'SAÍDA DE VENDAS'!$B$6:$B$500, 0)+5), ""), ""))</f>
        <v/>
      </c>
      <c r="G647" s="34">
        <f>IFERROR(VLOOKUP(B647,'SAÍDA DE VENDAS'!$B$6:$P$500,10,FALSE),"")</f>
        <v>0</v>
      </c>
      <c r="H647" s="34" t="str">
        <f>IF(OR(ISBLANK(B647),B647=""), "", IF(B647=B646, (VALUE(LEFT(H646,FIND("/",H646)-1))+1)&amp;"/"&amp;RIGHT(H646,LEN(H646)-FIND("/",H646)), "1/"&amp;IFERROR(VLOOKUP(B647,'SAÍDA DE VENDAS'!$B$6:$P$500,13,FALSE),"1")))</f>
        <v/>
      </c>
      <c r="I647" s="35" t="str">
        <f t="shared" si="20"/>
        <v/>
      </c>
      <c r="J647" s="39" t="str">
        <f>IFERROR(VLOOKUP(B647,'SAÍDA DE VENDAS'!$B$6:$P$500,15,FALSE),"")</f>
        <v/>
      </c>
      <c r="K647" s="34" t="str">
        <f t="shared" ca="1" si="21"/>
        <v/>
      </c>
      <c r="L647" s="34"/>
      <c r="M647" s="34"/>
    </row>
    <row r="648" spans="2:13" ht="15" customHeight="1" x14ac:dyDescent="0.3">
      <c r="B648" s="28" t="str">
        <f>IF(B647="","", IF(VALUE(LEFT(H647,FIND("/",H647)-1)) &lt; VALUE(RIGHT(H647,LEN(H647)-FIND("/",H647))), B647, IFERROR(INDEX('SAÍDA DE VENDAS'!$B$6:$B$500, MATCH(B647,'SAÍDA DE VENDAS'!$B$6:$B$500,0)+COUNTIF('SAÍDA DE VENDAS'!$B$6:$B$500, B647)),"")))</f>
        <v/>
      </c>
      <c r="C648" s="29">
        <f>IFERROR(VLOOKUP(B648,'SAÍDA DE VENDAS'!$B$6:$P$500,3,FALSE),"")</f>
        <v>0</v>
      </c>
      <c r="D648" s="28">
        <f>IFERROR(VLOOKUP(B648,'SAÍDA DE VENDAS'!$B$6:$P$500,4,FALSE),"")</f>
        <v>0</v>
      </c>
      <c r="E648" s="28" t="str">
        <f>IFERROR(VLOOKUP(B648,'SAÍDA DE VENDAS'!$B$6:$P$500,5,FALSE),"")</f>
        <v/>
      </c>
      <c r="F648" s="28" t="str">
        <f>IF(OR(ISBLANK(B648),B648=""), "", IFERROR(INDEX('SAÍDA DE VENDAS'!$H$6:$H$500 &amp; "x " &amp; 'SAÍDA DE VENDAS'!$G$6:$G$500, MATCH(B648, 'SAÍDA DE VENDAS'!$B$6:$B$500, 0)), "")&amp; IF(COUNTIF('SAÍDA DE VENDAS'!$B$6:$B$500, B648)&gt;1, " + " &amp; IFERROR(INDEX('SAÍDA DE VENDAS'!$H$6:$H$500 &amp; "x " &amp; 'SAÍDA DE VENDAS'!$G$6:$G$500, MATCH(B648, 'SAÍDA DE VENDAS'!$B$6:$B$500, 0)+1), ""), "")&amp; IF(COUNTIF('SAÍDA DE VENDAS'!$B$6:$B$500, B648)&gt;2, " + " &amp; IFERROR(INDEX('SAÍDA DE VENDAS'!$H$6:$H$500 &amp; "x " &amp; 'SAÍDA DE VENDAS'!$G$6:$G$500, MATCH(B648, 'SAÍDA DE VENDAS'!$B$6:$B$500, 0)+2), ""), "")&amp; IF(COUNTIF('SAÍDA DE VENDAS'!$B$6:$B$500, B648)&gt;3, " + " &amp; IFERROR(INDEX('SAÍDA DE VENDAS'!$H$6:$H$500 &amp; "x " &amp; 'SAÍDA DE VENDAS'!$G$6:$G$500, MATCH(B648, 'SAÍDA DE VENDAS'!$B$6:$B$500, 0)+3), ""), "")&amp; IF(COUNTIF('SAÍDA DE VENDAS'!$B$6:$B$500, B648)&gt;4, " + " &amp; IFERROR(INDEX('SAÍDA DE VENDAS'!$H$6:$H$500 &amp; "x " &amp; 'SAÍDA DE VENDAS'!$G$6:$G$500, MATCH(B648, 'SAÍDA DE VENDAS'!$B$6:$B$500, 0)+4), ""), "")&amp; IF(COUNTIF('SAÍDA DE VENDAS'!$B$6:$B$500, B648)&gt;5, " + " &amp; IFERROR(INDEX('SAÍDA DE VENDAS'!$H$6:$H$500 &amp; "x " &amp; 'SAÍDA DE VENDAS'!$G$6:$G$500, MATCH(B648, 'SAÍDA DE VENDAS'!$B$6:$B$500, 0)+5), ""), ""))</f>
        <v/>
      </c>
      <c r="G648" s="28">
        <f>IFERROR(VLOOKUP(B648,'SAÍDA DE VENDAS'!$B$6:$P$500,10,FALSE),"")</f>
        <v>0</v>
      </c>
      <c r="H648" s="28" t="str">
        <f>IF(OR(ISBLANK(B648),B648=""), "", IF(B648=B647, (VALUE(LEFT(H647,FIND("/",H647)-1))+1)&amp;"/"&amp;RIGHT(H647,LEN(H647)-FIND("/",H647)), "1/"&amp;IFERROR(VLOOKUP(B648,'SAÍDA DE VENDAS'!$B$6:$P$500,13,FALSE),"1")))</f>
        <v/>
      </c>
      <c r="I648" s="69" t="str">
        <f t="shared" si="20"/>
        <v/>
      </c>
      <c r="J648" s="33" t="str">
        <f>IFERROR(VLOOKUP(B648,'SAÍDA DE VENDAS'!$B$6:$P$500,15,FALSE),"")</f>
        <v/>
      </c>
      <c r="K648" s="28" t="str">
        <f t="shared" ca="1" si="21"/>
        <v/>
      </c>
      <c r="L648" s="28"/>
      <c r="M648" s="28"/>
    </row>
    <row r="649" spans="2:13" ht="15" customHeight="1" x14ac:dyDescent="0.3">
      <c r="B649" s="34" t="str">
        <f>IF(B648="","", IF(VALUE(LEFT(H648,FIND("/",H648)-1)) &lt; VALUE(RIGHT(H648,LEN(H648)-FIND("/",H648))), B648, IFERROR(INDEX('SAÍDA DE VENDAS'!$B$6:$B$500, MATCH(B648,'SAÍDA DE VENDAS'!$B$6:$B$500,0)+COUNTIF('SAÍDA DE VENDAS'!$B$6:$B$500, B648)),"")))</f>
        <v/>
      </c>
      <c r="C649" s="35">
        <f>IFERROR(VLOOKUP(B649,'SAÍDA DE VENDAS'!$B$6:$P$500,3,FALSE),"")</f>
        <v>0</v>
      </c>
      <c r="D649" s="34">
        <f>IFERROR(VLOOKUP(B649,'SAÍDA DE VENDAS'!$B$6:$P$500,4,FALSE),"")</f>
        <v>0</v>
      </c>
      <c r="E649" s="34" t="str">
        <f>IFERROR(VLOOKUP(B649,'SAÍDA DE VENDAS'!$B$6:$P$500,5,FALSE),"")</f>
        <v/>
      </c>
      <c r="F649" s="34" t="str">
        <f>IF(OR(ISBLANK(B649),B649=""), "", IFERROR(INDEX('SAÍDA DE VENDAS'!$H$6:$H$500 &amp; "x " &amp; 'SAÍDA DE VENDAS'!$G$6:$G$500, MATCH(B649, 'SAÍDA DE VENDAS'!$B$6:$B$500, 0)), "")&amp; IF(COUNTIF('SAÍDA DE VENDAS'!$B$6:$B$500, B649)&gt;1, " + " &amp; IFERROR(INDEX('SAÍDA DE VENDAS'!$H$6:$H$500 &amp; "x " &amp; 'SAÍDA DE VENDAS'!$G$6:$G$500, MATCH(B649, 'SAÍDA DE VENDAS'!$B$6:$B$500, 0)+1), ""), "")&amp; IF(COUNTIF('SAÍDA DE VENDAS'!$B$6:$B$500, B649)&gt;2, " + " &amp; IFERROR(INDEX('SAÍDA DE VENDAS'!$H$6:$H$500 &amp; "x " &amp; 'SAÍDA DE VENDAS'!$G$6:$G$500, MATCH(B649, 'SAÍDA DE VENDAS'!$B$6:$B$500, 0)+2), ""), "")&amp; IF(COUNTIF('SAÍDA DE VENDAS'!$B$6:$B$500, B649)&gt;3, " + " &amp; IFERROR(INDEX('SAÍDA DE VENDAS'!$H$6:$H$500 &amp; "x " &amp; 'SAÍDA DE VENDAS'!$G$6:$G$500, MATCH(B649, 'SAÍDA DE VENDAS'!$B$6:$B$500, 0)+3), ""), "")&amp; IF(COUNTIF('SAÍDA DE VENDAS'!$B$6:$B$500, B649)&gt;4, " + " &amp; IFERROR(INDEX('SAÍDA DE VENDAS'!$H$6:$H$500 &amp; "x " &amp; 'SAÍDA DE VENDAS'!$G$6:$G$500, MATCH(B649, 'SAÍDA DE VENDAS'!$B$6:$B$500, 0)+4), ""), "")&amp; IF(COUNTIF('SAÍDA DE VENDAS'!$B$6:$B$500, B649)&gt;5, " + " &amp; IFERROR(INDEX('SAÍDA DE VENDAS'!$H$6:$H$500 &amp; "x " &amp; 'SAÍDA DE VENDAS'!$G$6:$G$500, MATCH(B649, 'SAÍDA DE VENDAS'!$B$6:$B$500, 0)+5), ""), ""))</f>
        <v/>
      </c>
      <c r="G649" s="34">
        <f>IFERROR(VLOOKUP(B649,'SAÍDA DE VENDAS'!$B$6:$P$500,10,FALSE),"")</f>
        <v>0</v>
      </c>
      <c r="H649" s="34" t="str">
        <f>IF(OR(ISBLANK(B649),B649=""), "", IF(B649=B648, (VALUE(LEFT(H648,FIND("/",H648)-1))+1)&amp;"/"&amp;RIGHT(H648,LEN(H648)-FIND("/",H648)), "1/"&amp;IFERROR(VLOOKUP(B649,'SAÍDA DE VENDAS'!$B$6:$P$500,13,FALSE),"1")))</f>
        <v/>
      </c>
      <c r="I649" s="35" t="str">
        <f t="shared" si="20"/>
        <v/>
      </c>
      <c r="J649" s="39" t="str">
        <f>IFERROR(VLOOKUP(B649,'SAÍDA DE VENDAS'!$B$6:$P$500,15,FALSE),"")</f>
        <v/>
      </c>
      <c r="K649" s="34" t="str">
        <f t="shared" ca="1" si="21"/>
        <v/>
      </c>
      <c r="L649" s="34"/>
      <c r="M649" s="34"/>
    </row>
    <row r="650" spans="2:13" ht="15" customHeight="1" x14ac:dyDescent="0.3">
      <c r="B650" s="28" t="str">
        <f>IF(B649="","", IF(VALUE(LEFT(H649,FIND("/",H649)-1)) &lt; VALUE(RIGHT(H649,LEN(H649)-FIND("/",H649))), B649, IFERROR(INDEX('SAÍDA DE VENDAS'!$B$6:$B$500, MATCH(B649,'SAÍDA DE VENDAS'!$B$6:$B$500,0)+COUNTIF('SAÍDA DE VENDAS'!$B$6:$B$500, B649)),"")))</f>
        <v/>
      </c>
      <c r="C650" s="29">
        <f>IFERROR(VLOOKUP(B650,'SAÍDA DE VENDAS'!$B$6:$P$500,3,FALSE),"")</f>
        <v>0</v>
      </c>
      <c r="D650" s="28">
        <f>IFERROR(VLOOKUP(B650,'SAÍDA DE VENDAS'!$B$6:$P$500,4,FALSE),"")</f>
        <v>0</v>
      </c>
      <c r="E650" s="28" t="str">
        <f>IFERROR(VLOOKUP(B650,'SAÍDA DE VENDAS'!$B$6:$P$500,5,FALSE),"")</f>
        <v/>
      </c>
      <c r="F650" s="28" t="str">
        <f>IF(OR(ISBLANK(B650),B650=""), "", IFERROR(INDEX('SAÍDA DE VENDAS'!$H$6:$H$500 &amp; "x " &amp; 'SAÍDA DE VENDAS'!$G$6:$G$500, MATCH(B650, 'SAÍDA DE VENDAS'!$B$6:$B$500, 0)), "")&amp; IF(COUNTIF('SAÍDA DE VENDAS'!$B$6:$B$500, B650)&gt;1, " + " &amp; IFERROR(INDEX('SAÍDA DE VENDAS'!$H$6:$H$500 &amp; "x " &amp; 'SAÍDA DE VENDAS'!$G$6:$G$500, MATCH(B650, 'SAÍDA DE VENDAS'!$B$6:$B$500, 0)+1), ""), "")&amp; IF(COUNTIF('SAÍDA DE VENDAS'!$B$6:$B$500, B650)&gt;2, " + " &amp; IFERROR(INDEX('SAÍDA DE VENDAS'!$H$6:$H$500 &amp; "x " &amp; 'SAÍDA DE VENDAS'!$G$6:$G$500, MATCH(B650, 'SAÍDA DE VENDAS'!$B$6:$B$500, 0)+2), ""), "")&amp; IF(COUNTIF('SAÍDA DE VENDAS'!$B$6:$B$500, B650)&gt;3, " + " &amp; IFERROR(INDEX('SAÍDA DE VENDAS'!$H$6:$H$500 &amp; "x " &amp; 'SAÍDA DE VENDAS'!$G$6:$G$500, MATCH(B650, 'SAÍDA DE VENDAS'!$B$6:$B$500, 0)+3), ""), "")&amp; IF(COUNTIF('SAÍDA DE VENDAS'!$B$6:$B$500, B650)&gt;4, " + " &amp; IFERROR(INDEX('SAÍDA DE VENDAS'!$H$6:$H$500 &amp; "x " &amp; 'SAÍDA DE VENDAS'!$G$6:$G$500, MATCH(B650, 'SAÍDA DE VENDAS'!$B$6:$B$500, 0)+4), ""), "")&amp; IF(COUNTIF('SAÍDA DE VENDAS'!$B$6:$B$500, B650)&gt;5, " + " &amp; IFERROR(INDEX('SAÍDA DE VENDAS'!$H$6:$H$500 &amp; "x " &amp; 'SAÍDA DE VENDAS'!$G$6:$G$500, MATCH(B650, 'SAÍDA DE VENDAS'!$B$6:$B$500, 0)+5), ""), ""))</f>
        <v/>
      </c>
      <c r="G650" s="28">
        <f>IFERROR(VLOOKUP(B650,'SAÍDA DE VENDAS'!$B$6:$P$500,10,FALSE),"")</f>
        <v>0</v>
      </c>
      <c r="H650" s="28" t="str">
        <f>IF(OR(ISBLANK(B650),B650=""), "", IF(B650=B649, (VALUE(LEFT(H649,FIND("/",H649)-1))+1)&amp;"/"&amp;RIGHT(H649,LEN(H649)-FIND("/",H649)), "1/"&amp;IFERROR(VLOOKUP(B650,'SAÍDA DE VENDAS'!$B$6:$P$500,13,FALSE),"1")))</f>
        <v/>
      </c>
      <c r="I650" s="69" t="str">
        <f t="shared" si="20"/>
        <v/>
      </c>
      <c r="J650" s="33" t="str">
        <f>IFERROR(VLOOKUP(B650,'SAÍDA DE VENDAS'!$B$6:$P$500,15,FALSE),"")</f>
        <v/>
      </c>
      <c r="K650" s="28" t="str">
        <f t="shared" ca="1" si="21"/>
        <v/>
      </c>
      <c r="L650" s="28"/>
      <c r="M650" s="28"/>
    </row>
    <row r="651" spans="2:13" ht="15" customHeight="1" x14ac:dyDescent="0.3">
      <c r="B651" s="34" t="str">
        <f>IF(B650="","", IF(VALUE(LEFT(H650,FIND("/",H650)-1)) &lt; VALUE(RIGHT(H650,LEN(H650)-FIND("/",H650))), B650, IFERROR(INDEX('SAÍDA DE VENDAS'!$B$6:$B$500, MATCH(B650,'SAÍDA DE VENDAS'!$B$6:$B$500,0)+COUNTIF('SAÍDA DE VENDAS'!$B$6:$B$500, B650)),"")))</f>
        <v/>
      </c>
      <c r="C651" s="35">
        <f>IFERROR(VLOOKUP(B651,'SAÍDA DE VENDAS'!$B$6:$P$500,3,FALSE),"")</f>
        <v>0</v>
      </c>
      <c r="D651" s="34">
        <f>IFERROR(VLOOKUP(B651,'SAÍDA DE VENDAS'!$B$6:$P$500,4,FALSE),"")</f>
        <v>0</v>
      </c>
      <c r="E651" s="34" t="str">
        <f>IFERROR(VLOOKUP(B651,'SAÍDA DE VENDAS'!$B$6:$P$500,5,FALSE),"")</f>
        <v/>
      </c>
      <c r="F651" s="34" t="str">
        <f>IF(OR(ISBLANK(B651),B651=""), "", IFERROR(INDEX('SAÍDA DE VENDAS'!$H$6:$H$500 &amp; "x " &amp; 'SAÍDA DE VENDAS'!$G$6:$G$500, MATCH(B651, 'SAÍDA DE VENDAS'!$B$6:$B$500, 0)), "")&amp; IF(COUNTIF('SAÍDA DE VENDAS'!$B$6:$B$500, B651)&gt;1, " + " &amp; IFERROR(INDEX('SAÍDA DE VENDAS'!$H$6:$H$500 &amp; "x " &amp; 'SAÍDA DE VENDAS'!$G$6:$G$500, MATCH(B651, 'SAÍDA DE VENDAS'!$B$6:$B$500, 0)+1), ""), "")&amp; IF(COUNTIF('SAÍDA DE VENDAS'!$B$6:$B$500, B651)&gt;2, " + " &amp; IFERROR(INDEX('SAÍDA DE VENDAS'!$H$6:$H$500 &amp; "x " &amp; 'SAÍDA DE VENDAS'!$G$6:$G$500, MATCH(B651, 'SAÍDA DE VENDAS'!$B$6:$B$500, 0)+2), ""), "")&amp; IF(COUNTIF('SAÍDA DE VENDAS'!$B$6:$B$500, B651)&gt;3, " + " &amp; IFERROR(INDEX('SAÍDA DE VENDAS'!$H$6:$H$500 &amp; "x " &amp; 'SAÍDA DE VENDAS'!$G$6:$G$500, MATCH(B651, 'SAÍDA DE VENDAS'!$B$6:$B$500, 0)+3), ""), "")&amp; IF(COUNTIF('SAÍDA DE VENDAS'!$B$6:$B$500, B651)&gt;4, " + " &amp; IFERROR(INDEX('SAÍDA DE VENDAS'!$H$6:$H$500 &amp; "x " &amp; 'SAÍDA DE VENDAS'!$G$6:$G$500, MATCH(B651, 'SAÍDA DE VENDAS'!$B$6:$B$500, 0)+4), ""), "")&amp; IF(COUNTIF('SAÍDA DE VENDAS'!$B$6:$B$500, B651)&gt;5, " + " &amp; IFERROR(INDEX('SAÍDA DE VENDAS'!$H$6:$H$500 &amp; "x " &amp; 'SAÍDA DE VENDAS'!$G$6:$G$500, MATCH(B651, 'SAÍDA DE VENDAS'!$B$6:$B$500, 0)+5), ""), ""))</f>
        <v/>
      </c>
      <c r="G651" s="34">
        <f>IFERROR(VLOOKUP(B651,'SAÍDA DE VENDAS'!$B$6:$P$500,10,FALSE),"")</f>
        <v>0</v>
      </c>
      <c r="H651" s="34" t="str">
        <f>IF(OR(ISBLANK(B651),B651=""), "", IF(B651=B650, (VALUE(LEFT(H650,FIND("/",H650)-1))+1)&amp;"/"&amp;RIGHT(H650,LEN(H650)-FIND("/",H650)), "1/"&amp;IFERROR(VLOOKUP(B651,'SAÍDA DE VENDAS'!$B$6:$P$500,13,FALSE),"1")))</f>
        <v/>
      </c>
      <c r="I651" s="35" t="str">
        <f t="shared" si="20"/>
        <v/>
      </c>
      <c r="J651" s="39" t="str">
        <f>IFERROR(VLOOKUP(B651,'SAÍDA DE VENDAS'!$B$6:$P$500,15,FALSE),"")</f>
        <v/>
      </c>
      <c r="K651" s="34" t="str">
        <f t="shared" ca="1" si="21"/>
        <v/>
      </c>
      <c r="L651" s="34"/>
      <c r="M651" s="34"/>
    </row>
    <row r="652" spans="2:13" ht="15" customHeight="1" x14ac:dyDescent="0.3">
      <c r="B652" s="28" t="str">
        <f>IF(B651="","", IF(VALUE(LEFT(H651,FIND("/",H651)-1)) &lt; VALUE(RIGHT(H651,LEN(H651)-FIND("/",H651))), B651, IFERROR(INDEX('SAÍDA DE VENDAS'!$B$6:$B$500, MATCH(B651,'SAÍDA DE VENDAS'!$B$6:$B$500,0)+COUNTIF('SAÍDA DE VENDAS'!$B$6:$B$500, B651)),"")))</f>
        <v/>
      </c>
      <c r="C652" s="29">
        <f>IFERROR(VLOOKUP(B652,'SAÍDA DE VENDAS'!$B$6:$P$500,3,FALSE),"")</f>
        <v>0</v>
      </c>
      <c r="D652" s="28">
        <f>IFERROR(VLOOKUP(B652,'SAÍDA DE VENDAS'!$B$6:$P$500,4,FALSE),"")</f>
        <v>0</v>
      </c>
      <c r="E652" s="28" t="str">
        <f>IFERROR(VLOOKUP(B652,'SAÍDA DE VENDAS'!$B$6:$P$500,5,FALSE),"")</f>
        <v/>
      </c>
      <c r="F652" s="28" t="str">
        <f>IF(OR(ISBLANK(B652),B652=""), "", IFERROR(INDEX('SAÍDA DE VENDAS'!$H$6:$H$500 &amp; "x " &amp; 'SAÍDA DE VENDAS'!$G$6:$G$500, MATCH(B652, 'SAÍDA DE VENDAS'!$B$6:$B$500, 0)), "")&amp; IF(COUNTIF('SAÍDA DE VENDAS'!$B$6:$B$500, B652)&gt;1, " + " &amp; IFERROR(INDEX('SAÍDA DE VENDAS'!$H$6:$H$500 &amp; "x " &amp; 'SAÍDA DE VENDAS'!$G$6:$G$500, MATCH(B652, 'SAÍDA DE VENDAS'!$B$6:$B$500, 0)+1), ""), "")&amp; IF(COUNTIF('SAÍDA DE VENDAS'!$B$6:$B$500, B652)&gt;2, " + " &amp; IFERROR(INDEX('SAÍDA DE VENDAS'!$H$6:$H$500 &amp; "x " &amp; 'SAÍDA DE VENDAS'!$G$6:$G$500, MATCH(B652, 'SAÍDA DE VENDAS'!$B$6:$B$500, 0)+2), ""), "")&amp; IF(COUNTIF('SAÍDA DE VENDAS'!$B$6:$B$500, B652)&gt;3, " + " &amp; IFERROR(INDEX('SAÍDA DE VENDAS'!$H$6:$H$500 &amp; "x " &amp; 'SAÍDA DE VENDAS'!$G$6:$G$500, MATCH(B652, 'SAÍDA DE VENDAS'!$B$6:$B$500, 0)+3), ""), "")&amp; IF(COUNTIF('SAÍDA DE VENDAS'!$B$6:$B$500, B652)&gt;4, " + " &amp; IFERROR(INDEX('SAÍDA DE VENDAS'!$H$6:$H$500 &amp; "x " &amp; 'SAÍDA DE VENDAS'!$G$6:$G$500, MATCH(B652, 'SAÍDA DE VENDAS'!$B$6:$B$500, 0)+4), ""), "")&amp; IF(COUNTIF('SAÍDA DE VENDAS'!$B$6:$B$500, B652)&gt;5, " + " &amp; IFERROR(INDEX('SAÍDA DE VENDAS'!$H$6:$H$500 &amp; "x " &amp; 'SAÍDA DE VENDAS'!$G$6:$G$500, MATCH(B652, 'SAÍDA DE VENDAS'!$B$6:$B$500, 0)+5), ""), ""))</f>
        <v/>
      </c>
      <c r="G652" s="28">
        <f>IFERROR(VLOOKUP(B652,'SAÍDA DE VENDAS'!$B$6:$P$500,10,FALSE),"")</f>
        <v>0</v>
      </c>
      <c r="H652" s="28" t="str">
        <f>IF(OR(ISBLANK(B652),B652=""), "", IF(B652=B651, (VALUE(LEFT(H651,FIND("/",H651)-1))+1)&amp;"/"&amp;RIGHT(H651,LEN(H651)-FIND("/",H651)), "1/"&amp;IFERROR(VLOOKUP(B652,'SAÍDA DE VENDAS'!$B$6:$P$500,13,FALSE),"1")))</f>
        <v/>
      </c>
      <c r="I652" s="69" t="str">
        <f t="shared" si="20"/>
        <v/>
      </c>
      <c r="J652" s="33" t="str">
        <f>IFERROR(VLOOKUP(B652,'SAÍDA DE VENDAS'!$B$6:$P$500,15,FALSE),"")</f>
        <v/>
      </c>
      <c r="K652" s="28" t="str">
        <f t="shared" ca="1" si="21"/>
        <v/>
      </c>
      <c r="L652" s="28"/>
      <c r="M652" s="28"/>
    </row>
    <row r="653" spans="2:13" ht="15" customHeight="1" x14ac:dyDescent="0.3">
      <c r="B653" s="34" t="str">
        <f>IF(B652="","", IF(VALUE(LEFT(H652,FIND("/",H652)-1)) &lt; VALUE(RIGHT(H652,LEN(H652)-FIND("/",H652))), B652, IFERROR(INDEX('SAÍDA DE VENDAS'!$B$6:$B$500, MATCH(B652,'SAÍDA DE VENDAS'!$B$6:$B$500,0)+COUNTIF('SAÍDA DE VENDAS'!$B$6:$B$500, B652)),"")))</f>
        <v/>
      </c>
      <c r="C653" s="35">
        <f>IFERROR(VLOOKUP(B653,'SAÍDA DE VENDAS'!$B$6:$P$500,3,FALSE),"")</f>
        <v>0</v>
      </c>
      <c r="D653" s="34">
        <f>IFERROR(VLOOKUP(B653,'SAÍDA DE VENDAS'!$B$6:$P$500,4,FALSE),"")</f>
        <v>0</v>
      </c>
      <c r="E653" s="34" t="str">
        <f>IFERROR(VLOOKUP(B653,'SAÍDA DE VENDAS'!$B$6:$P$500,5,FALSE),"")</f>
        <v/>
      </c>
      <c r="F653" s="34" t="str">
        <f>IF(OR(ISBLANK(B653),B653=""), "", IFERROR(INDEX('SAÍDA DE VENDAS'!$H$6:$H$500 &amp; "x " &amp; 'SAÍDA DE VENDAS'!$G$6:$G$500, MATCH(B653, 'SAÍDA DE VENDAS'!$B$6:$B$500, 0)), "")&amp; IF(COUNTIF('SAÍDA DE VENDAS'!$B$6:$B$500, B653)&gt;1, " + " &amp; IFERROR(INDEX('SAÍDA DE VENDAS'!$H$6:$H$500 &amp; "x " &amp; 'SAÍDA DE VENDAS'!$G$6:$G$500, MATCH(B653, 'SAÍDA DE VENDAS'!$B$6:$B$500, 0)+1), ""), "")&amp; IF(COUNTIF('SAÍDA DE VENDAS'!$B$6:$B$500, B653)&gt;2, " + " &amp; IFERROR(INDEX('SAÍDA DE VENDAS'!$H$6:$H$500 &amp; "x " &amp; 'SAÍDA DE VENDAS'!$G$6:$G$500, MATCH(B653, 'SAÍDA DE VENDAS'!$B$6:$B$500, 0)+2), ""), "")&amp; IF(COUNTIF('SAÍDA DE VENDAS'!$B$6:$B$500, B653)&gt;3, " + " &amp; IFERROR(INDEX('SAÍDA DE VENDAS'!$H$6:$H$500 &amp; "x " &amp; 'SAÍDA DE VENDAS'!$G$6:$G$500, MATCH(B653, 'SAÍDA DE VENDAS'!$B$6:$B$500, 0)+3), ""), "")&amp; IF(COUNTIF('SAÍDA DE VENDAS'!$B$6:$B$500, B653)&gt;4, " + " &amp; IFERROR(INDEX('SAÍDA DE VENDAS'!$H$6:$H$500 &amp; "x " &amp; 'SAÍDA DE VENDAS'!$G$6:$G$500, MATCH(B653, 'SAÍDA DE VENDAS'!$B$6:$B$500, 0)+4), ""), "")&amp; IF(COUNTIF('SAÍDA DE VENDAS'!$B$6:$B$500, B653)&gt;5, " + " &amp; IFERROR(INDEX('SAÍDA DE VENDAS'!$H$6:$H$500 &amp; "x " &amp; 'SAÍDA DE VENDAS'!$G$6:$G$500, MATCH(B653, 'SAÍDA DE VENDAS'!$B$6:$B$500, 0)+5), ""), ""))</f>
        <v/>
      </c>
      <c r="G653" s="34">
        <f>IFERROR(VLOOKUP(B653,'SAÍDA DE VENDAS'!$B$6:$P$500,10,FALSE),"")</f>
        <v>0</v>
      </c>
      <c r="H653" s="34" t="str">
        <f>IF(OR(ISBLANK(B653),B653=""), "", IF(B653=B652, (VALUE(LEFT(H652,FIND("/",H652)-1))+1)&amp;"/"&amp;RIGHT(H652,LEN(H652)-FIND("/",H652)), "1/"&amp;IFERROR(VLOOKUP(B653,'SAÍDA DE VENDAS'!$B$6:$P$500,13,FALSE),"1")))</f>
        <v/>
      </c>
      <c r="I653" s="35" t="str">
        <f t="shared" si="20"/>
        <v/>
      </c>
      <c r="J653" s="39" t="str">
        <f>IFERROR(VLOOKUP(B653,'SAÍDA DE VENDAS'!$B$6:$P$500,15,FALSE),"")</f>
        <v/>
      </c>
      <c r="K653" s="34" t="str">
        <f t="shared" ca="1" si="21"/>
        <v/>
      </c>
      <c r="L653" s="34"/>
      <c r="M653" s="34"/>
    </row>
    <row r="654" spans="2:13" ht="15" customHeight="1" x14ac:dyDescent="0.3">
      <c r="B654" s="28" t="str">
        <f>IF(B653="","", IF(VALUE(LEFT(H653,FIND("/",H653)-1)) &lt; VALUE(RIGHT(H653,LEN(H653)-FIND("/",H653))), B653, IFERROR(INDEX('SAÍDA DE VENDAS'!$B$6:$B$500, MATCH(B653,'SAÍDA DE VENDAS'!$B$6:$B$500,0)+COUNTIF('SAÍDA DE VENDAS'!$B$6:$B$500, B653)),"")))</f>
        <v/>
      </c>
      <c r="C654" s="29">
        <f>IFERROR(VLOOKUP(B654,'SAÍDA DE VENDAS'!$B$6:$P$500,3,FALSE),"")</f>
        <v>0</v>
      </c>
      <c r="D654" s="28">
        <f>IFERROR(VLOOKUP(B654,'SAÍDA DE VENDAS'!$B$6:$P$500,4,FALSE),"")</f>
        <v>0</v>
      </c>
      <c r="E654" s="28" t="str">
        <f>IFERROR(VLOOKUP(B654,'SAÍDA DE VENDAS'!$B$6:$P$500,5,FALSE),"")</f>
        <v/>
      </c>
      <c r="F654" s="28" t="str">
        <f>IF(OR(ISBLANK(B654),B654=""), "", IFERROR(INDEX('SAÍDA DE VENDAS'!$H$6:$H$500 &amp; "x " &amp; 'SAÍDA DE VENDAS'!$G$6:$G$500, MATCH(B654, 'SAÍDA DE VENDAS'!$B$6:$B$500, 0)), "")&amp; IF(COUNTIF('SAÍDA DE VENDAS'!$B$6:$B$500, B654)&gt;1, " + " &amp; IFERROR(INDEX('SAÍDA DE VENDAS'!$H$6:$H$500 &amp; "x " &amp; 'SAÍDA DE VENDAS'!$G$6:$G$500, MATCH(B654, 'SAÍDA DE VENDAS'!$B$6:$B$500, 0)+1), ""), "")&amp; IF(COUNTIF('SAÍDA DE VENDAS'!$B$6:$B$500, B654)&gt;2, " + " &amp; IFERROR(INDEX('SAÍDA DE VENDAS'!$H$6:$H$500 &amp; "x " &amp; 'SAÍDA DE VENDAS'!$G$6:$G$500, MATCH(B654, 'SAÍDA DE VENDAS'!$B$6:$B$500, 0)+2), ""), "")&amp; IF(COUNTIF('SAÍDA DE VENDAS'!$B$6:$B$500, B654)&gt;3, " + " &amp; IFERROR(INDEX('SAÍDA DE VENDAS'!$H$6:$H$500 &amp; "x " &amp; 'SAÍDA DE VENDAS'!$G$6:$G$500, MATCH(B654, 'SAÍDA DE VENDAS'!$B$6:$B$500, 0)+3), ""), "")&amp; IF(COUNTIF('SAÍDA DE VENDAS'!$B$6:$B$500, B654)&gt;4, " + " &amp; IFERROR(INDEX('SAÍDA DE VENDAS'!$H$6:$H$500 &amp; "x " &amp; 'SAÍDA DE VENDAS'!$G$6:$G$500, MATCH(B654, 'SAÍDA DE VENDAS'!$B$6:$B$500, 0)+4), ""), "")&amp; IF(COUNTIF('SAÍDA DE VENDAS'!$B$6:$B$500, B654)&gt;5, " + " &amp; IFERROR(INDEX('SAÍDA DE VENDAS'!$H$6:$H$500 &amp; "x " &amp; 'SAÍDA DE VENDAS'!$G$6:$G$500, MATCH(B654, 'SAÍDA DE VENDAS'!$B$6:$B$500, 0)+5), ""), ""))</f>
        <v/>
      </c>
      <c r="G654" s="28">
        <f>IFERROR(VLOOKUP(B654,'SAÍDA DE VENDAS'!$B$6:$P$500,10,FALSE),"")</f>
        <v>0</v>
      </c>
      <c r="H654" s="28" t="str">
        <f>IF(OR(ISBLANK(B654),B654=""), "", IF(B654=B653, (VALUE(LEFT(H653,FIND("/",H653)-1))+1)&amp;"/"&amp;RIGHT(H653,LEN(H653)-FIND("/",H653)), "1/"&amp;IFERROR(VLOOKUP(B654,'SAÍDA DE VENDAS'!$B$6:$P$500,13,FALSE),"1")))</f>
        <v/>
      </c>
      <c r="I654" s="69" t="str">
        <f t="shared" si="20"/>
        <v/>
      </c>
      <c r="J654" s="33" t="str">
        <f>IFERROR(VLOOKUP(B654,'SAÍDA DE VENDAS'!$B$6:$P$500,15,FALSE),"")</f>
        <v/>
      </c>
      <c r="K654" s="28" t="str">
        <f t="shared" ca="1" si="21"/>
        <v/>
      </c>
      <c r="L654" s="28"/>
      <c r="M654" s="28"/>
    </row>
    <row r="655" spans="2:13" ht="15" customHeight="1" x14ac:dyDescent="0.3">
      <c r="B655" s="34" t="str">
        <f>IF(B654="","", IF(VALUE(LEFT(H654,FIND("/",H654)-1)) &lt; VALUE(RIGHT(H654,LEN(H654)-FIND("/",H654))), B654, IFERROR(INDEX('SAÍDA DE VENDAS'!$B$6:$B$500, MATCH(B654,'SAÍDA DE VENDAS'!$B$6:$B$500,0)+COUNTIF('SAÍDA DE VENDAS'!$B$6:$B$500, B654)),"")))</f>
        <v/>
      </c>
      <c r="C655" s="35">
        <f>IFERROR(VLOOKUP(B655,'SAÍDA DE VENDAS'!$B$6:$P$500,3,FALSE),"")</f>
        <v>0</v>
      </c>
      <c r="D655" s="34">
        <f>IFERROR(VLOOKUP(B655,'SAÍDA DE VENDAS'!$B$6:$P$500,4,FALSE),"")</f>
        <v>0</v>
      </c>
      <c r="E655" s="34" t="str">
        <f>IFERROR(VLOOKUP(B655,'SAÍDA DE VENDAS'!$B$6:$P$500,5,FALSE),"")</f>
        <v/>
      </c>
      <c r="F655" s="34" t="str">
        <f>IF(OR(ISBLANK(B655),B655=""), "", IFERROR(INDEX('SAÍDA DE VENDAS'!$H$6:$H$500 &amp; "x " &amp; 'SAÍDA DE VENDAS'!$G$6:$G$500, MATCH(B655, 'SAÍDA DE VENDAS'!$B$6:$B$500, 0)), "")&amp; IF(COUNTIF('SAÍDA DE VENDAS'!$B$6:$B$500, B655)&gt;1, " + " &amp; IFERROR(INDEX('SAÍDA DE VENDAS'!$H$6:$H$500 &amp; "x " &amp; 'SAÍDA DE VENDAS'!$G$6:$G$500, MATCH(B655, 'SAÍDA DE VENDAS'!$B$6:$B$500, 0)+1), ""), "")&amp; IF(COUNTIF('SAÍDA DE VENDAS'!$B$6:$B$500, B655)&gt;2, " + " &amp; IFERROR(INDEX('SAÍDA DE VENDAS'!$H$6:$H$500 &amp; "x " &amp; 'SAÍDA DE VENDAS'!$G$6:$G$500, MATCH(B655, 'SAÍDA DE VENDAS'!$B$6:$B$500, 0)+2), ""), "")&amp; IF(COUNTIF('SAÍDA DE VENDAS'!$B$6:$B$500, B655)&gt;3, " + " &amp; IFERROR(INDEX('SAÍDA DE VENDAS'!$H$6:$H$500 &amp; "x " &amp; 'SAÍDA DE VENDAS'!$G$6:$G$500, MATCH(B655, 'SAÍDA DE VENDAS'!$B$6:$B$500, 0)+3), ""), "")&amp; IF(COUNTIF('SAÍDA DE VENDAS'!$B$6:$B$500, B655)&gt;4, " + " &amp; IFERROR(INDEX('SAÍDA DE VENDAS'!$H$6:$H$500 &amp; "x " &amp; 'SAÍDA DE VENDAS'!$G$6:$G$500, MATCH(B655, 'SAÍDA DE VENDAS'!$B$6:$B$500, 0)+4), ""), "")&amp; IF(COUNTIF('SAÍDA DE VENDAS'!$B$6:$B$500, B655)&gt;5, " + " &amp; IFERROR(INDEX('SAÍDA DE VENDAS'!$H$6:$H$500 &amp; "x " &amp; 'SAÍDA DE VENDAS'!$G$6:$G$500, MATCH(B655, 'SAÍDA DE VENDAS'!$B$6:$B$500, 0)+5), ""), ""))</f>
        <v/>
      </c>
      <c r="G655" s="34">
        <f>IFERROR(VLOOKUP(B655,'SAÍDA DE VENDAS'!$B$6:$P$500,10,FALSE),"")</f>
        <v>0</v>
      </c>
      <c r="H655" s="34" t="str">
        <f>IF(OR(ISBLANK(B655),B655=""), "", IF(B655=B654, (VALUE(LEFT(H654,FIND("/",H654)-1))+1)&amp;"/"&amp;RIGHT(H654,LEN(H654)-FIND("/",H654)), "1/"&amp;IFERROR(VLOOKUP(B655,'SAÍDA DE VENDAS'!$B$6:$P$500,13,FALSE),"1")))</f>
        <v/>
      </c>
      <c r="I655" s="35" t="str">
        <f t="shared" si="20"/>
        <v/>
      </c>
      <c r="J655" s="39" t="str">
        <f>IFERROR(VLOOKUP(B655,'SAÍDA DE VENDAS'!$B$6:$P$500,15,FALSE),"")</f>
        <v/>
      </c>
      <c r="K655" s="34" t="str">
        <f t="shared" ca="1" si="21"/>
        <v/>
      </c>
      <c r="L655" s="34"/>
      <c r="M655" s="34"/>
    </row>
    <row r="656" spans="2:13" ht="15" customHeight="1" x14ac:dyDescent="0.3">
      <c r="B656" s="28" t="str">
        <f>IF(B655="","", IF(VALUE(LEFT(H655,FIND("/",H655)-1)) &lt; VALUE(RIGHT(H655,LEN(H655)-FIND("/",H655))), B655, IFERROR(INDEX('SAÍDA DE VENDAS'!$B$6:$B$500, MATCH(B655,'SAÍDA DE VENDAS'!$B$6:$B$500,0)+COUNTIF('SAÍDA DE VENDAS'!$B$6:$B$500, B655)),"")))</f>
        <v/>
      </c>
      <c r="C656" s="29">
        <f>IFERROR(VLOOKUP(B656,'SAÍDA DE VENDAS'!$B$6:$P$500,3,FALSE),"")</f>
        <v>0</v>
      </c>
      <c r="D656" s="28">
        <f>IFERROR(VLOOKUP(B656,'SAÍDA DE VENDAS'!$B$6:$P$500,4,FALSE),"")</f>
        <v>0</v>
      </c>
      <c r="E656" s="28" t="str">
        <f>IFERROR(VLOOKUP(B656,'SAÍDA DE VENDAS'!$B$6:$P$500,5,FALSE),"")</f>
        <v/>
      </c>
      <c r="F656" s="28" t="str">
        <f>IF(OR(ISBLANK(B656),B656=""), "", IFERROR(INDEX('SAÍDA DE VENDAS'!$H$6:$H$500 &amp; "x " &amp; 'SAÍDA DE VENDAS'!$G$6:$G$500, MATCH(B656, 'SAÍDA DE VENDAS'!$B$6:$B$500, 0)), "")&amp; IF(COUNTIF('SAÍDA DE VENDAS'!$B$6:$B$500, B656)&gt;1, " + " &amp; IFERROR(INDEX('SAÍDA DE VENDAS'!$H$6:$H$500 &amp; "x " &amp; 'SAÍDA DE VENDAS'!$G$6:$G$500, MATCH(B656, 'SAÍDA DE VENDAS'!$B$6:$B$500, 0)+1), ""), "")&amp; IF(COUNTIF('SAÍDA DE VENDAS'!$B$6:$B$500, B656)&gt;2, " + " &amp; IFERROR(INDEX('SAÍDA DE VENDAS'!$H$6:$H$500 &amp; "x " &amp; 'SAÍDA DE VENDAS'!$G$6:$G$500, MATCH(B656, 'SAÍDA DE VENDAS'!$B$6:$B$500, 0)+2), ""), "")&amp; IF(COUNTIF('SAÍDA DE VENDAS'!$B$6:$B$500, B656)&gt;3, " + " &amp; IFERROR(INDEX('SAÍDA DE VENDAS'!$H$6:$H$500 &amp; "x " &amp; 'SAÍDA DE VENDAS'!$G$6:$G$500, MATCH(B656, 'SAÍDA DE VENDAS'!$B$6:$B$500, 0)+3), ""), "")&amp; IF(COUNTIF('SAÍDA DE VENDAS'!$B$6:$B$500, B656)&gt;4, " + " &amp; IFERROR(INDEX('SAÍDA DE VENDAS'!$H$6:$H$500 &amp; "x " &amp; 'SAÍDA DE VENDAS'!$G$6:$G$500, MATCH(B656, 'SAÍDA DE VENDAS'!$B$6:$B$500, 0)+4), ""), "")&amp; IF(COUNTIF('SAÍDA DE VENDAS'!$B$6:$B$500, B656)&gt;5, " + " &amp; IFERROR(INDEX('SAÍDA DE VENDAS'!$H$6:$H$500 &amp; "x " &amp; 'SAÍDA DE VENDAS'!$G$6:$G$500, MATCH(B656, 'SAÍDA DE VENDAS'!$B$6:$B$500, 0)+5), ""), ""))</f>
        <v/>
      </c>
      <c r="G656" s="28">
        <f>IFERROR(VLOOKUP(B656,'SAÍDA DE VENDAS'!$B$6:$P$500,10,FALSE),"")</f>
        <v>0</v>
      </c>
      <c r="H656" s="28" t="str">
        <f>IF(OR(ISBLANK(B656),B656=""), "", IF(B656=B655, (VALUE(LEFT(H655,FIND("/",H655)-1))+1)&amp;"/"&amp;RIGHT(H655,LEN(H655)-FIND("/",H655)), "1/"&amp;IFERROR(VLOOKUP(B656,'SAÍDA DE VENDAS'!$B$6:$P$500,13,FALSE),"1")))</f>
        <v/>
      </c>
      <c r="I656" s="69" t="str">
        <f t="shared" si="20"/>
        <v/>
      </c>
      <c r="J656" s="33" t="str">
        <f>IFERROR(VLOOKUP(B656,'SAÍDA DE VENDAS'!$B$6:$P$500,15,FALSE),"")</f>
        <v/>
      </c>
      <c r="K656" s="28" t="str">
        <f t="shared" ca="1" si="21"/>
        <v/>
      </c>
      <c r="L656" s="28"/>
      <c r="M656" s="28"/>
    </row>
    <row r="657" spans="2:13" ht="15" customHeight="1" x14ac:dyDescent="0.3">
      <c r="B657" s="34" t="str">
        <f>IF(B656="","", IF(VALUE(LEFT(H656,FIND("/",H656)-1)) &lt; VALUE(RIGHT(H656,LEN(H656)-FIND("/",H656))), B656, IFERROR(INDEX('SAÍDA DE VENDAS'!$B$6:$B$500, MATCH(B656,'SAÍDA DE VENDAS'!$B$6:$B$500,0)+COUNTIF('SAÍDA DE VENDAS'!$B$6:$B$500, B656)),"")))</f>
        <v/>
      </c>
      <c r="C657" s="35">
        <f>IFERROR(VLOOKUP(B657,'SAÍDA DE VENDAS'!$B$6:$P$500,3,FALSE),"")</f>
        <v>0</v>
      </c>
      <c r="D657" s="34">
        <f>IFERROR(VLOOKUP(B657,'SAÍDA DE VENDAS'!$B$6:$P$500,4,FALSE),"")</f>
        <v>0</v>
      </c>
      <c r="E657" s="34" t="str">
        <f>IFERROR(VLOOKUP(B657,'SAÍDA DE VENDAS'!$B$6:$P$500,5,FALSE),"")</f>
        <v/>
      </c>
      <c r="F657" s="34" t="str">
        <f>IF(OR(ISBLANK(B657),B657=""), "", IFERROR(INDEX('SAÍDA DE VENDAS'!$H$6:$H$500 &amp; "x " &amp; 'SAÍDA DE VENDAS'!$G$6:$G$500, MATCH(B657, 'SAÍDA DE VENDAS'!$B$6:$B$500, 0)), "")&amp; IF(COUNTIF('SAÍDA DE VENDAS'!$B$6:$B$500, B657)&gt;1, " + " &amp; IFERROR(INDEX('SAÍDA DE VENDAS'!$H$6:$H$500 &amp; "x " &amp; 'SAÍDA DE VENDAS'!$G$6:$G$500, MATCH(B657, 'SAÍDA DE VENDAS'!$B$6:$B$500, 0)+1), ""), "")&amp; IF(COUNTIF('SAÍDA DE VENDAS'!$B$6:$B$500, B657)&gt;2, " + " &amp; IFERROR(INDEX('SAÍDA DE VENDAS'!$H$6:$H$500 &amp; "x " &amp; 'SAÍDA DE VENDAS'!$G$6:$G$500, MATCH(B657, 'SAÍDA DE VENDAS'!$B$6:$B$500, 0)+2), ""), "")&amp; IF(COUNTIF('SAÍDA DE VENDAS'!$B$6:$B$500, B657)&gt;3, " + " &amp; IFERROR(INDEX('SAÍDA DE VENDAS'!$H$6:$H$500 &amp; "x " &amp; 'SAÍDA DE VENDAS'!$G$6:$G$500, MATCH(B657, 'SAÍDA DE VENDAS'!$B$6:$B$500, 0)+3), ""), "")&amp; IF(COUNTIF('SAÍDA DE VENDAS'!$B$6:$B$500, B657)&gt;4, " + " &amp; IFERROR(INDEX('SAÍDA DE VENDAS'!$H$6:$H$500 &amp; "x " &amp; 'SAÍDA DE VENDAS'!$G$6:$G$500, MATCH(B657, 'SAÍDA DE VENDAS'!$B$6:$B$500, 0)+4), ""), "")&amp; IF(COUNTIF('SAÍDA DE VENDAS'!$B$6:$B$500, B657)&gt;5, " + " &amp; IFERROR(INDEX('SAÍDA DE VENDAS'!$H$6:$H$500 &amp; "x " &amp; 'SAÍDA DE VENDAS'!$G$6:$G$500, MATCH(B657, 'SAÍDA DE VENDAS'!$B$6:$B$500, 0)+5), ""), ""))</f>
        <v/>
      </c>
      <c r="G657" s="34">
        <f>IFERROR(VLOOKUP(B657,'SAÍDA DE VENDAS'!$B$6:$P$500,10,FALSE),"")</f>
        <v>0</v>
      </c>
      <c r="H657" s="34" t="str">
        <f>IF(OR(ISBLANK(B657),B657=""), "", IF(B657=B656, (VALUE(LEFT(H656,FIND("/",H656)-1))+1)&amp;"/"&amp;RIGHT(H656,LEN(H656)-FIND("/",H656)), "1/"&amp;IFERROR(VLOOKUP(B657,'SAÍDA DE VENDAS'!$B$6:$P$500,13,FALSE),"1")))</f>
        <v/>
      </c>
      <c r="I657" s="35" t="str">
        <f t="shared" si="20"/>
        <v/>
      </c>
      <c r="J657" s="39" t="str">
        <f>IFERROR(VLOOKUP(B657,'SAÍDA DE VENDAS'!$B$6:$P$500,15,FALSE),"")</f>
        <v/>
      </c>
      <c r="K657" s="34" t="str">
        <f t="shared" ca="1" si="21"/>
        <v/>
      </c>
      <c r="L657" s="34"/>
      <c r="M657" s="34"/>
    </row>
    <row r="658" spans="2:13" ht="15" customHeight="1" x14ac:dyDescent="0.3">
      <c r="B658" s="28" t="str">
        <f>IF(B657="","", IF(VALUE(LEFT(H657,FIND("/",H657)-1)) &lt; VALUE(RIGHT(H657,LEN(H657)-FIND("/",H657))), B657, IFERROR(INDEX('SAÍDA DE VENDAS'!$B$6:$B$500, MATCH(B657,'SAÍDA DE VENDAS'!$B$6:$B$500,0)+COUNTIF('SAÍDA DE VENDAS'!$B$6:$B$500, B657)),"")))</f>
        <v/>
      </c>
      <c r="C658" s="29">
        <f>IFERROR(VLOOKUP(B658,'SAÍDA DE VENDAS'!$B$6:$P$500,3,FALSE),"")</f>
        <v>0</v>
      </c>
      <c r="D658" s="28">
        <f>IFERROR(VLOOKUP(B658,'SAÍDA DE VENDAS'!$B$6:$P$500,4,FALSE),"")</f>
        <v>0</v>
      </c>
      <c r="E658" s="28" t="str">
        <f>IFERROR(VLOOKUP(B658,'SAÍDA DE VENDAS'!$B$6:$P$500,5,FALSE),"")</f>
        <v/>
      </c>
      <c r="F658" s="28" t="str">
        <f>IF(OR(ISBLANK(B658),B658=""), "", IFERROR(INDEX('SAÍDA DE VENDAS'!$H$6:$H$500 &amp; "x " &amp; 'SAÍDA DE VENDAS'!$G$6:$G$500, MATCH(B658, 'SAÍDA DE VENDAS'!$B$6:$B$500, 0)), "")&amp; IF(COUNTIF('SAÍDA DE VENDAS'!$B$6:$B$500, B658)&gt;1, " + " &amp; IFERROR(INDEX('SAÍDA DE VENDAS'!$H$6:$H$500 &amp; "x " &amp; 'SAÍDA DE VENDAS'!$G$6:$G$500, MATCH(B658, 'SAÍDA DE VENDAS'!$B$6:$B$500, 0)+1), ""), "")&amp; IF(COUNTIF('SAÍDA DE VENDAS'!$B$6:$B$500, B658)&gt;2, " + " &amp; IFERROR(INDEX('SAÍDA DE VENDAS'!$H$6:$H$500 &amp; "x " &amp; 'SAÍDA DE VENDAS'!$G$6:$G$500, MATCH(B658, 'SAÍDA DE VENDAS'!$B$6:$B$500, 0)+2), ""), "")&amp; IF(COUNTIF('SAÍDA DE VENDAS'!$B$6:$B$500, B658)&gt;3, " + " &amp; IFERROR(INDEX('SAÍDA DE VENDAS'!$H$6:$H$500 &amp; "x " &amp; 'SAÍDA DE VENDAS'!$G$6:$G$500, MATCH(B658, 'SAÍDA DE VENDAS'!$B$6:$B$500, 0)+3), ""), "")&amp; IF(COUNTIF('SAÍDA DE VENDAS'!$B$6:$B$500, B658)&gt;4, " + " &amp; IFERROR(INDEX('SAÍDA DE VENDAS'!$H$6:$H$500 &amp; "x " &amp; 'SAÍDA DE VENDAS'!$G$6:$G$500, MATCH(B658, 'SAÍDA DE VENDAS'!$B$6:$B$500, 0)+4), ""), "")&amp; IF(COUNTIF('SAÍDA DE VENDAS'!$B$6:$B$500, B658)&gt;5, " + " &amp; IFERROR(INDEX('SAÍDA DE VENDAS'!$H$6:$H$500 &amp; "x " &amp; 'SAÍDA DE VENDAS'!$G$6:$G$500, MATCH(B658, 'SAÍDA DE VENDAS'!$B$6:$B$500, 0)+5), ""), ""))</f>
        <v/>
      </c>
      <c r="G658" s="28">
        <f>IFERROR(VLOOKUP(B658,'SAÍDA DE VENDAS'!$B$6:$P$500,10,FALSE),"")</f>
        <v>0</v>
      </c>
      <c r="H658" s="28" t="str">
        <f>IF(OR(ISBLANK(B658),B658=""), "", IF(B658=B657, (VALUE(LEFT(H657,FIND("/",H657)-1))+1)&amp;"/"&amp;RIGHT(H657,LEN(H657)-FIND("/",H657)), "1/"&amp;IFERROR(VLOOKUP(B658,'SAÍDA DE VENDAS'!$B$6:$P$500,13,FALSE),"1")))</f>
        <v/>
      </c>
      <c r="I658" s="69" t="str">
        <f t="shared" si="20"/>
        <v/>
      </c>
      <c r="J658" s="33" t="str">
        <f>IFERROR(VLOOKUP(B658,'SAÍDA DE VENDAS'!$B$6:$P$500,15,FALSE),"")</f>
        <v/>
      </c>
      <c r="K658" s="28" t="str">
        <f t="shared" ca="1" si="21"/>
        <v/>
      </c>
      <c r="L658" s="28"/>
      <c r="M658" s="28"/>
    </row>
    <row r="659" spans="2:13" ht="15" customHeight="1" x14ac:dyDescent="0.3">
      <c r="B659" s="34" t="str">
        <f>IF(B658="","", IF(VALUE(LEFT(H658,FIND("/",H658)-1)) &lt; VALUE(RIGHT(H658,LEN(H658)-FIND("/",H658))), B658, IFERROR(INDEX('SAÍDA DE VENDAS'!$B$6:$B$500, MATCH(B658,'SAÍDA DE VENDAS'!$B$6:$B$500,0)+COUNTIF('SAÍDA DE VENDAS'!$B$6:$B$500, B658)),"")))</f>
        <v/>
      </c>
      <c r="C659" s="35">
        <f>IFERROR(VLOOKUP(B659,'SAÍDA DE VENDAS'!$B$6:$P$500,3,FALSE),"")</f>
        <v>0</v>
      </c>
      <c r="D659" s="34">
        <f>IFERROR(VLOOKUP(B659,'SAÍDA DE VENDAS'!$B$6:$P$500,4,FALSE),"")</f>
        <v>0</v>
      </c>
      <c r="E659" s="34" t="str">
        <f>IFERROR(VLOOKUP(B659,'SAÍDA DE VENDAS'!$B$6:$P$500,5,FALSE),"")</f>
        <v/>
      </c>
      <c r="F659" s="34" t="str">
        <f>IF(OR(ISBLANK(B659),B659=""), "", IFERROR(INDEX('SAÍDA DE VENDAS'!$H$6:$H$500 &amp; "x " &amp; 'SAÍDA DE VENDAS'!$G$6:$G$500, MATCH(B659, 'SAÍDA DE VENDAS'!$B$6:$B$500, 0)), "")&amp; IF(COUNTIF('SAÍDA DE VENDAS'!$B$6:$B$500, B659)&gt;1, " + " &amp; IFERROR(INDEX('SAÍDA DE VENDAS'!$H$6:$H$500 &amp; "x " &amp; 'SAÍDA DE VENDAS'!$G$6:$G$500, MATCH(B659, 'SAÍDA DE VENDAS'!$B$6:$B$500, 0)+1), ""), "")&amp; IF(COUNTIF('SAÍDA DE VENDAS'!$B$6:$B$500, B659)&gt;2, " + " &amp; IFERROR(INDEX('SAÍDA DE VENDAS'!$H$6:$H$500 &amp; "x " &amp; 'SAÍDA DE VENDAS'!$G$6:$G$500, MATCH(B659, 'SAÍDA DE VENDAS'!$B$6:$B$500, 0)+2), ""), "")&amp; IF(COUNTIF('SAÍDA DE VENDAS'!$B$6:$B$500, B659)&gt;3, " + " &amp; IFERROR(INDEX('SAÍDA DE VENDAS'!$H$6:$H$500 &amp; "x " &amp; 'SAÍDA DE VENDAS'!$G$6:$G$500, MATCH(B659, 'SAÍDA DE VENDAS'!$B$6:$B$500, 0)+3), ""), "")&amp; IF(COUNTIF('SAÍDA DE VENDAS'!$B$6:$B$500, B659)&gt;4, " + " &amp; IFERROR(INDEX('SAÍDA DE VENDAS'!$H$6:$H$500 &amp; "x " &amp; 'SAÍDA DE VENDAS'!$G$6:$G$500, MATCH(B659, 'SAÍDA DE VENDAS'!$B$6:$B$500, 0)+4), ""), "")&amp; IF(COUNTIF('SAÍDA DE VENDAS'!$B$6:$B$500, B659)&gt;5, " + " &amp; IFERROR(INDEX('SAÍDA DE VENDAS'!$H$6:$H$500 &amp; "x " &amp; 'SAÍDA DE VENDAS'!$G$6:$G$500, MATCH(B659, 'SAÍDA DE VENDAS'!$B$6:$B$500, 0)+5), ""), ""))</f>
        <v/>
      </c>
      <c r="G659" s="34">
        <f>IFERROR(VLOOKUP(B659,'SAÍDA DE VENDAS'!$B$6:$P$500,10,FALSE),"")</f>
        <v>0</v>
      </c>
      <c r="H659" s="34" t="str">
        <f>IF(OR(ISBLANK(B659),B659=""), "", IF(B659=B658, (VALUE(LEFT(H658,FIND("/",H658)-1))+1)&amp;"/"&amp;RIGHT(H658,LEN(H658)-FIND("/",H658)), "1/"&amp;IFERROR(VLOOKUP(B659,'SAÍDA DE VENDAS'!$B$6:$P$500,13,FALSE),"1")))</f>
        <v/>
      </c>
      <c r="I659" s="35" t="str">
        <f t="shared" si="20"/>
        <v/>
      </c>
      <c r="J659" s="39" t="str">
        <f>IFERROR(VLOOKUP(B659,'SAÍDA DE VENDAS'!$B$6:$P$500,15,FALSE),"")</f>
        <v/>
      </c>
      <c r="K659" s="34" t="str">
        <f t="shared" ca="1" si="21"/>
        <v/>
      </c>
      <c r="L659" s="34"/>
      <c r="M659" s="34"/>
    </row>
    <row r="660" spans="2:13" ht="15" customHeight="1" x14ac:dyDescent="0.3">
      <c r="B660" s="28" t="str">
        <f>IF(B659="","", IF(VALUE(LEFT(H659,FIND("/",H659)-1)) &lt; VALUE(RIGHT(H659,LEN(H659)-FIND("/",H659))), B659, IFERROR(INDEX('SAÍDA DE VENDAS'!$B$6:$B$500, MATCH(B659,'SAÍDA DE VENDAS'!$B$6:$B$500,0)+COUNTIF('SAÍDA DE VENDAS'!$B$6:$B$500, B659)),"")))</f>
        <v/>
      </c>
      <c r="C660" s="29">
        <f>IFERROR(VLOOKUP(B660,'SAÍDA DE VENDAS'!$B$6:$P$500,3,FALSE),"")</f>
        <v>0</v>
      </c>
      <c r="D660" s="28">
        <f>IFERROR(VLOOKUP(B660,'SAÍDA DE VENDAS'!$B$6:$P$500,4,FALSE),"")</f>
        <v>0</v>
      </c>
      <c r="E660" s="28" t="str">
        <f>IFERROR(VLOOKUP(B660,'SAÍDA DE VENDAS'!$B$6:$P$500,5,FALSE),"")</f>
        <v/>
      </c>
      <c r="F660" s="28" t="str">
        <f>IF(OR(ISBLANK(B660),B660=""), "", IFERROR(INDEX('SAÍDA DE VENDAS'!$H$6:$H$500 &amp; "x " &amp; 'SAÍDA DE VENDAS'!$G$6:$G$500, MATCH(B660, 'SAÍDA DE VENDAS'!$B$6:$B$500, 0)), "")&amp; IF(COUNTIF('SAÍDA DE VENDAS'!$B$6:$B$500, B660)&gt;1, " + " &amp; IFERROR(INDEX('SAÍDA DE VENDAS'!$H$6:$H$500 &amp; "x " &amp; 'SAÍDA DE VENDAS'!$G$6:$G$500, MATCH(B660, 'SAÍDA DE VENDAS'!$B$6:$B$500, 0)+1), ""), "")&amp; IF(COUNTIF('SAÍDA DE VENDAS'!$B$6:$B$500, B660)&gt;2, " + " &amp; IFERROR(INDEX('SAÍDA DE VENDAS'!$H$6:$H$500 &amp; "x " &amp; 'SAÍDA DE VENDAS'!$G$6:$G$500, MATCH(B660, 'SAÍDA DE VENDAS'!$B$6:$B$500, 0)+2), ""), "")&amp; IF(COUNTIF('SAÍDA DE VENDAS'!$B$6:$B$500, B660)&gt;3, " + " &amp; IFERROR(INDEX('SAÍDA DE VENDAS'!$H$6:$H$500 &amp; "x " &amp; 'SAÍDA DE VENDAS'!$G$6:$G$500, MATCH(B660, 'SAÍDA DE VENDAS'!$B$6:$B$500, 0)+3), ""), "")&amp; IF(COUNTIF('SAÍDA DE VENDAS'!$B$6:$B$500, B660)&gt;4, " + " &amp; IFERROR(INDEX('SAÍDA DE VENDAS'!$H$6:$H$500 &amp; "x " &amp; 'SAÍDA DE VENDAS'!$G$6:$G$500, MATCH(B660, 'SAÍDA DE VENDAS'!$B$6:$B$500, 0)+4), ""), "")&amp; IF(COUNTIF('SAÍDA DE VENDAS'!$B$6:$B$500, B660)&gt;5, " + " &amp; IFERROR(INDEX('SAÍDA DE VENDAS'!$H$6:$H$500 &amp; "x " &amp; 'SAÍDA DE VENDAS'!$G$6:$G$500, MATCH(B660, 'SAÍDA DE VENDAS'!$B$6:$B$500, 0)+5), ""), ""))</f>
        <v/>
      </c>
      <c r="G660" s="28">
        <f>IFERROR(VLOOKUP(B660,'SAÍDA DE VENDAS'!$B$6:$P$500,10,FALSE),"")</f>
        <v>0</v>
      </c>
      <c r="H660" s="28" t="str">
        <f>IF(OR(ISBLANK(B660),B660=""), "", IF(B660=B659, (VALUE(LEFT(H659,FIND("/",H659)-1))+1)&amp;"/"&amp;RIGHT(H659,LEN(H659)-FIND("/",H659)), "1/"&amp;IFERROR(VLOOKUP(B660,'SAÍDA DE VENDAS'!$B$6:$P$500,13,FALSE),"1")))</f>
        <v/>
      </c>
      <c r="I660" s="69" t="str">
        <f t="shared" si="20"/>
        <v/>
      </c>
      <c r="J660" s="33" t="str">
        <f>IFERROR(VLOOKUP(B660,'SAÍDA DE VENDAS'!$B$6:$P$500,15,FALSE),"")</f>
        <v/>
      </c>
      <c r="K660" s="28" t="str">
        <f t="shared" ca="1" si="21"/>
        <v/>
      </c>
      <c r="L660" s="28"/>
      <c r="M660" s="28"/>
    </row>
    <row r="661" spans="2:13" ht="15" customHeight="1" x14ac:dyDescent="0.3">
      <c r="B661" s="34" t="str">
        <f>IF(B660="","", IF(VALUE(LEFT(H660,FIND("/",H660)-1)) &lt; VALUE(RIGHT(H660,LEN(H660)-FIND("/",H660))), B660, IFERROR(INDEX('SAÍDA DE VENDAS'!$B$6:$B$500, MATCH(B660,'SAÍDA DE VENDAS'!$B$6:$B$500,0)+COUNTIF('SAÍDA DE VENDAS'!$B$6:$B$500, B660)),"")))</f>
        <v/>
      </c>
      <c r="C661" s="35">
        <f>IFERROR(VLOOKUP(B661,'SAÍDA DE VENDAS'!$B$6:$P$500,3,FALSE),"")</f>
        <v>0</v>
      </c>
      <c r="D661" s="34">
        <f>IFERROR(VLOOKUP(B661,'SAÍDA DE VENDAS'!$B$6:$P$500,4,FALSE),"")</f>
        <v>0</v>
      </c>
      <c r="E661" s="34" t="str">
        <f>IFERROR(VLOOKUP(B661,'SAÍDA DE VENDAS'!$B$6:$P$500,5,FALSE),"")</f>
        <v/>
      </c>
      <c r="F661" s="34" t="str">
        <f>IF(OR(ISBLANK(B661),B661=""), "", IFERROR(INDEX('SAÍDA DE VENDAS'!$H$6:$H$500 &amp; "x " &amp; 'SAÍDA DE VENDAS'!$G$6:$G$500, MATCH(B661, 'SAÍDA DE VENDAS'!$B$6:$B$500, 0)), "")&amp; IF(COUNTIF('SAÍDA DE VENDAS'!$B$6:$B$500, B661)&gt;1, " + " &amp; IFERROR(INDEX('SAÍDA DE VENDAS'!$H$6:$H$500 &amp; "x " &amp; 'SAÍDA DE VENDAS'!$G$6:$G$500, MATCH(B661, 'SAÍDA DE VENDAS'!$B$6:$B$500, 0)+1), ""), "")&amp; IF(COUNTIF('SAÍDA DE VENDAS'!$B$6:$B$500, B661)&gt;2, " + " &amp; IFERROR(INDEX('SAÍDA DE VENDAS'!$H$6:$H$500 &amp; "x " &amp; 'SAÍDA DE VENDAS'!$G$6:$G$500, MATCH(B661, 'SAÍDA DE VENDAS'!$B$6:$B$500, 0)+2), ""), "")&amp; IF(COUNTIF('SAÍDA DE VENDAS'!$B$6:$B$500, B661)&gt;3, " + " &amp; IFERROR(INDEX('SAÍDA DE VENDAS'!$H$6:$H$500 &amp; "x " &amp; 'SAÍDA DE VENDAS'!$G$6:$G$500, MATCH(B661, 'SAÍDA DE VENDAS'!$B$6:$B$500, 0)+3), ""), "")&amp; IF(COUNTIF('SAÍDA DE VENDAS'!$B$6:$B$500, B661)&gt;4, " + " &amp; IFERROR(INDEX('SAÍDA DE VENDAS'!$H$6:$H$500 &amp; "x " &amp; 'SAÍDA DE VENDAS'!$G$6:$G$500, MATCH(B661, 'SAÍDA DE VENDAS'!$B$6:$B$500, 0)+4), ""), "")&amp; IF(COUNTIF('SAÍDA DE VENDAS'!$B$6:$B$500, B661)&gt;5, " + " &amp; IFERROR(INDEX('SAÍDA DE VENDAS'!$H$6:$H$500 &amp; "x " &amp; 'SAÍDA DE VENDAS'!$G$6:$G$500, MATCH(B661, 'SAÍDA DE VENDAS'!$B$6:$B$500, 0)+5), ""), ""))</f>
        <v/>
      </c>
      <c r="G661" s="34">
        <f>IFERROR(VLOOKUP(B661,'SAÍDA DE VENDAS'!$B$6:$P$500,10,FALSE),"")</f>
        <v>0</v>
      </c>
      <c r="H661" s="34" t="str">
        <f>IF(OR(ISBLANK(B661),B661=""), "", IF(B661=B660, (VALUE(LEFT(H660,FIND("/",H660)-1))+1)&amp;"/"&amp;RIGHT(H660,LEN(H660)-FIND("/",H660)), "1/"&amp;IFERROR(VLOOKUP(B661,'SAÍDA DE VENDAS'!$B$6:$P$500,13,FALSE),"1")))</f>
        <v/>
      </c>
      <c r="I661" s="35" t="str">
        <f t="shared" si="20"/>
        <v/>
      </c>
      <c r="J661" s="39" t="str">
        <f>IFERROR(VLOOKUP(B661,'SAÍDA DE VENDAS'!$B$6:$P$500,15,FALSE),"")</f>
        <v/>
      </c>
      <c r="K661" s="34" t="str">
        <f t="shared" ca="1" si="21"/>
        <v/>
      </c>
      <c r="L661" s="34"/>
      <c r="M661" s="34"/>
    </row>
    <row r="662" spans="2:13" ht="15" customHeight="1" x14ac:dyDescent="0.3">
      <c r="B662" s="28" t="str">
        <f>IF(B661="","", IF(VALUE(LEFT(H661,FIND("/",H661)-1)) &lt; VALUE(RIGHT(H661,LEN(H661)-FIND("/",H661))), B661, IFERROR(INDEX('SAÍDA DE VENDAS'!$B$6:$B$500, MATCH(B661,'SAÍDA DE VENDAS'!$B$6:$B$500,0)+COUNTIF('SAÍDA DE VENDAS'!$B$6:$B$500, B661)),"")))</f>
        <v/>
      </c>
      <c r="C662" s="29">
        <f>IFERROR(VLOOKUP(B662,'SAÍDA DE VENDAS'!$B$6:$P$500,3,FALSE),"")</f>
        <v>0</v>
      </c>
      <c r="D662" s="28">
        <f>IFERROR(VLOOKUP(B662,'SAÍDA DE VENDAS'!$B$6:$P$500,4,FALSE),"")</f>
        <v>0</v>
      </c>
      <c r="E662" s="28" t="str">
        <f>IFERROR(VLOOKUP(B662,'SAÍDA DE VENDAS'!$B$6:$P$500,5,FALSE),"")</f>
        <v/>
      </c>
      <c r="F662" s="28" t="str">
        <f>IF(OR(ISBLANK(B662),B662=""), "", IFERROR(INDEX('SAÍDA DE VENDAS'!$H$6:$H$500 &amp; "x " &amp; 'SAÍDA DE VENDAS'!$G$6:$G$500, MATCH(B662, 'SAÍDA DE VENDAS'!$B$6:$B$500, 0)), "")&amp; IF(COUNTIF('SAÍDA DE VENDAS'!$B$6:$B$500, B662)&gt;1, " + " &amp; IFERROR(INDEX('SAÍDA DE VENDAS'!$H$6:$H$500 &amp; "x " &amp; 'SAÍDA DE VENDAS'!$G$6:$G$500, MATCH(B662, 'SAÍDA DE VENDAS'!$B$6:$B$500, 0)+1), ""), "")&amp; IF(COUNTIF('SAÍDA DE VENDAS'!$B$6:$B$500, B662)&gt;2, " + " &amp; IFERROR(INDEX('SAÍDA DE VENDAS'!$H$6:$H$500 &amp; "x " &amp; 'SAÍDA DE VENDAS'!$G$6:$G$500, MATCH(B662, 'SAÍDA DE VENDAS'!$B$6:$B$500, 0)+2), ""), "")&amp; IF(COUNTIF('SAÍDA DE VENDAS'!$B$6:$B$500, B662)&gt;3, " + " &amp; IFERROR(INDEX('SAÍDA DE VENDAS'!$H$6:$H$500 &amp; "x " &amp; 'SAÍDA DE VENDAS'!$G$6:$G$500, MATCH(B662, 'SAÍDA DE VENDAS'!$B$6:$B$500, 0)+3), ""), "")&amp; IF(COUNTIF('SAÍDA DE VENDAS'!$B$6:$B$500, B662)&gt;4, " + " &amp; IFERROR(INDEX('SAÍDA DE VENDAS'!$H$6:$H$500 &amp; "x " &amp; 'SAÍDA DE VENDAS'!$G$6:$G$500, MATCH(B662, 'SAÍDA DE VENDAS'!$B$6:$B$500, 0)+4), ""), "")&amp; IF(COUNTIF('SAÍDA DE VENDAS'!$B$6:$B$500, B662)&gt;5, " + " &amp; IFERROR(INDEX('SAÍDA DE VENDAS'!$H$6:$H$500 &amp; "x " &amp; 'SAÍDA DE VENDAS'!$G$6:$G$500, MATCH(B662, 'SAÍDA DE VENDAS'!$B$6:$B$500, 0)+5), ""), ""))</f>
        <v/>
      </c>
      <c r="G662" s="28">
        <f>IFERROR(VLOOKUP(B662,'SAÍDA DE VENDAS'!$B$6:$P$500,10,FALSE),"")</f>
        <v>0</v>
      </c>
      <c r="H662" s="28" t="str">
        <f>IF(OR(ISBLANK(B662),B662=""), "", IF(B662=B661, (VALUE(LEFT(H661,FIND("/",H661)-1))+1)&amp;"/"&amp;RIGHT(H661,LEN(H661)-FIND("/",H661)), "1/"&amp;IFERROR(VLOOKUP(B662,'SAÍDA DE VENDAS'!$B$6:$P$500,13,FALSE),"1")))</f>
        <v/>
      </c>
      <c r="I662" s="69" t="str">
        <f t="shared" si="20"/>
        <v/>
      </c>
      <c r="J662" s="33" t="str">
        <f>IFERROR(VLOOKUP(B662,'SAÍDA DE VENDAS'!$B$6:$P$500,15,FALSE),"")</f>
        <v/>
      </c>
      <c r="K662" s="28" t="str">
        <f t="shared" ca="1" si="21"/>
        <v/>
      </c>
      <c r="L662" s="28"/>
      <c r="M662" s="28"/>
    </row>
    <row r="663" spans="2:13" ht="15" customHeight="1" x14ac:dyDescent="0.3">
      <c r="B663" s="34" t="str">
        <f>IF(B662="","", IF(VALUE(LEFT(H662,FIND("/",H662)-1)) &lt; VALUE(RIGHT(H662,LEN(H662)-FIND("/",H662))), B662, IFERROR(INDEX('SAÍDA DE VENDAS'!$B$6:$B$500, MATCH(B662,'SAÍDA DE VENDAS'!$B$6:$B$500,0)+COUNTIF('SAÍDA DE VENDAS'!$B$6:$B$500, B662)),"")))</f>
        <v/>
      </c>
      <c r="C663" s="35">
        <f>IFERROR(VLOOKUP(B663,'SAÍDA DE VENDAS'!$B$6:$P$500,3,FALSE),"")</f>
        <v>0</v>
      </c>
      <c r="D663" s="34">
        <f>IFERROR(VLOOKUP(B663,'SAÍDA DE VENDAS'!$B$6:$P$500,4,FALSE),"")</f>
        <v>0</v>
      </c>
      <c r="E663" s="34" t="str">
        <f>IFERROR(VLOOKUP(B663,'SAÍDA DE VENDAS'!$B$6:$P$500,5,FALSE),"")</f>
        <v/>
      </c>
      <c r="F663" s="34" t="str">
        <f>IF(OR(ISBLANK(B663),B663=""), "", IFERROR(INDEX('SAÍDA DE VENDAS'!$H$6:$H$500 &amp; "x " &amp; 'SAÍDA DE VENDAS'!$G$6:$G$500, MATCH(B663, 'SAÍDA DE VENDAS'!$B$6:$B$500, 0)), "")&amp; IF(COUNTIF('SAÍDA DE VENDAS'!$B$6:$B$500, B663)&gt;1, " + " &amp; IFERROR(INDEX('SAÍDA DE VENDAS'!$H$6:$H$500 &amp; "x " &amp; 'SAÍDA DE VENDAS'!$G$6:$G$500, MATCH(B663, 'SAÍDA DE VENDAS'!$B$6:$B$500, 0)+1), ""), "")&amp; IF(COUNTIF('SAÍDA DE VENDAS'!$B$6:$B$500, B663)&gt;2, " + " &amp; IFERROR(INDEX('SAÍDA DE VENDAS'!$H$6:$H$500 &amp; "x " &amp; 'SAÍDA DE VENDAS'!$G$6:$G$500, MATCH(B663, 'SAÍDA DE VENDAS'!$B$6:$B$500, 0)+2), ""), "")&amp; IF(COUNTIF('SAÍDA DE VENDAS'!$B$6:$B$500, B663)&gt;3, " + " &amp; IFERROR(INDEX('SAÍDA DE VENDAS'!$H$6:$H$500 &amp; "x " &amp; 'SAÍDA DE VENDAS'!$G$6:$G$500, MATCH(B663, 'SAÍDA DE VENDAS'!$B$6:$B$500, 0)+3), ""), "")&amp; IF(COUNTIF('SAÍDA DE VENDAS'!$B$6:$B$500, B663)&gt;4, " + " &amp; IFERROR(INDEX('SAÍDA DE VENDAS'!$H$6:$H$500 &amp; "x " &amp; 'SAÍDA DE VENDAS'!$G$6:$G$500, MATCH(B663, 'SAÍDA DE VENDAS'!$B$6:$B$500, 0)+4), ""), "")&amp; IF(COUNTIF('SAÍDA DE VENDAS'!$B$6:$B$500, B663)&gt;5, " + " &amp; IFERROR(INDEX('SAÍDA DE VENDAS'!$H$6:$H$500 &amp; "x " &amp; 'SAÍDA DE VENDAS'!$G$6:$G$500, MATCH(B663, 'SAÍDA DE VENDAS'!$B$6:$B$500, 0)+5), ""), ""))</f>
        <v/>
      </c>
      <c r="G663" s="34">
        <f>IFERROR(VLOOKUP(B663,'SAÍDA DE VENDAS'!$B$6:$P$500,10,FALSE),"")</f>
        <v>0</v>
      </c>
      <c r="H663" s="34" t="str">
        <f>IF(OR(ISBLANK(B663),B663=""), "", IF(B663=B662, (VALUE(LEFT(H662,FIND("/",H662)-1))+1)&amp;"/"&amp;RIGHT(H662,LEN(H662)-FIND("/",H662)), "1/"&amp;IFERROR(VLOOKUP(B663,'SAÍDA DE VENDAS'!$B$6:$P$500,13,FALSE),"1")))</f>
        <v/>
      </c>
      <c r="I663" s="35" t="str">
        <f t="shared" si="20"/>
        <v/>
      </c>
      <c r="J663" s="39" t="str">
        <f>IFERROR(VLOOKUP(B663,'SAÍDA DE VENDAS'!$B$6:$P$500,15,FALSE),"")</f>
        <v/>
      </c>
      <c r="K663" s="34" t="str">
        <f t="shared" ca="1" si="21"/>
        <v/>
      </c>
      <c r="L663" s="34"/>
      <c r="M663" s="34"/>
    </row>
    <row r="664" spans="2:13" ht="15" customHeight="1" x14ac:dyDescent="0.3">
      <c r="B664" s="28" t="str">
        <f>IF(B663="","", IF(VALUE(LEFT(H663,FIND("/",H663)-1)) &lt; VALUE(RIGHT(H663,LEN(H663)-FIND("/",H663))), B663, IFERROR(INDEX('SAÍDA DE VENDAS'!$B$6:$B$500, MATCH(B663,'SAÍDA DE VENDAS'!$B$6:$B$500,0)+COUNTIF('SAÍDA DE VENDAS'!$B$6:$B$500, B663)),"")))</f>
        <v/>
      </c>
      <c r="C664" s="29">
        <f>IFERROR(VLOOKUP(B664,'SAÍDA DE VENDAS'!$B$6:$P$500,3,FALSE),"")</f>
        <v>0</v>
      </c>
      <c r="D664" s="28">
        <f>IFERROR(VLOOKUP(B664,'SAÍDA DE VENDAS'!$B$6:$P$500,4,FALSE),"")</f>
        <v>0</v>
      </c>
      <c r="E664" s="28" t="str">
        <f>IFERROR(VLOOKUP(B664,'SAÍDA DE VENDAS'!$B$6:$P$500,5,FALSE),"")</f>
        <v/>
      </c>
      <c r="F664" s="28" t="str">
        <f>IF(OR(ISBLANK(B664),B664=""), "", IFERROR(INDEX('SAÍDA DE VENDAS'!$H$6:$H$500 &amp; "x " &amp; 'SAÍDA DE VENDAS'!$G$6:$G$500, MATCH(B664, 'SAÍDA DE VENDAS'!$B$6:$B$500, 0)), "")&amp; IF(COUNTIF('SAÍDA DE VENDAS'!$B$6:$B$500, B664)&gt;1, " + " &amp; IFERROR(INDEX('SAÍDA DE VENDAS'!$H$6:$H$500 &amp; "x " &amp; 'SAÍDA DE VENDAS'!$G$6:$G$500, MATCH(B664, 'SAÍDA DE VENDAS'!$B$6:$B$500, 0)+1), ""), "")&amp; IF(COUNTIF('SAÍDA DE VENDAS'!$B$6:$B$500, B664)&gt;2, " + " &amp; IFERROR(INDEX('SAÍDA DE VENDAS'!$H$6:$H$500 &amp; "x " &amp; 'SAÍDA DE VENDAS'!$G$6:$G$500, MATCH(B664, 'SAÍDA DE VENDAS'!$B$6:$B$500, 0)+2), ""), "")&amp; IF(COUNTIF('SAÍDA DE VENDAS'!$B$6:$B$500, B664)&gt;3, " + " &amp; IFERROR(INDEX('SAÍDA DE VENDAS'!$H$6:$H$500 &amp; "x " &amp; 'SAÍDA DE VENDAS'!$G$6:$G$500, MATCH(B664, 'SAÍDA DE VENDAS'!$B$6:$B$500, 0)+3), ""), "")&amp; IF(COUNTIF('SAÍDA DE VENDAS'!$B$6:$B$500, B664)&gt;4, " + " &amp; IFERROR(INDEX('SAÍDA DE VENDAS'!$H$6:$H$500 &amp; "x " &amp; 'SAÍDA DE VENDAS'!$G$6:$G$500, MATCH(B664, 'SAÍDA DE VENDAS'!$B$6:$B$500, 0)+4), ""), "")&amp; IF(COUNTIF('SAÍDA DE VENDAS'!$B$6:$B$500, B664)&gt;5, " + " &amp; IFERROR(INDEX('SAÍDA DE VENDAS'!$H$6:$H$500 &amp; "x " &amp; 'SAÍDA DE VENDAS'!$G$6:$G$500, MATCH(B664, 'SAÍDA DE VENDAS'!$B$6:$B$500, 0)+5), ""), ""))</f>
        <v/>
      </c>
      <c r="G664" s="28">
        <f>IFERROR(VLOOKUP(B664,'SAÍDA DE VENDAS'!$B$6:$P$500,10,FALSE),"")</f>
        <v>0</v>
      </c>
      <c r="H664" s="28" t="str">
        <f>IF(OR(ISBLANK(B664),B664=""), "", IF(B664=B663, (VALUE(LEFT(H663,FIND("/",H663)-1))+1)&amp;"/"&amp;RIGHT(H663,LEN(H663)-FIND("/",H663)), "1/"&amp;IFERROR(VLOOKUP(B664,'SAÍDA DE VENDAS'!$B$6:$P$500,13,FALSE),"1")))</f>
        <v/>
      </c>
      <c r="I664" s="69" t="str">
        <f t="shared" si="20"/>
        <v/>
      </c>
      <c r="J664" s="33" t="str">
        <f>IFERROR(VLOOKUP(B664,'SAÍDA DE VENDAS'!$B$6:$P$500,15,FALSE),"")</f>
        <v/>
      </c>
      <c r="K664" s="28" t="str">
        <f t="shared" ca="1" si="21"/>
        <v/>
      </c>
      <c r="L664" s="28"/>
      <c r="M664" s="28"/>
    </row>
    <row r="665" spans="2:13" ht="15" customHeight="1" x14ac:dyDescent="0.3">
      <c r="B665" s="34" t="str">
        <f>IF(B664="","", IF(VALUE(LEFT(H664,FIND("/",H664)-1)) &lt; VALUE(RIGHT(H664,LEN(H664)-FIND("/",H664))), B664, IFERROR(INDEX('SAÍDA DE VENDAS'!$B$6:$B$500, MATCH(B664,'SAÍDA DE VENDAS'!$B$6:$B$500,0)+COUNTIF('SAÍDA DE VENDAS'!$B$6:$B$500, B664)),"")))</f>
        <v/>
      </c>
      <c r="C665" s="35">
        <f>IFERROR(VLOOKUP(B665,'SAÍDA DE VENDAS'!$B$6:$P$500,3,FALSE),"")</f>
        <v>0</v>
      </c>
      <c r="D665" s="34">
        <f>IFERROR(VLOOKUP(B665,'SAÍDA DE VENDAS'!$B$6:$P$500,4,FALSE),"")</f>
        <v>0</v>
      </c>
      <c r="E665" s="34" t="str">
        <f>IFERROR(VLOOKUP(B665,'SAÍDA DE VENDAS'!$B$6:$P$500,5,FALSE),"")</f>
        <v/>
      </c>
      <c r="F665" s="34" t="str">
        <f>IF(OR(ISBLANK(B665),B665=""), "", IFERROR(INDEX('SAÍDA DE VENDAS'!$H$6:$H$500 &amp; "x " &amp; 'SAÍDA DE VENDAS'!$G$6:$G$500, MATCH(B665, 'SAÍDA DE VENDAS'!$B$6:$B$500, 0)), "")&amp; IF(COUNTIF('SAÍDA DE VENDAS'!$B$6:$B$500, B665)&gt;1, " + " &amp; IFERROR(INDEX('SAÍDA DE VENDAS'!$H$6:$H$500 &amp; "x " &amp; 'SAÍDA DE VENDAS'!$G$6:$G$500, MATCH(B665, 'SAÍDA DE VENDAS'!$B$6:$B$500, 0)+1), ""), "")&amp; IF(COUNTIF('SAÍDA DE VENDAS'!$B$6:$B$500, B665)&gt;2, " + " &amp; IFERROR(INDEX('SAÍDA DE VENDAS'!$H$6:$H$500 &amp; "x " &amp; 'SAÍDA DE VENDAS'!$G$6:$G$500, MATCH(B665, 'SAÍDA DE VENDAS'!$B$6:$B$500, 0)+2), ""), "")&amp; IF(COUNTIF('SAÍDA DE VENDAS'!$B$6:$B$500, B665)&gt;3, " + " &amp; IFERROR(INDEX('SAÍDA DE VENDAS'!$H$6:$H$500 &amp; "x " &amp; 'SAÍDA DE VENDAS'!$G$6:$G$500, MATCH(B665, 'SAÍDA DE VENDAS'!$B$6:$B$500, 0)+3), ""), "")&amp; IF(COUNTIF('SAÍDA DE VENDAS'!$B$6:$B$500, B665)&gt;4, " + " &amp; IFERROR(INDEX('SAÍDA DE VENDAS'!$H$6:$H$500 &amp; "x " &amp; 'SAÍDA DE VENDAS'!$G$6:$G$500, MATCH(B665, 'SAÍDA DE VENDAS'!$B$6:$B$500, 0)+4), ""), "")&amp; IF(COUNTIF('SAÍDA DE VENDAS'!$B$6:$B$500, B665)&gt;5, " + " &amp; IFERROR(INDEX('SAÍDA DE VENDAS'!$H$6:$H$500 &amp; "x " &amp; 'SAÍDA DE VENDAS'!$G$6:$G$500, MATCH(B665, 'SAÍDA DE VENDAS'!$B$6:$B$500, 0)+5), ""), ""))</f>
        <v/>
      </c>
      <c r="G665" s="34">
        <f>IFERROR(VLOOKUP(B665,'SAÍDA DE VENDAS'!$B$6:$P$500,10,FALSE),"")</f>
        <v>0</v>
      </c>
      <c r="H665" s="34" t="str">
        <f>IF(OR(ISBLANK(B665),B665=""), "", IF(B665=B664, (VALUE(LEFT(H664,FIND("/",H664)-1))+1)&amp;"/"&amp;RIGHT(H664,LEN(H664)-FIND("/",H664)), "1/"&amp;IFERROR(VLOOKUP(B665,'SAÍDA DE VENDAS'!$B$6:$P$500,13,FALSE),"1")))</f>
        <v/>
      </c>
      <c r="I665" s="35" t="str">
        <f t="shared" si="20"/>
        <v/>
      </c>
      <c r="J665" s="39" t="str">
        <f>IFERROR(VLOOKUP(B665,'SAÍDA DE VENDAS'!$B$6:$P$500,15,FALSE),"")</f>
        <v/>
      </c>
      <c r="K665" s="34" t="str">
        <f t="shared" ca="1" si="21"/>
        <v/>
      </c>
      <c r="L665" s="34"/>
      <c r="M665" s="34"/>
    </row>
    <row r="666" spans="2:13" ht="15" customHeight="1" x14ac:dyDescent="0.3">
      <c r="B666" s="28" t="str">
        <f>IF(B665="","", IF(VALUE(LEFT(H665,FIND("/",H665)-1)) &lt; VALUE(RIGHT(H665,LEN(H665)-FIND("/",H665))), B665, IFERROR(INDEX('SAÍDA DE VENDAS'!$B$6:$B$500, MATCH(B665,'SAÍDA DE VENDAS'!$B$6:$B$500,0)+COUNTIF('SAÍDA DE VENDAS'!$B$6:$B$500, B665)),"")))</f>
        <v/>
      </c>
      <c r="C666" s="29">
        <f>IFERROR(VLOOKUP(B666,'SAÍDA DE VENDAS'!$B$6:$P$500,3,FALSE),"")</f>
        <v>0</v>
      </c>
      <c r="D666" s="28">
        <f>IFERROR(VLOOKUP(B666,'SAÍDA DE VENDAS'!$B$6:$P$500,4,FALSE),"")</f>
        <v>0</v>
      </c>
      <c r="E666" s="28" t="str">
        <f>IFERROR(VLOOKUP(B666,'SAÍDA DE VENDAS'!$B$6:$P$500,5,FALSE),"")</f>
        <v/>
      </c>
      <c r="F666" s="28" t="str">
        <f>IF(OR(ISBLANK(B666),B666=""), "", IFERROR(INDEX('SAÍDA DE VENDAS'!$H$6:$H$500 &amp; "x " &amp; 'SAÍDA DE VENDAS'!$G$6:$G$500, MATCH(B666, 'SAÍDA DE VENDAS'!$B$6:$B$500, 0)), "")&amp; IF(COUNTIF('SAÍDA DE VENDAS'!$B$6:$B$500, B666)&gt;1, " + " &amp; IFERROR(INDEX('SAÍDA DE VENDAS'!$H$6:$H$500 &amp; "x " &amp; 'SAÍDA DE VENDAS'!$G$6:$G$500, MATCH(B666, 'SAÍDA DE VENDAS'!$B$6:$B$500, 0)+1), ""), "")&amp; IF(COUNTIF('SAÍDA DE VENDAS'!$B$6:$B$500, B666)&gt;2, " + " &amp; IFERROR(INDEX('SAÍDA DE VENDAS'!$H$6:$H$500 &amp; "x " &amp; 'SAÍDA DE VENDAS'!$G$6:$G$500, MATCH(B666, 'SAÍDA DE VENDAS'!$B$6:$B$500, 0)+2), ""), "")&amp; IF(COUNTIF('SAÍDA DE VENDAS'!$B$6:$B$500, B666)&gt;3, " + " &amp; IFERROR(INDEX('SAÍDA DE VENDAS'!$H$6:$H$500 &amp; "x " &amp; 'SAÍDA DE VENDAS'!$G$6:$G$500, MATCH(B666, 'SAÍDA DE VENDAS'!$B$6:$B$500, 0)+3), ""), "")&amp; IF(COUNTIF('SAÍDA DE VENDAS'!$B$6:$B$500, B666)&gt;4, " + " &amp; IFERROR(INDEX('SAÍDA DE VENDAS'!$H$6:$H$500 &amp; "x " &amp; 'SAÍDA DE VENDAS'!$G$6:$G$500, MATCH(B666, 'SAÍDA DE VENDAS'!$B$6:$B$500, 0)+4), ""), "")&amp; IF(COUNTIF('SAÍDA DE VENDAS'!$B$6:$B$500, B666)&gt;5, " + " &amp; IFERROR(INDEX('SAÍDA DE VENDAS'!$H$6:$H$500 &amp; "x " &amp; 'SAÍDA DE VENDAS'!$G$6:$G$500, MATCH(B666, 'SAÍDA DE VENDAS'!$B$6:$B$500, 0)+5), ""), ""))</f>
        <v/>
      </c>
      <c r="G666" s="28">
        <f>IFERROR(VLOOKUP(B666,'SAÍDA DE VENDAS'!$B$6:$P$500,10,FALSE),"")</f>
        <v>0</v>
      </c>
      <c r="H666" s="28" t="str">
        <f>IF(OR(ISBLANK(B666),B666=""), "", IF(B666=B665, (VALUE(LEFT(H665,FIND("/",H665)-1))+1)&amp;"/"&amp;RIGHT(H665,LEN(H665)-FIND("/",H665)), "1/"&amp;IFERROR(VLOOKUP(B666,'SAÍDA DE VENDAS'!$B$6:$P$500,13,FALSE),"1")))</f>
        <v/>
      </c>
      <c r="I666" s="69" t="str">
        <f t="shared" si="20"/>
        <v/>
      </c>
      <c r="J666" s="33" t="str">
        <f>IFERROR(VLOOKUP(B666,'SAÍDA DE VENDAS'!$B$6:$P$500,15,FALSE),"")</f>
        <v/>
      </c>
      <c r="K666" s="28" t="str">
        <f t="shared" ca="1" si="21"/>
        <v/>
      </c>
      <c r="L666" s="28"/>
      <c r="M666" s="28"/>
    </row>
    <row r="667" spans="2:13" ht="15" customHeight="1" x14ac:dyDescent="0.3">
      <c r="B667" s="34" t="str">
        <f>IF(B666="","", IF(VALUE(LEFT(H666,FIND("/",H666)-1)) &lt; VALUE(RIGHT(H666,LEN(H666)-FIND("/",H666))), B666, IFERROR(INDEX('SAÍDA DE VENDAS'!$B$6:$B$500, MATCH(B666,'SAÍDA DE VENDAS'!$B$6:$B$500,0)+COUNTIF('SAÍDA DE VENDAS'!$B$6:$B$500, B666)),"")))</f>
        <v/>
      </c>
      <c r="C667" s="35">
        <f>IFERROR(VLOOKUP(B667,'SAÍDA DE VENDAS'!$B$6:$P$500,3,FALSE),"")</f>
        <v>0</v>
      </c>
      <c r="D667" s="34">
        <f>IFERROR(VLOOKUP(B667,'SAÍDA DE VENDAS'!$B$6:$P$500,4,FALSE),"")</f>
        <v>0</v>
      </c>
      <c r="E667" s="34" t="str">
        <f>IFERROR(VLOOKUP(B667,'SAÍDA DE VENDAS'!$B$6:$P$500,5,FALSE),"")</f>
        <v/>
      </c>
      <c r="F667" s="34" t="str">
        <f>IF(OR(ISBLANK(B667),B667=""), "", IFERROR(INDEX('SAÍDA DE VENDAS'!$H$6:$H$500 &amp; "x " &amp; 'SAÍDA DE VENDAS'!$G$6:$G$500, MATCH(B667, 'SAÍDA DE VENDAS'!$B$6:$B$500, 0)), "")&amp; IF(COUNTIF('SAÍDA DE VENDAS'!$B$6:$B$500, B667)&gt;1, " + " &amp; IFERROR(INDEX('SAÍDA DE VENDAS'!$H$6:$H$500 &amp; "x " &amp; 'SAÍDA DE VENDAS'!$G$6:$G$500, MATCH(B667, 'SAÍDA DE VENDAS'!$B$6:$B$500, 0)+1), ""), "")&amp; IF(COUNTIF('SAÍDA DE VENDAS'!$B$6:$B$500, B667)&gt;2, " + " &amp; IFERROR(INDEX('SAÍDA DE VENDAS'!$H$6:$H$500 &amp; "x " &amp; 'SAÍDA DE VENDAS'!$G$6:$G$500, MATCH(B667, 'SAÍDA DE VENDAS'!$B$6:$B$500, 0)+2), ""), "")&amp; IF(COUNTIF('SAÍDA DE VENDAS'!$B$6:$B$500, B667)&gt;3, " + " &amp; IFERROR(INDEX('SAÍDA DE VENDAS'!$H$6:$H$500 &amp; "x " &amp; 'SAÍDA DE VENDAS'!$G$6:$G$500, MATCH(B667, 'SAÍDA DE VENDAS'!$B$6:$B$500, 0)+3), ""), "")&amp; IF(COUNTIF('SAÍDA DE VENDAS'!$B$6:$B$500, B667)&gt;4, " + " &amp; IFERROR(INDEX('SAÍDA DE VENDAS'!$H$6:$H$500 &amp; "x " &amp; 'SAÍDA DE VENDAS'!$G$6:$G$500, MATCH(B667, 'SAÍDA DE VENDAS'!$B$6:$B$500, 0)+4), ""), "")&amp; IF(COUNTIF('SAÍDA DE VENDAS'!$B$6:$B$500, B667)&gt;5, " + " &amp; IFERROR(INDEX('SAÍDA DE VENDAS'!$H$6:$H$500 &amp; "x " &amp; 'SAÍDA DE VENDAS'!$G$6:$G$500, MATCH(B667, 'SAÍDA DE VENDAS'!$B$6:$B$500, 0)+5), ""), ""))</f>
        <v/>
      </c>
      <c r="G667" s="34">
        <f>IFERROR(VLOOKUP(B667,'SAÍDA DE VENDAS'!$B$6:$P$500,10,FALSE),"")</f>
        <v>0</v>
      </c>
      <c r="H667" s="34" t="str">
        <f>IF(OR(ISBLANK(B667),B667=""), "", IF(B667=B666, (VALUE(LEFT(H666,FIND("/",H666)-1))+1)&amp;"/"&amp;RIGHT(H666,LEN(H666)-FIND("/",H666)), "1/"&amp;IFERROR(VLOOKUP(B667,'SAÍDA DE VENDAS'!$B$6:$P$500,13,FALSE),"1")))</f>
        <v/>
      </c>
      <c r="I667" s="35" t="str">
        <f t="shared" si="20"/>
        <v/>
      </c>
      <c r="J667" s="39" t="str">
        <f>IFERROR(VLOOKUP(B667,'SAÍDA DE VENDAS'!$B$6:$P$500,15,FALSE),"")</f>
        <v/>
      </c>
      <c r="K667" s="34" t="str">
        <f t="shared" ca="1" si="21"/>
        <v/>
      </c>
      <c r="L667" s="34"/>
      <c r="M667" s="34"/>
    </row>
    <row r="668" spans="2:13" ht="15" customHeight="1" x14ac:dyDescent="0.3">
      <c r="B668" s="28" t="str">
        <f>IF(B667="","", IF(VALUE(LEFT(H667,FIND("/",H667)-1)) &lt; VALUE(RIGHT(H667,LEN(H667)-FIND("/",H667))), B667, IFERROR(INDEX('SAÍDA DE VENDAS'!$B$6:$B$500, MATCH(B667,'SAÍDA DE VENDAS'!$B$6:$B$500,0)+COUNTIF('SAÍDA DE VENDAS'!$B$6:$B$500, B667)),"")))</f>
        <v/>
      </c>
      <c r="C668" s="29">
        <f>IFERROR(VLOOKUP(B668,'SAÍDA DE VENDAS'!$B$6:$P$500,3,FALSE),"")</f>
        <v>0</v>
      </c>
      <c r="D668" s="28">
        <f>IFERROR(VLOOKUP(B668,'SAÍDA DE VENDAS'!$B$6:$P$500,4,FALSE),"")</f>
        <v>0</v>
      </c>
      <c r="E668" s="28" t="str">
        <f>IFERROR(VLOOKUP(B668,'SAÍDA DE VENDAS'!$B$6:$P$500,5,FALSE),"")</f>
        <v/>
      </c>
      <c r="F668" s="28" t="str">
        <f>IF(OR(ISBLANK(B668),B668=""), "", IFERROR(INDEX('SAÍDA DE VENDAS'!$H$6:$H$500 &amp; "x " &amp; 'SAÍDA DE VENDAS'!$G$6:$G$500, MATCH(B668, 'SAÍDA DE VENDAS'!$B$6:$B$500, 0)), "")&amp; IF(COUNTIF('SAÍDA DE VENDAS'!$B$6:$B$500, B668)&gt;1, " + " &amp; IFERROR(INDEX('SAÍDA DE VENDAS'!$H$6:$H$500 &amp; "x " &amp; 'SAÍDA DE VENDAS'!$G$6:$G$500, MATCH(B668, 'SAÍDA DE VENDAS'!$B$6:$B$500, 0)+1), ""), "")&amp; IF(COUNTIF('SAÍDA DE VENDAS'!$B$6:$B$500, B668)&gt;2, " + " &amp; IFERROR(INDEX('SAÍDA DE VENDAS'!$H$6:$H$500 &amp; "x " &amp; 'SAÍDA DE VENDAS'!$G$6:$G$500, MATCH(B668, 'SAÍDA DE VENDAS'!$B$6:$B$500, 0)+2), ""), "")&amp; IF(COUNTIF('SAÍDA DE VENDAS'!$B$6:$B$500, B668)&gt;3, " + " &amp; IFERROR(INDEX('SAÍDA DE VENDAS'!$H$6:$H$500 &amp; "x " &amp; 'SAÍDA DE VENDAS'!$G$6:$G$500, MATCH(B668, 'SAÍDA DE VENDAS'!$B$6:$B$500, 0)+3), ""), "")&amp; IF(COUNTIF('SAÍDA DE VENDAS'!$B$6:$B$500, B668)&gt;4, " + " &amp; IFERROR(INDEX('SAÍDA DE VENDAS'!$H$6:$H$500 &amp; "x " &amp; 'SAÍDA DE VENDAS'!$G$6:$G$500, MATCH(B668, 'SAÍDA DE VENDAS'!$B$6:$B$500, 0)+4), ""), "")&amp; IF(COUNTIF('SAÍDA DE VENDAS'!$B$6:$B$500, B668)&gt;5, " + " &amp; IFERROR(INDEX('SAÍDA DE VENDAS'!$H$6:$H$500 &amp; "x " &amp; 'SAÍDA DE VENDAS'!$G$6:$G$500, MATCH(B668, 'SAÍDA DE VENDAS'!$B$6:$B$500, 0)+5), ""), ""))</f>
        <v/>
      </c>
      <c r="G668" s="28">
        <f>IFERROR(VLOOKUP(B668,'SAÍDA DE VENDAS'!$B$6:$P$500,10,FALSE),"")</f>
        <v>0</v>
      </c>
      <c r="H668" s="28" t="str">
        <f>IF(OR(ISBLANK(B668),B668=""), "", IF(B668=B667, (VALUE(LEFT(H667,FIND("/",H667)-1))+1)&amp;"/"&amp;RIGHT(H667,LEN(H667)-FIND("/",H667)), "1/"&amp;IFERROR(VLOOKUP(B668,'SAÍDA DE VENDAS'!$B$6:$P$500,13,FALSE),"1")))</f>
        <v/>
      </c>
      <c r="I668" s="69" t="str">
        <f t="shared" si="20"/>
        <v/>
      </c>
      <c r="J668" s="33" t="str">
        <f>IFERROR(VLOOKUP(B668,'SAÍDA DE VENDAS'!$B$6:$P$500,15,FALSE),"")</f>
        <v/>
      </c>
      <c r="K668" s="28" t="str">
        <f t="shared" ca="1" si="21"/>
        <v/>
      </c>
      <c r="L668" s="28"/>
      <c r="M668" s="28"/>
    </row>
    <row r="669" spans="2:13" ht="15" customHeight="1" x14ac:dyDescent="0.3">
      <c r="B669" s="34" t="str">
        <f>IF(B668="","", IF(VALUE(LEFT(H668,FIND("/",H668)-1)) &lt; VALUE(RIGHT(H668,LEN(H668)-FIND("/",H668))), B668, IFERROR(INDEX('SAÍDA DE VENDAS'!$B$6:$B$500, MATCH(B668,'SAÍDA DE VENDAS'!$B$6:$B$500,0)+COUNTIF('SAÍDA DE VENDAS'!$B$6:$B$500, B668)),"")))</f>
        <v/>
      </c>
      <c r="C669" s="35">
        <f>IFERROR(VLOOKUP(B669,'SAÍDA DE VENDAS'!$B$6:$P$500,3,FALSE),"")</f>
        <v>0</v>
      </c>
      <c r="D669" s="34">
        <f>IFERROR(VLOOKUP(B669,'SAÍDA DE VENDAS'!$B$6:$P$500,4,FALSE),"")</f>
        <v>0</v>
      </c>
      <c r="E669" s="34" t="str">
        <f>IFERROR(VLOOKUP(B669,'SAÍDA DE VENDAS'!$B$6:$P$500,5,FALSE),"")</f>
        <v/>
      </c>
      <c r="F669" s="34" t="str">
        <f>IF(OR(ISBLANK(B669),B669=""), "", IFERROR(INDEX('SAÍDA DE VENDAS'!$H$6:$H$500 &amp; "x " &amp; 'SAÍDA DE VENDAS'!$G$6:$G$500, MATCH(B669, 'SAÍDA DE VENDAS'!$B$6:$B$500, 0)), "")&amp; IF(COUNTIF('SAÍDA DE VENDAS'!$B$6:$B$500, B669)&gt;1, " + " &amp; IFERROR(INDEX('SAÍDA DE VENDAS'!$H$6:$H$500 &amp; "x " &amp; 'SAÍDA DE VENDAS'!$G$6:$G$500, MATCH(B669, 'SAÍDA DE VENDAS'!$B$6:$B$500, 0)+1), ""), "")&amp; IF(COUNTIF('SAÍDA DE VENDAS'!$B$6:$B$500, B669)&gt;2, " + " &amp; IFERROR(INDEX('SAÍDA DE VENDAS'!$H$6:$H$500 &amp; "x " &amp; 'SAÍDA DE VENDAS'!$G$6:$G$500, MATCH(B669, 'SAÍDA DE VENDAS'!$B$6:$B$500, 0)+2), ""), "")&amp; IF(COUNTIF('SAÍDA DE VENDAS'!$B$6:$B$500, B669)&gt;3, " + " &amp; IFERROR(INDEX('SAÍDA DE VENDAS'!$H$6:$H$500 &amp; "x " &amp; 'SAÍDA DE VENDAS'!$G$6:$G$500, MATCH(B669, 'SAÍDA DE VENDAS'!$B$6:$B$500, 0)+3), ""), "")&amp; IF(COUNTIF('SAÍDA DE VENDAS'!$B$6:$B$500, B669)&gt;4, " + " &amp; IFERROR(INDEX('SAÍDA DE VENDAS'!$H$6:$H$500 &amp; "x " &amp; 'SAÍDA DE VENDAS'!$G$6:$G$500, MATCH(B669, 'SAÍDA DE VENDAS'!$B$6:$B$500, 0)+4), ""), "")&amp; IF(COUNTIF('SAÍDA DE VENDAS'!$B$6:$B$500, B669)&gt;5, " + " &amp; IFERROR(INDEX('SAÍDA DE VENDAS'!$H$6:$H$500 &amp; "x " &amp; 'SAÍDA DE VENDAS'!$G$6:$G$500, MATCH(B669, 'SAÍDA DE VENDAS'!$B$6:$B$500, 0)+5), ""), ""))</f>
        <v/>
      </c>
      <c r="G669" s="34">
        <f>IFERROR(VLOOKUP(B669,'SAÍDA DE VENDAS'!$B$6:$P$500,10,FALSE),"")</f>
        <v>0</v>
      </c>
      <c r="H669" s="34" t="str">
        <f>IF(OR(ISBLANK(B669),B669=""), "", IF(B669=B668, (VALUE(LEFT(H668,FIND("/",H668)-1))+1)&amp;"/"&amp;RIGHT(H668,LEN(H668)-FIND("/",H668)), "1/"&amp;IFERROR(VLOOKUP(B669,'SAÍDA DE VENDAS'!$B$6:$P$500,13,FALSE),"1")))</f>
        <v/>
      </c>
      <c r="I669" s="35" t="str">
        <f t="shared" si="20"/>
        <v/>
      </c>
      <c r="J669" s="39" t="str">
        <f>IFERROR(VLOOKUP(B669,'SAÍDA DE VENDAS'!$B$6:$P$500,15,FALSE),"")</f>
        <v/>
      </c>
      <c r="K669" s="34" t="str">
        <f t="shared" ca="1" si="21"/>
        <v/>
      </c>
      <c r="L669" s="34"/>
      <c r="M669" s="34"/>
    </row>
    <row r="670" spans="2:13" ht="15" customHeight="1" x14ac:dyDescent="0.3">
      <c r="B670" s="28" t="str">
        <f>IF(B669="","", IF(VALUE(LEFT(H669,FIND("/",H669)-1)) &lt; VALUE(RIGHT(H669,LEN(H669)-FIND("/",H669))), B669, IFERROR(INDEX('SAÍDA DE VENDAS'!$B$6:$B$500, MATCH(B669,'SAÍDA DE VENDAS'!$B$6:$B$500,0)+COUNTIF('SAÍDA DE VENDAS'!$B$6:$B$500, B669)),"")))</f>
        <v/>
      </c>
      <c r="C670" s="29">
        <f>IFERROR(VLOOKUP(B670,'SAÍDA DE VENDAS'!$B$6:$P$500,3,FALSE),"")</f>
        <v>0</v>
      </c>
      <c r="D670" s="28">
        <f>IFERROR(VLOOKUP(B670,'SAÍDA DE VENDAS'!$B$6:$P$500,4,FALSE),"")</f>
        <v>0</v>
      </c>
      <c r="E670" s="28" t="str">
        <f>IFERROR(VLOOKUP(B670,'SAÍDA DE VENDAS'!$B$6:$P$500,5,FALSE),"")</f>
        <v/>
      </c>
      <c r="F670" s="28" t="str">
        <f>IF(OR(ISBLANK(B670),B670=""), "", IFERROR(INDEX('SAÍDA DE VENDAS'!$H$6:$H$500 &amp; "x " &amp; 'SAÍDA DE VENDAS'!$G$6:$G$500, MATCH(B670, 'SAÍDA DE VENDAS'!$B$6:$B$500, 0)), "")&amp; IF(COUNTIF('SAÍDA DE VENDAS'!$B$6:$B$500, B670)&gt;1, " + " &amp; IFERROR(INDEX('SAÍDA DE VENDAS'!$H$6:$H$500 &amp; "x " &amp; 'SAÍDA DE VENDAS'!$G$6:$G$500, MATCH(B670, 'SAÍDA DE VENDAS'!$B$6:$B$500, 0)+1), ""), "")&amp; IF(COUNTIF('SAÍDA DE VENDAS'!$B$6:$B$500, B670)&gt;2, " + " &amp; IFERROR(INDEX('SAÍDA DE VENDAS'!$H$6:$H$500 &amp; "x " &amp; 'SAÍDA DE VENDAS'!$G$6:$G$500, MATCH(B670, 'SAÍDA DE VENDAS'!$B$6:$B$500, 0)+2), ""), "")&amp; IF(COUNTIF('SAÍDA DE VENDAS'!$B$6:$B$500, B670)&gt;3, " + " &amp; IFERROR(INDEX('SAÍDA DE VENDAS'!$H$6:$H$500 &amp; "x " &amp; 'SAÍDA DE VENDAS'!$G$6:$G$500, MATCH(B670, 'SAÍDA DE VENDAS'!$B$6:$B$500, 0)+3), ""), "")&amp; IF(COUNTIF('SAÍDA DE VENDAS'!$B$6:$B$500, B670)&gt;4, " + " &amp; IFERROR(INDEX('SAÍDA DE VENDAS'!$H$6:$H$500 &amp; "x " &amp; 'SAÍDA DE VENDAS'!$G$6:$G$500, MATCH(B670, 'SAÍDA DE VENDAS'!$B$6:$B$500, 0)+4), ""), "")&amp; IF(COUNTIF('SAÍDA DE VENDAS'!$B$6:$B$500, B670)&gt;5, " + " &amp; IFERROR(INDEX('SAÍDA DE VENDAS'!$H$6:$H$500 &amp; "x " &amp; 'SAÍDA DE VENDAS'!$G$6:$G$500, MATCH(B670, 'SAÍDA DE VENDAS'!$B$6:$B$500, 0)+5), ""), ""))</f>
        <v/>
      </c>
      <c r="G670" s="28">
        <f>IFERROR(VLOOKUP(B670,'SAÍDA DE VENDAS'!$B$6:$P$500,10,FALSE),"")</f>
        <v>0</v>
      </c>
      <c r="H670" s="28" t="str">
        <f>IF(OR(ISBLANK(B670),B670=""), "", IF(B670=B669, (VALUE(LEFT(H669,FIND("/",H669)-1))+1)&amp;"/"&amp;RIGHT(H669,LEN(H669)-FIND("/",H669)), "1/"&amp;IFERROR(VLOOKUP(B670,'SAÍDA DE VENDAS'!$B$6:$P$500,13,FALSE),"1")))</f>
        <v/>
      </c>
      <c r="I670" s="69" t="str">
        <f t="shared" si="20"/>
        <v/>
      </c>
      <c r="J670" s="33" t="str">
        <f>IFERROR(VLOOKUP(B670,'SAÍDA DE VENDAS'!$B$6:$P$500,15,FALSE),"")</f>
        <v/>
      </c>
      <c r="K670" s="28" t="str">
        <f t="shared" ca="1" si="21"/>
        <v/>
      </c>
      <c r="L670" s="28"/>
      <c r="M670" s="28"/>
    </row>
    <row r="671" spans="2:13" ht="15" customHeight="1" x14ac:dyDescent="0.3">
      <c r="B671" s="34" t="str">
        <f>IF(B670="","", IF(VALUE(LEFT(H670,FIND("/",H670)-1)) &lt; VALUE(RIGHT(H670,LEN(H670)-FIND("/",H670))), B670, IFERROR(INDEX('SAÍDA DE VENDAS'!$B$6:$B$500, MATCH(B670,'SAÍDA DE VENDAS'!$B$6:$B$500,0)+COUNTIF('SAÍDA DE VENDAS'!$B$6:$B$500, B670)),"")))</f>
        <v/>
      </c>
      <c r="C671" s="35">
        <f>IFERROR(VLOOKUP(B671,'SAÍDA DE VENDAS'!$B$6:$P$500,3,FALSE),"")</f>
        <v>0</v>
      </c>
      <c r="D671" s="34">
        <f>IFERROR(VLOOKUP(B671,'SAÍDA DE VENDAS'!$B$6:$P$500,4,FALSE),"")</f>
        <v>0</v>
      </c>
      <c r="E671" s="34" t="str">
        <f>IFERROR(VLOOKUP(B671,'SAÍDA DE VENDAS'!$B$6:$P$500,5,FALSE),"")</f>
        <v/>
      </c>
      <c r="F671" s="34" t="str">
        <f>IF(OR(ISBLANK(B671),B671=""), "", IFERROR(INDEX('SAÍDA DE VENDAS'!$H$6:$H$500 &amp; "x " &amp; 'SAÍDA DE VENDAS'!$G$6:$G$500, MATCH(B671, 'SAÍDA DE VENDAS'!$B$6:$B$500, 0)), "")&amp; IF(COUNTIF('SAÍDA DE VENDAS'!$B$6:$B$500, B671)&gt;1, " + " &amp; IFERROR(INDEX('SAÍDA DE VENDAS'!$H$6:$H$500 &amp; "x " &amp; 'SAÍDA DE VENDAS'!$G$6:$G$500, MATCH(B671, 'SAÍDA DE VENDAS'!$B$6:$B$500, 0)+1), ""), "")&amp; IF(COUNTIF('SAÍDA DE VENDAS'!$B$6:$B$500, B671)&gt;2, " + " &amp; IFERROR(INDEX('SAÍDA DE VENDAS'!$H$6:$H$500 &amp; "x " &amp; 'SAÍDA DE VENDAS'!$G$6:$G$500, MATCH(B671, 'SAÍDA DE VENDAS'!$B$6:$B$500, 0)+2), ""), "")&amp; IF(COUNTIF('SAÍDA DE VENDAS'!$B$6:$B$500, B671)&gt;3, " + " &amp; IFERROR(INDEX('SAÍDA DE VENDAS'!$H$6:$H$500 &amp; "x " &amp; 'SAÍDA DE VENDAS'!$G$6:$G$500, MATCH(B671, 'SAÍDA DE VENDAS'!$B$6:$B$500, 0)+3), ""), "")&amp; IF(COUNTIF('SAÍDA DE VENDAS'!$B$6:$B$500, B671)&gt;4, " + " &amp; IFERROR(INDEX('SAÍDA DE VENDAS'!$H$6:$H$500 &amp; "x " &amp; 'SAÍDA DE VENDAS'!$G$6:$G$500, MATCH(B671, 'SAÍDA DE VENDAS'!$B$6:$B$500, 0)+4), ""), "")&amp; IF(COUNTIF('SAÍDA DE VENDAS'!$B$6:$B$500, B671)&gt;5, " + " &amp; IFERROR(INDEX('SAÍDA DE VENDAS'!$H$6:$H$500 &amp; "x " &amp; 'SAÍDA DE VENDAS'!$G$6:$G$500, MATCH(B671, 'SAÍDA DE VENDAS'!$B$6:$B$500, 0)+5), ""), ""))</f>
        <v/>
      </c>
      <c r="G671" s="34">
        <f>IFERROR(VLOOKUP(B671,'SAÍDA DE VENDAS'!$B$6:$P$500,10,FALSE),"")</f>
        <v>0</v>
      </c>
      <c r="H671" s="34" t="str">
        <f>IF(OR(ISBLANK(B671),B671=""), "", IF(B671=B670, (VALUE(LEFT(H670,FIND("/",H670)-1))+1)&amp;"/"&amp;RIGHT(H670,LEN(H670)-FIND("/",H670)), "1/"&amp;IFERROR(VLOOKUP(B671,'SAÍDA DE VENDAS'!$B$6:$P$500,13,FALSE),"1")))</f>
        <v/>
      </c>
      <c r="I671" s="35" t="str">
        <f t="shared" si="20"/>
        <v/>
      </c>
      <c r="J671" s="39" t="str">
        <f>IFERROR(VLOOKUP(B671,'SAÍDA DE VENDAS'!$B$6:$P$500,15,FALSE),"")</f>
        <v/>
      </c>
      <c r="K671" s="34" t="str">
        <f t="shared" ca="1" si="21"/>
        <v/>
      </c>
      <c r="L671" s="34"/>
      <c r="M671" s="34"/>
    </row>
    <row r="672" spans="2:13" ht="15" customHeight="1" x14ac:dyDescent="0.3">
      <c r="B672" s="28" t="str">
        <f>IF(B671="","", IF(VALUE(LEFT(H671,FIND("/",H671)-1)) &lt; VALUE(RIGHT(H671,LEN(H671)-FIND("/",H671))), B671, IFERROR(INDEX('SAÍDA DE VENDAS'!$B$6:$B$500, MATCH(B671,'SAÍDA DE VENDAS'!$B$6:$B$500,0)+COUNTIF('SAÍDA DE VENDAS'!$B$6:$B$500, B671)),"")))</f>
        <v/>
      </c>
      <c r="C672" s="29">
        <f>IFERROR(VLOOKUP(B672,'SAÍDA DE VENDAS'!$B$6:$P$500,3,FALSE),"")</f>
        <v>0</v>
      </c>
      <c r="D672" s="28">
        <f>IFERROR(VLOOKUP(B672,'SAÍDA DE VENDAS'!$B$6:$P$500,4,FALSE),"")</f>
        <v>0</v>
      </c>
      <c r="E672" s="28" t="str">
        <f>IFERROR(VLOOKUP(B672,'SAÍDA DE VENDAS'!$B$6:$P$500,5,FALSE),"")</f>
        <v/>
      </c>
      <c r="F672" s="28" t="str">
        <f>IF(OR(ISBLANK(B672),B672=""), "", IFERROR(INDEX('SAÍDA DE VENDAS'!$H$6:$H$500 &amp; "x " &amp; 'SAÍDA DE VENDAS'!$G$6:$G$500, MATCH(B672, 'SAÍDA DE VENDAS'!$B$6:$B$500, 0)), "")&amp; IF(COUNTIF('SAÍDA DE VENDAS'!$B$6:$B$500, B672)&gt;1, " + " &amp; IFERROR(INDEX('SAÍDA DE VENDAS'!$H$6:$H$500 &amp; "x " &amp; 'SAÍDA DE VENDAS'!$G$6:$G$500, MATCH(B672, 'SAÍDA DE VENDAS'!$B$6:$B$500, 0)+1), ""), "")&amp; IF(COUNTIF('SAÍDA DE VENDAS'!$B$6:$B$500, B672)&gt;2, " + " &amp; IFERROR(INDEX('SAÍDA DE VENDAS'!$H$6:$H$500 &amp; "x " &amp; 'SAÍDA DE VENDAS'!$G$6:$G$500, MATCH(B672, 'SAÍDA DE VENDAS'!$B$6:$B$500, 0)+2), ""), "")&amp; IF(COUNTIF('SAÍDA DE VENDAS'!$B$6:$B$500, B672)&gt;3, " + " &amp; IFERROR(INDEX('SAÍDA DE VENDAS'!$H$6:$H$500 &amp; "x " &amp; 'SAÍDA DE VENDAS'!$G$6:$G$500, MATCH(B672, 'SAÍDA DE VENDAS'!$B$6:$B$500, 0)+3), ""), "")&amp; IF(COUNTIF('SAÍDA DE VENDAS'!$B$6:$B$500, B672)&gt;4, " + " &amp; IFERROR(INDEX('SAÍDA DE VENDAS'!$H$6:$H$500 &amp; "x " &amp; 'SAÍDA DE VENDAS'!$G$6:$G$500, MATCH(B672, 'SAÍDA DE VENDAS'!$B$6:$B$500, 0)+4), ""), "")&amp; IF(COUNTIF('SAÍDA DE VENDAS'!$B$6:$B$500, B672)&gt;5, " + " &amp; IFERROR(INDEX('SAÍDA DE VENDAS'!$H$6:$H$500 &amp; "x " &amp; 'SAÍDA DE VENDAS'!$G$6:$G$500, MATCH(B672, 'SAÍDA DE VENDAS'!$B$6:$B$500, 0)+5), ""), ""))</f>
        <v/>
      </c>
      <c r="G672" s="28">
        <f>IFERROR(VLOOKUP(B672,'SAÍDA DE VENDAS'!$B$6:$P$500,10,FALSE),"")</f>
        <v>0</v>
      </c>
      <c r="H672" s="28" t="str">
        <f>IF(OR(ISBLANK(B672),B672=""), "", IF(B672=B671, (VALUE(LEFT(H671,FIND("/",H671)-1))+1)&amp;"/"&amp;RIGHT(H671,LEN(H671)-FIND("/",H671)), "1/"&amp;IFERROR(VLOOKUP(B672,'SAÍDA DE VENDAS'!$B$6:$P$500,13,FALSE),"1")))</f>
        <v/>
      </c>
      <c r="I672" s="69" t="str">
        <f t="shared" si="20"/>
        <v/>
      </c>
      <c r="J672" s="33" t="str">
        <f>IFERROR(VLOOKUP(B672,'SAÍDA DE VENDAS'!$B$6:$P$500,15,FALSE),"")</f>
        <v/>
      </c>
      <c r="K672" s="28" t="str">
        <f t="shared" ca="1" si="21"/>
        <v/>
      </c>
      <c r="L672" s="28"/>
      <c r="M672" s="28"/>
    </row>
    <row r="673" spans="2:13" ht="15" customHeight="1" x14ac:dyDescent="0.3">
      <c r="B673" s="34" t="str">
        <f>IF(B672="","", IF(VALUE(LEFT(H672,FIND("/",H672)-1)) &lt; VALUE(RIGHT(H672,LEN(H672)-FIND("/",H672))), B672, IFERROR(INDEX('SAÍDA DE VENDAS'!$B$6:$B$500, MATCH(B672,'SAÍDA DE VENDAS'!$B$6:$B$500,0)+COUNTIF('SAÍDA DE VENDAS'!$B$6:$B$500, B672)),"")))</f>
        <v/>
      </c>
      <c r="C673" s="35">
        <f>IFERROR(VLOOKUP(B673,'SAÍDA DE VENDAS'!$B$6:$P$500,3,FALSE),"")</f>
        <v>0</v>
      </c>
      <c r="D673" s="34">
        <f>IFERROR(VLOOKUP(B673,'SAÍDA DE VENDAS'!$B$6:$P$500,4,FALSE),"")</f>
        <v>0</v>
      </c>
      <c r="E673" s="34" t="str">
        <f>IFERROR(VLOOKUP(B673,'SAÍDA DE VENDAS'!$B$6:$P$500,5,FALSE),"")</f>
        <v/>
      </c>
      <c r="F673" s="34" t="str">
        <f>IF(OR(ISBLANK(B673),B673=""), "", IFERROR(INDEX('SAÍDA DE VENDAS'!$H$6:$H$500 &amp; "x " &amp; 'SAÍDA DE VENDAS'!$G$6:$G$500, MATCH(B673, 'SAÍDA DE VENDAS'!$B$6:$B$500, 0)), "")&amp; IF(COUNTIF('SAÍDA DE VENDAS'!$B$6:$B$500, B673)&gt;1, " + " &amp; IFERROR(INDEX('SAÍDA DE VENDAS'!$H$6:$H$500 &amp; "x " &amp; 'SAÍDA DE VENDAS'!$G$6:$G$500, MATCH(B673, 'SAÍDA DE VENDAS'!$B$6:$B$500, 0)+1), ""), "")&amp; IF(COUNTIF('SAÍDA DE VENDAS'!$B$6:$B$500, B673)&gt;2, " + " &amp; IFERROR(INDEX('SAÍDA DE VENDAS'!$H$6:$H$500 &amp; "x " &amp; 'SAÍDA DE VENDAS'!$G$6:$G$500, MATCH(B673, 'SAÍDA DE VENDAS'!$B$6:$B$500, 0)+2), ""), "")&amp; IF(COUNTIF('SAÍDA DE VENDAS'!$B$6:$B$500, B673)&gt;3, " + " &amp; IFERROR(INDEX('SAÍDA DE VENDAS'!$H$6:$H$500 &amp; "x " &amp; 'SAÍDA DE VENDAS'!$G$6:$G$500, MATCH(B673, 'SAÍDA DE VENDAS'!$B$6:$B$500, 0)+3), ""), "")&amp; IF(COUNTIF('SAÍDA DE VENDAS'!$B$6:$B$500, B673)&gt;4, " + " &amp; IFERROR(INDEX('SAÍDA DE VENDAS'!$H$6:$H$500 &amp; "x " &amp; 'SAÍDA DE VENDAS'!$G$6:$G$500, MATCH(B673, 'SAÍDA DE VENDAS'!$B$6:$B$500, 0)+4), ""), "")&amp; IF(COUNTIF('SAÍDA DE VENDAS'!$B$6:$B$500, B673)&gt;5, " + " &amp; IFERROR(INDEX('SAÍDA DE VENDAS'!$H$6:$H$500 &amp; "x " &amp; 'SAÍDA DE VENDAS'!$G$6:$G$500, MATCH(B673, 'SAÍDA DE VENDAS'!$B$6:$B$500, 0)+5), ""), ""))</f>
        <v/>
      </c>
      <c r="G673" s="34">
        <f>IFERROR(VLOOKUP(B673,'SAÍDA DE VENDAS'!$B$6:$P$500,10,FALSE),"")</f>
        <v>0</v>
      </c>
      <c r="H673" s="34" t="str">
        <f>IF(OR(ISBLANK(B673),B673=""), "", IF(B673=B672, (VALUE(LEFT(H672,FIND("/",H672)-1))+1)&amp;"/"&amp;RIGHT(H672,LEN(H672)-FIND("/",H672)), "1/"&amp;IFERROR(VLOOKUP(B673,'SAÍDA DE VENDAS'!$B$6:$P$500,13,FALSE),"1")))</f>
        <v/>
      </c>
      <c r="I673" s="35" t="str">
        <f t="shared" si="20"/>
        <v/>
      </c>
      <c r="J673" s="39" t="str">
        <f>IFERROR(VLOOKUP(B673,'SAÍDA DE VENDAS'!$B$6:$P$500,15,FALSE),"")</f>
        <v/>
      </c>
      <c r="K673" s="34" t="str">
        <f t="shared" ca="1" si="21"/>
        <v/>
      </c>
      <c r="L673" s="34"/>
      <c r="M673" s="34"/>
    </row>
    <row r="674" spans="2:13" ht="15" customHeight="1" x14ac:dyDescent="0.3">
      <c r="B674" s="28" t="str">
        <f>IF(B673="","", IF(VALUE(LEFT(H673,FIND("/",H673)-1)) &lt; VALUE(RIGHT(H673,LEN(H673)-FIND("/",H673))), B673, IFERROR(INDEX('SAÍDA DE VENDAS'!$B$6:$B$500, MATCH(B673,'SAÍDA DE VENDAS'!$B$6:$B$500,0)+COUNTIF('SAÍDA DE VENDAS'!$B$6:$B$500, B673)),"")))</f>
        <v/>
      </c>
      <c r="C674" s="29">
        <f>IFERROR(VLOOKUP(B674,'SAÍDA DE VENDAS'!$B$6:$P$500,3,FALSE),"")</f>
        <v>0</v>
      </c>
      <c r="D674" s="28">
        <f>IFERROR(VLOOKUP(B674,'SAÍDA DE VENDAS'!$B$6:$P$500,4,FALSE),"")</f>
        <v>0</v>
      </c>
      <c r="E674" s="28" t="str">
        <f>IFERROR(VLOOKUP(B674,'SAÍDA DE VENDAS'!$B$6:$P$500,5,FALSE),"")</f>
        <v/>
      </c>
      <c r="F674" s="28" t="str">
        <f>IF(OR(ISBLANK(B674),B674=""), "", IFERROR(INDEX('SAÍDA DE VENDAS'!$H$6:$H$500 &amp; "x " &amp; 'SAÍDA DE VENDAS'!$G$6:$G$500, MATCH(B674, 'SAÍDA DE VENDAS'!$B$6:$B$500, 0)), "")&amp; IF(COUNTIF('SAÍDA DE VENDAS'!$B$6:$B$500, B674)&gt;1, " + " &amp; IFERROR(INDEX('SAÍDA DE VENDAS'!$H$6:$H$500 &amp; "x " &amp; 'SAÍDA DE VENDAS'!$G$6:$G$500, MATCH(B674, 'SAÍDA DE VENDAS'!$B$6:$B$500, 0)+1), ""), "")&amp; IF(COUNTIF('SAÍDA DE VENDAS'!$B$6:$B$500, B674)&gt;2, " + " &amp; IFERROR(INDEX('SAÍDA DE VENDAS'!$H$6:$H$500 &amp; "x " &amp; 'SAÍDA DE VENDAS'!$G$6:$G$500, MATCH(B674, 'SAÍDA DE VENDAS'!$B$6:$B$500, 0)+2), ""), "")&amp; IF(COUNTIF('SAÍDA DE VENDAS'!$B$6:$B$500, B674)&gt;3, " + " &amp; IFERROR(INDEX('SAÍDA DE VENDAS'!$H$6:$H$500 &amp; "x " &amp; 'SAÍDA DE VENDAS'!$G$6:$G$500, MATCH(B674, 'SAÍDA DE VENDAS'!$B$6:$B$500, 0)+3), ""), "")&amp; IF(COUNTIF('SAÍDA DE VENDAS'!$B$6:$B$500, B674)&gt;4, " + " &amp; IFERROR(INDEX('SAÍDA DE VENDAS'!$H$6:$H$500 &amp; "x " &amp; 'SAÍDA DE VENDAS'!$G$6:$G$500, MATCH(B674, 'SAÍDA DE VENDAS'!$B$6:$B$500, 0)+4), ""), "")&amp; IF(COUNTIF('SAÍDA DE VENDAS'!$B$6:$B$500, B674)&gt;5, " + " &amp; IFERROR(INDEX('SAÍDA DE VENDAS'!$H$6:$H$500 &amp; "x " &amp; 'SAÍDA DE VENDAS'!$G$6:$G$500, MATCH(B674, 'SAÍDA DE VENDAS'!$B$6:$B$500, 0)+5), ""), ""))</f>
        <v/>
      </c>
      <c r="G674" s="28">
        <f>IFERROR(VLOOKUP(B674,'SAÍDA DE VENDAS'!$B$6:$P$500,10,FALSE),"")</f>
        <v>0</v>
      </c>
      <c r="H674" s="28" t="str">
        <f>IF(OR(ISBLANK(B674),B674=""), "", IF(B674=B673, (VALUE(LEFT(H673,FIND("/",H673)-1))+1)&amp;"/"&amp;RIGHT(H673,LEN(H673)-FIND("/",H673)), "1/"&amp;IFERROR(VLOOKUP(B674,'SAÍDA DE VENDAS'!$B$6:$P$500,13,FALSE),"1")))</f>
        <v/>
      </c>
      <c r="I674" s="69" t="str">
        <f t="shared" si="20"/>
        <v/>
      </c>
      <c r="J674" s="33" t="str">
        <f>IFERROR(VLOOKUP(B674,'SAÍDA DE VENDAS'!$B$6:$P$500,15,FALSE),"")</f>
        <v/>
      </c>
      <c r="K674" s="28" t="str">
        <f t="shared" ca="1" si="21"/>
        <v/>
      </c>
      <c r="L674" s="28"/>
      <c r="M674" s="28"/>
    </row>
    <row r="675" spans="2:13" ht="15" customHeight="1" x14ac:dyDescent="0.3">
      <c r="B675" s="34" t="str">
        <f>IF(B674="","", IF(VALUE(LEFT(H674,FIND("/",H674)-1)) &lt; VALUE(RIGHT(H674,LEN(H674)-FIND("/",H674))), B674, IFERROR(INDEX('SAÍDA DE VENDAS'!$B$6:$B$500, MATCH(B674,'SAÍDA DE VENDAS'!$B$6:$B$500,0)+COUNTIF('SAÍDA DE VENDAS'!$B$6:$B$500, B674)),"")))</f>
        <v/>
      </c>
      <c r="C675" s="35">
        <f>IFERROR(VLOOKUP(B675,'SAÍDA DE VENDAS'!$B$6:$P$500,3,FALSE),"")</f>
        <v>0</v>
      </c>
      <c r="D675" s="34">
        <f>IFERROR(VLOOKUP(B675,'SAÍDA DE VENDAS'!$B$6:$P$500,4,FALSE),"")</f>
        <v>0</v>
      </c>
      <c r="E675" s="34" t="str">
        <f>IFERROR(VLOOKUP(B675,'SAÍDA DE VENDAS'!$B$6:$P$500,5,FALSE),"")</f>
        <v/>
      </c>
      <c r="F675" s="34" t="str">
        <f>IF(OR(ISBLANK(B675),B675=""), "", IFERROR(INDEX('SAÍDA DE VENDAS'!$H$6:$H$500 &amp; "x " &amp; 'SAÍDA DE VENDAS'!$G$6:$G$500, MATCH(B675, 'SAÍDA DE VENDAS'!$B$6:$B$500, 0)), "")&amp; IF(COUNTIF('SAÍDA DE VENDAS'!$B$6:$B$500, B675)&gt;1, " + " &amp; IFERROR(INDEX('SAÍDA DE VENDAS'!$H$6:$H$500 &amp; "x " &amp; 'SAÍDA DE VENDAS'!$G$6:$G$500, MATCH(B675, 'SAÍDA DE VENDAS'!$B$6:$B$500, 0)+1), ""), "")&amp; IF(COUNTIF('SAÍDA DE VENDAS'!$B$6:$B$500, B675)&gt;2, " + " &amp; IFERROR(INDEX('SAÍDA DE VENDAS'!$H$6:$H$500 &amp; "x " &amp; 'SAÍDA DE VENDAS'!$G$6:$G$500, MATCH(B675, 'SAÍDA DE VENDAS'!$B$6:$B$500, 0)+2), ""), "")&amp; IF(COUNTIF('SAÍDA DE VENDAS'!$B$6:$B$500, B675)&gt;3, " + " &amp; IFERROR(INDEX('SAÍDA DE VENDAS'!$H$6:$H$500 &amp; "x " &amp; 'SAÍDA DE VENDAS'!$G$6:$G$500, MATCH(B675, 'SAÍDA DE VENDAS'!$B$6:$B$500, 0)+3), ""), "")&amp; IF(COUNTIF('SAÍDA DE VENDAS'!$B$6:$B$500, B675)&gt;4, " + " &amp; IFERROR(INDEX('SAÍDA DE VENDAS'!$H$6:$H$500 &amp; "x " &amp; 'SAÍDA DE VENDAS'!$G$6:$G$500, MATCH(B675, 'SAÍDA DE VENDAS'!$B$6:$B$500, 0)+4), ""), "")&amp; IF(COUNTIF('SAÍDA DE VENDAS'!$B$6:$B$500, B675)&gt;5, " + " &amp; IFERROR(INDEX('SAÍDA DE VENDAS'!$H$6:$H$500 &amp; "x " &amp; 'SAÍDA DE VENDAS'!$G$6:$G$500, MATCH(B675, 'SAÍDA DE VENDAS'!$B$6:$B$500, 0)+5), ""), ""))</f>
        <v/>
      </c>
      <c r="G675" s="34">
        <f>IFERROR(VLOOKUP(B675,'SAÍDA DE VENDAS'!$B$6:$P$500,10,FALSE),"")</f>
        <v>0</v>
      </c>
      <c r="H675" s="34" t="str">
        <f>IF(OR(ISBLANK(B675),B675=""), "", IF(B675=B674, (VALUE(LEFT(H674,FIND("/",H674)-1))+1)&amp;"/"&amp;RIGHT(H674,LEN(H674)-FIND("/",H674)), "1/"&amp;IFERROR(VLOOKUP(B675,'SAÍDA DE VENDAS'!$B$6:$P$500,13,FALSE),"1")))</f>
        <v/>
      </c>
      <c r="I675" s="35" t="str">
        <f t="shared" si="20"/>
        <v/>
      </c>
      <c r="J675" s="39" t="str">
        <f>IFERROR(VLOOKUP(B675,'SAÍDA DE VENDAS'!$B$6:$P$500,15,FALSE),"")</f>
        <v/>
      </c>
      <c r="K675" s="34" t="str">
        <f t="shared" ca="1" si="21"/>
        <v/>
      </c>
      <c r="L675" s="34"/>
      <c r="M675" s="34"/>
    </row>
    <row r="676" spans="2:13" ht="15" customHeight="1" x14ac:dyDescent="0.3">
      <c r="B676" s="28" t="str">
        <f>IF(B675="","", IF(VALUE(LEFT(H675,FIND("/",H675)-1)) &lt; VALUE(RIGHT(H675,LEN(H675)-FIND("/",H675))), B675, IFERROR(INDEX('SAÍDA DE VENDAS'!$B$6:$B$500, MATCH(B675,'SAÍDA DE VENDAS'!$B$6:$B$500,0)+COUNTIF('SAÍDA DE VENDAS'!$B$6:$B$500, B675)),"")))</f>
        <v/>
      </c>
      <c r="C676" s="29">
        <f>IFERROR(VLOOKUP(B676,'SAÍDA DE VENDAS'!$B$6:$P$500,3,FALSE),"")</f>
        <v>0</v>
      </c>
      <c r="D676" s="28">
        <f>IFERROR(VLOOKUP(B676,'SAÍDA DE VENDAS'!$B$6:$P$500,4,FALSE),"")</f>
        <v>0</v>
      </c>
      <c r="E676" s="28" t="str">
        <f>IFERROR(VLOOKUP(B676,'SAÍDA DE VENDAS'!$B$6:$P$500,5,FALSE),"")</f>
        <v/>
      </c>
      <c r="F676" s="28" t="str">
        <f>IF(OR(ISBLANK(B676),B676=""), "", IFERROR(INDEX('SAÍDA DE VENDAS'!$H$6:$H$500 &amp; "x " &amp; 'SAÍDA DE VENDAS'!$G$6:$G$500, MATCH(B676, 'SAÍDA DE VENDAS'!$B$6:$B$500, 0)), "")&amp; IF(COUNTIF('SAÍDA DE VENDAS'!$B$6:$B$500, B676)&gt;1, " + " &amp; IFERROR(INDEX('SAÍDA DE VENDAS'!$H$6:$H$500 &amp; "x " &amp; 'SAÍDA DE VENDAS'!$G$6:$G$500, MATCH(B676, 'SAÍDA DE VENDAS'!$B$6:$B$500, 0)+1), ""), "")&amp; IF(COUNTIF('SAÍDA DE VENDAS'!$B$6:$B$500, B676)&gt;2, " + " &amp; IFERROR(INDEX('SAÍDA DE VENDAS'!$H$6:$H$500 &amp; "x " &amp; 'SAÍDA DE VENDAS'!$G$6:$G$500, MATCH(B676, 'SAÍDA DE VENDAS'!$B$6:$B$500, 0)+2), ""), "")&amp; IF(COUNTIF('SAÍDA DE VENDAS'!$B$6:$B$500, B676)&gt;3, " + " &amp; IFERROR(INDEX('SAÍDA DE VENDAS'!$H$6:$H$500 &amp; "x " &amp; 'SAÍDA DE VENDAS'!$G$6:$G$500, MATCH(B676, 'SAÍDA DE VENDAS'!$B$6:$B$500, 0)+3), ""), "")&amp; IF(COUNTIF('SAÍDA DE VENDAS'!$B$6:$B$500, B676)&gt;4, " + " &amp; IFERROR(INDEX('SAÍDA DE VENDAS'!$H$6:$H$500 &amp; "x " &amp; 'SAÍDA DE VENDAS'!$G$6:$G$500, MATCH(B676, 'SAÍDA DE VENDAS'!$B$6:$B$500, 0)+4), ""), "")&amp; IF(COUNTIF('SAÍDA DE VENDAS'!$B$6:$B$500, B676)&gt;5, " + " &amp; IFERROR(INDEX('SAÍDA DE VENDAS'!$H$6:$H$500 &amp; "x " &amp; 'SAÍDA DE VENDAS'!$G$6:$G$500, MATCH(B676, 'SAÍDA DE VENDAS'!$B$6:$B$500, 0)+5), ""), ""))</f>
        <v/>
      </c>
      <c r="G676" s="28">
        <f>IFERROR(VLOOKUP(B676,'SAÍDA DE VENDAS'!$B$6:$P$500,10,FALSE),"")</f>
        <v>0</v>
      </c>
      <c r="H676" s="28" t="str">
        <f>IF(OR(ISBLANK(B676),B676=""), "", IF(B676=B675, (VALUE(LEFT(H675,FIND("/",H675)-1))+1)&amp;"/"&amp;RIGHT(H675,LEN(H675)-FIND("/",H675)), "1/"&amp;IFERROR(VLOOKUP(B676,'SAÍDA DE VENDAS'!$B$6:$P$500,13,FALSE),"1")))</f>
        <v/>
      </c>
      <c r="I676" s="69" t="str">
        <f t="shared" si="20"/>
        <v/>
      </c>
      <c r="J676" s="33" t="str">
        <f>IFERROR(VLOOKUP(B676,'SAÍDA DE VENDAS'!$B$6:$P$500,15,FALSE),"")</f>
        <v/>
      </c>
      <c r="K676" s="28" t="str">
        <f t="shared" ca="1" si="21"/>
        <v/>
      </c>
      <c r="L676" s="28"/>
      <c r="M676" s="28"/>
    </row>
    <row r="677" spans="2:13" ht="15" customHeight="1" x14ac:dyDescent="0.3">
      <c r="B677" s="34" t="str">
        <f>IF(B676="","", IF(VALUE(LEFT(H676,FIND("/",H676)-1)) &lt; VALUE(RIGHT(H676,LEN(H676)-FIND("/",H676))), B676, IFERROR(INDEX('SAÍDA DE VENDAS'!$B$6:$B$500, MATCH(B676,'SAÍDA DE VENDAS'!$B$6:$B$500,0)+COUNTIF('SAÍDA DE VENDAS'!$B$6:$B$500, B676)),"")))</f>
        <v/>
      </c>
      <c r="C677" s="35">
        <f>IFERROR(VLOOKUP(B677,'SAÍDA DE VENDAS'!$B$6:$P$500,3,FALSE),"")</f>
        <v>0</v>
      </c>
      <c r="D677" s="34">
        <f>IFERROR(VLOOKUP(B677,'SAÍDA DE VENDAS'!$B$6:$P$500,4,FALSE),"")</f>
        <v>0</v>
      </c>
      <c r="E677" s="34" t="str">
        <f>IFERROR(VLOOKUP(B677,'SAÍDA DE VENDAS'!$B$6:$P$500,5,FALSE),"")</f>
        <v/>
      </c>
      <c r="F677" s="34" t="str">
        <f>IF(OR(ISBLANK(B677),B677=""), "", IFERROR(INDEX('SAÍDA DE VENDAS'!$H$6:$H$500 &amp; "x " &amp; 'SAÍDA DE VENDAS'!$G$6:$G$500, MATCH(B677, 'SAÍDA DE VENDAS'!$B$6:$B$500, 0)), "")&amp; IF(COUNTIF('SAÍDA DE VENDAS'!$B$6:$B$500, B677)&gt;1, " + " &amp; IFERROR(INDEX('SAÍDA DE VENDAS'!$H$6:$H$500 &amp; "x " &amp; 'SAÍDA DE VENDAS'!$G$6:$G$500, MATCH(B677, 'SAÍDA DE VENDAS'!$B$6:$B$500, 0)+1), ""), "")&amp; IF(COUNTIF('SAÍDA DE VENDAS'!$B$6:$B$500, B677)&gt;2, " + " &amp; IFERROR(INDEX('SAÍDA DE VENDAS'!$H$6:$H$500 &amp; "x " &amp; 'SAÍDA DE VENDAS'!$G$6:$G$500, MATCH(B677, 'SAÍDA DE VENDAS'!$B$6:$B$500, 0)+2), ""), "")&amp; IF(COUNTIF('SAÍDA DE VENDAS'!$B$6:$B$500, B677)&gt;3, " + " &amp; IFERROR(INDEX('SAÍDA DE VENDAS'!$H$6:$H$500 &amp; "x " &amp; 'SAÍDA DE VENDAS'!$G$6:$G$500, MATCH(B677, 'SAÍDA DE VENDAS'!$B$6:$B$500, 0)+3), ""), "")&amp; IF(COUNTIF('SAÍDA DE VENDAS'!$B$6:$B$500, B677)&gt;4, " + " &amp; IFERROR(INDEX('SAÍDA DE VENDAS'!$H$6:$H$500 &amp; "x " &amp; 'SAÍDA DE VENDAS'!$G$6:$G$500, MATCH(B677, 'SAÍDA DE VENDAS'!$B$6:$B$500, 0)+4), ""), "")&amp; IF(COUNTIF('SAÍDA DE VENDAS'!$B$6:$B$500, B677)&gt;5, " + " &amp; IFERROR(INDEX('SAÍDA DE VENDAS'!$H$6:$H$500 &amp; "x " &amp; 'SAÍDA DE VENDAS'!$G$6:$G$500, MATCH(B677, 'SAÍDA DE VENDAS'!$B$6:$B$500, 0)+5), ""), ""))</f>
        <v/>
      </c>
      <c r="G677" s="34">
        <f>IFERROR(VLOOKUP(B677,'SAÍDA DE VENDAS'!$B$6:$P$500,10,FALSE),"")</f>
        <v>0</v>
      </c>
      <c r="H677" s="34" t="str">
        <f>IF(OR(ISBLANK(B677),B677=""), "", IF(B677=B676, (VALUE(LEFT(H676,FIND("/",H676)-1))+1)&amp;"/"&amp;RIGHT(H676,LEN(H676)-FIND("/",H676)), "1/"&amp;IFERROR(VLOOKUP(B677,'SAÍDA DE VENDAS'!$B$6:$P$500,13,FALSE),"1")))</f>
        <v/>
      </c>
      <c r="I677" s="35" t="str">
        <f t="shared" si="20"/>
        <v/>
      </c>
      <c r="J677" s="39" t="str">
        <f>IFERROR(VLOOKUP(B677,'SAÍDA DE VENDAS'!$B$6:$P$500,15,FALSE),"")</f>
        <v/>
      </c>
      <c r="K677" s="34" t="str">
        <f t="shared" ca="1" si="21"/>
        <v/>
      </c>
      <c r="L677" s="34"/>
      <c r="M677" s="34"/>
    </row>
    <row r="678" spans="2:13" ht="15" customHeight="1" x14ac:dyDescent="0.3">
      <c r="B678" s="28" t="str">
        <f>IF(B677="","", IF(VALUE(LEFT(H677,FIND("/",H677)-1)) &lt; VALUE(RIGHT(H677,LEN(H677)-FIND("/",H677))), B677, IFERROR(INDEX('SAÍDA DE VENDAS'!$B$6:$B$500, MATCH(B677,'SAÍDA DE VENDAS'!$B$6:$B$500,0)+COUNTIF('SAÍDA DE VENDAS'!$B$6:$B$500, B677)),"")))</f>
        <v/>
      </c>
      <c r="C678" s="29">
        <f>IFERROR(VLOOKUP(B678,'SAÍDA DE VENDAS'!$B$6:$P$500,3,FALSE),"")</f>
        <v>0</v>
      </c>
      <c r="D678" s="28">
        <f>IFERROR(VLOOKUP(B678,'SAÍDA DE VENDAS'!$B$6:$P$500,4,FALSE),"")</f>
        <v>0</v>
      </c>
      <c r="E678" s="28" t="str">
        <f>IFERROR(VLOOKUP(B678,'SAÍDA DE VENDAS'!$B$6:$P$500,5,FALSE),"")</f>
        <v/>
      </c>
      <c r="F678" s="28" t="str">
        <f>IF(OR(ISBLANK(B678),B678=""), "", IFERROR(INDEX('SAÍDA DE VENDAS'!$H$6:$H$500 &amp; "x " &amp; 'SAÍDA DE VENDAS'!$G$6:$G$500, MATCH(B678, 'SAÍDA DE VENDAS'!$B$6:$B$500, 0)), "")&amp; IF(COUNTIF('SAÍDA DE VENDAS'!$B$6:$B$500, B678)&gt;1, " + " &amp; IFERROR(INDEX('SAÍDA DE VENDAS'!$H$6:$H$500 &amp; "x " &amp; 'SAÍDA DE VENDAS'!$G$6:$G$500, MATCH(B678, 'SAÍDA DE VENDAS'!$B$6:$B$500, 0)+1), ""), "")&amp; IF(COUNTIF('SAÍDA DE VENDAS'!$B$6:$B$500, B678)&gt;2, " + " &amp; IFERROR(INDEX('SAÍDA DE VENDAS'!$H$6:$H$500 &amp; "x " &amp; 'SAÍDA DE VENDAS'!$G$6:$G$500, MATCH(B678, 'SAÍDA DE VENDAS'!$B$6:$B$500, 0)+2), ""), "")&amp; IF(COUNTIF('SAÍDA DE VENDAS'!$B$6:$B$500, B678)&gt;3, " + " &amp; IFERROR(INDEX('SAÍDA DE VENDAS'!$H$6:$H$500 &amp; "x " &amp; 'SAÍDA DE VENDAS'!$G$6:$G$500, MATCH(B678, 'SAÍDA DE VENDAS'!$B$6:$B$500, 0)+3), ""), "")&amp; IF(COUNTIF('SAÍDA DE VENDAS'!$B$6:$B$500, B678)&gt;4, " + " &amp; IFERROR(INDEX('SAÍDA DE VENDAS'!$H$6:$H$500 &amp; "x " &amp; 'SAÍDA DE VENDAS'!$G$6:$G$500, MATCH(B678, 'SAÍDA DE VENDAS'!$B$6:$B$500, 0)+4), ""), "")&amp; IF(COUNTIF('SAÍDA DE VENDAS'!$B$6:$B$500, B678)&gt;5, " + " &amp; IFERROR(INDEX('SAÍDA DE VENDAS'!$H$6:$H$500 &amp; "x " &amp; 'SAÍDA DE VENDAS'!$G$6:$G$500, MATCH(B678, 'SAÍDA DE VENDAS'!$B$6:$B$500, 0)+5), ""), ""))</f>
        <v/>
      </c>
      <c r="G678" s="28">
        <f>IFERROR(VLOOKUP(B678,'SAÍDA DE VENDAS'!$B$6:$P$500,10,FALSE),"")</f>
        <v>0</v>
      </c>
      <c r="H678" s="28" t="str">
        <f>IF(OR(ISBLANK(B678),B678=""), "", IF(B678=B677, (VALUE(LEFT(H677,FIND("/",H677)-1))+1)&amp;"/"&amp;RIGHT(H677,LEN(H677)-FIND("/",H677)), "1/"&amp;IFERROR(VLOOKUP(B678,'SAÍDA DE VENDAS'!$B$6:$P$500,13,FALSE),"1")))</f>
        <v/>
      </c>
      <c r="I678" s="69" t="str">
        <f t="shared" si="20"/>
        <v/>
      </c>
      <c r="J678" s="33" t="str">
        <f>IFERROR(VLOOKUP(B678,'SAÍDA DE VENDAS'!$B$6:$P$500,15,FALSE),"")</f>
        <v/>
      </c>
      <c r="K678" s="28" t="str">
        <f t="shared" ca="1" si="21"/>
        <v/>
      </c>
      <c r="L678" s="28"/>
      <c r="M678" s="28"/>
    </row>
    <row r="679" spans="2:13" ht="15" customHeight="1" x14ac:dyDescent="0.3">
      <c r="B679" s="34" t="str">
        <f>IF(B678="","", IF(VALUE(LEFT(H678,FIND("/",H678)-1)) &lt; VALUE(RIGHT(H678,LEN(H678)-FIND("/",H678))), B678, IFERROR(INDEX('SAÍDA DE VENDAS'!$B$6:$B$500, MATCH(B678,'SAÍDA DE VENDAS'!$B$6:$B$500,0)+COUNTIF('SAÍDA DE VENDAS'!$B$6:$B$500, B678)),"")))</f>
        <v/>
      </c>
      <c r="C679" s="35">
        <f>IFERROR(VLOOKUP(B679,'SAÍDA DE VENDAS'!$B$6:$P$500,3,FALSE),"")</f>
        <v>0</v>
      </c>
      <c r="D679" s="34">
        <f>IFERROR(VLOOKUP(B679,'SAÍDA DE VENDAS'!$B$6:$P$500,4,FALSE),"")</f>
        <v>0</v>
      </c>
      <c r="E679" s="34" t="str">
        <f>IFERROR(VLOOKUP(B679,'SAÍDA DE VENDAS'!$B$6:$P$500,5,FALSE),"")</f>
        <v/>
      </c>
      <c r="F679" s="34" t="str">
        <f>IF(OR(ISBLANK(B679),B679=""), "", IFERROR(INDEX('SAÍDA DE VENDAS'!$H$6:$H$500 &amp; "x " &amp; 'SAÍDA DE VENDAS'!$G$6:$G$500, MATCH(B679, 'SAÍDA DE VENDAS'!$B$6:$B$500, 0)), "")&amp; IF(COUNTIF('SAÍDA DE VENDAS'!$B$6:$B$500, B679)&gt;1, " + " &amp; IFERROR(INDEX('SAÍDA DE VENDAS'!$H$6:$H$500 &amp; "x " &amp; 'SAÍDA DE VENDAS'!$G$6:$G$500, MATCH(B679, 'SAÍDA DE VENDAS'!$B$6:$B$500, 0)+1), ""), "")&amp; IF(COUNTIF('SAÍDA DE VENDAS'!$B$6:$B$500, B679)&gt;2, " + " &amp; IFERROR(INDEX('SAÍDA DE VENDAS'!$H$6:$H$500 &amp; "x " &amp; 'SAÍDA DE VENDAS'!$G$6:$G$500, MATCH(B679, 'SAÍDA DE VENDAS'!$B$6:$B$500, 0)+2), ""), "")&amp; IF(COUNTIF('SAÍDA DE VENDAS'!$B$6:$B$500, B679)&gt;3, " + " &amp; IFERROR(INDEX('SAÍDA DE VENDAS'!$H$6:$H$500 &amp; "x " &amp; 'SAÍDA DE VENDAS'!$G$6:$G$500, MATCH(B679, 'SAÍDA DE VENDAS'!$B$6:$B$500, 0)+3), ""), "")&amp; IF(COUNTIF('SAÍDA DE VENDAS'!$B$6:$B$500, B679)&gt;4, " + " &amp; IFERROR(INDEX('SAÍDA DE VENDAS'!$H$6:$H$500 &amp; "x " &amp; 'SAÍDA DE VENDAS'!$G$6:$G$500, MATCH(B679, 'SAÍDA DE VENDAS'!$B$6:$B$500, 0)+4), ""), "")&amp; IF(COUNTIF('SAÍDA DE VENDAS'!$B$6:$B$500, B679)&gt;5, " + " &amp; IFERROR(INDEX('SAÍDA DE VENDAS'!$H$6:$H$500 &amp; "x " &amp; 'SAÍDA DE VENDAS'!$G$6:$G$500, MATCH(B679, 'SAÍDA DE VENDAS'!$B$6:$B$500, 0)+5), ""), ""))</f>
        <v/>
      </c>
      <c r="G679" s="34">
        <f>IFERROR(VLOOKUP(B679,'SAÍDA DE VENDAS'!$B$6:$P$500,10,FALSE),"")</f>
        <v>0</v>
      </c>
      <c r="H679" s="34" t="str">
        <f>IF(OR(ISBLANK(B679),B679=""), "", IF(B679=B678, (VALUE(LEFT(H678,FIND("/",H678)-1))+1)&amp;"/"&amp;RIGHT(H678,LEN(H678)-FIND("/",H678)), "1/"&amp;IFERROR(VLOOKUP(B679,'SAÍDA DE VENDAS'!$B$6:$P$500,13,FALSE),"1")))</f>
        <v/>
      </c>
      <c r="I679" s="35" t="str">
        <f t="shared" si="20"/>
        <v/>
      </c>
      <c r="J679" s="39" t="str">
        <f>IFERROR(VLOOKUP(B679,'SAÍDA DE VENDAS'!$B$6:$P$500,15,FALSE),"")</f>
        <v/>
      </c>
      <c r="K679" s="34" t="str">
        <f t="shared" ca="1" si="21"/>
        <v/>
      </c>
      <c r="L679" s="34"/>
      <c r="M679" s="34"/>
    </row>
    <row r="680" spans="2:13" ht="15" customHeight="1" x14ac:dyDescent="0.3">
      <c r="B680" s="28" t="str">
        <f>IF(B679="","", IF(VALUE(LEFT(H679,FIND("/",H679)-1)) &lt; VALUE(RIGHT(H679,LEN(H679)-FIND("/",H679))), B679, IFERROR(INDEX('SAÍDA DE VENDAS'!$B$6:$B$500, MATCH(B679,'SAÍDA DE VENDAS'!$B$6:$B$500,0)+COUNTIF('SAÍDA DE VENDAS'!$B$6:$B$500, B679)),"")))</f>
        <v/>
      </c>
      <c r="C680" s="29">
        <f>IFERROR(VLOOKUP(B680,'SAÍDA DE VENDAS'!$B$6:$P$500,3,FALSE),"")</f>
        <v>0</v>
      </c>
      <c r="D680" s="28">
        <f>IFERROR(VLOOKUP(B680,'SAÍDA DE VENDAS'!$B$6:$P$500,4,FALSE),"")</f>
        <v>0</v>
      </c>
      <c r="E680" s="28" t="str">
        <f>IFERROR(VLOOKUP(B680,'SAÍDA DE VENDAS'!$B$6:$P$500,5,FALSE),"")</f>
        <v/>
      </c>
      <c r="F680" s="28" t="str">
        <f>IF(OR(ISBLANK(B680),B680=""), "", IFERROR(INDEX('SAÍDA DE VENDAS'!$H$6:$H$500 &amp; "x " &amp; 'SAÍDA DE VENDAS'!$G$6:$G$500, MATCH(B680, 'SAÍDA DE VENDAS'!$B$6:$B$500, 0)), "")&amp; IF(COUNTIF('SAÍDA DE VENDAS'!$B$6:$B$500, B680)&gt;1, " + " &amp; IFERROR(INDEX('SAÍDA DE VENDAS'!$H$6:$H$500 &amp; "x " &amp; 'SAÍDA DE VENDAS'!$G$6:$G$500, MATCH(B680, 'SAÍDA DE VENDAS'!$B$6:$B$500, 0)+1), ""), "")&amp; IF(COUNTIF('SAÍDA DE VENDAS'!$B$6:$B$500, B680)&gt;2, " + " &amp; IFERROR(INDEX('SAÍDA DE VENDAS'!$H$6:$H$500 &amp; "x " &amp; 'SAÍDA DE VENDAS'!$G$6:$G$500, MATCH(B680, 'SAÍDA DE VENDAS'!$B$6:$B$500, 0)+2), ""), "")&amp; IF(COUNTIF('SAÍDA DE VENDAS'!$B$6:$B$500, B680)&gt;3, " + " &amp; IFERROR(INDEX('SAÍDA DE VENDAS'!$H$6:$H$500 &amp; "x " &amp; 'SAÍDA DE VENDAS'!$G$6:$G$500, MATCH(B680, 'SAÍDA DE VENDAS'!$B$6:$B$500, 0)+3), ""), "")&amp; IF(COUNTIF('SAÍDA DE VENDAS'!$B$6:$B$500, B680)&gt;4, " + " &amp; IFERROR(INDEX('SAÍDA DE VENDAS'!$H$6:$H$500 &amp; "x " &amp; 'SAÍDA DE VENDAS'!$G$6:$G$500, MATCH(B680, 'SAÍDA DE VENDAS'!$B$6:$B$500, 0)+4), ""), "")&amp; IF(COUNTIF('SAÍDA DE VENDAS'!$B$6:$B$500, B680)&gt;5, " + " &amp; IFERROR(INDEX('SAÍDA DE VENDAS'!$H$6:$H$500 &amp; "x " &amp; 'SAÍDA DE VENDAS'!$G$6:$G$500, MATCH(B680, 'SAÍDA DE VENDAS'!$B$6:$B$500, 0)+5), ""), ""))</f>
        <v/>
      </c>
      <c r="G680" s="28">
        <f>IFERROR(VLOOKUP(B680,'SAÍDA DE VENDAS'!$B$6:$P$500,10,FALSE),"")</f>
        <v>0</v>
      </c>
      <c r="H680" s="28" t="str">
        <f>IF(OR(ISBLANK(B680),B680=""), "", IF(B680=B679, (VALUE(LEFT(H679,FIND("/",H679)-1))+1)&amp;"/"&amp;RIGHT(H679,LEN(H679)-FIND("/",H679)), "1/"&amp;IFERROR(VLOOKUP(B680,'SAÍDA DE VENDAS'!$B$6:$P$500,13,FALSE),"1")))</f>
        <v/>
      </c>
      <c r="I680" s="69" t="str">
        <f t="shared" si="20"/>
        <v/>
      </c>
      <c r="J680" s="33" t="str">
        <f>IFERROR(VLOOKUP(B680,'SAÍDA DE VENDAS'!$B$6:$P$500,15,FALSE),"")</f>
        <v/>
      </c>
      <c r="K680" s="28" t="str">
        <f t="shared" ca="1" si="21"/>
        <v/>
      </c>
      <c r="L680" s="28"/>
      <c r="M680" s="28"/>
    </row>
    <row r="681" spans="2:13" ht="15" customHeight="1" x14ac:dyDescent="0.3">
      <c r="B681" s="34" t="str">
        <f>IF(B680="","", IF(VALUE(LEFT(H680,FIND("/",H680)-1)) &lt; VALUE(RIGHT(H680,LEN(H680)-FIND("/",H680))), B680, IFERROR(INDEX('SAÍDA DE VENDAS'!$B$6:$B$500, MATCH(B680,'SAÍDA DE VENDAS'!$B$6:$B$500,0)+COUNTIF('SAÍDA DE VENDAS'!$B$6:$B$500, B680)),"")))</f>
        <v/>
      </c>
      <c r="C681" s="35">
        <f>IFERROR(VLOOKUP(B681,'SAÍDA DE VENDAS'!$B$6:$P$500,3,FALSE),"")</f>
        <v>0</v>
      </c>
      <c r="D681" s="34">
        <f>IFERROR(VLOOKUP(B681,'SAÍDA DE VENDAS'!$B$6:$P$500,4,FALSE),"")</f>
        <v>0</v>
      </c>
      <c r="E681" s="34" t="str">
        <f>IFERROR(VLOOKUP(B681,'SAÍDA DE VENDAS'!$B$6:$P$500,5,FALSE),"")</f>
        <v/>
      </c>
      <c r="F681" s="34" t="str">
        <f>IF(OR(ISBLANK(B681),B681=""), "", IFERROR(INDEX('SAÍDA DE VENDAS'!$H$6:$H$500 &amp; "x " &amp; 'SAÍDA DE VENDAS'!$G$6:$G$500, MATCH(B681, 'SAÍDA DE VENDAS'!$B$6:$B$500, 0)), "")&amp; IF(COUNTIF('SAÍDA DE VENDAS'!$B$6:$B$500, B681)&gt;1, " + " &amp; IFERROR(INDEX('SAÍDA DE VENDAS'!$H$6:$H$500 &amp; "x " &amp; 'SAÍDA DE VENDAS'!$G$6:$G$500, MATCH(B681, 'SAÍDA DE VENDAS'!$B$6:$B$500, 0)+1), ""), "")&amp; IF(COUNTIF('SAÍDA DE VENDAS'!$B$6:$B$500, B681)&gt;2, " + " &amp; IFERROR(INDEX('SAÍDA DE VENDAS'!$H$6:$H$500 &amp; "x " &amp; 'SAÍDA DE VENDAS'!$G$6:$G$500, MATCH(B681, 'SAÍDA DE VENDAS'!$B$6:$B$500, 0)+2), ""), "")&amp; IF(COUNTIF('SAÍDA DE VENDAS'!$B$6:$B$500, B681)&gt;3, " + " &amp; IFERROR(INDEX('SAÍDA DE VENDAS'!$H$6:$H$500 &amp; "x " &amp; 'SAÍDA DE VENDAS'!$G$6:$G$500, MATCH(B681, 'SAÍDA DE VENDAS'!$B$6:$B$500, 0)+3), ""), "")&amp; IF(COUNTIF('SAÍDA DE VENDAS'!$B$6:$B$500, B681)&gt;4, " + " &amp; IFERROR(INDEX('SAÍDA DE VENDAS'!$H$6:$H$500 &amp; "x " &amp; 'SAÍDA DE VENDAS'!$G$6:$G$500, MATCH(B681, 'SAÍDA DE VENDAS'!$B$6:$B$500, 0)+4), ""), "")&amp; IF(COUNTIF('SAÍDA DE VENDAS'!$B$6:$B$500, B681)&gt;5, " + " &amp; IFERROR(INDEX('SAÍDA DE VENDAS'!$H$6:$H$500 &amp; "x " &amp; 'SAÍDA DE VENDAS'!$G$6:$G$500, MATCH(B681, 'SAÍDA DE VENDAS'!$B$6:$B$500, 0)+5), ""), ""))</f>
        <v/>
      </c>
      <c r="G681" s="34">
        <f>IFERROR(VLOOKUP(B681,'SAÍDA DE VENDAS'!$B$6:$P$500,10,FALSE),"")</f>
        <v>0</v>
      </c>
      <c r="H681" s="34" t="str">
        <f>IF(OR(ISBLANK(B681),B681=""), "", IF(B681=B680, (VALUE(LEFT(H680,FIND("/",H680)-1))+1)&amp;"/"&amp;RIGHT(H680,LEN(H680)-FIND("/",H680)), "1/"&amp;IFERROR(VLOOKUP(B681,'SAÍDA DE VENDAS'!$B$6:$P$500,13,FALSE),"1")))</f>
        <v/>
      </c>
      <c r="I681" s="35" t="str">
        <f t="shared" si="20"/>
        <v/>
      </c>
      <c r="J681" s="39" t="str">
        <f>IFERROR(VLOOKUP(B681,'SAÍDA DE VENDAS'!$B$6:$P$500,15,FALSE),"")</f>
        <v/>
      </c>
      <c r="K681" s="34" t="str">
        <f t="shared" ca="1" si="21"/>
        <v/>
      </c>
      <c r="L681" s="34"/>
      <c r="M681" s="34"/>
    </row>
    <row r="682" spans="2:13" ht="15" customHeight="1" x14ac:dyDescent="0.3">
      <c r="B682" s="28" t="str">
        <f>IF(B681="","", IF(VALUE(LEFT(H681,FIND("/",H681)-1)) &lt; VALUE(RIGHT(H681,LEN(H681)-FIND("/",H681))), B681, IFERROR(INDEX('SAÍDA DE VENDAS'!$B$6:$B$500, MATCH(B681,'SAÍDA DE VENDAS'!$B$6:$B$500,0)+COUNTIF('SAÍDA DE VENDAS'!$B$6:$B$500, B681)),"")))</f>
        <v/>
      </c>
      <c r="C682" s="29">
        <f>IFERROR(VLOOKUP(B682,'SAÍDA DE VENDAS'!$B$6:$P$500,3,FALSE),"")</f>
        <v>0</v>
      </c>
      <c r="D682" s="28">
        <f>IFERROR(VLOOKUP(B682,'SAÍDA DE VENDAS'!$B$6:$P$500,4,FALSE),"")</f>
        <v>0</v>
      </c>
      <c r="E682" s="28" t="str">
        <f>IFERROR(VLOOKUP(B682,'SAÍDA DE VENDAS'!$B$6:$P$500,5,FALSE),"")</f>
        <v/>
      </c>
      <c r="F682" s="28" t="str">
        <f>IF(OR(ISBLANK(B682),B682=""), "", IFERROR(INDEX('SAÍDA DE VENDAS'!$H$6:$H$500 &amp; "x " &amp; 'SAÍDA DE VENDAS'!$G$6:$G$500, MATCH(B682, 'SAÍDA DE VENDAS'!$B$6:$B$500, 0)), "")&amp; IF(COUNTIF('SAÍDA DE VENDAS'!$B$6:$B$500, B682)&gt;1, " + " &amp; IFERROR(INDEX('SAÍDA DE VENDAS'!$H$6:$H$500 &amp; "x " &amp; 'SAÍDA DE VENDAS'!$G$6:$G$500, MATCH(B682, 'SAÍDA DE VENDAS'!$B$6:$B$500, 0)+1), ""), "")&amp; IF(COUNTIF('SAÍDA DE VENDAS'!$B$6:$B$500, B682)&gt;2, " + " &amp; IFERROR(INDEX('SAÍDA DE VENDAS'!$H$6:$H$500 &amp; "x " &amp; 'SAÍDA DE VENDAS'!$G$6:$G$500, MATCH(B682, 'SAÍDA DE VENDAS'!$B$6:$B$500, 0)+2), ""), "")&amp; IF(COUNTIF('SAÍDA DE VENDAS'!$B$6:$B$500, B682)&gt;3, " + " &amp; IFERROR(INDEX('SAÍDA DE VENDAS'!$H$6:$H$500 &amp; "x " &amp; 'SAÍDA DE VENDAS'!$G$6:$G$500, MATCH(B682, 'SAÍDA DE VENDAS'!$B$6:$B$500, 0)+3), ""), "")&amp; IF(COUNTIF('SAÍDA DE VENDAS'!$B$6:$B$500, B682)&gt;4, " + " &amp; IFERROR(INDEX('SAÍDA DE VENDAS'!$H$6:$H$500 &amp; "x " &amp; 'SAÍDA DE VENDAS'!$G$6:$G$500, MATCH(B682, 'SAÍDA DE VENDAS'!$B$6:$B$500, 0)+4), ""), "")&amp; IF(COUNTIF('SAÍDA DE VENDAS'!$B$6:$B$500, B682)&gt;5, " + " &amp; IFERROR(INDEX('SAÍDA DE VENDAS'!$H$6:$H$500 &amp; "x " &amp; 'SAÍDA DE VENDAS'!$G$6:$G$500, MATCH(B682, 'SAÍDA DE VENDAS'!$B$6:$B$500, 0)+5), ""), ""))</f>
        <v/>
      </c>
      <c r="G682" s="28">
        <f>IFERROR(VLOOKUP(B682,'SAÍDA DE VENDAS'!$B$6:$P$500,10,FALSE),"")</f>
        <v>0</v>
      </c>
      <c r="H682" s="28" t="str">
        <f>IF(OR(ISBLANK(B682),B682=""), "", IF(B682=B681, (VALUE(LEFT(H681,FIND("/",H681)-1))+1)&amp;"/"&amp;RIGHT(H681,LEN(H681)-FIND("/",H681)), "1/"&amp;IFERROR(VLOOKUP(B682,'SAÍDA DE VENDAS'!$B$6:$P$500,13,FALSE),"1")))</f>
        <v/>
      </c>
      <c r="I682" s="69" t="str">
        <f t="shared" si="20"/>
        <v/>
      </c>
      <c r="J682" s="33" t="str">
        <f>IFERROR(VLOOKUP(B682,'SAÍDA DE VENDAS'!$B$6:$P$500,15,FALSE),"")</f>
        <v/>
      </c>
      <c r="K682" s="28" t="str">
        <f t="shared" ca="1" si="21"/>
        <v/>
      </c>
      <c r="L682" s="28"/>
      <c r="M682" s="28"/>
    </row>
    <row r="683" spans="2:13" ht="15" customHeight="1" x14ac:dyDescent="0.3">
      <c r="B683" s="34" t="str">
        <f>IF(B682="","", IF(VALUE(LEFT(H682,FIND("/",H682)-1)) &lt; VALUE(RIGHT(H682,LEN(H682)-FIND("/",H682))), B682, IFERROR(INDEX('SAÍDA DE VENDAS'!$B$6:$B$500, MATCH(B682,'SAÍDA DE VENDAS'!$B$6:$B$500,0)+COUNTIF('SAÍDA DE VENDAS'!$B$6:$B$500, B682)),"")))</f>
        <v/>
      </c>
      <c r="C683" s="35">
        <f>IFERROR(VLOOKUP(B683,'SAÍDA DE VENDAS'!$B$6:$P$500,3,FALSE),"")</f>
        <v>0</v>
      </c>
      <c r="D683" s="34">
        <f>IFERROR(VLOOKUP(B683,'SAÍDA DE VENDAS'!$B$6:$P$500,4,FALSE),"")</f>
        <v>0</v>
      </c>
      <c r="E683" s="34" t="str">
        <f>IFERROR(VLOOKUP(B683,'SAÍDA DE VENDAS'!$B$6:$P$500,5,FALSE),"")</f>
        <v/>
      </c>
      <c r="F683" s="34" t="str">
        <f>IF(OR(ISBLANK(B683),B683=""), "", IFERROR(INDEX('SAÍDA DE VENDAS'!$H$6:$H$500 &amp; "x " &amp; 'SAÍDA DE VENDAS'!$G$6:$G$500, MATCH(B683, 'SAÍDA DE VENDAS'!$B$6:$B$500, 0)), "")&amp; IF(COUNTIF('SAÍDA DE VENDAS'!$B$6:$B$500, B683)&gt;1, " + " &amp; IFERROR(INDEX('SAÍDA DE VENDAS'!$H$6:$H$500 &amp; "x " &amp; 'SAÍDA DE VENDAS'!$G$6:$G$500, MATCH(B683, 'SAÍDA DE VENDAS'!$B$6:$B$500, 0)+1), ""), "")&amp; IF(COUNTIF('SAÍDA DE VENDAS'!$B$6:$B$500, B683)&gt;2, " + " &amp; IFERROR(INDEX('SAÍDA DE VENDAS'!$H$6:$H$500 &amp; "x " &amp; 'SAÍDA DE VENDAS'!$G$6:$G$500, MATCH(B683, 'SAÍDA DE VENDAS'!$B$6:$B$500, 0)+2), ""), "")&amp; IF(COUNTIF('SAÍDA DE VENDAS'!$B$6:$B$500, B683)&gt;3, " + " &amp; IFERROR(INDEX('SAÍDA DE VENDAS'!$H$6:$H$500 &amp; "x " &amp; 'SAÍDA DE VENDAS'!$G$6:$G$500, MATCH(B683, 'SAÍDA DE VENDAS'!$B$6:$B$500, 0)+3), ""), "")&amp; IF(COUNTIF('SAÍDA DE VENDAS'!$B$6:$B$500, B683)&gt;4, " + " &amp; IFERROR(INDEX('SAÍDA DE VENDAS'!$H$6:$H$500 &amp; "x " &amp; 'SAÍDA DE VENDAS'!$G$6:$G$500, MATCH(B683, 'SAÍDA DE VENDAS'!$B$6:$B$500, 0)+4), ""), "")&amp; IF(COUNTIF('SAÍDA DE VENDAS'!$B$6:$B$500, B683)&gt;5, " + " &amp; IFERROR(INDEX('SAÍDA DE VENDAS'!$H$6:$H$500 &amp; "x " &amp; 'SAÍDA DE VENDAS'!$G$6:$G$500, MATCH(B683, 'SAÍDA DE VENDAS'!$B$6:$B$500, 0)+5), ""), ""))</f>
        <v/>
      </c>
      <c r="G683" s="34">
        <f>IFERROR(VLOOKUP(B683,'SAÍDA DE VENDAS'!$B$6:$P$500,10,FALSE),"")</f>
        <v>0</v>
      </c>
      <c r="H683" s="34" t="str">
        <f>IF(OR(ISBLANK(B683),B683=""), "", IF(B683=B682, (VALUE(LEFT(H682,FIND("/",H682)-1))+1)&amp;"/"&amp;RIGHT(H682,LEN(H682)-FIND("/",H682)), "1/"&amp;IFERROR(VLOOKUP(B683,'SAÍDA DE VENDAS'!$B$6:$P$500,13,FALSE),"1")))</f>
        <v/>
      </c>
      <c r="I683" s="35" t="str">
        <f t="shared" si="20"/>
        <v/>
      </c>
      <c r="J683" s="39" t="str">
        <f>IFERROR(VLOOKUP(B683,'SAÍDA DE VENDAS'!$B$6:$P$500,15,FALSE),"")</f>
        <v/>
      </c>
      <c r="K683" s="34" t="str">
        <f t="shared" ca="1" si="21"/>
        <v/>
      </c>
      <c r="L683" s="34"/>
      <c r="M683" s="34"/>
    </row>
    <row r="684" spans="2:13" ht="15" customHeight="1" x14ac:dyDescent="0.3">
      <c r="B684" s="28" t="str">
        <f>IF(B683="","", IF(VALUE(LEFT(H683,FIND("/",H683)-1)) &lt; VALUE(RIGHT(H683,LEN(H683)-FIND("/",H683))), B683, IFERROR(INDEX('SAÍDA DE VENDAS'!$B$6:$B$500, MATCH(B683,'SAÍDA DE VENDAS'!$B$6:$B$500,0)+COUNTIF('SAÍDA DE VENDAS'!$B$6:$B$500, B683)),"")))</f>
        <v/>
      </c>
      <c r="C684" s="29">
        <f>IFERROR(VLOOKUP(B684,'SAÍDA DE VENDAS'!$B$6:$P$500,3,FALSE),"")</f>
        <v>0</v>
      </c>
      <c r="D684" s="28">
        <f>IFERROR(VLOOKUP(B684,'SAÍDA DE VENDAS'!$B$6:$P$500,4,FALSE),"")</f>
        <v>0</v>
      </c>
      <c r="E684" s="28" t="str">
        <f>IFERROR(VLOOKUP(B684,'SAÍDA DE VENDAS'!$B$6:$P$500,5,FALSE),"")</f>
        <v/>
      </c>
      <c r="F684" s="28" t="str">
        <f>IF(OR(ISBLANK(B684),B684=""), "", IFERROR(INDEX('SAÍDA DE VENDAS'!$H$6:$H$500 &amp; "x " &amp; 'SAÍDA DE VENDAS'!$G$6:$G$500, MATCH(B684, 'SAÍDA DE VENDAS'!$B$6:$B$500, 0)), "")&amp; IF(COUNTIF('SAÍDA DE VENDAS'!$B$6:$B$500, B684)&gt;1, " + " &amp; IFERROR(INDEX('SAÍDA DE VENDAS'!$H$6:$H$500 &amp; "x " &amp; 'SAÍDA DE VENDAS'!$G$6:$G$500, MATCH(B684, 'SAÍDA DE VENDAS'!$B$6:$B$500, 0)+1), ""), "")&amp; IF(COUNTIF('SAÍDA DE VENDAS'!$B$6:$B$500, B684)&gt;2, " + " &amp; IFERROR(INDEX('SAÍDA DE VENDAS'!$H$6:$H$500 &amp; "x " &amp; 'SAÍDA DE VENDAS'!$G$6:$G$500, MATCH(B684, 'SAÍDA DE VENDAS'!$B$6:$B$500, 0)+2), ""), "")&amp; IF(COUNTIF('SAÍDA DE VENDAS'!$B$6:$B$500, B684)&gt;3, " + " &amp; IFERROR(INDEX('SAÍDA DE VENDAS'!$H$6:$H$500 &amp; "x " &amp; 'SAÍDA DE VENDAS'!$G$6:$G$500, MATCH(B684, 'SAÍDA DE VENDAS'!$B$6:$B$500, 0)+3), ""), "")&amp; IF(COUNTIF('SAÍDA DE VENDAS'!$B$6:$B$500, B684)&gt;4, " + " &amp; IFERROR(INDEX('SAÍDA DE VENDAS'!$H$6:$H$500 &amp; "x " &amp; 'SAÍDA DE VENDAS'!$G$6:$G$500, MATCH(B684, 'SAÍDA DE VENDAS'!$B$6:$B$500, 0)+4), ""), "")&amp; IF(COUNTIF('SAÍDA DE VENDAS'!$B$6:$B$500, B684)&gt;5, " + " &amp; IFERROR(INDEX('SAÍDA DE VENDAS'!$H$6:$H$500 &amp; "x " &amp; 'SAÍDA DE VENDAS'!$G$6:$G$500, MATCH(B684, 'SAÍDA DE VENDAS'!$B$6:$B$500, 0)+5), ""), ""))</f>
        <v/>
      </c>
      <c r="G684" s="28">
        <f>IFERROR(VLOOKUP(B684,'SAÍDA DE VENDAS'!$B$6:$P$500,10,FALSE),"")</f>
        <v>0</v>
      </c>
      <c r="H684" s="28" t="str">
        <f>IF(OR(ISBLANK(B684),B684=""), "", IF(B684=B683, (VALUE(LEFT(H683,FIND("/",H683)-1))+1)&amp;"/"&amp;RIGHT(H683,LEN(H683)-FIND("/",H683)), "1/"&amp;IFERROR(VLOOKUP(B684,'SAÍDA DE VENDAS'!$B$6:$P$500,13,FALSE),"1")))</f>
        <v/>
      </c>
      <c r="I684" s="69" t="str">
        <f t="shared" si="20"/>
        <v/>
      </c>
      <c r="J684" s="33" t="str">
        <f>IFERROR(VLOOKUP(B684,'SAÍDA DE VENDAS'!$B$6:$P$500,15,FALSE),"")</f>
        <v/>
      </c>
      <c r="K684" s="28" t="str">
        <f t="shared" ca="1" si="21"/>
        <v/>
      </c>
      <c r="L684" s="28"/>
      <c r="M684" s="28"/>
    </row>
    <row r="685" spans="2:13" ht="15" customHeight="1" x14ac:dyDescent="0.3">
      <c r="B685" s="34" t="str">
        <f>IF(B684="","", IF(VALUE(LEFT(H684,FIND("/",H684)-1)) &lt; VALUE(RIGHT(H684,LEN(H684)-FIND("/",H684))), B684, IFERROR(INDEX('SAÍDA DE VENDAS'!$B$6:$B$500, MATCH(B684,'SAÍDA DE VENDAS'!$B$6:$B$500,0)+COUNTIF('SAÍDA DE VENDAS'!$B$6:$B$500, B684)),"")))</f>
        <v/>
      </c>
      <c r="C685" s="35">
        <f>IFERROR(VLOOKUP(B685,'SAÍDA DE VENDAS'!$B$6:$P$500,3,FALSE),"")</f>
        <v>0</v>
      </c>
      <c r="D685" s="34">
        <f>IFERROR(VLOOKUP(B685,'SAÍDA DE VENDAS'!$B$6:$P$500,4,FALSE),"")</f>
        <v>0</v>
      </c>
      <c r="E685" s="34" t="str">
        <f>IFERROR(VLOOKUP(B685,'SAÍDA DE VENDAS'!$B$6:$P$500,5,FALSE),"")</f>
        <v/>
      </c>
      <c r="F685" s="34" t="str">
        <f>IF(OR(ISBLANK(B685),B685=""), "", IFERROR(INDEX('SAÍDA DE VENDAS'!$H$6:$H$500 &amp; "x " &amp; 'SAÍDA DE VENDAS'!$G$6:$G$500, MATCH(B685, 'SAÍDA DE VENDAS'!$B$6:$B$500, 0)), "")&amp; IF(COUNTIF('SAÍDA DE VENDAS'!$B$6:$B$500, B685)&gt;1, " + " &amp; IFERROR(INDEX('SAÍDA DE VENDAS'!$H$6:$H$500 &amp; "x " &amp; 'SAÍDA DE VENDAS'!$G$6:$G$500, MATCH(B685, 'SAÍDA DE VENDAS'!$B$6:$B$500, 0)+1), ""), "")&amp; IF(COUNTIF('SAÍDA DE VENDAS'!$B$6:$B$500, B685)&gt;2, " + " &amp; IFERROR(INDEX('SAÍDA DE VENDAS'!$H$6:$H$500 &amp; "x " &amp; 'SAÍDA DE VENDAS'!$G$6:$G$500, MATCH(B685, 'SAÍDA DE VENDAS'!$B$6:$B$500, 0)+2), ""), "")&amp; IF(COUNTIF('SAÍDA DE VENDAS'!$B$6:$B$500, B685)&gt;3, " + " &amp; IFERROR(INDEX('SAÍDA DE VENDAS'!$H$6:$H$500 &amp; "x " &amp; 'SAÍDA DE VENDAS'!$G$6:$G$500, MATCH(B685, 'SAÍDA DE VENDAS'!$B$6:$B$500, 0)+3), ""), "")&amp; IF(COUNTIF('SAÍDA DE VENDAS'!$B$6:$B$500, B685)&gt;4, " + " &amp; IFERROR(INDEX('SAÍDA DE VENDAS'!$H$6:$H$500 &amp; "x " &amp; 'SAÍDA DE VENDAS'!$G$6:$G$500, MATCH(B685, 'SAÍDA DE VENDAS'!$B$6:$B$500, 0)+4), ""), "")&amp; IF(COUNTIF('SAÍDA DE VENDAS'!$B$6:$B$500, B685)&gt;5, " + " &amp; IFERROR(INDEX('SAÍDA DE VENDAS'!$H$6:$H$500 &amp; "x " &amp; 'SAÍDA DE VENDAS'!$G$6:$G$500, MATCH(B685, 'SAÍDA DE VENDAS'!$B$6:$B$500, 0)+5), ""), ""))</f>
        <v/>
      </c>
      <c r="G685" s="34">
        <f>IFERROR(VLOOKUP(B685,'SAÍDA DE VENDAS'!$B$6:$P$500,10,FALSE),"")</f>
        <v>0</v>
      </c>
      <c r="H685" s="34" t="str">
        <f>IF(OR(ISBLANK(B685),B685=""), "", IF(B685=B684, (VALUE(LEFT(H684,FIND("/",H684)-1))+1)&amp;"/"&amp;RIGHT(H684,LEN(H684)-FIND("/",H684)), "1/"&amp;IFERROR(VLOOKUP(B685,'SAÍDA DE VENDAS'!$B$6:$P$500,13,FALSE),"1")))</f>
        <v/>
      </c>
      <c r="I685" s="35" t="str">
        <f t="shared" si="20"/>
        <v/>
      </c>
      <c r="J685" s="39" t="str">
        <f>IFERROR(VLOOKUP(B685,'SAÍDA DE VENDAS'!$B$6:$P$500,15,FALSE),"")</f>
        <v/>
      </c>
      <c r="K685" s="34" t="str">
        <f t="shared" ca="1" si="21"/>
        <v/>
      </c>
      <c r="L685" s="34"/>
      <c r="M685" s="34"/>
    </row>
    <row r="686" spans="2:13" ht="15" customHeight="1" x14ac:dyDescent="0.3">
      <c r="B686" s="28" t="str">
        <f>IF(B685="","", IF(VALUE(LEFT(H685,FIND("/",H685)-1)) &lt; VALUE(RIGHT(H685,LEN(H685)-FIND("/",H685))), B685, IFERROR(INDEX('SAÍDA DE VENDAS'!$B$6:$B$500, MATCH(B685,'SAÍDA DE VENDAS'!$B$6:$B$500,0)+COUNTIF('SAÍDA DE VENDAS'!$B$6:$B$500, B685)),"")))</f>
        <v/>
      </c>
      <c r="C686" s="29">
        <f>IFERROR(VLOOKUP(B686,'SAÍDA DE VENDAS'!$B$6:$P$500,3,FALSE),"")</f>
        <v>0</v>
      </c>
      <c r="D686" s="28">
        <f>IFERROR(VLOOKUP(B686,'SAÍDA DE VENDAS'!$B$6:$P$500,4,FALSE),"")</f>
        <v>0</v>
      </c>
      <c r="E686" s="28" t="str">
        <f>IFERROR(VLOOKUP(B686,'SAÍDA DE VENDAS'!$B$6:$P$500,5,FALSE),"")</f>
        <v/>
      </c>
      <c r="F686" s="28" t="str">
        <f>IF(OR(ISBLANK(B686),B686=""), "", IFERROR(INDEX('SAÍDA DE VENDAS'!$H$6:$H$500 &amp; "x " &amp; 'SAÍDA DE VENDAS'!$G$6:$G$500, MATCH(B686, 'SAÍDA DE VENDAS'!$B$6:$B$500, 0)), "")&amp; IF(COUNTIF('SAÍDA DE VENDAS'!$B$6:$B$500, B686)&gt;1, " + " &amp; IFERROR(INDEX('SAÍDA DE VENDAS'!$H$6:$H$500 &amp; "x " &amp; 'SAÍDA DE VENDAS'!$G$6:$G$500, MATCH(B686, 'SAÍDA DE VENDAS'!$B$6:$B$500, 0)+1), ""), "")&amp; IF(COUNTIF('SAÍDA DE VENDAS'!$B$6:$B$500, B686)&gt;2, " + " &amp; IFERROR(INDEX('SAÍDA DE VENDAS'!$H$6:$H$500 &amp; "x " &amp; 'SAÍDA DE VENDAS'!$G$6:$G$500, MATCH(B686, 'SAÍDA DE VENDAS'!$B$6:$B$500, 0)+2), ""), "")&amp; IF(COUNTIF('SAÍDA DE VENDAS'!$B$6:$B$500, B686)&gt;3, " + " &amp; IFERROR(INDEX('SAÍDA DE VENDAS'!$H$6:$H$500 &amp; "x " &amp; 'SAÍDA DE VENDAS'!$G$6:$G$500, MATCH(B686, 'SAÍDA DE VENDAS'!$B$6:$B$500, 0)+3), ""), "")&amp; IF(COUNTIF('SAÍDA DE VENDAS'!$B$6:$B$500, B686)&gt;4, " + " &amp; IFERROR(INDEX('SAÍDA DE VENDAS'!$H$6:$H$500 &amp; "x " &amp; 'SAÍDA DE VENDAS'!$G$6:$G$500, MATCH(B686, 'SAÍDA DE VENDAS'!$B$6:$B$500, 0)+4), ""), "")&amp; IF(COUNTIF('SAÍDA DE VENDAS'!$B$6:$B$500, B686)&gt;5, " + " &amp; IFERROR(INDEX('SAÍDA DE VENDAS'!$H$6:$H$500 &amp; "x " &amp; 'SAÍDA DE VENDAS'!$G$6:$G$500, MATCH(B686, 'SAÍDA DE VENDAS'!$B$6:$B$500, 0)+5), ""), ""))</f>
        <v/>
      </c>
      <c r="G686" s="28">
        <f>IFERROR(VLOOKUP(B686,'SAÍDA DE VENDAS'!$B$6:$P$500,10,FALSE),"")</f>
        <v>0</v>
      </c>
      <c r="H686" s="28" t="str">
        <f>IF(OR(ISBLANK(B686),B686=""), "", IF(B686=B685, (VALUE(LEFT(H685,FIND("/",H685)-1))+1)&amp;"/"&amp;RIGHT(H685,LEN(H685)-FIND("/",H685)), "1/"&amp;IFERROR(VLOOKUP(B686,'SAÍDA DE VENDAS'!$B$6:$P$500,13,FALSE),"1")))</f>
        <v/>
      </c>
      <c r="I686" s="69" t="str">
        <f t="shared" si="20"/>
        <v/>
      </c>
      <c r="J686" s="33" t="str">
        <f>IFERROR(VLOOKUP(B686,'SAÍDA DE VENDAS'!$B$6:$P$500,15,FALSE),"")</f>
        <v/>
      </c>
      <c r="K686" s="28" t="str">
        <f t="shared" ca="1" si="21"/>
        <v/>
      </c>
      <c r="L686" s="28"/>
      <c r="M686" s="28"/>
    </row>
    <row r="687" spans="2:13" ht="15" customHeight="1" x14ac:dyDescent="0.3">
      <c r="B687" s="34" t="str">
        <f>IF(B686="","", IF(VALUE(LEFT(H686,FIND("/",H686)-1)) &lt; VALUE(RIGHT(H686,LEN(H686)-FIND("/",H686))), B686, IFERROR(INDEX('SAÍDA DE VENDAS'!$B$6:$B$500, MATCH(B686,'SAÍDA DE VENDAS'!$B$6:$B$500,0)+COUNTIF('SAÍDA DE VENDAS'!$B$6:$B$500, B686)),"")))</f>
        <v/>
      </c>
      <c r="C687" s="35">
        <f>IFERROR(VLOOKUP(B687,'SAÍDA DE VENDAS'!$B$6:$P$500,3,FALSE),"")</f>
        <v>0</v>
      </c>
      <c r="D687" s="34">
        <f>IFERROR(VLOOKUP(B687,'SAÍDA DE VENDAS'!$B$6:$P$500,4,FALSE),"")</f>
        <v>0</v>
      </c>
      <c r="E687" s="34" t="str">
        <f>IFERROR(VLOOKUP(B687,'SAÍDA DE VENDAS'!$B$6:$P$500,5,FALSE),"")</f>
        <v/>
      </c>
      <c r="F687" s="34" t="str">
        <f>IF(OR(ISBLANK(B687),B687=""), "", IFERROR(INDEX('SAÍDA DE VENDAS'!$H$6:$H$500 &amp; "x " &amp; 'SAÍDA DE VENDAS'!$G$6:$G$500, MATCH(B687, 'SAÍDA DE VENDAS'!$B$6:$B$500, 0)), "")&amp; IF(COUNTIF('SAÍDA DE VENDAS'!$B$6:$B$500, B687)&gt;1, " + " &amp; IFERROR(INDEX('SAÍDA DE VENDAS'!$H$6:$H$500 &amp; "x " &amp; 'SAÍDA DE VENDAS'!$G$6:$G$500, MATCH(B687, 'SAÍDA DE VENDAS'!$B$6:$B$500, 0)+1), ""), "")&amp; IF(COUNTIF('SAÍDA DE VENDAS'!$B$6:$B$500, B687)&gt;2, " + " &amp; IFERROR(INDEX('SAÍDA DE VENDAS'!$H$6:$H$500 &amp; "x " &amp; 'SAÍDA DE VENDAS'!$G$6:$G$500, MATCH(B687, 'SAÍDA DE VENDAS'!$B$6:$B$500, 0)+2), ""), "")&amp; IF(COUNTIF('SAÍDA DE VENDAS'!$B$6:$B$500, B687)&gt;3, " + " &amp; IFERROR(INDEX('SAÍDA DE VENDAS'!$H$6:$H$500 &amp; "x " &amp; 'SAÍDA DE VENDAS'!$G$6:$G$500, MATCH(B687, 'SAÍDA DE VENDAS'!$B$6:$B$500, 0)+3), ""), "")&amp; IF(COUNTIF('SAÍDA DE VENDAS'!$B$6:$B$500, B687)&gt;4, " + " &amp; IFERROR(INDEX('SAÍDA DE VENDAS'!$H$6:$H$500 &amp; "x " &amp; 'SAÍDA DE VENDAS'!$G$6:$G$500, MATCH(B687, 'SAÍDA DE VENDAS'!$B$6:$B$500, 0)+4), ""), "")&amp; IF(COUNTIF('SAÍDA DE VENDAS'!$B$6:$B$500, B687)&gt;5, " + " &amp; IFERROR(INDEX('SAÍDA DE VENDAS'!$H$6:$H$500 &amp; "x " &amp; 'SAÍDA DE VENDAS'!$G$6:$G$500, MATCH(B687, 'SAÍDA DE VENDAS'!$B$6:$B$500, 0)+5), ""), ""))</f>
        <v/>
      </c>
      <c r="G687" s="34">
        <f>IFERROR(VLOOKUP(B687,'SAÍDA DE VENDAS'!$B$6:$P$500,10,FALSE),"")</f>
        <v>0</v>
      </c>
      <c r="H687" s="34" t="str">
        <f>IF(OR(ISBLANK(B687),B687=""), "", IF(B687=B686, (VALUE(LEFT(H686,FIND("/",H686)-1))+1)&amp;"/"&amp;RIGHT(H686,LEN(H686)-FIND("/",H686)), "1/"&amp;IFERROR(VLOOKUP(B687,'SAÍDA DE VENDAS'!$B$6:$P$500,13,FALSE),"1")))</f>
        <v/>
      </c>
      <c r="I687" s="35" t="str">
        <f t="shared" si="20"/>
        <v/>
      </c>
      <c r="J687" s="39" t="str">
        <f>IFERROR(VLOOKUP(B687,'SAÍDA DE VENDAS'!$B$6:$P$500,15,FALSE),"")</f>
        <v/>
      </c>
      <c r="K687" s="34" t="str">
        <f t="shared" ca="1" si="21"/>
        <v/>
      </c>
      <c r="L687" s="34"/>
      <c r="M687" s="34"/>
    </row>
    <row r="688" spans="2:13" ht="15" customHeight="1" x14ac:dyDescent="0.3">
      <c r="B688" s="28" t="str">
        <f>IF(B687="","", IF(VALUE(LEFT(H687,FIND("/",H687)-1)) &lt; VALUE(RIGHT(H687,LEN(H687)-FIND("/",H687))), B687, IFERROR(INDEX('SAÍDA DE VENDAS'!$B$6:$B$500, MATCH(B687,'SAÍDA DE VENDAS'!$B$6:$B$500,0)+COUNTIF('SAÍDA DE VENDAS'!$B$6:$B$500, B687)),"")))</f>
        <v/>
      </c>
      <c r="C688" s="29">
        <f>IFERROR(VLOOKUP(B688,'SAÍDA DE VENDAS'!$B$6:$P$500,3,FALSE),"")</f>
        <v>0</v>
      </c>
      <c r="D688" s="28">
        <f>IFERROR(VLOOKUP(B688,'SAÍDA DE VENDAS'!$B$6:$P$500,4,FALSE),"")</f>
        <v>0</v>
      </c>
      <c r="E688" s="28" t="str">
        <f>IFERROR(VLOOKUP(B688,'SAÍDA DE VENDAS'!$B$6:$P$500,5,FALSE),"")</f>
        <v/>
      </c>
      <c r="F688" s="28" t="str">
        <f>IF(OR(ISBLANK(B688),B688=""), "", IFERROR(INDEX('SAÍDA DE VENDAS'!$H$6:$H$500 &amp; "x " &amp; 'SAÍDA DE VENDAS'!$G$6:$G$500, MATCH(B688, 'SAÍDA DE VENDAS'!$B$6:$B$500, 0)), "")&amp; IF(COUNTIF('SAÍDA DE VENDAS'!$B$6:$B$500, B688)&gt;1, " + " &amp; IFERROR(INDEX('SAÍDA DE VENDAS'!$H$6:$H$500 &amp; "x " &amp; 'SAÍDA DE VENDAS'!$G$6:$G$500, MATCH(B688, 'SAÍDA DE VENDAS'!$B$6:$B$500, 0)+1), ""), "")&amp; IF(COUNTIF('SAÍDA DE VENDAS'!$B$6:$B$500, B688)&gt;2, " + " &amp; IFERROR(INDEX('SAÍDA DE VENDAS'!$H$6:$H$500 &amp; "x " &amp; 'SAÍDA DE VENDAS'!$G$6:$G$500, MATCH(B688, 'SAÍDA DE VENDAS'!$B$6:$B$500, 0)+2), ""), "")&amp; IF(COUNTIF('SAÍDA DE VENDAS'!$B$6:$B$500, B688)&gt;3, " + " &amp; IFERROR(INDEX('SAÍDA DE VENDAS'!$H$6:$H$500 &amp; "x " &amp; 'SAÍDA DE VENDAS'!$G$6:$G$500, MATCH(B688, 'SAÍDA DE VENDAS'!$B$6:$B$500, 0)+3), ""), "")&amp; IF(COUNTIF('SAÍDA DE VENDAS'!$B$6:$B$500, B688)&gt;4, " + " &amp; IFERROR(INDEX('SAÍDA DE VENDAS'!$H$6:$H$500 &amp; "x " &amp; 'SAÍDA DE VENDAS'!$G$6:$G$500, MATCH(B688, 'SAÍDA DE VENDAS'!$B$6:$B$500, 0)+4), ""), "")&amp; IF(COUNTIF('SAÍDA DE VENDAS'!$B$6:$B$500, B688)&gt;5, " + " &amp; IFERROR(INDEX('SAÍDA DE VENDAS'!$H$6:$H$500 &amp; "x " &amp; 'SAÍDA DE VENDAS'!$G$6:$G$500, MATCH(B688, 'SAÍDA DE VENDAS'!$B$6:$B$500, 0)+5), ""), ""))</f>
        <v/>
      </c>
      <c r="G688" s="28">
        <f>IFERROR(VLOOKUP(B688,'SAÍDA DE VENDAS'!$B$6:$P$500,10,FALSE),"")</f>
        <v>0</v>
      </c>
      <c r="H688" s="28" t="str">
        <f>IF(OR(ISBLANK(B688),B688=""), "", IF(B688=B687, (VALUE(LEFT(H687,FIND("/",H687)-1))+1)&amp;"/"&amp;RIGHT(H687,LEN(H687)-FIND("/",H687)), "1/"&amp;IFERROR(VLOOKUP(B688,'SAÍDA DE VENDAS'!$B$6:$P$500,13,FALSE),"1")))</f>
        <v/>
      </c>
      <c r="I688" s="69" t="str">
        <f t="shared" si="20"/>
        <v/>
      </c>
      <c r="J688" s="33" t="str">
        <f>IFERROR(VLOOKUP(B688,'SAÍDA DE VENDAS'!$B$6:$P$500,15,FALSE),"")</f>
        <v/>
      </c>
      <c r="K688" s="28" t="str">
        <f t="shared" ca="1" si="21"/>
        <v/>
      </c>
      <c r="L688" s="28"/>
      <c r="M688" s="28"/>
    </row>
    <row r="689" spans="2:13" ht="15" customHeight="1" x14ac:dyDescent="0.3">
      <c r="B689" s="34" t="str">
        <f>IF(B688="","", IF(VALUE(LEFT(H688,FIND("/",H688)-1)) &lt; VALUE(RIGHT(H688,LEN(H688)-FIND("/",H688))), B688, IFERROR(INDEX('SAÍDA DE VENDAS'!$B$6:$B$500, MATCH(B688,'SAÍDA DE VENDAS'!$B$6:$B$500,0)+COUNTIF('SAÍDA DE VENDAS'!$B$6:$B$500, B688)),"")))</f>
        <v/>
      </c>
      <c r="C689" s="35">
        <f>IFERROR(VLOOKUP(B689,'SAÍDA DE VENDAS'!$B$6:$P$500,3,FALSE),"")</f>
        <v>0</v>
      </c>
      <c r="D689" s="34">
        <f>IFERROR(VLOOKUP(B689,'SAÍDA DE VENDAS'!$B$6:$P$500,4,FALSE),"")</f>
        <v>0</v>
      </c>
      <c r="E689" s="34" t="str">
        <f>IFERROR(VLOOKUP(B689,'SAÍDA DE VENDAS'!$B$6:$P$500,5,FALSE),"")</f>
        <v/>
      </c>
      <c r="F689" s="34" t="str">
        <f>IF(OR(ISBLANK(B689),B689=""), "", IFERROR(INDEX('SAÍDA DE VENDAS'!$H$6:$H$500 &amp; "x " &amp; 'SAÍDA DE VENDAS'!$G$6:$G$500, MATCH(B689, 'SAÍDA DE VENDAS'!$B$6:$B$500, 0)), "")&amp; IF(COUNTIF('SAÍDA DE VENDAS'!$B$6:$B$500, B689)&gt;1, " + " &amp; IFERROR(INDEX('SAÍDA DE VENDAS'!$H$6:$H$500 &amp; "x " &amp; 'SAÍDA DE VENDAS'!$G$6:$G$500, MATCH(B689, 'SAÍDA DE VENDAS'!$B$6:$B$500, 0)+1), ""), "")&amp; IF(COUNTIF('SAÍDA DE VENDAS'!$B$6:$B$500, B689)&gt;2, " + " &amp; IFERROR(INDEX('SAÍDA DE VENDAS'!$H$6:$H$500 &amp; "x " &amp; 'SAÍDA DE VENDAS'!$G$6:$G$500, MATCH(B689, 'SAÍDA DE VENDAS'!$B$6:$B$500, 0)+2), ""), "")&amp; IF(COUNTIF('SAÍDA DE VENDAS'!$B$6:$B$500, B689)&gt;3, " + " &amp; IFERROR(INDEX('SAÍDA DE VENDAS'!$H$6:$H$500 &amp; "x " &amp; 'SAÍDA DE VENDAS'!$G$6:$G$500, MATCH(B689, 'SAÍDA DE VENDAS'!$B$6:$B$500, 0)+3), ""), "")&amp; IF(COUNTIF('SAÍDA DE VENDAS'!$B$6:$B$500, B689)&gt;4, " + " &amp; IFERROR(INDEX('SAÍDA DE VENDAS'!$H$6:$H$500 &amp; "x " &amp; 'SAÍDA DE VENDAS'!$G$6:$G$500, MATCH(B689, 'SAÍDA DE VENDAS'!$B$6:$B$500, 0)+4), ""), "")&amp; IF(COUNTIF('SAÍDA DE VENDAS'!$B$6:$B$500, B689)&gt;5, " + " &amp; IFERROR(INDEX('SAÍDA DE VENDAS'!$H$6:$H$500 &amp; "x " &amp; 'SAÍDA DE VENDAS'!$G$6:$G$500, MATCH(B689, 'SAÍDA DE VENDAS'!$B$6:$B$500, 0)+5), ""), ""))</f>
        <v/>
      </c>
      <c r="G689" s="34">
        <f>IFERROR(VLOOKUP(B689,'SAÍDA DE VENDAS'!$B$6:$P$500,10,FALSE),"")</f>
        <v>0</v>
      </c>
      <c r="H689" s="34" t="str">
        <f>IF(OR(ISBLANK(B689),B689=""), "", IF(B689=B688, (VALUE(LEFT(H688,FIND("/",H688)-1))+1)&amp;"/"&amp;RIGHT(H688,LEN(H688)-FIND("/",H688)), "1/"&amp;IFERROR(VLOOKUP(B689,'SAÍDA DE VENDAS'!$B$6:$P$500,13,FALSE),"1")))</f>
        <v/>
      </c>
      <c r="I689" s="35" t="str">
        <f t="shared" si="20"/>
        <v/>
      </c>
      <c r="J689" s="39" t="str">
        <f>IFERROR(VLOOKUP(B689,'SAÍDA DE VENDAS'!$B$6:$P$500,15,FALSE),"")</f>
        <v/>
      </c>
      <c r="K689" s="34" t="str">
        <f t="shared" ca="1" si="21"/>
        <v/>
      </c>
      <c r="L689" s="34"/>
      <c r="M689" s="34"/>
    </row>
    <row r="690" spans="2:13" ht="15" customHeight="1" x14ac:dyDescent="0.3">
      <c r="B690" s="28" t="str">
        <f>IF(B689="","", IF(VALUE(LEFT(H689,FIND("/",H689)-1)) &lt; VALUE(RIGHT(H689,LEN(H689)-FIND("/",H689))), B689, IFERROR(INDEX('SAÍDA DE VENDAS'!$B$6:$B$500, MATCH(B689,'SAÍDA DE VENDAS'!$B$6:$B$500,0)+COUNTIF('SAÍDA DE VENDAS'!$B$6:$B$500, B689)),"")))</f>
        <v/>
      </c>
      <c r="C690" s="29">
        <f>IFERROR(VLOOKUP(B690,'SAÍDA DE VENDAS'!$B$6:$P$500,3,FALSE),"")</f>
        <v>0</v>
      </c>
      <c r="D690" s="28">
        <f>IFERROR(VLOOKUP(B690,'SAÍDA DE VENDAS'!$B$6:$P$500,4,FALSE),"")</f>
        <v>0</v>
      </c>
      <c r="E690" s="28" t="str">
        <f>IFERROR(VLOOKUP(B690,'SAÍDA DE VENDAS'!$B$6:$P$500,5,FALSE),"")</f>
        <v/>
      </c>
      <c r="F690" s="28" t="str">
        <f>IF(OR(ISBLANK(B690),B690=""), "", IFERROR(INDEX('SAÍDA DE VENDAS'!$H$6:$H$500 &amp; "x " &amp; 'SAÍDA DE VENDAS'!$G$6:$G$500, MATCH(B690, 'SAÍDA DE VENDAS'!$B$6:$B$500, 0)), "")&amp; IF(COUNTIF('SAÍDA DE VENDAS'!$B$6:$B$500, B690)&gt;1, " + " &amp; IFERROR(INDEX('SAÍDA DE VENDAS'!$H$6:$H$500 &amp; "x " &amp; 'SAÍDA DE VENDAS'!$G$6:$G$500, MATCH(B690, 'SAÍDA DE VENDAS'!$B$6:$B$500, 0)+1), ""), "")&amp; IF(COUNTIF('SAÍDA DE VENDAS'!$B$6:$B$500, B690)&gt;2, " + " &amp; IFERROR(INDEX('SAÍDA DE VENDAS'!$H$6:$H$500 &amp; "x " &amp; 'SAÍDA DE VENDAS'!$G$6:$G$500, MATCH(B690, 'SAÍDA DE VENDAS'!$B$6:$B$500, 0)+2), ""), "")&amp; IF(COUNTIF('SAÍDA DE VENDAS'!$B$6:$B$500, B690)&gt;3, " + " &amp; IFERROR(INDEX('SAÍDA DE VENDAS'!$H$6:$H$500 &amp; "x " &amp; 'SAÍDA DE VENDAS'!$G$6:$G$500, MATCH(B690, 'SAÍDA DE VENDAS'!$B$6:$B$500, 0)+3), ""), "")&amp; IF(COUNTIF('SAÍDA DE VENDAS'!$B$6:$B$500, B690)&gt;4, " + " &amp; IFERROR(INDEX('SAÍDA DE VENDAS'!$H$6:$H$500 &amp; "x " &amp; 'SAÍDA DE VENDAS'!$G$6:$G$500, MATCH(B690, 'SAÍDA DE VENDAS'!$B$6:$B$500, 0)+4), ""), "")&amp; IF(COUNTIF('SAÍDA DE VENDAS'!$B$6:$B$500, B690)&gt;5, " + " &amp; IFERROR(INDEX('SAÍDA DE VENDAS'!$H$6:$H$500 &amp; "x " &amp; 'SAÍDA DE VENDAS'!$G$6:$G$500, MATCH(B690, 'SAÍDA DE VENDAS'!$B$6:$B$500, 0)+5), ""), ""))</f>
        <v/>
      </c>
      <c r="G690" s="28">
        <f>IFERROR(VLOOKUP(B690,'SAÍDA DE VENDAS'!$B$6:$P$500,10,FALSE),"")</f>
        <v>0</v>
      </c>
      <c r="H690" s="28" t="str">
        <f>IF(OR(ISBLANK(B690),B690=""), "", IF(B690=B689, (VALUE(LEFT(H689,FIND("/",H689)-1))+1)&amp;"/"&amp;RIGHT(H689,LEN(H689)-FIND("/",H689)), "1/"&amp;IFERROR(VLOOKUP(B690,'SAÍDA DE VENDAS'!$B$6:$P$500,13,FALSE),"1")))</f>
        <v/>
      </c>
      <c r="I690" s="69" t="str">
        <f t="shared" si="20"/>
        <v/>
      </c>
      <c r="J690" s="33" t="str">
        <f>IFERROR(VLOOKUP(B690,'SAÍDA DE VENDAS'!$B$6:$P$500,15,FALSE),"")</f>
        <v/>
      </c>
      <c r="K690" s="28" t="str">
        <f t="shared" ca="1" si="21"/>
        <v/>
      </c>
      <c r="L690" s="28"/>
      <c r="M690" s="28"/>
    </row>
    <row r="691" spans="2:13" ht="15" customHeight="1" x14ac:dyDescent="0.3">
      <c r="B691" s="34" t="str">
        <f>IF(B690="","", IF(VALUE(LEFT(H690,FIND("/",H690)-1)) &lt; VALUE(RIGHT(H690,LEN(H690)-FIND("/",H690))), B690, IFERROR(INDEX('SAÍDA DE VENDAS'!$B$6:$B$500, MATCH(B690,'SAÍDA DE VENDAS'!$B$6:$B$500,0)+COUNTIF('SAÍDA DE VENDAS'!$B$6:$B$500, B690)),"")))</f>
        <v/>
      </c>
      <c r="C691" s="35">
        <f>IFERROR(VLOOKUP(B691,'SAÍDA DE VENDAS'!$B$6:$P$500,3,FALSE),"")</f>
        <v>0</v>
      </c>
      <c r="D691" s="34">
        <f>IFERROR(VLOOKUP(B691,'SAÍDA DE VENDAS'!$B$6:$P$500,4,FALSE),"")</f>
        <v>0</v>
      </c>
      <c r="E691" s="34" t="str">
        <f>IFERROR(VLOOKUP(B691,'SAÍDA DE VENDAS'!$B$6:$P$500,5,FALSE),"")</f>
        <v/>
      </c>
      <c r="F691" s="34" t="str">
        <f>IF(OR(ISBLANK(B691),B691=""), "", IFERROR(INDEX('SAÍDA DE VENDAS'!$H$6:$H$500 &amp; "x " &amp; 'SAÍDA DE VENDAS'!$G$6:$G$500, MATCH(B691, 'SAÍDA DE VENDAS'!$B$6:$B$500, 0)), "")&amp; IF(COUNTIF('SAÍDA DE VENDAS'!$B$6:$B$500, B691)&gt;1, " + " &amp; IFERROR(INDEX('SAÍDA DE VENDAS'!$H$6:$H$500 &amp; "x " &amp; 'SAÍDA DE VENDAS'!$G$6:$G$500, MATCH(B691, 'SAÍDA DE VENDAS'!$B$6:$B$500, 0)+1), ""), "")&amp; IF(COUNTIF('SAÍDA DE VENDAS'!$B$6:$B$500, B691)&gt;2, " + " &amp; IFERROR(INDEX('SAÍDA DE VENDAS'!$H$6:$H$500 &amp; "x " &amp; 'SAÍDA DE VENDAS'!$G$6:$G$500, MATCH(B691, 'SAÍDA DE VENDAS'!$B$6:$B$500, 0)+2), ""), "")&amp; IF(COUNTIF('SAÍDA DE VENDAS'!$B$6:$B$500, B691)&gt;3, " + " &amp; IFERROR(INDEX('SAÍDA DE VENDAS'!$H$6:$H$500 &amp; "x " &amp; 'SAÍDA DE VENDAS'!$G$6:$G$500, MATCH(B691, 'SAÍDA DE VENDAS'!$B$6:$B$500, 0)+3), ""), "")&amp; IF(COUNTIF('SAÍDA DE VENDAS'!$B$6:$B$500, B691)&gt;4, " + " &amp; IFERROR(INDEX('SAÍDA DE VENDAS'!$H$6:$H$500 &amp; "x " &amp; 'SAÍDA DE VENDAS'!$G$6:$G$500, MATCH(B691, 'SAÍDA DE VENDAS'!$B$6:$B$500, 0)+4), ""), "")&amp; IF(COUNTIF('SAÍDA DE VENDAS'!$B$6:$B$500, B691)&gt;5, " + " &amp; IFERROR(INDEX('SAÍDA DE VENDAS'!$H$6:$H$500 &amp; "x " &amp; 'SAÍDA DE VENDAS'!$G$6:$G$500, MATCH(B691, 'SAÍDA DE VENDAS'!$B$6:$B$500, 0)+5), ""), ""))</f>
        <v/>
      </c>
      <c r="G691" s="34">
        <f>IFERROR(VLOOKUP(B691,'SAÍDA DE VENDAS'!$B$6:$P$500,10,FALSE),"")</f>
        <v>0</v>
      </c>
      <c r="H691" s="34" t="str">
        <f>IF(OR(ISBLANK(B691),B691=""), "", IF(B691=B690, (VALUE(LEFT(H690,FIND("/",H690)-1))+1)&amp;"/"&amp;RIGHT(H690,LEN(H690)-FIND("/",H690)), "1/"&amp;IFERROR(VLOOKUP(B691,'SAÍDA DE VENDAS'!$B$6:$P$500,13,FALSE),"1")))</f>
        <v/>
      </c>
      <c r="I691" s="35" t="str">
        <f t="shared" si="20"/>
        <v/>
      </c>
      <c r="J691" s="39" t="str">
        <f>IFERROR(VLOOKUP(B691,'SAÍDA DE VENDAS'!$B$6:$P$500,15,FALSE),"")</f>
        <v/>
      </c>
      <c r="K691" s="34" t="str">
        <f t="shared" ca="1" si="21"/>
        <v/>
      </c>
      <c r="L691" s="34"/>
      <c r="M691" s="34"/>
    </row>
    <row r="692" spans="2:13" ht="15" customHeight="1" x14ac:dyDescent="0.3">
      <c r="B692" s="28" t="str">
        <f>IF(B691="","", IF(VALUE(LEFT(H691,FIND("/",H691)-1)) &lt; VALUE(RIGHT(H691,LEN(H691)-FIND("/",H691))), B691, IFERROR(INDEX('SAÍDA DE VENDAS'!$B$6:$B$500, MATCH(B691,'SAÍDA DE VENDAS'!$B$6:$B$500,0)+COUNTIF('SAÍDA DE VENDAS'!$B$6:$B$500, B691)),"")))</f>
        <v/>
      </c>
      <c r="C692" s="29">
        <f>IFERROR(VLOOKUP(B692,'SAÍDA DE VENDAS'!$B$6:$P$500,3,FALSE),"")</f>
        <v>0</v>
      </c>
      <c r="D692" s="28">
        <f>IFERROR(VLOOKUP(B692,'SAÍDA DE VENDAS'!$B$6:$P$500,4,FALSE),"")</f>
        <v>0</v>
      </c>
      <c r="E692" s="28" t="str">
        <f>IFERROR(VLOOKUP(B692,'SAÍDA DE VENDAS'!$B$6:$P$500,5,FALSE),"")</f>
        <v/>
      </c>
      <c r="F692" s="28" t="str">
        <f>IF(OR(ISBLANK(B692),B692=""), "", IFERROR(INDEX('SAÍDA DE VENDAS'!$H$6:$H$500 &amp; "x " &amp; 'SAÍDA DE VENDAS'!$G$6:$G$500, MATCH(B692, 'SAÍDA DE VENDAS'!$B$6:$B$500, 0)), "")&amp; IF(COUNTIF('SAÍDA DE VENDAS'!$B$6:$B$500, B692)&gt;1, " + " &amp; IFERROR(INDEX('SAÍDA DE VENDAS'!$H$6:$H$500 &amp; "x " &amp; 'SAÍDA DE VENDAS'!$G$6:$G$500, MATCH(B692, 'SAÍDA DE VENDAS'!$B$6:$B$500, 0)+1), ""), "")&amp; IF(COUNTIF('SAÍDA DE VENDAS'!$B$6:$B$500, B692)&gt;2, " + " &amp; IFERROR(INDEX('SAÍDA DE VENDAS'!$H$6:$H$500 &amp; "x " &amp; 'SAÍDA DE VENDAS'!$G$6:$G$500, MATCH(B692, 'SAÍDA DE VENDAS'!$B$6:$B$500, 0)+2), ""), "")&amp; IF(COUNTIF('SAÍDA DE VENDAS'!$B$6:$B$500, B692)&gt;3, " + " &amp; IFERROR(INDEX('SAÍDA DE VENDAS'!$H$6:$H$500 &amp; "x " &amp; 'SAÍDA DE VENDAS'!$G$6:$G$500, MATCH(B692, 'SAÍDA DE VENDAS'!$B$6:$B$500, 0)+3), ""), "")&amp; IF(COUNTIF('SAÍDA DE VENDAS'!$B$6:$B$500, B692)&gt;4, " + " &amp; IFERROR(INDEX('SAÍDA DE VENDAS'!$H$6:$H$500 &amp; "x " &amp; 'SAÍDA DE VENDAS'!$G$6:$G$500, MATCH(B692, 'SAÍDA DE VENDAS'!$B$6:$B$500, 0)+4), ""), "")&amp; IF(COUNTIF('SAÍDA DE VENDAS'!$B$6:$B$500, B692)&gt;5, " + " &amp; IFERROR(INDEX('SAÍDA DE VENDAS'!$H$6:$H$500 &amp; "x " &amp; 'SAÍDA DE VENDAS'!$G$6:$G$500, MATCH(B692, 'SAÍDA DE VENDAS'!$B$6:$B$500, 0)+5), ""), ""))</f>
        <v/>
      </c>
      <c r="G692" s="28">
        <f>IFERROR(VLOOKUP(B692,'SAÍDA DE VENDAS'!$B$6:$P$500,10,FALSE),"")</f>
        <v>0</v>
      </c>
      <c r="H692" s="28" t="str">
        <f>IF(OR(ISBLANK(B692),B692=""), "", IF(B692=B691, (VALUE(LEFT(H691,FIND("/",H691)-1))+1)&amp;"/"&amp;RIGHT(H691,LEN(H691)-FIND("/",H691)), "1/"&amp;IFERROR(VLOOKUP(B692,'SAÍDA DE VENDAS'!$B$6:$P$500,13,FALSE),"1")))</f>
        <v/>
      </c>
      <c r="I692" s="69" t="str">
        <f t="shared" si="20"/>
        <v/>
      </c>
      <c r="J692" s="33" t="str">
        <f>IFERROR(VLOOKUP(B692,'SAÍDA DE VENDAS'!$B$6:$P$500,15,FALSE),"")</f>
        <v/>
      </c>
      <c r="K692" s="28" t="str">
        <f t="shared" ca="1" si="21"/>
        <v/>
      </c>
      <c r="L692" s="28"/>
      <c r="M692" s="28"/>
    </row>
    <row r="693" spans="2:13" ht="15" customHeight="1" x14ac:dyDescent="0.3">
      <c r="B693" s="34" t="str">
        <f>IF(B692="","", IF(VALUE(LEFT(H692,FIND("/",H692)-1)) &lt; VALUE(RIGHT(H692,LEN(H692)-FIND("/",H692))), B692, IFERROR(INDEX('SAÍDA DE VENDAS'!$B$6:$B$500, MATCH(B692,'SAÍDA DE VENDAS'!$B$6:$B$500,0)+COUNTIF('SAÍDA DE VENDAS'!$B$6:$B$500, B692)),"")))</f>
        <v/>
      </c>
      <c r="C693" s="35">
        <f>IFERROR(VLOOKUP(B693,'SAÍDA DE VENDAS'!$B$6:$P$500,3,FALSE),"")</f>
        <v>0</v>
      </c>
      <c r="D693" s="34">
        <f>IFERROR(VLOOKUP(B693,'SAÍDA DE VENDAS'!$B$6:$P$500,4,FALSE),"")</f>
        <v>0</v>
      </c>
      <c r="E693" s="34" t="str">
        <f>IFERROR(VLOOKUP(B693,'SAÍDA DE VENDAS'!$B$6:$P$500,5,FALSE),"")</f>
        <v/>
      </c>
      <c r="F693" s="34" t="str">
        <f>IF(OR(ISBLANK(B693),B693=""), "", IFERROR(INDEX('SAÍDA DE VENDAS'!$H$6:$H$500 &amp; "x " &amp; 'SAÍDA DE VENDAS'!$G$6:$G$500, MATCH(B693, 'SAÍDA DE VENDAS'!$B$6:$B$500, 0)), "")&amp; IF(COUNTIF('SAÍDA DE VENDAS'!$B$6:$B$500, B693)&gt;1, " + " &amp; IFERROR(INDEX('SAÍDA DE VENDAS'!$H$6:$H$500 &amp; "x " &amp; 'SAÍDA DE VENDAS'!$G$6:$G$500, MATCH(B693, 'SAÍDA DE VENDAS'!$B$6:$B$500, 0)+1), ""), "")&amp; IF(COUNTIF('SAÍDA DE VENDAS'!$B$6:$B$500, B693)&gt;2, " + " &amp; IFERROR(INDEX('SAÍDA DE VENDAS'!$H$6:$H$500 &amp; "x " &amp; 'SAÍDA DE VENDAS'!$G$6:$G$500, MATCH(B693, 'SAÍDA DE VENDAS'!$B$6:$B$500, 0)+2), ""), "")&amp; IF(COUNTIF('SAÍDA DE VENDAS'!$B$6:$B$500, B693)&gt;3, " + " &amp; IFERROR(INDEX('SAÍDA DE VENDAS'!$H$6:$H$500 &amp; "x " &amp; 'SAÍDA DE VENDAS'!$G$6:$G$500, MATCH(B693, 'SAÍDA DE VENDAS'!$B$6:$B$500, 0)+3), ""), "")&amp; IF(COUNTIF('SAÍDA DE VENDAS'!$B$6:$B$500, B693)&gt;4, " + " &amp; IFERROR(INDEX('SAÍDA DE VENDAS'!$H$6:$H$500 &amp; "x " &amp; 'SAÍDA DE VENDAS'!$G$6:$G$500, MATCH(B693, 'SAÍDA DE VENDAS'!$B$6:$B$500, 0)+4), ""), "")&amp; IF(COUNTIF('SAÍDA DE VENDAS'!$B$6:$B$500, B693)&gt;5, " + " &amp; IFERROR(INDEX('SAÍDA DE VENDAS'!$H$6:$H$500 &amp; "x " &amp; 'SAÍDA DE VENDAS'!$G$6:$G$500, MATCH(B693, 'SAÍDA DE VENDAS'!$B$6:$B$500, 0)+5), ""), ""))</f>
        <v/>
      </c>
      <c r="G693" s="34">
        <f>IFERROR(VLOOKUP(B693,'SAÍDA DE VENDAS'!$B$6:$P$500,10,FALSE),"")</f>
        <v>0</v>
      </c>
      <c r="H693" s="34" t="str">
        <f>IF(OR(ISBLANK(B693),B693=""), "", IF(B693=B692, (VALUE(LEFT(H692,FIND("/",H692)-1))+1)&amp;"/"&amp;RIGHT(H692,LEN(H692)-FIND("/",H692)), "1/"&amp;IFERROR(VLOOKUP(B693,'SAÍDA DE VENDAS'!$B$6:$P$500,13,FALSE),"1")))</f>
        <v/>
      </c>
      <c r="I693" s="35" t="str">
        <f t="shared" si="20"/>
        <v/>
      </c>
      <c r="J693" s="39" t="str">
        <f>IFERROR(VLOOKUP(B693,'SAÍDA DE VENDAS'!$B$6:$P$500,15,FALSE),"")</f>
        <v/>
      </c>
      <c r="K693" s="34" t="str">
        <f t="shared" ca="1" si="21"/>
        <v/>
      </c>
      <c r="L693" s="34"/>
      <c r="M693" s="34"/>
    </row>
    <row r="694" spans="2:13" ht="15" customHeight="1" x14ac:dyDescent="0.3">
      <c r="B694" s="28" t="str">
        <f>IF(B693="","", IF(VALUE(LEFT(H693,FIND("/",H693)-1)) &lt; VALUE(RIGHT(H693,LEN(H693)-FIND("/",H693))), B693, IFERROR(INDEX('SAÍDA DE VENDAS'!$B$6:$B$500, MATCH(B693,'SAÍDA DE VENDAS'!$B$6:$B$500,0)+COUNTIF('SAÍDA DE VENDAS'!$B$6:$B$500, B693)),"")))</f>
        <v/>
      </c>
      <c r="C694" s="29">
        <f>IFERROR(VLOOKUP(B694,'SAÍDA DE VENDAS'!$B$6:$P$500,3,FALSE),"")</f>
        <v>0</v>
      </c>
      <c r="D694" s="28">
        <f>IFERROR(VLOOKUP(B694,'SAÍDA DE VENDAS'!$B$6:$P$500,4,FALSE),"")</f>
        <v>0</v>
      </c>
      <c r="E694" s="28" t="str">
        <f>IFERROR(VLOOKUP(B694,'SAÍDA DE VENDAS'!$B$6:$P$500,5,FALSE),"")</f>
        <v/>
      </c>
      <c r="F694" s="28" t="str">
        <f>IF(OR(ISBLANK(B694),B694=""), "", IFERROR(INDEX('SAÍDA DE VENDAS'!$H$6:$H$500 &amp; "x " &amp; 'SAÍDA DE VENDAS'!$G$6:$G$500, MATCH(B694, 'SAÍDA DE VENDAS'!$B$6:$B$500, 0)), "")&amp; IF(COUNTIF('SAÍDA DE VENDAS'!$B$6:$B$500, B694)&gt;1, " + " &amp; IFERROR(INDEX('SAÍDA DE VENDAS'!$H$6:$H$500 &amp; "x " &amp; 'SAÍDA DE VENDAS'!$G$6:$G$500, MATCH(B694, 'SAÍDA DE VENDAS'!$B$6:$B$500, 0)+1), ""), "")&amp; IF(COUNTIF('SAÍDA DE VENDAS'!$B$6:$B$500, B694)&gt;2, " + " &amp; IFERROR(INDEX('SAÍDA DE VENDAS'!$H$6:$H$500 &amp; "x " &amp; 'SAÍDA DE VENDAS'!$G$6:$G$500, MATCH(B694, 'SAÍDA DE VENDAS'!$B$6:$B$500, 0)+2), ""), "")&amp; IF(COUNTIF('SAÍDA DE VENDAS'!$B$6:$B$500, B694)&gt;3, " + " &amp; IFERROR(INDEX('SAÍDA DE VENDAS'!$H$6:$H$500 &amp; "x " &amp; 'SAÍDA DE VENDAS'!$G$6:$G$500, MATCH(B694, 'SAÍDA DE VENDAS'!$B$6:$B$500, 0)+3), ""), "")&amp; IF(COUNTIF('SAÍDA DE VENDAS'!$B$6:$B$500, B694)&gt;4, " + " &amp; IFERROR(INDEX('SAÍDA DE VENDAS'!$H$6:$H$500 &amp; "x " &amp; 'SAÍDA DE VENDAS'!$G$6:$G$500, MATCH(B694, 'SAÍDA DE VENDAS'!$B$6:$B$500, 0)+4), ""), "")&amp; IF(COUNTIF('SAÍDA DE VENDAS'!$B$6:$B$500, B694)&gt;5, " + " &amp; IFERROR(INDEX('SAÍDA DE VENDAS'!$H$6:$H$500 &amp; "x " &amp; 'SAÍDA DE VENDAS'!$G$6:$G$500, MATCH(B694, 'SAÍDA DE VENDAS'!$B$6:$B$500, 0)+5), ""), ""))</f>
        <v/>
      </c>
      <c r="G694" s="28">
        <f>IFERROR(VLOOKUP(B694,'SAÍDA DE VENDAS'!$B$6:$P$500,10,FALSE),"")</f>
        <v>0</v>
      </c>
      <c r="H694" s="28" t="str">
        <f>IF(OR(ISBLANK(B694),B694=""), "", IF(B694=B693, (VALUE(LEFT(H693,FIND("/",H693)-1))+1)&amp;"/"&amp;RIGHT(H693,LEN(H693)-FIND("/",H693)), "1/"&amp;IFERROR(VLOOKUP(B694,'SAÍDA DE VENDAS'!$B$6:$P$500,13,FALSE),"1")))</f>
        <v/>
      </c>
      <c r="I694" s="69" t="str">
        <f t="shared" si="20"/>
        <v/>
      </c>
      <c r="J694" s="33" t="str">
        <f>IFERROR(VLOOKUP(B694,'SAÍDA DE VENDAS'!$B$6:$P$500,15,FALSE),"")</f>
        <v/>
      </c>
      <c r="K694" s="28" t="str">
        <f t="shared" ca="1" si="21"/>
        <v/>
      </c>
      <c r="L694" s="28"/>
      <c r="M694" s="28"/>
    </row>
    <row r="695" spans="2:13" ht="15" customHeight="1" x14ac:dyDescent="0.3">
      <c r="B695" s="34" t="str">
        <f>IF(B694="","", IF(VALUE(LEFT(H694,FIND("/",H694)-1)) &lt; VALUE(RIGHT(H694,LEN(H694)-FIND("/",H694))), B694, IFERROR(INDEX('SAÍDA DE VENDAS'!$B$6:$B$500, MATCH(B694,'SAÍDA DE VENDAS'!$B$6:$B$500,0)+COUNTIF('SAÍDA DE VENDAS'!$B$6:$B$500, B694)),"")))</f>
        <v/>
      </c>
      <c r="C695" s="35">
        <f>IFERROR(VLOOKUP(B695,'SAÍDA DE VENDAS'!$B$6:$P$500,3,FALSE),"")</f>
        <v>0</v>
      </c>
      <c r="D695" s="34">
        <f>IFERROR(VLOOKUP(B695,'SAÍDA DE VENDAS'!$B$6:$P$500,4,FALSE),"")</f>
        <v>0</v>
      </c>
      <c r="E695" s="34" t="str">
        <f>IFERROR(VLOOKUP(B695,'SAÍDA DE VENDAS'!$B$6:$P$500,5,FALSE),"")</f>
        <v/>
      </c>
      <c r="F695" s="34" t="str">
        <f>IF(OR(ISBLANK(B695),B695=""), "", IFERROR(INDEX('SAÍDA DE VENDAS'!$H$6:$H$500 &amp; "x " &amp; 'SAÍDA DE VENDAS'!$G$6:$G$500, MATCH(B695, 'SAÍDA DE VENDAS'!$B$6:$B$500, 0)), "")&amp; IF(COUNTIF('SAÍDA DE VENDAS'!$B$6:$B$500, B695)&gt;1, " + " &amp; IFERROR(INDEX('SAÍDA DE VENDAS'!$H$6:$H$500 &amp; "x " &amp; 'SAÍDA DE VENDAS'!$G$6:$G$500, MATCH(B695, 'SAÍDA DE VENDAS'!$B$6:$B$500, 0)+1), ""), "")&amp; IF(COUNTIF('SAÍDA DE VENDAS'!$B$6:$B$500, B695)&gt;2, " + " &amp; IFERROR(INDEX('SAÍDA DE VENDAS'!$H$6:$H$500 &amp; "x " &amp; 'SAÍDA DE VENDAS'!$G$6:$G$500, MATCH(B695, 'SAÍDA DE VENDAS'!$B$6:$B$500, 0)+2), ""), "")&amp; IF(COUNTIF('SAÍDA DE VENDAS'!$B$6:$B$500, B695)&gt;3, " + " &amp; IFERROR(INDEX('SAÍDA DE VENDAS'!$H$6:$H$500 &amp; "x " &amp; 'SAÍDA DE VENDAS'!$G$6:$G$500, MATCH(B695, 'SAÍDA DE VENDAS'!$B$6:$B$500, 0)+3), ""), "")&amp; IF(COUNTIF('SAÍDA DE VENDAS'!$B$6:$B$500, B695)&gt;4, " + " &amp; IFERROR(INDEX('SAÍDA DE VENDAS'!$H$6:$H$500 &amp; "x " &amp; 'SAÍDA DE VENDAS'!$G$6:$G$500, MATCH(B695, 'SAÍDA DE VENDAS'!$B$6:$B$500, 0)+4), ""), "")&amp; IF(COUNTIF('SAÍDA DE VENDAS'!$B$6:$B$500, B695)&gt;5, " + " &amp; IFERROR(INDEX('SAÍDA DE VENDAS'!$H$6:$H$500 &amp; "x " &amp; 'SAÍDA DE VENDAS'!$G$6:$G$500, MATCH(B695, 'SAÍDA DE VENDAS'!$B$6:$B$500, 0)+5), ""), ""))</f>
        <v/>
      </c>
      <c r="G695" s="34">
        <f>IFERROR(VLOOKUP(B695,'SAÍDA DE VENDAS'!$B$6:$P$500,10,FALSE),"")</f>
        <v>0</v>
      </c>
      <c r="H695" s="34" t="str">
        <f>IF(OR(ISBLANK(B695),B695=""), "", IF(B695=B694, (VALUE(LEFT(H694,FIND("/",H694)-1))+1)&amp;"/"&amp;RIGHT(H694,LEN(H694)-FIND("/",H694)), "1/"&amp;IFERROR(VLOOKUP(B695,'SAÍDA DE VENDAS'!$B$6:$P$500,13,FALSE),"1")))</f>
        <v/>
      </c>
      <c r="I695" s="35" t="str">
        <f t="shared" si="20"/>
        <v/>
      </c>
      <c r="J695" s="39" t="str">
        <f>IFERROR(VLOOKUP(B695,'SAÍDA DE VENDAS'!$B$6:$P$500,15,FALSE),"")</f>
        <v/>
      </c>
      <c r="K695" s="34" t="str">
        <f t="shared" ca="1" si="21"/>
        <v/>
      </c>
      <c r="L695" s="34"/>
      <c r="M695" s="34"/>
    </row>
    <row r="696" spans="2:13" ht="15" customHeight="1" x14ac:dyDescent="0.3">
      <c r="B696" s="28" t="str">
        <f>IF(B695="","", IF(VALUE(LEFT(H695,FIND("/",H695)-1)) &lt; VALUE(RIGHT(H695,LEN(H695)-FIND("/",H695))), B695, IFERROR(INDEX('SAÍDA DE VENDAS'!$B$6:$B$500, MATCH(B695,'SAÍDA DE VENDAS'!$B$6:$B$500,0)+COUNTIF('SAÍDA DE VENDAS'!$B$6:$B$500, B695)),"")))</f>
        <v/>
      </c>
      <c r="C696" s="29">
        <f>IFERROR(VLOOKUP(B696,'SAÍDA DE VENDAS'!$B$6:$P$500,3,FALSE),"")</f>
        <v>0</v>
      </c>
      <c r="D696" s="28">
        <f>IFERROR(VLOOKUP(B696,'SAÍDA DE VENDAS'!$B$6:$P$500,4,FALSE),"")</f>
        <v>0</v>
      </c>
      <c r="E696" s="28" t="str">
        <f>IFERROR(VLOOKUP(B696,'SAÍDA DE VENDAS'!$B$6:$P$500,5,FALSE),"")</f>
        <v/>
      </c>
      <c r="F696" s="28" t="str">
        <f>IF(OR(ISBLANK(B696),B696=""), "", IFERROR(INDEX('SAÍDA DE VENDAS'!$H$6:$H$500 &amp; "x " &amp; 'SAÍDA DE VENDAS'!$G$6:$G$500, MATCH(B696, 'SAÍDA DE VENDAS'!$B$6:$B$500, 0)), "")&amp; IF(COUNTIF('SAÍDA DE VENDAS'!$B$6:$B$500, B696)&gt;1, " + " &amp; IFERROR(INDEX('SAÍDA DE VENDAS'!$H$6:$H$500 &amp; "x " &amp; 'SAÍDA DE VENDAS'!$G$6:$G$500, MATCH(B696, 'SAÍDA DE VENDAS'!$B$6:$B$500, 0)+1), ""), "")&amp; IF(COUNTIF('SAÍDA DE VENDAS'!$B$6:$B$500, B696)&gt;2, " + " &amp; IFERROR(INDEX('SAÍDA DE VENDAS'!$H$6:$H$500 &amp; "x " &amp; 'SAÍDA DE VENDAS'!$G$6:$G$500, MATCH(B696, 'SAÍDA DE VENDAS'!$B$6:$B$500, 0)+2), ""), "")&amp; IF(COUNTIF('SAÍDA DE VENDAS'!$B$6:$B$500, B696)&gt;3, " + " &amp; IFERROR(INDEX('SAÍDA DE VENDAS'!$H$6:$H$500 &amp; "x " &amp; 'SAÍDA DE VENDAS'!$G$6:$G$500, MATCH(B696, 'SAÍDA DE VENDAS'!$B$6:$B$500, 0)+3), ""), "")&amp; IF(COUNTIF('SAÍDA DE VENDAS'!$B$6:$B$500, B696)&gt;4, " + " &amp; IFERROR(INDEX('SAÍDA DE VENDAS'!$H$6:$H$500 &amp; "x " &amp; 'SAÍDA DE VENDAS'!$G$6:$G$500, MATCH(B696, 'SAÍDA DE VENDAS'!$B$6:$B$500, 0)+4), ""), "")&amp; IF(COUNTIF('SAÍDA DE VENDAS'!$B$6:$B$500, B696)&gt;5, " + " &amp; IFERROR(INDEX('SAÍDA DE VENDAS'!$H$6:$H$500 &amp; "x " &amp; 'SAÍDA DE VENDAS'!$G$6:$G$500, MATCH(B696, 'SAÍDA DE VENDAS'!$B$6:$B$500, 0)+5), ""), ""))</f>
        <v/>
      </c>
      <c r="G696" s="28">
        <f>IFERROR(VLOOKUP(B696,'SAÍDA DE VENDAS'!$B$6:$P$500,10,FALSE),"")</f>
        <v>0</v>
      </c>
      <c r="H696" s="28" t="str">
        <f>IF(OR(ISBLANK(B696),B696=""), "", IF(B696=B695, (VALUE(LEFT(H695,FIND("/",H695)-1))+1)&amp;"/"&amp;RIGHT(H695,LEN(H695)-FIND("/",H695)), "1/"&amp;IFERROR(VLOOKUP(B696,'SAÍDA DE VENDAS'!$B$6:$P$500,13,FALSE),"1")))</f>
        <v/>
      </c>
      <c r="I696" s="69" t="str">
        <f t="shared" si="20"/>
        <v/>
      </c>
      <c r="J696" s="33" t="str">
        <f>IFERROR(VLOOKUP(B696,'SAÍDA DE VENDAS'!$B$6:$P$500,15,FALSE),"")</f>
        <v/>
      </c>
      <c r="K696" s="28" t="str">
        <f t="shared" ca="1" si="21"/>
        <v/>
      </c>
      <c r="L696" s="28"/>
      <c r="M696" s="28"/>
    </row>
    <row r="697" spans="2:13" ht="15" customHeight="1" x14ac:dyDescent="0.3">
      <c r="B697" s="34" t="str">
        <f>IF(B696="","", IF(VALUE(LEFT(H696,FIND("/",H696)-1)) &lt; VALUE(RIGHT(H696,LEN(H696)-FIND("/",H696))), B696, IFERROR(INDEX('SAÍDA DE VENDAS'!$B$6:$B$500, MATCH(B696,'SAÍDA DE VENDAS'!$B$6:$B$500,0)+COUNTIF('SAÍDA DE VENDAS'!$B$6:$B$500, B696)),"")))</f>
        <v/>
      </c>
      <c r="C697" s="35">
        <f>IFERROR(VLOOKUP(B697,'SAÍDA DE VENDAS'!$B$6:$P$500,3,FALSE),"")</f>
        <v>0</v>
      </c>
      <c r="D697" s="34">
        <f>IFERROR(VLOOKUP(B697,'SAÍDA DE VENDAS'!$B$6:$P$500,4,FALSE),"")</f>
        <v>0</v>
      </c>
      <c r="E697" s="34" t="str">
        <f>IFERROR(VLOOKUP(B697,'SAÍDA DE VENDAS'!$B$6:$P$500,5,FALSE),"")</f>
        <v/>
      </c>
      <c r="F697" s="34" t="str">
        <f>IF(OR(ISBLANK(B697),B697=""), "", IFERROR(INDEX('SAÍDA DE VENDAS'!$H$6:$H$500 &amp; "x " &amp; 'SAÍDA DE VENDAS'!$G$6:$G$500, MATCH(B697, 'SAÍDA DE VENDAS'!$B$6:$B$500, 0)), "")&amp; IF(COUNTIF('SAÍDA DE VENDAS'!$B$6:$B$500, B697)&gt;1, " + " &amp; IFERROR(INDEX('SAÍDA DE VENDAS'!$H$6:$H$500 &amp; "x " &amp; 'SAÍDA DE VENDAS'!$G$6:$G$500, MATCH(B697, 'SAÍDA DE VENDAS'!$B$6:$B$500, 0)+1), ""), "")&amp; IF(COUNTIF('SAÍDA DE VENDAS'!$B$6:$B$500, B697)&gt;2, " + " &amp; IFERROR(INDEX('SAÍDA DE VENDAS'!$H$6:$H$500 &amp; "x " &amp; 'SAÍDA DE VENDAS'!$G$6:$G$500, MATCH(B697, 'SAÍDA DE VENDAS'!$B$6:$B$500, 0)+2), ""), "")&amp; IF(COUNTIF('SAÍDA DE VENDAS'!$B$6:$B$500, B697)&gt;3, " + " &amp; IFERROR(INDEX('SAÍDA DE VENDAS'!$H$6:$H$500 &amp; "x " &amp; 'SAÍDA DE VENDAS'!$G$6:$G$500, MATCH(B697, 'SAÍDA DE VENDAS'!$B$6:$B$500, 0)+3), ""), "")&amp; IF(COUNTIF('SAÍDA DE VENDAS'!$B$6:$B$500, B697)&gt;4, " + " &amp; IFERROR(INDEX('SAÍDA DE VENDAS'!$H$6:$H$500 &amp; "x " &amp; 'SAÍDA DE VENDAS'!$G$6:$G$500, MATCH(B697, 'SAÍDA DE VENDAS'!$B$6:$B$500, 0)+4), ""), "")&amp; IF(COUNTIF('SAÍDA DE VENDAS'!$B$6:$B$500, B697)&gt;5, " + " &amp; IFERROR(INDEX('SAÍDA DE VENDAS'!$H$6:$H$500 &amp; "x " &amp; 'SAÍDA DE VENDAS'!$G$6:$G$500, MATCH(B697, 'SAÍDA DE VENDAS'!$B$6:$B$500, 0)+5), ""), ""))</f>
        <v/>
      </c>
      <c r="G697" s="34">
        <f>IFERROR(VLOOKUP(B697,'SAÍDA DE VENDAS'!$B$6:$P$500,10,FALSE),"")</f>
        <v>0</v>
      </c>
      <c r="H697" s="34" t="str">
        <f>IF(OR(ISBLANK(B697),B697=""), "", IF(B697=B696, (VALUE(LEFT(H696,FIND("/",H696)-1))+1)&amp;"/"&amp;RIGHT(H696,LEN(H696)-FIND("/",H696)), "1/"&amp;IFERROR(VLOOKUP(B697,'SAÍDA DE VENDAS'!$B$6:$P$500,13,FALSE),"1")))</f>
        <v/>
      </c>
      <c r="I697" s="35" t="str">
        <f t="shared" si="20"/>
        <v/>
      </c>
      <c r="J697" s="39" t="str">
        <f>IFERROR(VLOOKUP(B697,'SAÍDA DE VENDAS'!$B$6:$P$500,15,FALSE),"")</f>
        <v/>
      </c>
      <c r="K697" s="34" t="str">
        <f t="shared" ca="1" si="21"/>
        <v/>
      </c>
      <c r="L697" s="34"/>
      <c r="M697" s="34"/>
    </row>
    <row r="698" spans="2:13" ht="15" customHeight="1" x14ac:dyDescent="0.3">
      <c r="B698" s="28" t="str">
        <f>IF(B697="","", IF(VALUE(LEFT(H697,FIND("/",H697)-1)) &lt; VALUE(RIGHT(H697,LEN(H697)-FIND("/",H697))), B697, IFERROR(INDEX('SAÍDA DE VENDAS'!$B$6:$B$500, MATCH(B697,'SAÍDA DE VENDAS'!$B$6:$B$500,0)+COUNTIF('SAÍDA DE VENDAS'!$B$6:$B$500, B697)),"")))</f>
        <v/>
      </c>
      <c r="C698" s="29">
        <f>IFERROR(VLOOKUP(B698,'SAÍDA DE VENDAS'!$B$6:$P$500,3,FALSE),"")</f>
        <v>0</v>
      </c>
      <c r="D698" s="28">
        <f>IFERROR(VLOOKUP(B698,'SAÍDA DE VENDAS'!$B$6:$P$500,4,FALSE),"")</f>
        <v>0</v>
      </c>
      <c r="E698" s="28" t="str">
        <f>IFERROR(VLOOKUP(B698,'SAÍDA DE VENDAS'!$B$6:$P$500,5,FALSE),"")</f>
        <v/>
      </c>
      <c r="F698" s="28" t="str">
        <f>IF(OR(ISBLANK(B698),B698=""), "", IFERROR(INDEX('SAÍDA DE VENDAS'!$H$6:$H$500 &amp; "x " &amp; 'SAÍDA DE VENDAS'!$G$6:$G$500, MATCH(B698, 'SAÍDA DE VENDAS'!$B$6:$B$500, 0)), "")&amp; IF(COUNTIF('SAÍDA DE VENDAS'!$B$6:$B$500, B698)&gt;1, " + " &amp; IFERROR(INDEX('SAÍDA DE VENDAS'!$H$6:$H$500 &amp; "x " &amp; 'SAÍDA DE VENDAS'!$G$6:$G$500, MATCH(B698, 'SAÍDA DE VENDAS'!$B$6:$B$500, 0)+1), ""), "")&amp; IF(COUNTIF('SAÍDA DE VENDAS'!$B$6:$B$500, B698)&gt;2, " + " &amp; IFERROR(INDEX('SAÍDA DE VENDAS'!$H$6:$H$500 &amp; "x " &amp; 'SAÍDA DE VENDAS'!$G$6:$G$500, MATCH(B698, 'SAÍDA DE VENDAS'!$B$6:$B$500, 0)+2), ""), "")&amp; IF(COUNTIF('SAÍDA DE VENDAS'!$B$6:$B$500, B698)&gt;3, " + " &amp; IFERROR(INDEX('SAÍDA DE VENDAS'!$H$6:$H$500 &amp; "x " &amp; 'SAÍDA DE VENDAS'!$G$6:$G$500, MATCH(B698, 'SAÍDA DE VENDAS'!$B$6:$B$500, 0)+3), ""), "")&amp; IF(COUNTIF('SAÍDA DE VENDAS'!$B$6:$B$500, B698)&gt;4, " + " &amp; IFERROR(INDEX('SAÍDA DE VENDAS'!$H$6:$H$500 &amp; "x " &amp; 'SAÍDA DE VENDAS'!$G$6:$G$500, MATCH(B698, 'SAÍDA DE VENDAS'!$B$6:$B$500, 0)+4), ""), "")&amp; IF(COUNTIF('SAÍDA DE VENDAS'!$B$6:$B$500, B698)&gt;5, " + " &amp; IFERROR(INDEX('SAÍDA DE VENDAS'!$H$6:$H$500 &amp; "x " &amp; 'SAÍDA DE VENDAS'!$G$6:$G$500, MATCH(B698, 'SAÍDA DE VENDAS'!$B$6:$B$500, 0)+5), ""), ""))</f>
        <v/>
      </c>
      <c r="G698" s="28">
        <f>IFERROR(VLOOKUP(B698,'SAÍDA DE VENDAS'!$B$6:$P$500,10,FALSE),"")</f>
        <v>0</v>
      </c>
      <c r="H698" s="28" t="str">
        <f>IF(OR(ISBLANK(B698),B698=""), "", IF(B698=B697, (VALUE(LEFT(H697,FIND("/",H697)-1))+1)&amp;"/"&amp;RIGHT(H697,LEN(H697)-FIND("/",H697)), "1/"&amp;IFERROR(VLOOKUP(B698,'SAÍDA DE VENDAS'!$B$6:$P$500,13,FALSE),"1")))</f>
        <v/>
      </c>
      <c r="I698" s="69" t="str">
        <f t="shared" si="20"/>
        <v/>
      </c>
      <c r="J698" s="33" t="str">
        <f>IFERROR(VLOOKUP(B698,'SAÍDA DE VENDAS'!$B$6:$P$500,15,FALSE),"")</f>
        <v/>
      </c>
      <c r="K698" s="28" t="str">
        <f t="shared" ca="1" si="21"/>
        <v/>
      </c>
      <c r="L698" s="28"/>
      <c r="M698" s="28"/>
    </row>
    <row r="699" spans="2:13" ht="15" customHeight="1" x14ac:dyDescent="0.3">
      <c r="B699" s="34" t="str">
        <f>IF(B698="","", IF(VALUE(LEFT(H698,FIND("/",H698)-1)) &lt; VALUE(RIGHT(H698,LEN(H698)-FIND("/",H698))), B698, IFERROR(INDEX('SAÍDA DE VENDAS'!$B$6:$B$500, MATCH(B698,'SAÍDA DE VENDAS'!$B$6:$B$500,0)+COUNTIF('SAÍDA DE VENDAS'!$B$6:$B$500, B698)),"")))</f>
        <v/>
      </c>
      <c r="C699" s="35">
        <f>IFERROR(VLOOKUP(B699,'SAÍDA DE VENDAS'!$B$6:$P$500,3,FALSE),"")</f>
        <v>0</v>
      </c>
      <c r="D699" s="34">
        <f>IFERROR(VLOOKUP(B699,'SAÍDA DE VENDAS'!$B$6:$P$500,4,FALSE),"")</f>
        <v>0</v>
      </c>
      <c r="E699" s="34" t="str">
        <f>IFERROR(VLOOKUP(B699,'SAÍDA DE VENDAS'!$B$6:$P$500,5,FALSE),"")</f>
        <v/>
      </c>
      <c r="F699" s="34" t="str">
        <f>IF(OR(ISBLANK(B699),B699=""), "", IFERROR(INDEX('SAÍDA DE VENDAS'!$H$6:$H$500 &amp; "x " &amp; 'SAÍDA DE VENDAS'!$G$6:$G$500, MATCH(B699, 'SAÍDA DE VENDAS'!$B$6:$B$500, 0)), "")&amp; IF(COUNTIF('SAÍDA DE VENDAS'!$B$6:$B$500, B699)&gt;1, " + " &amp; IFERROR(INDEX('SAÍDA DE VENDAS'!$H$6:$H$500 &amp; "x " &amp; 'SAÍDA DE VENDAS'!$G$6:$G$500, MATCH(B699, 'SAÍDA DE VENDAS'!$B$6:$B$500, 0)+1), ""), "")&amp; IF(COUNTIF('SAÍDA DE VENDAS'!$B$6:$B$500, B699)&gt;2, " + " &amp; IFERROR(INDEX('SAÍDA DE VENDAS'!$H$6:$H$500 &amp; "x " &amp; 'SAÍDA DE VENDAS'!$G$6:$G$500, MATCH(B699, 'SAÍDA DE VENDAS'!$B$6:$B$500, 0)+2), ""), "")&amp; IF(COUNTIF('SAÍDA DE VENDAS'!$B$6:$B$500, B699)&gt;3, " + " &amp; IFERROR(INDEX('SAÍDA DE VENDAS'!$H$6:$H$500 &amp; "x " &amp; 'SAÍDA DE VENDAS'!$G$6:$G$500, MATCH(B699, 'SAÍDA DE VENDAS'!$B$6:$B$500, 0)+3), ""), "")&amp; IF(COUNTIF('SAÍDA DE VENDAS'!$B$6:$B$500, B699)&gt;4, " + " &amp; IFERROR(INDEX('SAÍDA DE VENDAS'!$H$6:$H$500 &amp; "x " &amp; 'SAÍDA DE VENDAS'!$G$6:$G$500, MATCH(B699, 'SAÍDA DE VENDAS'!$B$6:$B$500, 0)+4), ""), "")&amp; IF(COUNTIF('SAÍDA DE VENDAS'!$B$6:$B$500, B699)&gt;5, " + " &amp; IFERROR(INDEX('SAÍDA DE VENDAS'!$H$6:$H$500 &amp; "x " &amp; 'SAÍDA DE VENDAS'!$G$6:$G$500, MATCH(B699, 'SAÍDA DE VENDAS'!$B$6:$B$500, 0)+5), ""), ""))</f>
        <v/>
      </c>
      <c r="G699" s="34">
        <f>IFERROR(VLOOKUP(B699,'SAÍDA DE VENDAS'!$B$6:$P$500,10,FALSE),"")</f>
        <v>0</v>
      </c>
      <c r="H699" s="34" t="str">
        <f>IF(OR(ISBLANK(B699),B699=""), "", IF(B699=B698, (VALUE(LEFT(H698,FIND("/",H698)-1))+1)&amp;"/"&amp;RIGHT(H698,LEN(H698)-FIND("/",H698)), "1/"&amp;IFERROR(VLOOKUP(B699,'SAÍDA DE VENDAS'!$B$6:$P$500,13,FALSE),"1")))</f>
        <v/>
      </c>
      <c r="I699" s="35" t="str">
        <f t="shared" si="20"/>
        <v/>
      </c>
      <c r="J699" s="39" t="str">
        <f>IFERROR(VLOOKUP(B699,'SAÍDA DE VENDAS'!$B$6:$P$500,15,FALSE),"")</f>
        <v/>
      </c>
      <c r="K699" s="34" t="str">
        <f t="shared" ca="1" si="21"/>
        <v/>
      </c>
      <c r="L699" s="34"/>
      <c r="M699" s="34"/>
    </row>
    <row r="700" spans="2:13" ht="15" customHeight="1" x14ac:dyDescent="0.3">
      <c r="B700" s="28" t="str">
        <f>IF(B699="","", IF(VALUE(LEFT(H699,FIND("/",H699)-1)) &lt; VALUE(RIGHT(H699,LEN(H699)-FIND("/",H699))), B699, IFERROR(INDEX('SAÍDA DE VENDAS'!$B$6:$B$500, MATCH(B699,'SAÍDA DE VENDAS'!$B$6:$B$500,0)+COUNTIF('SAÍDA DE VENDAS'!$B$6:$B$500, B699)),"")))</f>
        <v/>
      </c>
      <c r="C700" s="29">
        <f>IFERROR(VLOOKUP(B700,'SAÍDA DE VENDAS'!$B$6:$P$500,3,FALSE),"")</f>
        <v>0</v>
      </c>
      <c r="D700" s="28">
        <f>IFERROR(VLOOKUP(B700,'SAÍDA DE VENDAS'!$B$6:$P$500,4,FALSE),"")</f>
        <v>0</v>
      </c>
      <c r="E700" s="28" t="str">
        <f>IFERROR(VLOOKUP(B700,'SAÍDA DE VENDAS'!$B$6:$P$500,5,FALSE),"")</f>
        <v/>
      </c>
      <c r="F700" s="28" t="str">
        <f>IF(OR(ISBLANK(B700),B700=""), "", IFERROR(INDEX('SAÍDA DE VENDAS'!$H$6:$H$500 &amp; "x " &amp; 'SAÍDA DE VENDAS'!$G$6:$G$500, MATCH(B700, 'SAÍDA DE VENDAS'!$B$6:$B$500, 0)), "")&amp; IF(COUNTIF('SAÍDA DE VENDAS'!$B$6:$B$500, B700)&gt;1, " + " &amp; IFERROR(INDEX('SAÍDA DE VENDAS'!$H$6:$H$500 &amp; "x " &amp; 'SAÍDA DE VENDAS'!$G$6:$G$500, MATCH(B700, 'SAÍDA DE VENDAS'!$B$6:$B$500, 0)+1), ""), "")&amp; IF(COUNTIF('SAÍDA DE VENDAS'!$B$6:$B$500, B700)&gt;2, " + " &amp; IFERROR(INDEX('SAÍDA DE VENDAS'!$H$6:$H$500 &amp; "x " &amp; 'SAÍDA DE VENDAS'!$G$6:$G$500, MATCH(B700, 'SAÍDA DE VENDAS'!$B$6:$B$500, 0)+2), ""), "")&amp; IF(COUNTIF('SAÍDA DE VENDAS'!$B$6:$B$500, B700)&gt;3, " + " &amp; IFERROR(INDEX('SAÍDA DE VENDAS'!$H$6:$H$500 &amp; "x " &amp; 'SAÍDA DE VENDAS'!$G$6:$G$500, MATCH(B700, 'SAÍDA DE VENDAS'!$B$6:$B$500, 0)+3), ""), "")&amp; IF(COUNTIF('SAÍDA DE VENDAS'!$B$6:$B$500, B700)&gt;4, " + " &amp; IFERROR(INDEX('SAÍDA DE VENDAS'!$H$6:$H$500 &amp; "x " &amp; 'SAÍDA DE VENDAS'!$G$6:$G$500, MATCH(B700, 'SAÍDA DE VENDAS'!$B$6:$B$500, 0)+4), ""), "")&amp; IF(COUNTIF('SAÍDA DE VENDAS'!$B$6:$B$500, B700)&gt;5, " + " &amp; IFERROR(INDEX('SAÍDA DE VENDAS'!$H$6:$H$500 &amp; "x " &amp; 'SAÍDA DE VENDAS'!$G$6:$G$500, MATCH(B700, 'SAÍDA DE VENDAS'!$B$6:$B$500, 0)+5), ""), ""))</f>
        <v/>
      </c>
      <c r="G700" s="28">
        <f>IFERROR(VLOOKUP(B700,'SAÍDA DE VENDAS'!$B$6:$P$500,10,FALSE),"")</f>
        <v>0</v>
      </c>
      <c r="H700" s="28" t="str">
        <f>IF(OR(ISBLANK(B700),B700=""), "", IF(B700=B699, (VALUE(LEFT(H699,FIND("/",H699)-1))+1)&amp;"/"&amp;RIGHT(H699,LEN(H699)-FIND("/",H699)), "1/"&amp;IFERROR(VLOOKUP(B700,'SAÍDA DE VENDAS'!$B$6:$P$500,13,FALSE),"1")))</f>
        <v/>
      </c>
      <c r="I700" s="69" t="str">
        <f t="shared" si="20"/>
        <v/>
      </c>
      <c r="J700" s="33" t="str">
        <f>IFERROR(VLOOKUP(B700,'SAÍDA DE VENDAS'!$B$6:$P$500,15,FALSE),"")</f>
        <v/>
      </c>
      <c r="K700" s="28" t="str">
        <f t="shared" ca="1" si="21"/>
        <v/>
      </c>
      <c r="L700" s="28"/>
      <c r="M700" s="28"/>
    </row>
    <row r="701" spans="2:13" ht="15" customHeight="1" x14ac:dyDescent="0.3">
      <c r="B701" s="34" t="str">
        <f>IF(B700="","", IF(VALUE(LEFT(H700,FIND("/",H700)-1)) &lt; VALUE(RIGHT(H700,LEN(H700)-FIND("/",H700))), B700, IFERROR(INDEX('SAÍDA DE VENDAS'!$B$6:$B$500, MATCH(B700,'SAÍDA DE VENDAS'!$B$6:$B$500,0)+COUNTIF('SAÍDA DE VENDAS'!$B$6:$B$500, B700)),"")))</f>
        <v/>
      </c>
      <c r="C701" s="35">
        <f>IFERROR(VLOOKUP(B701,'SAÍDA DE VENDAS'!$B$6:$P$500,3,FALSE),"")</f>
        <v>0</v>
      </c>
      <c r="D701" s="34">
        <f>IFERROR(VLOOKUP(B701,'SAÍDA DE VENDAS'!$B$6:$P$500,4,FALSE),"")</f>
        <v>0</v>
      </c>
      <c r="E701" s="34" t="str">
        <f>IFERROR(VLOOKUP(B701,'SAÍDA DE VENDAS'!$B$6:$P$500,5,FALSE),"")</f>
        <v/>
      </c>
      <c r="F701" s="34" t="str">
        <f>IF(OR(ISBLANK(B701),B701=""), "", IFERROR(INDEX('SAÍDA DE VENDAS'!$H$6:$H$500 &amp; "x " &amp; 'SAÍDA DE VENDAS'!$G$6:$G$500, MATCH(B701, 'SAÍDA DE VENDAS'!$B$6:$B$500, 0)), "")&amp; IF(COUNTIF('SAÍDA DE VENDAS'!$B$6:$B$500, B701)&gt;1, " + " &amp; IFERROR(INDEX('SAÍDA DE VENDAS'!$H$6:$H$500 &amp; "x " &amp; 'SAÍDA DE VENDAS'!$G$6:$G$500, MATCH(B701, 'SAÍDA DE VENDAS'!$B$6:$B$500, 0)+1), ""), "")&amp; IF(COUNTIF('SAÍDA DE VENDAS'!$B$6:$B$500, B701)&gt;2, " + " &amp; IFERROR(INDEX('SAÍDA DE VENDAS'!$H$6:$H$500 &amp; "x " &amp; 'SAÍDA DE VENDAS'!$G$6:$G$500, MATCH(B701, 'SAÍDA DE VENDAS'!$B$6:$B$500, 0)+2), ""), "")&amp; IF(COUNTIF('SAÍDA DE VENDAS'!$B$6:$B$500, B701)&gt;3, " + " &amp; IFERROR(INDEX('SAÍDA DE VENDAS'!$H$6:$H$500 &amp; "x " &amp; 'SAÍDA DE VENDAS'!$G$6:$G$500, MATCH(B701, 'SAÍDA DE VENDAS'!$B$6:$B$500, 0)+3), ""), "")&amp; IF(COUNTIF('SAÍDA DE VENDAS'!$B$6:$B$500, B701)&gt;4, " + " &amp; IFERROR(INDEX('SAÍDA DE VENDAS'!$H$6:$H$500 &amp; "x " &amp; 'SAÍDA DE VENDAS'!$G$6:$G$500, MATCH(B701, 'SAÍDA DE VENDAS'!$B$6:$B$500, 0)+4), ""), "")&amp; IF(COUNTIF('SAÍDA DE VENDAS'!$B$6:$B$500, B701)&gt;5, " + " &amp; IFERROR(INDEX('SAÍDA DE VENDAS'!$H$6:$H$500 &amp; "x " &amp; 'SAÍDA DE VENDAS'!$G$6:$G$500, MATCH(B701, 'SAÍDA DE VENDAS'!$B$6:$B$500, 0)+5), ""), ""))</f>
        <v/>
      </c>
      <c r="G701" s="34">
        <f>IFERROR(VLOOKUP(B701,'SAÍDA DE VENDAS'!$B$6:$P$500,10,FALSE),"")</f>
        <v>0</v>
      </c>
      <c r="H701" s="34" t="str">
        <f>IF(OR(ISBLANK(B701),B701=""), "", IF(B701=B700, (VALUE(LEFT(H700,FIND("/",H700)-1))+1)&amp;"/"&amp;RIGHT(H700,LEN(H700)-FIND("/",H700)), "1/"&amp;IFERROR(VLOOKUP(B701,'SAÍDA DE VENDAS'!$B$6:$P$500,13,FALSE),"1")))</f>
        <v/>
      </c>
      <c r="I701" s="35" t="str">
        <f t="shared" si="20"/>
        <v/>
      </c>
      <c r="J701" s="39" t="str">
        <f>IFERROR(VLOOKUP(B701,'SAÍDA DE VENDAS'!$B$6:$P$500,15,FALSE),"")</f>
        <v/>
      </c>
      <c r="K701" s="34" t="str">
        <f t="shared" ca="1" si="21"/>
        <v/>
      </c>
      <c r="L701" s="34"/>
      <c r="M701" s="34"/>
    </row>
    <row r="702" spans="2:13" ht="15" customHeight="1" x14ac:dyDescent="0.3">
      <c r="B702" s="28" t="str">
        <f>IF(B701="","", IF(VALUE(LEFT(H701,FIND("/",H701)-1)) &lt; VALUE(RIGHT(H701,LEN(H701)-FIND("/",H701))), B701, IFERROR(INDEX('SAÍDA DE VENDAS'!$B$6:$B$500, MATCH(B701,'SAÍDA DE VENDAS'!$B$6:$B$500,0)+COUNTIF('SAÍDA DE VENDAS'!$B$6:$B$500, B701)),"")))</f>
        <v/>
      </c>
      <c r="C702" s="29">
        <f>IFERROR(VLOOKUP(B702,'SAÍDA DE VENDAS'!$B$6:$P$500,3,FALSE),"")</f>
        <v>0</v>
      </c>
      <c r="D702" s="28">
        <f>IFERROR(VLOOKUP(B702,'SAÍDA DE VENDAS'!$B$6:$P$500,4,FALSE),"")</f>
        <v>0</v>
      </c>
      <c r="E702" s="28" t="str">
        <f>IFERROR(VLOOKUP(B702,'SAÍDA DE VENDAS'!$B$6:$P$500,5,FALSE),"")</f>
        <v/>
      </c>
      <c r="F702" s="28" t="str">
        <f>IF(OR(ISBLANK(B702),B702=""), "", IFERROR(INDEX('SAÍDA DE VENDAS'!$H$6:$H$500 &amp; "x " &amp; 'SAÍDA DE VENDAS'!$G$6:$G$500, MATCH(B702, 'SAÍDA DE VENDAS'!$B$6:$B$500, 0)), "")&amp; IF(COUNTIF('SAÍDA DE VENDAS'!$B$6:$B$500, B702)&gt;1, " + " &amp; IFERROR(INDEX('SAÍDA DE VENDAS'!$H$6:$H$500 &amp; "x " &amp; 'SAÍDA DE VENDAS'!$G$6:$G$500, MATCH(B702, 'SAÍDA DE VENDAS'!$B$6:$B$500, 0)+1), ""), "")&amp; IF(COUNTIF('SAÍDA DE VENDAS'!$B$6:$B$500, B702)&gt;2, " + " &amp; IFERROR(INDEX('SAÍDA DE VENDAS'!$H$6:$H$500 &amp; "x " &amp; 'SAÍDA DE VENDAS'!$G$6:$G$500, MATCH(B702, 'SAÍDA DE VENDAS'!$B$6:$B$500, 0)+2), ""), "")&amp; IF(COUNTIF('SAÍDA DE VENDAS'!$B$6:$B$500, B702)&gt;3, " + " &amp; IFERROR(INDEX('SAÍDA DE VENDAS'!$H$6:$H$500 &amp; "x " &amp; 'SAÍDA DE VENDAS'!$G$6:$G$500, MATCH(B702, 'SAÍDA DE VENDAS'!$B$6:$B$500, 0)+3), ""), "")&amp; IF(COUNTIF('SAÍDA DE VENDAS'!$B$6:$B$500, B702)&gt;4, " + " &amp; IFERROR(INDEX('SAÍDA DE VENDAS'!$H$6:$H$500 &amp; "x " &amp; 'SAÍDA DE VENDAS'!$G$6:$G$500, MATCH(B702, 'SAÍDA DE VENDAS'!$B$6:$B$500, 0)+4), ""), "")&amp; IF(COUNTIF('SAÍDA DE VENDAS'!$B$6:$B$500, B702)&gt;5, " + " &amp; IFERROR(INDEX('SAÍDA DE VENDAS'!$H$6:$H$500 &amp; "x " &amp; 'SAÍDA DE VENDAS'!$G$6:$G$500, MATCH(B702, 'SAÍDA DE VENDAS'!$B$6:$B$500, 0)+5), ""), ""))</f>
        <v/>
      </c>
      <c r="G702" s="28">
        <f>IFERROR(VLOOKUP(B702,'SAÍDA DE VENDAS'!$B$6:$P$500,10,FALSE),"")</f>
        <v>0</v>
      </c>
      <c r="H702" s="28" t="str">
        <f>IF(OR(ISBLANK(B702),B702=""), "", IF(B702=B701, (VALUE(LEFT(H701,FIND("/",H701)-1))+1)&amp;"/"&amp;RIGHT(H701,LEN(H701)-FIND("/",H701)), "1/"&amp;IFERROR(VLOOKUP(B702,'SAÍDA DE VENDAS'!$B$6:$P$500,13,FALSE),"1")))</f>
        <v/>
      </c>
      <c r="I702" s="69" t="str">
        <f t="shared" si="20"/>
        <v/>
      </c>
      <c r="J702" s="33" t="str">
        <f>IFERROR(VLOOKUP(B702,'SAÍDA DE VENDAS'!$B$6:$P$500,15,FALSE),"")</f>
        <v/>
      </c>
      <c r="K702" s="28" t="str">
        <f t="shared" ca="1" si="21"/>
        <v/>
      </c>
      <c r="L702" s="28"/>
      <c r="M702" s="28"/>
    </row>
    <row r="703" spans="2:13" ht="15" customHeight="1" x14ac:dyDescent="0.3">
      <c r="B703" s="34" t="str">
        <f>IF(B702="","", IF(VALUE(LEFT(H702,FIND("/",H702)-1)) &lt; VALUE(RIGHT(H702,LEN(H702)-FIND("/",H702))), B702, IFERROR(INDEX('SAÍDA DE VENDAS'!$B$6:$B$500, MATCH(B702,'SAÍDA DE VENDAS'!$B$6:$B$500,0)+COUNTIF('SAÍDA DE VENDAS'!$B$6:$B$500, B702)),"")))</f>
        <v/>
      </c>
      <c r="C703" s="35">
        <f>IFERROR(VLOOKUP(B703,'SAÍDA DE VENDAS'!$B$6:$P$500,3,FALSE),"")</f>
        <v>0</v>
      </c>
      <c r="D703" s="34">
        <f>IFERROR(VLOOKUP(B703,'SAÍDA DE VENDAS'!$B$6:$P$500,4,FALSE),"")</f>
        <v>0</v>
      </c>
      <c r="E703" s="34" t="str">
        <f>IFERROR(VLOOKUP(B703,'SAÍDA DE VENDAS'!$B$6:$P$500,5,FALSE),"")</f>
        <v/>
      </c>
      <c r="F703" s="34" t="str">
        <f>IF(OR(ISBLANK(B703),B703=""), "", IFERROR(INDEX('SAÍDA DE VENDAS'!$H$6:$H$500 &amp; "x " &amp; 'SAÍDA DE VENDAS'!$G$6:$G$500, MATCH(B703, 'SAÍDA DE VENDAS'!$B$6:$B$500, 0)), "")&amp; IF(COUNTIF('SAÍDA DE VENDAS'!$B$6:$B$500, B703)&gt;1, " + " &amp; IFERROR(INDEX('SAÍDA DE VENDAS'!$H$6:$H$500 &amp; "x " &amp; 'SAÍDA DE VENDAS'!$G$6:$G$500, MATCH(B703, 'SAÍDA DE VENDAS'!$B$6:$B$500, 0)+1), ""), "")&amp; IF(COUNTIF('SAÍDA DE VENDAS'!$B$6:$B$500, B703)&gt;2, " + " &amp; IFERROR(INDEX('SAÍDA DE VENDAS'!$H$6:$H$500 &amp; "x " &amp; 'SAÍDA DE VENDAS'!$G$6:$G$500, MATCH(B703, 'SAÍDA DE VENDAS'!$B$6:$B$500, 0)+2), ""), "")&amp; IF(COUNTIF('SAÍDA DE VENDAS'!$B$6:$B$500, B703)&gt;3, " + " &amp; IFERROR(INDEX('SAÍDA DE VENDAS'!$H$6:$H$500 &amp; "x " &amp; 'SAÍDA DE VENDAS'!$G$6:$G$500, MATCH(B703, 'SAÍDA DE VENDAS'!$B$6:$B$500, 0)+3), ""), "")&amp; IF(COUNTIF('SAÍDA DE VENDAS'!$B$6:$B$500, B703)&gt;4, " + " &amp; IFERROR(INDEX('SAÍDA DE VENDAS'!$H$6:$H$500 &amp; "x " &amp; 'SAÍDA DE VENDAS'!$G$6:$G$500, MATCH(B703, 'SAÍDA DE VENDAS'!$B$6:$B$500, 0)+4), ""), "")&amp; IF(COUNTIF('SAÍDA DE VENDAS'!$B$6:$B$500, B703)&gt;5, " + " &amp; IFERROR(INDEX('SAÍDA DE VENDAS'!$H$6:$H$500 &amp; "x " &amp; 'SAÍDA DE VENDAS'!$G$6:$G$500, MATCH(B703, 'SAÍDA DE VENDAS'!$B$6:$B$500, 0)+5), ""), ""))</f>
        <v/>
      </c>
      <c r="G703" s="34">
        <f>IFERROR(VLOOKUP(B703,'SAÍDA DE VENDAS'!$B$6:$P$500,10,FALSE),"")</f>
        <v>0</v>
      </c>
      <c r="H703" s="34" t="str">
        <f>IF(OR(ISBLANK(B703),B703=""), "", IF(B703=B702, (VALUE(LEFT(H702,FIND("/",H702)-1))+1)&amp;"/"&amp;RIGHT(H702,LEN(H702)-FIND("/",H702)), "1/"&amp;IFERROR(VLOOKUP(B703,'SAÍDA DE VENDAS'!$B$6:$P$500,13,FALSE),"1")))</f>
        <v/>
      </c>
      <c r="I703" s="35" t="str">
        <f t="shared" si="20"/>
        <v/>
      </c>
      <c r="J703" s="39" t="str">
        <f>IFERROR(VLOOKUP(B703,'SAÍDA DE VENDAS'!$B$6:$P$500,15,FALSE),"")</f>
        <v/>
      </c>
      <c r="K703" s="34" t="str">
        <f t="shared" ca="1" si="21"/>
        <v/>
      </c>
      <c r="L703" s="34"/>
      <c r="M703" s="34"/>
    </row>
    <row r="704" spans="2:13" ht="15" customHeight="1" x14ac:dyDescent="0.3">
      <c r="B704" s="28" t="str">
        <f>IF(B703="","", IF(VALUE(LEFT(H703,FIND("/",H703)-1)) &lt; VALUE(RIGHT(H703,LEN(H703)-FIND("/",H703))), B703, IFERROR(INDEX('SAÍDA DE VENDAS'!$B$6:$B$500, MATCH(B703,'SAÍDA DE VENDAS'!$B$6:$B$500,0)+COUNTIF('SAÍDA DE VENDAS'!$B$6:$B$500, B703)),"")))</f>
        <v/>
      </c>
      <c r="C704" s="29">
        <f>IFERROR(VLOOKUP(B704,'SAÍDA DE VENDAS'!$B$6:$P$500,3,FALSE),"")</f>
        <v>0</v>
      </c>
      <c r="D704" s="28">
        <f>IFERROR(VLOOKUP(B704,'SAÍDA DE VENDAS'!$B$6:$P$500,4,FALSE),"")</f>
        <v>0</v>
      </c>
      <c r="E704" s="28" t="str">
        <f>IFERROR(VLOOKUP(B704,'SAÍDA DE VENDAS'!$B$6:$P$500,5,FALSE),"")</f>
        <v/>
      </c>
      <c r="F704" s="28" t="str">
        <f>IF(OR(ISBLANK(B704),B704=""), "", IFERROR(INDEX('SAÍDA DE VENDAS'!$H$6:$H$500 &amp; "x " &amp; 'SAÍDA DE VENDAS'!$G$6:$G$500, MATCH(B704, 'SAÍDA DE VENDAS'!$B$6:$B$500, 0)), "")&amp; IF(COUNTIF('SAÍDA DE VENDAS'!$B$6:$B$500, B704)&gt;1, " + " &amp; IFERROR(INDEX('SAÍDA DE VENDAS'!$H$6:$H$500 &amp; "x " &amp; 'SAÍDA DE VENDAS'!$G$6:$G$500, MATCH(B704, 'SAÍDA DE VENDAS'!$B$6:$B$500, 0)+1), ""), "")&amp; IF(COUNTIF('SAÍDA DE VENDAS'!$B$6:$B$500, B704)&gt;2, " + " &amp; IFERROR(INDEX('SAÍDA DE VENDAS'!$H$6:$H$500 &amp; "x " &amp; 'SAÍDA DE VENDAS'!$G$6:$G$500, MATCH(B704, 'SAÍDA DE VENDAS'!$B$6:$B$500, 0)+2), ""), "")&amp; IF(COUNTIF('SAÍDA DE VENDAS'!$B$6:$B$500, B704)&gt;3, " + " &amp; IFERROR(INDEX('SAÍDA DE VENDAS'!$H$6:$H$500 &amp; "x " &amp; 'SAÍDA DE VENDAS'!$G$6:$G$500, MATCH(B704, 'SAÍDA DE VENDAS'!$B$6:$B$500, 0)+3), ""), "")&amp; IF(COUNTIF('SAÍDA DE VENDAS'!$B$6:$B$500, B704)&gt;4, " + " &amp; IFERROR(INDEX('SAÍDA DE VENDAS'!$H$6:$H$500 &amp; "x " &amp; 'SAÍDA DE VENDAS'!$G$6:$G$500, MATCH(B704, 'SAÍDA DE VENDAS'!$B$6:$B$500, 0)+4), ""), "")&amp; IF(COUNTIF('SAÍDA DE VENDAS'!$B$6:$B$500, B704)&gt;5, " + " &amp; IFERROR(INDEX('SAÍDA DE VENDAS'!$H$6:$H$500 &amp; "x " &amp; 'SAÍDA DE VENDAS'!$G$6:$G$500, MATCH(B704, 'SAÍDA DE VENDAS'!$B$6:$B$500, 0)+5), ""), ""))</f>
        <v/>
      </c>
      <c r="G704" s="28">
        <f>IFERROR(VLOOKUP(B704,'SAÍDA DE VENDAS'!$B$6:$P$500,10,FALSE),"")</f>
        <v>0</v>
      </c>
      <c r="H704" s="28" t="str">
        <f>IF(OR(ISBLANK(B704),B704=""), "", IF(B704=B703, (VALUE(LEFT(H703,FIND("/",H703)-1))+1)&amp;"/"&amp;RIGHT(H703,LEN(H703)-FIND("/",H703)), "1/"&amp;IFERROR(VLOOKUP(B704,'SAÍDA DE VENDAS'!$B$6:$P$500,13,FALSE),"1")))</f>
        <v/>
      </c>
      <c r="I704" s="69" t="str">
        <f t="shared" si="20"/>
        <v/>
      </c>
      <c r="J704" s="33" t="str">
        <f>IFERROR(VLOOKUP(B704,'SAÍDA DE VENDAS'!$B$6:$P$500,15,FALSE),"")</f>
        <v/>
      </c>
      <c r="K704" s="28" t="str">
        <f t="shared" ca="1" si="21"/>
        <v/>
      </c>
      <c r="L704" s="28"/>
      <c r="M704" s="28"/>
    </row>
    <row r="705" spans="2:13" ht="15" customHeight="1" x14ac:dyDescent="0.3">
      <c r="B705" s="34" t="str">
        <f>IF(B704="","", IF(VALUE(LEFT(H704,FIND("/",H704)-1)) &lt; VALUE(RIGHT(H704,LEN(H704)-FIND("/",H704))), B704, IFERROR(INDEX('SAÍDA DE VENDAS'!$B$6:$B$500, MATCH(B704,'SAÍDA DE VENDAS'!$B$6:$B$500,0)+COUNTIF('SAÍDA DE VENDAS'!$B$6:$B$500, B704)),"")))</f>
        <v/>
      </c>
      <c r="C705" s="35">
        <f>IFERROR(VLOOKUP(B705,'SAÍDA DE VENDAS'!$B$6:$P$500,3,FALSE),"")</f>
        <v>0</v>
      </c>
      <c r="D705" s="34">
        <f>IFERROR(VLOOKUP(B705,'SAÍDA DE VENDAS'!$B$6:$P$500,4,FALSE),"")</f>
        <v>0</v>
      </c>
      <c r="E705" s="34" t="str">
        <f>IFERROR(VLOOKUP(B705,'SAÍDA DE VENDAS'!$B$6:$P$500,5,FALSE),"")</f>
        <v/>
      </c>
      <c r="F705" s="34" t="str">
        <f>IF(OR(ISBLANK(B705),B705=""), "", IFERROR(INDEX('SAÍDA DE VENDAS'!$H$6:$H$500 &amp; "x " &amp; 'SAÍDA DE VENDAS'!$G$6:$G$500, MATCH(B705, 'SAÍDA DE VENDAS'!$B$6:$B$500, 0)), "")&amp; IF(COUNTIF('SAÍDA DE VENDAS'!$B$6:$B$500, B705)&gt;1, " + " &amp; IFERROR(INDEX('SAÍDA DE VENDAS'!$H$6:$H$500 &amp; "x " &amp; 'SAÍDA DE VENDAS'!$G$6:$G$500, MATCH(B705, 'SAÍDA DE VENDAS'!$B$6:$B$500, 0)+1), ""), "")&amp; IF(COUNTIF('SAÍDA DE VENDAS'!$B$6:$B$500, B705)&gt;2, " + " &amp; IFERROR(INDEX('SAÍDA DE VENDAS'!$H$6:$H$500 &amp; "x " &amp; 'SAÍDA DE VENDAS'!$G$6:$G$500, MATCH(B705, 'SAÍDA DE VENDAS'!$B$6:$B$500, 0)+2), ""), "")&amp; IF(COUNTIF('SAÍDA DE VENDAS'!$B$6:$B$500, B705)&gt;3, " + " &amp; IFERROR(INDEX('SAÍDA DE VENDAS'!$H$6:$H$500 &amp; "x " &amp; 'SAÍDA DE VENDAS'!$G$6:$G$500, MATCH(B705, 'SAÍDA DE VENDAS'!$B$6:$B$500, 0)+3), ""), "")&amp; IF(COUNTIF('SAÍDA DE VENDAS'!$B$6:$B$500, B705)&gt;4, " + " &amp; IFERROR(INDEX('SAÍDA DE VENDAS'!$H$6:$H$500 &amp; "x " &amp; 'SAÍDA DE VENDAS'!$G$6:$G$500, MATCH(B705, 'SAÍDA DE VENDAS'!$B$6:$B$500, 0)+4), ""), "")&amp; IF(COUNTIF('SAÍDA DE VENDAS'!$B$6:$B$500, B705)&gt;5, " + " &amp; IFERROR(INDEX('SAÍDA DE VENDAS'!$H$6:$H$500 &amp; "x " &amp; 'SAÍDA DE VENDAS'!$G$6:$G$500, MATCH(B705, 'SAÍDA DE VENDAS'!$B$6:$B$500, 0)+5), ""), ""))</f>
        <v/>
      </c>
      <c r="G705" s="34">
        <f>IFERROR(VLOOKUP(B705,'SAÍDA DE VENDAS'!$B$6:$P$500,10,FALSE),"")</f>
        <v>0</v>
      </c>
      <c r="H705" s="34" t="str">
        <f>IF(OR(ISBLANK(B705),B705=""), "", IF(B705=B704, (VALUE(LEFT(H704,FIND("/",H704)-1))+1)&amp;"/"&amp;RIGHT(H704,LEN(H704)-FIND("/",H704)), "1/"&amp;IFERROR(VLOOKUP(B705,'SAÍDA DE VENDAS'!$B$6:$P$500,13,FALSE),"1")))</f>
        <v/>
      </c>
      <c r="I705" s="35" t="str">
        <f t="shared" si="20"/>
        <v/>
      </c>
      <c r="J705" s="39" t="str">
        <f>IFERROR(VLOOKUP(B705,'SAÍDA DE VENDAS'!$B$6:$P$500,15,FALSE),"")</f>
        <v/>
      </c>
      <c r="K705" s="34" t="str">
        <f t="shared" ca="1" si="21"/>
        <v/>
      </c>
      <c r="L705" s="34"/>
      <c r="M705" s="34"/>
    </row>
    <row r="706" spans="2:13" ht="15" customHeight="1" x14ac:dyDescent="0.3">
      <c r="B706" s="28" t="str">
        <f>IF(B705="","", IF(VALUE(LEFT(H705,FIND("/",H705)-1)) &lt; VALUE(RIGHT(H705,LEN(H705)-FIND("/",H705))), B705, IFERROR(INDEX('SAÍDA DE VENDAS'!$B$6:$B$500, MATCH(B705,'SAÍDA DE VENDAS'!$B$6:$B$500,0)+COUNTIF('SAÍDA DE VENDAS'!$B$6:$B$500, B705)),"")))</f>
        <v/>
      </c>
      <c r="C706" s="29">
        <f>IFERROR(VLOOKUP(B706,'SAÍDA DE VENDAS'!$B$6:$P$500,3,FALSE),"")</f>
        <v>0</v>
      </c>
      <c r="D706" s="28">
        <f>IFERROR(VLOOKUP(B706,'SAÍDA DE VENDAS'!$B$6:$P$500,4,FALSE),"")</f>
        <v>0</v>
      </c>
      <c r="E706" s="28" t="str">
        <f>IFERROR(VLOOKUP(B706,'SAÍDA DE VENDAS'!$B$6:$P$500,5,FALSE),"")</f>
        <v/>
      </c>
      <c r="F706" s="28" t="str">
        <f>IF(OR(ISBLANK(B706),B706=""), "", IFERROR(INDEX('SAÍDA DE VENDAS'!$H$6:$H$500 &amp; "x " &amp; 'SAÍDA DE VENDAS'!$G$6:$G$500, MATCH(B706, 'SAÍDA DE VENDAS'!$B$6:$B$500, 0)), "")&amp; IF(COUNTIF('SAÍDA DE VENDAS'!$B$6:$B$500, B706)&gt;1, " + " &amp; IFERROR(INDEX('SAÍDA DE VENDAS'!$H$6:$H$500 &amp; "x " &amp; 'SAÍDA DE VENDAS'!$G$6:$G$500, MATCH(B706, 'SAÍDA DE VENDAS'!$B$6:$B$500, 0)+1), ""), "")&amp; IF(COUNTIF('SAÍDA DE VENDAS'!$B$6:$B$500, B706)&gt;2, " + " &amp; IFERROR(INDEX('SAÍDA DE VENDAS'!$H$6:$H$500 &amp; "x " &amp; 'SAÍDA DE VENDAS'!$G$6:$G$500, MATCH(B706, 'SAÍDA DE VENDAS'!$B$6:$B$500, 0)+2), ""), "")&amp; IF(COUNTIF('SAÍDA DE VENDAS'!$B$6:$B$500, B706)&gt;3, " + " &amp; IFERROR(INDEX('SAÍDA DE VENDAS'!$H$6:$H$500 &amp; "x " &amp; 'SAÍDA DE VENDAS'!$G$6:$G$500, MATCH(B706, 'SAÍDA DE VENDAS'!$B$6:$B$500, 0)+3), ""), "")&amp; IF(COUNTIF('SAÍDA DE VENDAS'!$B$6:$B$500, B706)&gt;4, " + " &amp; IFERROR(INDEX('SAÍDA DE VENDAS'!$H$6:$H$500 &amp; "x " &amp; 'SAÍDA DE VENDAS'!$G$6:$G$500, MATCH(B706, 'SAÍDA DE VENDAS'!$B$6:$B$500, 0)+4), ""), "")&amp; IF(COUNTIF('SAÍDA DE VENDAS'!$B$6:$B$500, B706)&gt;5, " + " &amp; IFERROR(INDEX('SAÍDA DE VENDAS'!$H$6:$H$500 &amp; "x " &amp; 'SAÍDA DE VENDAS'!$G$6:$G$500, MATCH(B706, 'SAÍDA DE VENDAS'!$B$6:$B$500, 0)+5), ""), ""))</f>
        <v/>
      </c>
      <c r="G706" s="28">
        <f>IFERROR(VLOOKUP(B706,'SAÍDA DE VENDAS'!$B$6:$P$500,10,FALSE),"")</f>
        <v>0</v>
      </c>
      <c r="H706" s="28" t="str">
        <f>IF(OR(ISBLANK(B706),B706=""), "", IF(B706=B705, (VALUE(LEFT(H705,FIND("/",H705)-1))+1)&amp;"/"&amp;RIGHT(H705,LEN(H705)-FIND("/",H705)), "1/"&amp;IFERROR(VLOOKUP(B706,'SAÍDA DE VENDAS'!$B$6:$P$500,13,FALSE),"1")))</f>
        <v/>
      </c>
      <c r="I706" s="69" t="str">
        <f t="shared" si="20"/>
        <v/>
      </c>
      <c r="J706" s="33" t="str">
        <f>IFERROR(VLOOKUP(B706,'SAÍDA DE VENDAS'!$B$6:$P$500,15,FALSE),"")</f>
        <v/>
      </c>
      <c r="K706" s="28" t="str">
        <f t="shared" ca="1" si="21"/>
        <v/>
      </c>
      <c r="L706" s="28"/>
      <c r="M706" s="28"/>
    </row>
    <row r="707" spans="2:13" ht="15" customHeight="1" x14ac:dyDescent="0.3">
      <c r="B707" s="34" t="str">
        <f>IF(B706="","", IF(VALUE(LEFT(H706,FIND("/",H706)-1)) &lt; VALUE(RIGHT(H706,LEN(H706)-FIND("/",H706))), B706, IFERROR(INDEX('SAÍDA DE VENDAS'!$B$6:$B$500, MATCH(B706,'SAÍDA DE VENDAS'!$B$6:$B$500,0)+COUNTIF('SAÍDA DE VENDAS'!$B$6:$B$500, B706)),"")))</f>
        <v/>
      </c>
      <c r="C707" s="35">
        <f>IFERROR(VLOOKUP(B707,'SAÍDA DE VENDAS'!$B$6:$P$500,3,FALSE),"")</f>
        <v>0</v>
      </c>
      <c r="D707" s="34">
        <f>IFERROR(VLOOKUP(B707,'SAÍDA DE VENDAS'!$B$6:$P$500,4,FALSE),"")</f>
        <v>0</v>
      </c>
      <c r="E707" s="34" t="str">
        <f>IFERROR(VLOOKUP(B707,'SAÍDA DE VENDAS'!$B$6:$P$500,5,FALSE),"")</f>
        <v/>
      </c>
      <c r="F707" s="34" t="str">
        <f>IF(OR(ISBLANK(B707),B707=""), "", IFERROR(INDEX('SAÍDA DE VENDAS'!$H$6:$H$500 &amp; "x " &amp; 'SAÍDA DE VENDAS'!$G$6:$G$500, MATCH(B707, 'SAÍDA DE VENDAS'!$B$6:$B$500, 0)), "")&amp; IF(COUNTIF('SAÍDA DE VENDAS'!$B$6:$B$500, B707)&gt;1, " + " &amp; IFERROR(INDEX('SAÍDA DE VENDAS'!$H$6:$H$500 &amp; "x " &amp; 'SAÍDA DE VENDAS'!$G$6:$G$500, MATCH(B707, 'SAÍDA DE VENDAS'!$B$6:$B$500, 0)+1), ""), "")&amp; IF(COUNTIF('SAÍDA DE VENDAS'!$B$6:$B$500, B707)&gt;2, " + " &amp; IFERROR(INDEX('SAÍDA DE VENDAS'!$H$6:$H$500 &amp; "x " &amp; 'SAÍDA DE VENDAS'!$G$6:$G$500, MATCH(B707, 'SAÍDA DE VENDAS'!$B$6:$B$500, 0)+2), ""), "")&amp; IF(COUNTIF('SAÍDA DE VENDAS'!$B$6:$B$500, B707)&gt;3, " + " &amp; IFERROR(INDEX('SAÍDA DE VENDAS'!$H$6:$H$500 &amp; "x " &amp; 'SAÍDA DE VENDAS'!$G$6:$G$500, MATCH(B707, 'SAÍDA DE VENDAS'!$B$6:$B$500, 0)+3), ""), "")&amp; IF(COUNTIF('SAÍDA DE VENDAS'!$B$6:$B$500, B707)&gt;4, " + " &amp; IFERROR(INDEX('SAÍDA DE VENDAS'!$H$6:$H$500 &amp; "x " &amp; 'SAÍDA DE VENDAS'!$G$6:$G$500, MATCH(B707, 'SAÍDA DE VENDAS'!$B$6:$B$500, 0)+4), ""), "")&amp; IF(COUNTIF('SAÍDA DE VENDAS'!$B$6:$B$500, B707)&gt;5, " + " &amp; IFERROR(INDEX('SAÍDA DE VENDAS'!$H$6:$H$500 &amp; "x " &amp; 'SAÍDA DE VENDAS'!$G$6:$G$500, MATCH(B707, 'SAÍDA DE VENDAS'!$B$6:$B$500, 0)+5), ""), ""))</f>
        <v/>
      </c>
      <c r="G707" s="34">
        <f>IFERROR(VLOOKUP(B707,'SAÍDA DE VENDAS'!$B$6:$P$500,10,FALSE),"")</f>
        <v>0</v>
      </c>
      <c r="H707" s="34" t="str">
        <f>IF(OR(ISBLANK(B707),B707=""), "", IF(B707=B706, (VALUE(LEFT(H706,FIND("/",H706)-1))+1)&amp;"/"&amp;RIGHT(H706,LEN(H706)-FIND("/",H706)), "1/"&amp;IFERROR(VLOOKUP(B707,'SAÍDA DE VENDAS'!$B$6:$P$500,13,FALSE),"1")))</f>
        <v/>
      </c>
      <c r="I707" s="35" t="str">
        <f t="shared" si="20"/>
        <v/>
      </c>
      <c r="J707" s="39" t="str">
        <f>IFERROR(VLOOKUP(B707,'SAÍDA DE VENDAS'!$B$6:$P$500,15,FALSE),"")</f>
        <v/>
      </c>
      <c r="K707" s="34" t="str">
        <f t="shared" ca="1" si="21"/>
        <v/>
      </c>
      <c r="L707" s="34"/>
      <c r="M707" s="34"/>
    </row>
    <row r="708" spans="2:13" ht="15" customHeight="1" x14ac:dyDescent="0.3">
      <c r="B708" s="28" t="str">
        <f>IF(B707="","", IF(VALUE(LEFT(H707,FIND("/",H707)-1)) &lt; VALUE(RIGHT(H707,LEN(H707)-FIND("/",H707))), B707, IFERROR(INDEX('SAÍDA DE VENDAS'!$B$6:$B$500, MATCH(B707,'SAÍDA DE VENDAS'!$B$6:$B$500,0)+COUNTIF('SAÍDA DE VENDAS'!$B$6:$B$500, B707)),"")))</f>
        <v/>
      </c>
      <c r="C708" s="29">
        <f>IFERROR(VLOOKUP(B708,'SAÍDA DE VENDAS'!$B$6:$P$500,3,FALSE),"")</f>
        <v>0</v>
      </c>
      <c r="D708" s="28">
        <f>IFERROR(VLOOKUP(B708,'SAÍDA DE VENDAS'!$B$6:$P$500,4,FALSE),"")</f>
        <v>0</v>
      </c>
      <c r="E708" s="28" t="str">
        <f>IFERROR(VLOOKUP(B708,'SAÍDA DE VENDAS'!$B$6:$P$500,5,FALSE),"")</f>
        <v/>
      </c>
      <c r="F708" s="28" t="str">
        <f>IF(OR(ISBLANK(B708),B708=""), "", IFERROR(INDEX('SAÍDA DE VENDAS'!$H$6:$H$500 &amp; "x " &amp; 'SAÍDA DE VENDAS'!$G$6:$G$500, MATCH(B708, 'SAÍDA DE VENDAS'!$B$6:$B$500, 0)), "")&amp; IF(COUNTIF('SAÍDA DE VENDAS'!$B$6:$B$500, B708)&gt;1, " + " &amp; IFERROR(INDEX('SAÍDA DE VENDAS'!$H$6:$H$500 &amp; "x " &amp; 'SAÍDA DE VENDAS'!$G$6:$G$500, MATCH(B708, 'SAÍDA DE VENDAS'!$B$6:$B$500, 0)+1), ""), "")&amp; IF(COUNTIF('SAÍDA DE VENDAS'!$B$6:$B$500, B708)&gt;2, " + " &amp; IFERROR(INDEX('SAÍDA DE VENDAS'!$H$6:$H$500 &amp; "x " &amp; 'SAÍDA DE VENDAS'!$G$6:$G$500, MATCH(B708, 'SAÍDA DE VENDAS'!$B$6:$B$500, 0)+2), ""), "")&amp; IF(COUNTIF('SAÍDA DE VENDAS'!$B$6:$B$500, B708)&gt;3, " + " &amp; IFERROR(INDEX('SAÍDA DE VENDAS'!$H$6:$H$500 &amp; "x " &amp; 'SAÍDA DE VENDAS'!$G$6:$G$500, MATCH(B708, 'SAÍDA DE VENDAS'!$B$6:$B$500, 0)+3), ""), "")&amp; IF(COUNTIF('SAÍDA DE VENDAS'!$B$6:$B$500, B708)&gt;4, " + " &amp; IFERROR(INDEX('SAÍDA DE VENDAS'!$H$6:$H$500 &amp; "x " &amp; 'SAÍDA DE VENDAS'!$G$6:$G$500, MATCH(B708, 'SAÍDA DE VENDAS'!$B$6:$B$500, 0)+4), ""), "")&amp; IF(COUNTIF('SAÍDA DE VENDAS'!$B$6:$B$500, B708)&gt;5, " + " &amp; IFERROR(INDEX('SAÍDA DE VENDAS'!$H$6:$H$500 &amp; "x " &amp; 'SAÍDA DE VENDAS'!$G$6:$G$500, MATCH(B708, 'SAÍDA DE VENDAS'!$B$6:$B$500, 0)+5), ""), ""))</f>
        <v/>
      </c>
      <c r="G708" s="28">
        <f>IFERROR(VLOOKUP(B708,'SAÍDA DE VENDAS'!$B$6:$P$500,10,FALSE),"")</f>
        <v>0</v>
      </c>
      <c r="H708" s="28" t="str">
        <f>IF(OR(ISBLANK(B708),B708=""), "", IF(B708=B707, (VALUE(LEFT(H707,FIND("/",H707)-1))+1)&amp;"/"&amp;RIGHT(H707,LEN(H707)-FIND("/",H707)), "1/"&amp;IFERROR(VLOOKUP(B708,'SAÍDA DE VENDAS'!$B$6:$P$500,13,FALSE),"1")))</f>
        <v/>
      </c>
      <c r="I708" s="69" t="str">
        <f t="shared" si="20"/>
        <v/>
      </c>
      <c r="J708" s="33" t="str">
        <f>IFERROR(VLOOKUP(B708,'SAÍDA DE VENDAS'!$B$6:$P$500,15,FALSE),"")</f>
        <v/>
      </c>
      <c r="K708" s="28" t="str">
        <f t="shared" ca="1" si="21"/>
        <v/>
      </c>
      <c r="L708" s="28"/>
      <c r="M708" s="28"/>
    </row>
    <row r="709" spans="2:13" ht="15" customHeight="1" x14ac:dyDescent="0.3">
      <c r="B709" s="34" t="str">
        <f>IF(B708="","", IF(VALUE(LEFT(H708,FIND("/",H708)-1)) &lt; VALUE(RIGHT(H708,LEN(H708)-FIND("/",H708))), B708, IFERROR(INDEX('SAÍDA DE VENDAS'!$B$6:$B$500, MATCH(B708,'SAÍDA DE VENDAS'!$B$6:$B$500,0)+COUNTIF('SAÍDA DE VENDAS'!$B$6:$B$500, B708)),"")))</f>
        <v/>
      </c>
      <c r="C709" s="35">
        <f>IFERROR(VLOOKUP(B709,'SAÍDA DE VENDAS'!$B$6:$P$500,3,FALSE),"")</f>
        <v>0</v>
      </c>
      <c r="D709" s="34">
        <f>IFERROR(VLOOKUP(B709,'SAÍDA DE VENDAS'!$B$6:$P$500,4,FALSE),"")</f>
        <v>0</v>
      </c>
      <c r="E709" s="34" t="str">
        <f>IFERROR(VLOOKUP(B709,'SAÍDA DE VENDAS'!$B$6:$P$500,5,FALSE),"")</f>
        <v/>
      </c>
      <c r="F709" s="34" t="str">
        <f>IF(OR(ISBLANK(B709),B709=""), "", IFERROR(INDEX('SAÍDA DE VENDAS'!$H$6:$H$500 &amp; "x " &amp; 'SAÍDA DE VENDAS'!$G$6:$G$500, MATCH(B709, 'SAÍDA DE VENDAS'!$B$6:$B$500, 0)), "")&amp; IF(COUNTIF('SAÍDA DE VENDAS'!$B$6:$B$500, B709)&gt;1, " + " &amp; IFERROR(INDEX('SAÍDA DE VENDAS'!$H$6:$H$500 &amp; "x " &amp; 'SAÍDA DE VENDAS'!$G$6:$G$500, MATCH(B709, 'SAÍDA DE VENDAS'!$B$6:$B$500, 0)+1), ""), "")&amp; IF(COUNTIF('SAÍDA DE VENDAS'!$B$6:$B$500, B709)&gt;2, " + " &amp; IFERROR(INDEX('SAÍDA DE VENDAS'!$H$6:$H$500 &amp; "x " &amp; 'SAÍDA DE VENDAS'!$G$6:$G$500, MATCH(B709, 'SAÍDA DE VENDAS'!$B$6:$B$500, 0)+2), ""), "")&amp; IF(COUNTIF('SAÍDA DE VENDAS'!$B$6:$B$500, B709)&gt;3, " + " &amp; IFERROR(INDEX('SAÍDA DE VENDAS'!$H$6:$H$500 &amp; "x " &amp; 'SAÍDA DE VENDAS'!$G$6:$G$500, MATCH(B709, 'SAÍDA DE VENDAS'!$B$6:$B$500, 0)+3), ""), "")&amp; IF(COUNTIF('SAÍDA DE VENDAS'!$B$6:$B$500, B709)&gt;4, " + " &amp; IFERROR(INDEX('SAÍDA DE VENDAS'!$H$6:$H$500 &amp; "x " &amp; 'SAÍDA DE VENDAS'!$G$6:$G$500, MATCH(B709, 'SAÍDA DE VENDAS'!$B$6:$B$500, 0)+4), ""), "")&amp; IF(COUNTIF('SAÍDA DE VENDAS'!$B$6:$B$500, B709)&gt;5, " + " &amp; IFERROR(INDEX('SAÍDA DE VENDAS'!$H$6:$H$500 &amp; "x " &amp; 'SAÍDA DE VENDAS'!$G$6:$G$500, MATCH(B709, 'SAÍDA DE VENDAS'!$B$6:$B$500, 0)+5), ""), ""))</f>
        <v/>
      </c>
      <c r="G709" s="34">
        <f>IFERROR(VLOOKUP(B709,'SAÍDA DE VENDAS'!$B$6:$P$500,10,FALSE),"")</f>
        <v>0</v>
      </c>
      <c r="H709" s="34" t="str">
        <f>IF(OR(ISBLANK(B709),B709=""), "", IF(B709=B708, (VALUE(LEFT(H708,FIND("/",H708)-1))+1)&amp;"/"&amp;RIGHT(H708,LEN(H708)-FIND("/",H708)), "1/"&amp;IFERROR(VLOOKUP(B709,'SAÍDA DE VENDAS'!$B$6:$P$500,13,FALSE),"1")))</f>
        <v/>
      </c>
      <c r="I709" s="35" t="str">
        <f t="shared" si="20"/>
        <v/>
      </c>
      <c r="J709" s="39" t="str">
        <f>IFERROR(VLOOKUP(B709,'SAÍDA DE VENDAS'!$B$6:$P$500,15,FALSE),"")</f>
        <v/>
      </c>
      <c r="K709" s="34" t="str">
        <f t="shared" ca="1" si="21"/>
        <v/>
      </c>
      <c r="L709" s="34"/>
      <c r="M709" s="34"/>
    </row>
    <row r="710" spans="2:13" ht="15" customHeight="1" x14ac:dyDescent="0.3">
      <c r="B710" s="28" t="str">
        <f>IF(B709="","", IF(VALUE(LEFT(H709,FIND("/",H709)-1)) &lt; VALUE(RIGHT(H709,LEN(H709)-FIND("/",H709))), B709, IFERROR(INDEX('SAÍDA DE VENDAS'!$B$6:$B$500, MATCH(B709,'SAÍDA DE VENDAS'!$B$6:$B$500,0)+COUNTIF('SAÍDA DE VENDAS'!$B$6:$B$500, B709)),"")))</f>
        <v/>
      </c>
      <c r="C710" s="29">
        <f>IFERROR(VLOOKUP(B710,'SAÍDA DE VENDAS'!$B$6:$P$500,3,FALSE),"")</f>
        <v>0</v>
      </c>
      <c r="D710" s="28">
        <f>IFERROR(VLOOKUP(B710,'SAÍDA DE VENDAS'!$B$6:$P$500,4,FALSE),"")</f>
        <v>0</v>
      </c>
      <c r="E710" s="28" t="str">
        <f>IFERROR(VLOOKUP(B710,'SAÍDA DE VENDAS'!$B$6:$P$500,5,FALSE),"")</f>
        <v/>
      </c>
      <c r="F710" s="28" t="str">
        <f>IF(OR(ISBLANK(B710),B710=""), "", IFERROR(INDEX('SAÍDA DE VENDAS'!$H$6:$H$500 &amp; "x " &amp; 'SAÍDA DE VENDAS'!$G$6:$G$500, MATCH(B710, 'SAÍDA DE VENDAS'!$B$6:$B$500, 0)), "")&amp; IF(COUNTIF('SAÍDA DE VENDAS'!$B$6:$B$500, B710)&gt;1, " + " &amp; IFERROR(INDEX('SAÍDA DE VENDAS'!$H$6:$H$500 &amp; "x " &amp; 'SAÍDA DE VENDAS'!$G$6:$G$500, MATCH(B710, 'SAÍDA DE VENDAS'!$B$6:$B$500, 0)+1), ""), "")&amp; IF(COUNTIF('SAÍDA DE VENDAS'!$B$6:$B$500, B710)&gt;2, " + " &amp; IFERROR(INDEX('SAÍDA DE VENDAS'!$H$6:$H$500 &amp; "x " &amp; 'SAÍDA DE VENDAS'!$G$6:$G$500, MATCH(B710, 'SAÍDA DE VENDAS'!$B$6:$B$500, 0)+2), ""), "")&amp; IF(COUNTIF('SAÍDA DE VENDAS'!$B$6:$B$500, B710)&gt;3, " + " &amp; IFERROR(INDEX('SAÍDA DE VENDAS'!$H$6:$H$500 &amp; "x " &amp; 'SAÍDA DE VENDAS'!$G$6:$G$500, MATCH(B710, 'SAÍDA DE VENDAS'!$B$6:$B$500, 0)+3), ""), "")&amp; IF(COUNTIF('SAÍDA DE VENDAS'!$B$6:$B$500, B710)&gt;4, " + " &amp; IFERROR(INDEX('SAÍDA DE VENDAS'!$H$6:$H$500 &amp; "x " &amp; 'SAÍDA DE VENDAS'!$G$6:$G$500, MATCH(B710, 'SAÍDA DE VENDAS'!$B$6:$B$500, 0)+4), ""), "")&amp; IF(COUNTIF('SAÍDA DE VENDAS'!$B$6:$B$500, B710)&gt;5, " + " &amp; IFERROR(INDEX('SAÍDA DE VENDAS'!$H$6:$H$500 &amp; "x " &amp; 'SAÍDA DE VENDAS'!$G$6:$G$500, MATCH(B710, 'SAÍDA DE VENDAS'!$B$6:$B$500, 0)+5), ""), ""))</f>
        <v/>
      </c>
      <c r="G710" s="28">
        <f>IFERROR(VLOOKUP(B710,'SAÍDA DE VENDAS'!$B$6:$P$500,10,FALSE),"")</f>
        <v>0</v>
      </c>
      <c r="H710" s="28" t="str">
        <f>IF(OR(ISBLANK(B710),B710=""), "", IF(B710=B709, (VALUE(LEFT(H709,FIND("/",H709)-1))+1)&amp;"/"&amp;RIGHT(H709,LEN(H709)-FIND("/",H709)), "1/"&amp;IFERROR(VLOOKUP(B710,'SAÍDA DE VENDAS'!$B$6:$P$500,13,FALSE),"1")))</f>
        <v/>
      </c>
      <c r="I710" s="69" t="str">
        <f t="shared" ref="I710:I773" si="22">IF(OR(ISBLANK(B710), B710="", C710=""), "", C710 + (IFERROR(VALUE(LEFT(H710, FIND("/", H710)-1)), 1) * 30))</f>
        <v/>
      </c>
      <c r="J710" s="33" t="str">
        <f>IFERROR(VLOOKUP(B710,'SAÍDA DE VENDAS'!$B$6:$P$500,15,FALSE),"")</f>
        <v/>
      </c>
      <c r="K710" s="28" t="str">
        <f t="shared" ref="K710:K773" ca="1" si="23">IF(B710="","", IF(OR(G710="À Vista", L710&lt;&gt;""), "Pago", IF(AND(I710&lt;&gt;"", I710&lt;TODAY()), "Atrasado", "Pendente")))</f>
        <v/>
      </c>
      <c r="L710" s="28"/>
      <c r="M710" s="28"/>
    </row>
    <row r="711" spans="2:13" ht="15" customHeight="1" x14ac:dyDescent="0.3">
      <c r="B711" s="34" t="str">
        <f>IF(B710="","", IF(VALUE(LEFT(H710,FIND("/",H710)-1)) &lt; VALUE(RIGHT(H710,LEN(H710)-FIND("/",H710))), B710, IFERROR(INDEX('SAÍDA DE VENDAS'!$B$6:$B$500, MATCH(B710,'SAÍDA DE VENDAS'!$B$6:$B$500,0)+COUNTIF('SAÍDA DE VENDAS'!$B$6:$B$500, B710)),"")))</f>
        <v/>
      </c>
      <c r="C711" s="35">
        <f>IFERROR(VLOOKUP(B711,'SAÍDA DE VENDAS'!$B$6:$P$500,3,FALSE),"")</f>
        <v>0</v>
      </c>
      <c r="D711" s="34">
        <f>IFERROR(VLOOKUP(B711,'SAÍDA DE VENDAS'!$B$6:$P$500,4,FALSE),"")</f>
        <v>0</v>
      </c>
      <c r="E711" s="34" t="str">
        <f>IFERROR(VLOOKUP(B711,'SAÍDA DE VENDAS'!$B$6:$P$500,5,FALSE),"")</f>
        <v/>
      </c>
      <c r="F711" s="34" t="str">
        <f>IF(OR(ISBLANK(B711),B711=""), "", IFERROR(INDEX('SAÍDA DE VENDAS'!$H$6:$H$500 &amp; "x " &amp; 'SAÍDA DE VENDAS'!$G$6:$G$500, MATCH(B711, 'SAÍDA DE VENDAS'!$B$6:$B$500, 0)), "")&amp; IF(COUNTIF('SAÍDA DE VENDAS'!$B$6:$B$500, B711)&gt;1, " + " &amp; IFERROR(INDEX('SAÍDA DE VENDAS'!$H$6:$H$500 &amp; "x " &amp; 'SAÍDA DE VENDAS'!$G$6:$G$500, MATCH(B711, 'SAÍDA DE VENDAS'!$B$6:$B$500, 0)+1), ""), "")&amp; IF(COUNTIF('SAÍDA DE VENDAS'!$B$6:$B$500, B711)&gt;2, " + " &amp; IFERROR(INDEX('SAÍDA DE VENDAS'!$H$6:$H$500 &amp; "x " &amp; 'SAÍDA DE VENDAS'!$G$6:$G$500, MATCH(B711, 'SAÍDA DE VENDAS'!$B$6:$B$500, 0)+2), ""), "")&amp; IF(COUNTIF('SAÍDA DE VENDAS'!$B$6:$B$500, B711)&gt;3, " + " &amp; IFERROR(INDEX('SAÍDA DE VENDAS'!$H$6:$H$500 &amp; "x " &amp; 'SAÍDA DE VENDAS'!$G$6:$G$500, MATCH(B711, 'SAÍDA DE VENDAS'!$B$6:$B$500, 0)+3), ""), "")&amp; IF(COUNTIF('SAÍDA DE VENDAS'!$B$6:$B$500, B711)&gt;4, " + " &amp; IFERROR(INDEX('SAÍDA DE VENDAS'!$H$6:$H$500 &amp; "x " &amp; 'SAÍDA DE VENDAS'!$G$6:$G$500, MATCH(B711, 'SAÍDA DE VENDAS'!$B$6:$B$500, 0)+4), ""), "")&amp; IF(COUNTIF('SAÍDA DE VENDAS'!$B$6:$B$500, B711)&gt;5, " + " &amp; IFERROR(INDEX('SAÍDA DE VENDAS'!$H$6:$H$500 &amp; "x " &amp; 'SAÍDA DE VENDAS'!$G$6:$G$500, MATCH(B711, 'SAÍDA DE VENDAS'!$B$6:$B$500, 0)+5), ""), ""))</f>
        <v/>
      </c>
      <c r="G711" s="34">
        <f>IFERROR(VLOOKUP(B711,'SAÍDA DE VENDAS'!$B$6:$P$500,10,FALSE),"")</f>
        <v>0</v>
      </c>
      <c r="H711" s="34" t="str">
        <f>IF(OR(ISBLANK(B711),B711=""), "", IF(B711=B710, (VALUE(LEFT(H710,FIND("/",H710)-1))+1)&amp;"/"&amp;RIGHT(H710,LEN(H710)-FIND("/",H710)), "1/"&amp;IFERROR(VLOOKUP(B711,'SAÍDA DE VENDAS'!$B$6:$P$500,13,FALSE),"1")))</f>
        <v/>
      </c>
      <c r="I711" s="35" t="str">
        <f t="shared" si="22"/>
        <v/>
      </c>
      <c r="J711" s="39" t="str">
        <f>IFERROR(VLOOKUP(B711,'SAÍDA DE VENDAS'!$B$6:$P$500,15,FALSE),"")</f>
        <v/>
      </c>
      <c r="K711" s="34" t="str">
        <f t="shared" ca="1" si="23"/>
        <v/>
      </c>
      <c r="L711" s="34"/>
      <c r="M711" s="34"/>
    </row>
    <row r="712" spans="2:13" ht="15" customHeight="1" x14ac:dyDescent="0.3">
      <c r="B712" s="28" t="str">
        <f>IF(B711="","", IF(VALUE(LEFT(H711,FIND("/",H711)-1)) &lt; VALUE(RIGHT(H711,LEN(H711)-FIND("/",H711))), B711, IFERROR(INDEX('SAÍDA DE VENDAS'!$B$6:$B$500, MATCH(B711,'SAÍDA DE VENDAS'!$B$6:$B$500,0)+COUNTIF('SAÍDA DE VENDAS'!$B$6:$B$500, B711)),"")))</f>
        <v/>
      </c>
      <c r="C712" s="29">
        <f>IFERROR(VLOOKUP(B712,'SAÍDA DE VENDAS'!$B$6:$P$500,3,FALSE),"")</f>
        <v>0</v>
      </c>
      <c r="D712" s="28">
        <f>IFERROR(VLOOKUP(B712,'SAÍDA DE VENDAS'!$B$6:$P$500,4,FALSE),"")</f>
        <v>0</v>
      </c>
      <c r="E712" s="28" t="str">
        <f>IFERROR(VLOOKUP(B712,'SAÍDA DE VENDAS'!$B$6:$P$500,5,FALSE),"")</f>
        <v/>
      </c>
      <c r="F712" s="28" t="str">
        <f>IF(OR(ISBLANK(B712),B712=""), "", IFERROR(INDEX('SAÍDA DE VENDAS'!$H$6:$H$500 &amp; "x " &amp; 'SAÍDA DE VENDAS'!$G$6:$G$500, MATCH(B712, 'SAÍDA DE VENDAS'!$B$6:$B$500, 0)), "")&amp; IF(COUNTIF('SAÍDA DE VENDAS'!$B$6:$B$500, B712)&gt;1, " + " &amp; IFERROR(INDEX('SAÍDA DE VENDAS'!$H$6:$H$500 &amp; "x " &amp; 'SAÍDA DE VENDAS'!$G$6:$G$500, MATCH(B712, 'SAÍDA DE VENDAS'!$B$6:$B$500, 0)+1), ""), "")&amp; IF(COUNTIF('SAÍDA DE VENDAS'!$B$6:$B$500, B712)&gt;2, " + " &amp; IFERROR(INDEX('SAÍDA DE VENDAS'!$H$6:$H$500 &amp; "x " &amp; 'SAÍDA DE VENDAS'!$G$6:$G$500, MATCH(B712, 'SAÍDA DE VENDAS'!$B$6:$B$500, 0)+2), ""), "")&amp; IF(COUNTIF('SAÍDA DE VENDAS'!$B$6:$B$500, B712)&gt;3, " + " &amp; IFERROR(INDEX('SAÍDA DE VENDAS'!$H$6:$H$500 &amp; "x " &amp; 'SAÍDA DE VENDAS'!$G$6:$G$500, MATCH(B712, 'SAÍDA DE VENDAS'!$B$6:$B$500, 0)+3), ""), "")&amp; IF(COUNTIF('SAÍDA DE VENDAS'!$B$6:$B$500, B712)&gt;4, " + " &amp; IFERROR(INDEX('SAÍDA DE VENDAS'!$H$6:$H$500 &amp; "x " &amp; 'SAÍDA DE VENDAS'!$G$6:$G$500, MATCH(B712, 'SAÍDA DE VENDAS'!$B$6:$B$500, 0)+4), ""), "")&amp; IF(COUNTIF('SAÍDA DE VENDAS'!$B$6:$B$500, B712)&gt;5, " + " &amp; IFERROR(INDEX('SAÍDA DE VENDAS'!$H$6:$H$500 &amp; "x " &amp; 'SAÍDA DE VENDAS'!$G$6:$G$500, MATCH(B712, 'SAÍDA DE VENDAS'!$B$6:$B$500, 0)+5), ""), ""))</f>
        <v/>
      </c>
      <c r="G712" s="28">
        <f>IFERROR(VLOOKUP(B712,'SAÍDA DE VENDAS'!$B$6:$P$500,10,FALSE),"")</f>
        <v>0</v>
      </c>
      <c r="H712" s="28" t="str">
        <f>IF(OR(ISBLANK(B712),B712=""), "", IF(B712=B711, (VALUE(LEFT(H711,FIND("/",H711)-1))+1)&amp;"/"&amp;RIGHT(H711,LEN(H711)-FIND("/",H711)), "1/"&amp;IFERROR(VLOOKUP(B712,'SAÍDA DE VENDAS'!$B$6:$P$500,13,FALSE),"1")))</f>
        <v/>
      </c>
      <c r="I712" s="69" t="str">
        <f t="shared" si="22"/>
        <v/>
      </c>
      <c r="J712" s="33" t="str">
        <f>IFERROR(VLOOKUP(B712,'SAÍDA DE VENDAS'!$B$6:$P$500,15,FALSE),"")</f>
        <v/>
      </c>
      <c r="K712" s="28" t="str">
        <f t="shared" ca="1" si="23"/>
        <v/>
      </c>
      <c r="L712" s="28"/>
      <c r="M712" s="28"/>
    </row>
    <row r="713" spans="2:13" ht="15" customHeight="1" x14ac:dyDescent="0.3">
      <c r="B713" s="34" t="str">
        <f>IF(B712="","", IF(VALUE(LEFT(H712,FIND("/",H712)-1)) &lt; VALUE(RIGHT(H712,LEN(H712)-FIND("/",H712))), B712, IFERROR(INDEX('SAÍDA DE VENDAS'!$B$6:$B$500, MATCH(B712,'SAÍDA DE VENDAS'!$B$6:$B$500,0)+COUNTIF('SAÍDA DE VENDAS'!$B$6:$B$500, B712)),"")))</f>
        <v/>
      </c>
      <c r="C713" s="35">
        <f>IFERROR(VLOOKUP(B713,'SAÍDA DE VENDAS'!$B$6:$P$500,3,FALSE),"")</f>
        <v>0</v>
      </c>
      <c r="D713" s="34">
        <f>IFERROR(VLOOKUP(B713,'SAÍDA DE VENDAS'!$B$6:$P$500,4,FALSE),"")</f>
        <v>0</v>
      </c>
      <c r="E713" s="34" t="str">
        <f>IFERROR(VLOOKUP(B713,'SAÍDA DE VENDAS'!$B$6:$P$500,5,FALSE),"")</f>
        <v/>
      </c>
      <c r="F713" s="34" t="str">
        <f>IF(OR(ISBLANK(B713),B713=""), "", IFERROR(INDEX('SAÍDA DE VENDAS'!$H$6:$H$500 &amp; "x " &amp; 'SAÍDA DE VENDAS'!$G$6:$G$500, MATCH(B713, 'SAÍDA DE VENDAS'!$B$6:$B$500, 0)), "")&amp; IF(COUNTIF('SAÍDA DE VENDAS'!$B$6:$B$500, B713)&gt;1, " + " &amp; IFERROR(INDEX('SAÍDA DE VENDAS'!$H$6:$H$500 &amp; "x " &amp; 'SAÍDA DE VENDAS'!$G$6:$G$500, MATCH(B713, 'SAÍDA DE VENDAS'!$B$6:$B$500, 0)+1), ""), "")&amp; IF(COUNTIF('SAÍDA DE VENDAS'!$B$6:$B$500, B713)&gt;2, " + " &amp; IFERROR(INDEX('SAÍDA DE VENDAS'!$H$6:$H$500 &amp; "x " &amp; 'SAÍDA DE VENDAS'!$G$6:$G$500, MATCH(B713, 'SAÍDA DE VENDAS'!$B$6:$B$500, 0)+2), ""), "")&amp; IF(COUNTIF('SAÍDA DE VENDAS'!$B$6:$B$500, B713)&gt;3, " + " &amp; IFERROR(INDEX('SAÍDA DE VENDAS'!$H$6:$H$500 &amp; "x " &amp; 'SAÍDA DE VENDAS'!$G$6:$G$500, MATCH(B713, 'SAÍDA DE VENDAS'!$B$6:$B$500, 0)+3), ""), "")&amp; IF(COUNTIF('SAÍDA DE VENDAS'!$B$6:$B$500, B713)&gt;4, " + " &amp; IFERROR(INDEX('SAÍDA DE VENDAS'!$H$6:$H$500 &amp; "x " &amp; 'SAÍDA DE VENDAS'!$G$6:$G$500, MATCH(B713, 'SAÍDA DE VENDAS'!$B$6:$B$500, 0)+4), ""), "")&amp; IF(COUNTIF('SAÍDA DE VENDAS'!$B$6:$B$500, B713)&gt;5, " + " &amp; IFERROR(INDEX('SAÍDA DE VENDAS'!$H$6:$H$500 &amp; "x " &amp; 'SAÍDA DE VENDAS'!$G$6:$G$500, MATCH(B713, 'SAÍDA DE VENDAS'!$B$6:$B$500, 0)+5), ""), ""))</f>
        <v/>
      </c>
      <c r="G713" s="34">
        <f>IFERROR(VLOOKUP(B713,'SAÍDA DE VENDAS'!$B$6:$P$500,10,FALSE),"")</f>
        <v>0</v>
      </c>
      <c r="H713" s="34" t="str">
        <f>IF(OR(ISBLANK(B713),B713=""), "", IF(B713=B712, (VALUE(LEFT(H712,FIND("/",H712)-1))+1)&amp;"/"&amp;RIGHT(H712,LEN(H712)-FIND("/",H712)), "1/"&amp;IFERROR(VLOOKUP(B713,'SAÍDA DE VENDAS'!$B$6:$P$500,13,FALSE),"1")))</f>
        <v/>
      </c>
      <c r="I713" s="35" t="str">
        <f t="shared" si="22"/>
        <v/>
      </c>
      <c r="J713" s="39" t="str">
        <f>IFERROR(VLOOKUP(B713,'SAÍDA DE VENDAS'!$B$6:$P$500,15,FALSE),"")</f>
        <v/>
      </c>
      <c r="K713" s="34" t="str">
        <f t="shared" ca="1" si="23"/>
        <v/>
      </c>
      <c r="L713" s="34"/>
      <c r="M713" s="34"/>
    </row>
    <row r="714" spans="2:13" ht="15" customHeight="1" x14ac:dyDescent="0.3">
      <c r="B714" s="28" t="str">
        <f>IF(B713="","", IF(VALUE(LEFT(H713,FIND("/",H713)-1)) &lt; VALUE(RIGHT(H713,LEN(H713)-FIND("/",H713))), B713, IFERROR(INDEX('SAÍDA DE VENDAS'!$B$6:$B$500, MATCH(B713,'SAÍDA DE VENDAS'!$B$6:$B$500,0)+COUNTIF('SAÍDA DE VENDAS'!$B$6:$B$500, B713)),"")))</f>
        <v/>
      </c>
      <c r="C714" s="29">
        <f>IFERROR(VLOOKUP(B714,'SAÍDA DE VENDAS'!$B$6:$P$500,3,FALSE),"")</f>
        <v>0</v>
      </c>
      <c r="D714" s="28">
        <f>IFERROR(VLOOKUP(B714,'SAÍDA DE VENDAS'!$B$6:$P$500,4,FALSE),"")</f>
        <v>0</v>
      </c>
      <c r="E714" s="28" t="str">
        <f>IFERROR(VLOOKUP(B714,'SAÍDA DE VENDAS'!$B$6:$P$500,5,FALSE),"")</f>
        <v/>
      </c>
      <c r="F714" s="28" t="str">
        <f>IF(OR(ISBLANK(B714),B714=""), "", IFERROR(INDEX('SAÍDA DE VENDAS'!$H$6:$H$500 &amp; "x " &amp; 'SAÍDA DE VENDAS'!$G$6:$G$500, MATCH(B714, 'SAÍDA DE VENDAS'!$B$6:$B$500, 0)), "")&amp; IF(COUNTIF('SAÍDA DE VENDAS'!$B$6:$B$500, B714)&gt;1, " + " &amp; IFERROR(INDEX('SAÍDA DE VENDAS'!$H$6:$H$500 &amp; "x " &amp; 'SAÍDA DE VENDAS'!$G$6:$G$500, MATCH(B714, 'SAÍDA DE VENDAS'!$B$6:$B$500, 0)+1), ""), "")&amp; IF(COUNTIF('SAÍDA DE VENDAS'!$B$6:$B$500, B714)&gt;2, " + " &amp; IFERROR(INDEX('SAÍDA DE VENDAS'!$H$6:$H$500 &amp; "x " &amp; 'SAÍDA DE VENDAS'!$G$6:$G$500, MATCH(B714, 'SAÍDA DE VENDAS'!$B$6:$B$500, 0)+2), ""), "")&amp; IF(COUNTIF('SAÍDA DE VENDAS'!$B$6:$B$500, B714)&gt;3, " + " &amp; IFERROR(INDEX('SAÍDA DE VENDAS'!$H$6:$H$500 &amp; "x " &amp; 'SAÍDA DE VENDAS'!$G$6:$G$500, MATCH(B714, 'SAÍDA DE VENDAS'!$B$6:$B$500, 0)+3), ""), "")&amp; IF(COUNTIF('SAÍDA DE VENDAS'!$B$6:$B$500, B714)&gt;4, " + " &amp; IFERROR(INDEX('SAÍDA DE VENDAS'!$H$6:$H$500 &amp; "x " &amp; 'SAÍDA DE VENDAS'!$G$6:$G$500, MATCH(B714, 'SAÍDA DE VENDAS'!$B$6:$B$500, 0)+4), ""), "")&amp; IF(COUNTIF('SAÍDA DE VENDAS'!$B$6:$B$500, B714)&gt;5, " + " &amp; IFERROR(INDEX('SAÍDA DE VENDAS'!$H$6:$H$500 &amp; "x " &amp; 'SAÍDA DE VENDAS'!$G$6:$G$500, MATCH(B714, 'SAÍDA DE VENDAS'!$B$6:$B$500, 0)+5), ""), ""))</f>
        <v/>
      </c>
      <c r="G714" s="28">
        <f>IFERROR(VLOOKUP(B714,'SAÍDA DE VENDAS'!$B$6:$P$500,10,FALSE),"")</f>
        <v>0</v>
      </c>
      <c r="H714" s="28" t="str">
        <f>IF(OR(ISBLANK(B714),B714=""), "", IF(B714=B713, (VALUE(LEFT(H713,FIND("/",H713)-1))+1)&amp;"/"&amp;RIGHT(H713,LEN(H713)-FIND("/",H713)), "1/"&amp;IFERROR(VLOOKUP(B714,'SAÍDA DE VENDAS'!$B$6:$P$500,13,FALSE),"1")))</f>
        <v/>
      </c>
      <c r="I714" s="69" t="str">
        <f t="shared" si="22"/>
        <v/>
      </c>
      <c r="J714" s="33" t="str">
        <f>IFERROR(VLOOKUP(B714,'SAÍDA DE VENDAS'!$B$6:$P$500,15,FALSE),"")</f>
        <v/>
      </c>
      <c r="K714" s="28" t="str">
        <f t="shared" ca="1" si="23"/>
        <v/>
      </c>
      <c r="L714" s="28"/>
      <c r="M714" s="28"/>
    </row>
    <row r="715" spans="2:13" ht="15" customHeight="1" x14ac:dyDescent="0.3">
      <c r="B715" s="34" t="str">
        <f>IF(B714="","", IF(VALUE(LEFT(H714,FIND("/",H714)-1)) &lt; VALUE(RIGHT(H714,LEN(H714)-FIND("/",H714))), B714, IFERROR(INDEX('SAÍDA DE VENDAS'!$B$6:$B$500, MATCH(B714,'SAÍDA DE VENDAS'!$B$6:$B$500,0)+COUNTIF('SAÍDA DE VENDAS'!$B$6:$B$500, B714)),"")))</f>
        <v/>
      </c>
      <c r="C715" s="35">
        <f>IFERROR(VLOOKUP(B715,'SAÍDA DE VENDAS'!$B$6:$P$500,3,FALSE),"")</f>
        <v>0</v>
      </c>
      <c r="D715" s="34">
        <f>IFERROR(VLOOKUP(B715,'SAÍDA DE VENDAS'!$B$6:$P$500,4,FALSE),"")</f>
        <v>0</v>
      </c>
      <c r="E715" s="34" t="str">
        <f>IFERROR(VLOOKUP(B715,'SAÍDA DE VENDAS'!$B$6:$P$500,5,FALSE),"")</f>
        <v/>
      </c>
      <c r="F715" s="34" t="str">
        <f>IF(OR(ISBLANK(B715),B715=""), "", IFERROR(INDEX('SAÍDA DE VENDAS'!$H$6:$H$500 &amp; "x " &amp; 'SAÍDA DE VENDAS'!$G$6:$G$500, MATCH(B715, 'SAÍDA DE VENDAS'!$B$6:$B$500, 0)), "")&amp; IF(COUNTIF('SAÍDA DE VENDAS'!$B$6:$B$500, B715)&gt;1, " + " &amp; IFERROR(INDEX('SAÍDA DE VENDAS'!$H$6:$H$500 &amp; "x " &amp; 'SAÍDA DE VENDAS'!$G$6:$G$500, MATCH(B715, 'SAÍDA DE VENDAS'!$B$6:$B$500, 0)+1), ""), "")&amp; IF(COUNTIF('SAÍDA DE VENDAS'!$B$6:$B$500, B715)&gt;2, " + " &amp; IFERROR(INDEX('SAÍDA DE VENDAS'!$H$6:$H$500 &amp; "x " &amp; 'SAÍDA DE VENDAS'!$G$6:$G$500, MATCH(B715, 'SAÍDA DE VENDAS'!$B$6:$B$500, 0)+2), ""), "")&amp; IF(COUNTIF('SAÍDA DE VENDAS'!$B$6:$B$500, B715)&gt;3, " + " &amp; IFERROR(INDEX('SAÍDA DE VENDAS'!$H$6:$H$500 &amp; "x " &amp; 'SAÍDA DE VENDAS'!$G$6:$G$500, MATCH(B715, 'SAÍDA DE VENDAS'!$B$6:$B$500, 0)+3), ""), "")&amp; IF(COUNTIF('SAÍDA DE VENDAS'!$B$6:$B$500, B715)&gt;4, " + " &amp; IFERROR(INDEX('SAÍDA DE VENDAS'!$H$6:$H$500 &amp; "x " &amp; 'SAÍDA DE VENDAS'!$G$6:$G$500, MATCH(B715, 'SAÍDA DE VENDAS'!$B$6:$B$500, 0)+4), ""), "")&amp; IF(COUNTIF('SAÍDA DE VENDAS'!$B$6:$B$500, B715)&gt;5, " + " &amp; IFERROR(INDEX('SAÍDA DE VENDAS'!$H$6:$H$500 &amp; "x " &amp; 'SAÍDA DE VENDAS'!$G$6:$G$500, MATCH(B715, 'SAÍDA DE VENDAS'!$B$6:$B$500, 0)+5), ""), ""))</f>
        <v/>
      </c>
      <c r="G715" s="34">
        <f>IFERROR(VLOOKUP(B715,'SAÍDA DE VENDAS'!$B$6:$P$500,10,FALSE),"")</f>
        <v>0</v>
      </c>
      <c r="H715" s="34" t="str">
        <f>IF(OR(ISBLANK(B715),B715=""), "", IF(B715=B714, (VALUE(LEFT(H714,FIND("/",H714)-1))+1)&amp;"/"&amp;RIGHT(H714,LEN(H714)-FIND("/",H714)), "1/"&amp;IFERROR(VLOOKUP(B715,'SAÍDA DE VENDAS'!$B$6:$P$500,13,FALSE),"1")))</f>
        <v/>
      </c>
      <c r="I715" s="35" t="str">
        <f t="shared" si="22"/>
        <v/>
      </c>
      <c r="J715" s="39" t="str">
        <f>IFERROR(VLOOKUP(B715,'SAÍDA DE VENDAS'!$B$6:$P$500,15,FALSE),"")</f>
        <v/>
      </c>
      <c r="K715" s="34" t="str">
        <f t="shared" ca="1" si="23"/>
        <v/>
      </c>
      <c r="L715" s="34"/>
      <c r="M715" s="34"/>
    </row>
    <row r="716" spans="2:13" ht="15" customHeight="1" x14ac:dyDescent="0.3">
      <c r="B716" s="28" t="str">
        <f>IF(B715="","", IF(VALUE(LEFT(H715,FIND("/",H715)-1)) &lt; VALUE(RIGHT(H715,LEN(H715)-FIND("/",H715))), B715, IFERROR(INDEX('SAÍDA DE VENDAS'!$B$6:$B$500, MATCH(B715,'SAÍDA DE VENDAS'!$B$6:$B$500,0)+COUNTIF('SAÍDA DE VENDAS'!$B$6:$B$500, B715)),"")))</f>
        <v/>
      </c>
      <c r="C716" s="29">
        <f>IFERROR(VLOOKUP(B716,'SAÍDA DE VENDAS'!$B$6:$P$500,3,FALSE),"")</f>
        <v>0</v>
      </c>
      <c r="D716" s="28">
        <f>IFERROR(VLOOKUP(B716,'SAÍDA DE VENDAS'!$B$6:$P$500,4,FALSE),"")</f>
        <v>0</v>
      </c>
      <c r="E716" s="28" t="str">
        <f>IFERROR(VLOOKUP(B716,'SAÍDA DE VENDAS'!$B$6:$P$500,5,FALSE),"")</f>
        <v/>
      </c>
      <c r="F716" s="28" t="str">
        <f>IF(OR(ISBLANK(B716),B716=""), "", IFERROR(INDEX('SAÍDA DE VENDAS'!$H$6:$H$500 &amp; "x " &amp; 'SAÍDA DE VENDAS'!$G$6:$G$500, MATCH(B716, 'SAÍDA DE VENDAS'!$B$6:$B$500, 0)), "")&amp; IF(COUNTIF('SAÍDA DE VENDAS'!$B$6:$B$500, B716)&gt;1, " + " &amp; IFERROR(INDEX('SAÍDA DE VENDAS'!$H$6:$H$500 &amp; "x " &amp; 'SAÍDA DE VENDAS'!$G$6:$G$500, MATCH(B716, 'SAÍDA DE VENDAS'!$B$6:$B$500, 0)+1), ""), "")&amp; IF(COUNTIF('SAÍDA DE VENDAS'!$B$6:$B$500, B716)&gt;2, " + " &amp; IFERROR(INDEX('SAÍDA DE VENDAS'!$H$6:$H$500 &amp; "x " &amp; 'SAÍDA DE VENDAS'!$G$6:$G$500, MATCH(B716, 'SAÍDA DE VENDAS'!$B$6:$B$500, 0)+2), ""), "")&amp; IF(COUNTIF('SAÍDA DE VENDAS'!$B$6:$B$500, B716)&gt;3, " + " &amp; IFERROR(INDEX('SAÍDA DE VENDAS'!$H$6:$H$500 &amp; "x " &amp; 'SAÍDA DE VENDAS'!$G$6:$G$500, MATCH(B716, 'SAÍDA DE VENDAS'!$B$6:$B$500, 0)+3), ""), "")&amp; IF(COUNTIF('SAÍDA DE VENDAS'!$B$6:$B$500, B716)&gt;4, " + " &amp; IFERROR(INDEX('SAÍDA DE VENDAS'!$H$6:$H$500 &amp; "x " &amp; 'SAÍDA DE VENDAS'!$G$6:$G$500, MATCH(B716, 'SAÍDA DE VENDAS'!$B$6:$B$500, 0)+4), ""), "")&amp; IF(COUNTIF('SAÍDA DE VENDAS'!$B$6:$B$500, B716)&gt;5, " + " &amp; IFERROR(INDEX('SAÍDA DE VENDAS'!$H$6:$H$500 &amp; "x " &amp; 'SAÍDA DE VENDAS'!$G$6:$G$500, MATCH(B716, 'SAÍDA DE VENDAS'!$B$6:$B$500, 0)+5), ""), ""))</f>
        <v/>
      </c>
      <c r="G716" s="28">
        <f>IFERROR(VLOOKUP(B716,'SAÍDA DE VENDAS'!$B$6:$P$500,10,FALSE),"")</f>
        <v>0</v>
      </c>
      <c r="H716" s="28" t="str">
        <f>IF(OR(ISBLANK(B716),B716=""), "", IF(B716=B715, (VALUE(LEFT(H715,FIND("/",H715)-1))+1)&amp;"/"&amp;RIGHT(H715,LEN(H715)-FIND("/",H715)), "1/"&amp;IFERROR(VLOOKUP(B716,'SAÍDA DE VENDAS'!$B$6:$P$500,13,FALSE),"1")))</f>
        <v/>
      </c>
      <c r="I716" s="69" t="str">
        <f t="shared" si="22"/>
        <v/>
      </c>
      <c r="J716" s="33" t="str">
        <f>IFERROR(VLOOKUP(B716,'SAÍDA DE VENDAS'!$B$6:$P$500,15,FALSE),"")</f>
        <v/>
      </c>
      <c r="K716" s="28" t="str">
        <f t="shared" ca="1" si="23"/>
        <v/>
      </c>
      <c r="L716" s="28"/>
      <c r="M716" s="28"/>
    </row>
    <row r="717" spans="2:13" ht="15" customHeight="1" x14ac:dyDescent="0.3">
      <c r="B717" s="34" t="str">
        <f>IF(B716="","", IF(VALUE(LEFT(H716,FIND("/",H716)-1)) &lt; VALUE(RIGHT(H716,LEN(H716)-FIND("/",H716))), B716, IFERROR(INDEX('SAÍDA DE VENDAS'!$B$6:$B$500, MATCH(B716,'SAÍDA DE VENDAS'!$B$6:$B$500,0)+COUNTIF('SAÍDA DE VENDAS'!$B$6:$B$500, B716)),"")))</f>
        <v/>
      </c>
      <c r="C717" s="35">
        <f>IFERROR(VLOOKUP(B717,'SAÍDA DE VENDAS'!$B$6:$P$500,3,FALSE),"")</f>
        <v>0</v>
      </c>
      <c r="D717" s="34">
        <f>IFERROR(VLOOKUP(B717,'SAÍDA DE VENDAS'!$B$6:$P$500,4,FALSE),"")</f>
        <v>0</v>
      </c>
      <c r="E717" s="34" t="str">
        <f>IFERROR(VLOOKUP(B717,'SAÍDA DE VENDAS'!$B$6:$P$500,5,FALSE),"")</f>
        <v/>
      </c>
      <c r="F717" s="34" t="str">
        <f>IF(OR(ISBLANK(B717),B717=""), "", IFERROR(INDEX('SAÍDA DE VENDAS'!$H$6:$H$500 &amp; "x " &amp; 'SAÍDA DE VENDAS'!$G$6:$G$500, MATCH(B717, 'SAÍDA DE VENDAS'!$B$6:$B$500, 0)), "")&amp; IF(COUNTIF('SAÍDA DE VENDAS'!$B$6:$B$500, B717)&gt;1, " + " &amp; IFERROR(INDEX('SAÍDA DE VENDAS'!$H$6:$H$500 &amp; "x " &amp; 'SAÍDA DE VENDAS'!$G$6:$G$500, MATCH(B717, 'SAÍDA DE VENDAS'!$B$6:$B$500, 0)+1), ""), "")&amp; IF(COUNTIF('SAÍDA DE VENDAS'!$B$6:$B$500, B717)&gt;2, " + " &amp; IFERROR(INDEX('SAÍDA DE VENDAS'!$H$6:$H$500 &amp; "x " &amp; 'SAÍDA DE VENDAS'!$G$6:$G$500, MATCH(B717, 'SAÍDA DE VENDAS'!$B$6:$B$500, 0)+2), ""), "")&amp; IF(COUNTIF('SAÍDA DE VENDAS'!$B$6:$B$500, B717)&gt;3, " + " &amp; IFERROR(INDEX('SAÍDA DE VENDAS'!$H$6:$H$500 &amp; "x " &amp; 'SAÍDA DE VENDAS'!$G$6:$G$500, MATCH(B717, 'SAÍDA DE VENDAS'!$B$6:$B$500, 0)+3), ""), "")&amp; IF(COUNTIF('SAÍDA DE VENDAS'!$B$6:$B$500, B717)&gt;4, " + " &amp; IFERROR(INDEX('SAÍDA DE VENDAS'!$H$6:$H$500 &amp; "x " &amp; 'SAÍDA DE VENDAS'!$G$6:$G$500, MATCH(B717, 'SAÍDA DE VENDAS'!$B$6:$B$500, 0)+4), ""), "")&amp; IF(COUNTIF('SAÍDA DE VENDAS'!$B$6:$B$500, B717)&gt;5, " + " &amp; IFERROR(INDEX('SAÍDA DE VENDAS'!$H$6:$H$500 &amp; "x " &amp; 'SAÍDA DE VENDAS'!$G$6:$G$500, MATCH(B717, 'SAÍDA DE VENDAS'!$B$6:$B$500, 0)+5), ""), ""))</f>
        <v/>
      </c>
      <c r="G717" s="34">
        <f>IFERROR(VLOOKUP(B717,'SAÍDA DE VENDAS'!$B$6:$P$500,10,FALSE),"")</f>
        <v>0</v>
      </c>
      <c r="H717" s="34" t="str">
        <f>IF(OR(ISBLANK(B717),B717=""), "", IF(B717=B716, (VALUE(LEFT(H716,FIND("/",H716)-1))+1)&amp;"/"&amp;RIGHT(H716,LEN(H716)-FIND("/",H716)), "1/"&amp;IFERROR(VLOOKUP(B717,'SAÍDA DE VENDAS'!$B$6:$P$500,13,FALSE),"1")))</f>
        <v/>
      </c>
      <c r="I717" s="35" t="str">
        <f t="shared" si="22"/>
        <v/>
      </c>
      <c r="J717" s="39" t="str">
        <f>IFERROR(VLOOKUP(B717,'SAÍDA DE VENDAS'!$B$6:$P$500,15,FALSE),"")</f>
        <v/>
      </c>
      <c r="K717" s="34" t="str">
        <f t="shared" ca="1" si="23"/>
        <v/>
      </c>
      <c r="L717" s="34"/>
      <c r="M717" s="34"/>
    </row>
    <row r="718" spans="2:13" ht="15" customHeight="1" x14ac:dyDescent="0.3">
      <c r="B718" s="28" t="str">
        <f>IF(B717="","", IF(VALUE(LEFT(H717,FIND("/",H717)-1)) &lt; VALUE(RIGHT(H717,LEN(H717)-FIND("/",H717))), B717, IFERROR(INDEX('SAÍDA DE VENDAS'!$B$6:$B$500, MATCH(B717,'SAÍDA DE VENDAS'!$B$6:$B$500,0)+COUNTIF('SAÍDA DE VENDAS'!$B$6:$B$500, B717)),"")))</f>
        <v/>
      </c>
      <c r="C718" s="29">
        <f>IFERROR(VLOOKUP(B718,'SAÍDA DE VENDAS'!$B$6:$P$500,3,FALSE),"")</f>
        <v>0</v>
      </c>
      <c r="D718" s="28">
        <f>IFERROR(VLOOKUP(B718,'SAÍDA DE VENDAS'!$B$6:$P$500,4,FALSE),"")</f>
        <v>0</v>
      </c>
      <c r="E718" s="28" t="str">
        <f>IFERROR(VLOOKUP(B718,'SAÍDA DE VENDAS'!$B$6:$P$500,5,FALSE),"")</f>
        <v/>
      </c>
      <c r="F718" s="28" t="str">
        <f>IF(OR(ISBLANK(B718),B718=""), "", IFERROR(INDEX('SAÍDA DE VENDAS'!$H$6:$H$500 &amp; "x " &amp; 'SAÍDA DE VENDAS'!$G$6:$G$500, MATCH(B718, 'SAÍDA DE VENDAS'!$B$6:$B$500, 0)), "")&amp; IF(COUNTIF('SAÍDA DE VENDAS'!$B$6:$B$500, B718)&gt;1, " + " &amp; IFERROR(INDEX('SAÍDA DE VENDAS'!$H$6:$H$500 &amp; "x " &amp; 'SAÍDA DE VENDAS'!$G$6:$G$500, MATCH(B718, 'SAÍDA DE VENDAS'!$B$6:$B$500, 0)+1), ""), "")&amp; IF(COUNTIF('SAÍDA DE VENDAS'!$B$6:$B$500, B718)&gt;2, " + " &amp; IFERROR(INDEX('SAÍDA DE VENDAS'!$H$6:$H$500 &amp; "x " &amp; 'SAÍDA DE VENDAS'!$G$6:$G$500, MATCH(B718, 'SAÍDA DE VENDAS'!$B$6:$B$500, 0)+2), ""), "")&amp; IF(COUNTIF('SAÍDA DE VENDAS'!$B$6:$B$500, B718)&gt;3, " + " &amp; IFERROR(INDEX('SAÍDA DE VENDAS'!$H$6:$H$500 &amp; "x " &amp; 'SAÍDA DE VENDAS'!$G$6:$G$500, MATCH(B718, 'SAÍDA DE VENDAS'!$B$6:$B$500, 0)+3), ""), "")&amp; IF(COUNTIF('SAÍDA DE VENDAS'!$B$6:$B$500, B718)&gt;4, " + " &amp; IFERROR(INDEX('SAÍDA DE VENDAS'!$H$6:$H$500 &amp; "x " &amp; 'SAÍDA DE VENDAS'!$G$6:$G$500, MATCH(B718, 'SAÍDA DE VENDAS'!$B$6:$B$500, 0)+4), ""), "")&amp; IF(COUNTIF('SAÍDA DE VENDAS'!$B$6:$B$500, B718)&gt;5, " + " &amp; IFERROR(INDEX('SAÍDA DE VENDAS'!$H$6:$H$500 &amp; "x " &amp; 'SAÍDA DE VENDAS'!$G$6:$G$500, MATCH(B718, 'SAÍDA DE VENDAS'!$B$6:$B$500, 0)+5), ""), ""))</f>
        <v/>
      </c>
      <c r="G718" s="28">
        <f>IFERROR(VLOOKUP(B718,'SAÍDA DE VENDAS'!$B$6:$P$500,10,FALSE),"")</f>
        <v>0</v>
      </c>
      <c r="H718" s="28" t="str">
        <f>IF(OR(ISBLANK(B718),B718=""), "", IF(B718=B717, (VALUE(LEFT(H717,FIND("/",H717)-1))+1)&amp;"/"&amp;RIGHT(H717,LEN(H717)-FIND("/",H717)), "1/"&amp;IFERROR(VLOOKUP(B718,'SAÍDA DE VENDAS'!$B$6:$P$500,13,FALSE),"1")))</f>
        <v/>
      </c>
      <c r="I718" s="69" t="str">
        <f t="shared" si="22"/>
        <v/>
      </c>
      <c r="J718" s="33" t="str">
        <f>IFERROR(VLOOKUP(B718,'SAÍDA DE VENDAS'!$B$6:$P$500,15,FALSE),"")</f>
        <v/>
      </c>
      <c r="K718" s="28" t="str">
        <f t="shared" ca="1" si="23"/>
        <v/>
      </c>
      <c r="L718" s="28"/>
      <c r="M718" s="28"/>
    </row>
    <row r="719" spans="2:13" ht="15" customHeight="1" x14ac:dyDescent="0.3">
      <c r="B719" s="34" t="str">
        <f>IF(B718="","", IF(VALUE(LEFT(H718,FIND("/",H718)-1)) &lt; VALUE(RIGHT(H718,LEN(H718)-FIND("/",H718))), B718, IFERROR(INDEX('SAÍDA DE VENDAS'!$B$6:$B$500, MATCH(B718,'SAÍDA DE VENDAS'!$B$6:$B$500,0)+COUNTIF('SAÍDA DE VENDAS'!$B$6:$B$500, B718)),"")))</f>
        <v/>
      </c>
      <c r="C719" s="35">
        <f>IFERROR(VLOOKUP(B719,'SAÍDA DE VENDAS'!$B$6:$P$500,3,FALSE),"")</f>
        <v>0</v>
      </c>
      <c r="D719" s="34">
        <f>IFERROR(VLOOKUP(B719,'SAÍDA DE VENDAS'!$B$6:$P$500,4,FALSE),"")</f>
        <v>0</v>
      </c>
      <c r="E719" s="34" t="str">
        <f>IFERROR(VLOOKUP(B719,'SAÍDA DE VENDAS'!$B$6:$P$500,5,FALSE),"")</f>
        <v/>
      </c>
      <c r="F719" s="34" t="str">
        <f>IF(OR(ISBLANK(B719),B719=""), "", IFERROR(INDEX('SAÍDA DE VENDAS'!$H$6:$H$500 &amp; "x " &amp; 'SAÍDA DE VENDAS'!$G$6:$G$500, MATCH(B719, 'SAÍDA DE VENDAS'!$B$6:$B$500, 0)), "")&amp; IF(COUNTIF('SAÍDA DE VENDAS'!$B$6:$B$500, B719)&gt;1, " + " &amp; IFERROR(INDEX('SAÍDA DE VENDAS'!$H$6:$H$500 &amp; "x " &amp; 'SAÍDA DE VENDAS'!$G$6:$G$500, MATCH(B719, 'SAÍDA DE VENDAS'!$B$6:$B$500, 0)+1), ""), "")&amp; IF(COUNTIF('SAÍDA DE VENDAS'!$B$6:$B$500, B719)&gt;2, " + " &amp; IFERROR(INDEX('SAÍDA DE VENDAS'!$H$6:$H$500 &amp; "x " &amp; 'SAÍDA DE VENDAS'!$G$6:$G$500, MATCH(B719, 'SAÍDA DE VENDAS'!$B$6:$B$500, 0)+2), ""), "")&amp; IF(COUNTIF('SAÍDA DE VENDAS'!$B$6:$B$500, B719)&gt;3, " + " &amp; IFERROR(INDEX('SAÍDA DE VENDAS'!$H$6:$H$500 &amp; "x " &amp; 'SAÍDA DE VENDAS'!$G$6:$G$500, MATCH(B719, 'SAÍDA DE VENDAS'!$B$6:$B$500, 0)+3), ""), "")&amp; IF(COUNTIF('SAÍDA DE VENDAS'!$B$6:$B$500, B719)&gt;4, " + " &amp; IFERROR(INDEX('SAÍDA DE VENDAS'!$H$6:$H$500 &amp; "x " &amp; 'SAÍDA DE VENDAS'!$G$6:$G$500, MATCH(B719, 'SAÍDA DE VENDAS'!$B$6:$B$500, 0)+4), ""), "")&amp; IF(COUNTIF('SAÍDA DE VENDAS'!$B$6:$B$500, B719)&gt;5, " + " &amp; IFERROR(INDEX('SAÍDA DE VENDAS'!$H$6:$H$500 &amp; "x " &amp; 'SAÍDA DE VENDAS'!$G$6:$G$500, MATCH(B719, 'SAÍDA DE VENDAS'!$B$6:$B$500, 0)+5), ""), ""))</f>
        <v/>
      </c>
      <c r="G719" s="34">
        <f>IFERROR(VLOOKUP(B719,'SAÍDA DE VENDAS'!$B$6:$P$500,10,FALSE),"")</f>
        <v>0</v>
      </c>
      <c r="H719" s="34" t="str">
        <f>IF(OR(ISBLANK(B719),B719=""), "", IF(B719=B718, (VALUE(LEFT(H718,FIND("/",H718)-1))+1)&amp;"/"&amp;RIGHT(H718,LEN(H718)-FIND("/",H718)), "1/"&amp;IFERROR(VLOOKUP(B719,'SAÍDA DE VENDAS'!$B$6:$P$500,13,FALSE),"1")))</f>
        <v/>
      </c>
      <c r="I719" s="35" t="str">
        <f t="shared" si="22"/>
        <v/>
      </c>
      <c r="J719" s="39" t="str">
        <f>IFERROR(VLOOKUP(B719,'SAÍDA DE VENDAS'!$B$6:$P$500,15,FALSE),"")</f>
        <v/>
      </c>
      <c r="K719" s="34" t="str">
        <f t="shared" ca="1" si="23"/>
        <v/>
      </c>
      <c r="L719" s="34"/>
      <c r="M719" s="34"/>
    </row>
    <row r="720" spans="2:13" ht="15" customHeight="1" x14ac:dyDescent="0.3">
      <c r="B720" s="28" t="str">
        <f>IF(B719="","", IF(VALUE(LEFT(H719,FIND("/",H719)-1)) &lt; VALUE(RIGHT(H719,LEN(H719)-FIND("/",H719))), B719, IFERROR(INDEX('SAÍDA DE VENDAS'!$B$6:$B$500, MATCH(B719,'SAÍDA DE VENDAS'!$B$6:$B$500,0)+COUNTIF('SAÍDA DE VENDAS'!$B$6:$B$500, B719)),"")))</f>
        <v/>
      </c>
      <c r="C720" s="29">
        <f>IFERROR(VLOOKUP(B720,'SAÍDA DE VENDAS'!$B$6:$P$500,3,FALSE),"")</f>
        <v>0</v>
      </c>
      <c r="D720" s="28">
        <f>IFERROR(VLOOKUP(B720,'SAÍDA DE VENDAS'!$B$6:$P$500,4,FALSE),"")</f>
        <v>0</v>
      </c>
      <c r="E720" s="28" t="str">
        <f>IFERROR(VLOOKUP(B720,'SAÍDA DE VENDAS'!$B$6:$P$500,5,FALSE),"")</f>
        <v/>
      </c>
      <c r="F720" s="28" t="str">
        <f>IF(OR(ISBLANK(B720),B720=""), "", IFERROR(INDEX('SAÍDA DE VENDAS'!$H$6:$H$500 &amp; "x " &amp; 'SAÍDA DE VENDAS'!$G$6:$G$500, MATCH(B720, 'SAÍDA DE VENDAS'!$B$6:$B$500, 0)), "")&amp; IF(COUNTIF('SAÍDA DE VENDAS'!$B$6:$B$500, B720)&gt;1, " + " &amp; IFERROR(INDEX('SAÍDA DE VENDAS'!$H$6:$H$500 &amp; "x " &amp; 'SAÍDA DE VENDAS'!$G$6:$G$500, MATCH(B720, 'SAÍDA DE VENDAS'!$B$6:$B$500, 0)+1), ""), "")&amp; IF(COUNTIF('SAÍDA DE VENDAS'!$B$6:$B$500, B720)&gt;2, " + " &amp; IFERROR(INDEX('SAÍDA DE VENDAS'!$H$6:$H$500 &amp; "x " &amp; 'SAÍDA DE VENDAS'!$G$6:$G$500, MATCH(B720, 'SAÍDA DE VENDAS'!$B$6:$B$500, 0)+2), ""), "")&amp; IF(COUNTIF('SAÍDA DE VENDAS'!$B$6:$B$500, B720)&gt;3, " + " &amp; IFERROR(INDEX('SAÍDA DE VENDAS'!$H$6:$H$500 &amp; "x " &amp; 'SAÍDA DE VENDAS'!$G$6:$G$500, MATCH(B720, 'SAÍDA DE VENDAS'!$B$6:$B$500, 0)+3), ""), "")&amp; IF(COUNTIF('SAÍDA DE VENDAS'!$B$6:$B$500, B720)&gt;4, " + " &amp; IFERROR(INDEX('SAÍDA DE VENDAS'!$H$6:$H$500 &amp; "x " &amp; 'SAÍDA DE VENDAS'!$G$6:$G$500, MATCH(B720, 'SAÍDA DE VENDAS'!$B$6:$B$500, 0)+4), ""), "")&amp; IF(COUNTIF('SAÍDA DE VENDAS'!$B$6:$B$500, B720)&gt;5, " + " &amp; IFERROR(INDEX('SAÍDA DE VENDAS'!$H$6:$H$500 &amp; "x " &amp; 'SAÍDA DE VENDAS'!$G$6:$G$500, MATCH(B720, 'SAÍDA DE VENDAS'!$B$6:$B$500, 0)+5), ""), ""))</f>
        <v/>
      </c>
      <c r="G720" s="28">
        <f>IFERROR(VLOOKUP(B720,'SAÍDA DE VENDAS'!$B$6:$P$500,10,FALSE),"")</f>
        <v>0</v>
      </c>
      <c r="H720" s="28" t="str">
        <f>IF(OR(ISBLANK(B720),B720=""), "", IF(B720=B719, (VALUE(LEFT(H719,FIND("/",H719)-1))+1)&amp;"/"&amp;RIGHT(H719,LEN(H719)-FIND("/",H719)), "1/"&amp;IFERROR(VLOOKUP(B720,'SAÍDA DE VENDAS'!$B$6:$P$500,13,FALSE),"1")))</f>
        <v/>
      </c>
      <c r="I720" s="69" t="str">
        <f t="shared" si="22"/>
        <v/>
      </c>
      <c r="J720" s="33" t="str">
        <f>IFERROR(VLOOKUP(B720,'SAÍDA DE VENDAS'!$B$6:$P$500,15,FALSE),"")</f>
        <v/>
      </c>
      <c r="K720" s="28" t="str">
        <f t="shared" ca="1" si="23"/>
        <v/>
      </c>
      <c r="L720" s="28"/>
      <c r="M720" s="28"/>
    </row>
    <row r="721" spans="2:13" ht="15" customHeight="1" x14ac:dyDescent="0.3">
      <c r="B721" s="34" t="str">
        <f>IF(B720="","", IF(VALUE(LEFT(H720,FIND("/",H720)-1)) &lt; VALUE(RIGHT(H720,LEN(H720)-FIND("/",H720))), B720, IFERROR(INDEX('SAÍDA DE VENDAS'!$B$6:$B$500, MATCH(B720,'SAÍDA DE VENDAS'!$B$6:$B$500,0)+COUNTIF('SAÍDA DE VENDAS'!$B$6:$B$500, B720)),"")))</f>
        <v/>
      </c>
      <c r="C721" s="35">
        <f>IFERROR(VLOOKUP(B721,'SAÍDA DE VENDAS'!$B$6:$P$500,3,FALSE),"")</f>
        <v>0</v>
      </c>
      <c r="D721" s="34">
        <f>IFERROR(VLOOKUP(B721,'SAÍDA DE VENDAS'!$B$6:$P$500,4,FALSE),"")</f>
        <v>0</v>
      </c>
      <c r="E721" s="34" t="str">
        <f>IFERROR(VLOOKUP(B721,'SAÍDA DE VENDAS'!$B$6:$P$500,5,FALSE),"")</f>
        <v/>
      </c>
      <c r="F721" s="34" t="str">
        <f>IF(OR(ISBLANK(B721),B721=""), "", IFERROR(INDEX('SAÍDA DE VENDAS'!$H$6:$H$500 &amp; "x " &amp; 'SAÍDA DE VENDAS'!$G$6:$G$500, MATCH(B721, 'SAÍDA DE VENDAS'!$B$6:$B$500, 0)), "")&amp; IF(COUNTIF('SAÍDA DE VENDAS'!$B$6:$B$500, B721)&gt;1, " + " &amp; IFERROR(INDEX('SAÍDA DE VENDAS'!$H$6:$H$500 &amp; "x " &amp; 'SAÍDA DE VENDAS'!$G$6:$G$500, MATCH(B721, 'SAÍDA DE VENDAS'!$B$6:$B$500, 0)+1), ""), "")&amp; IF(COUNTIF('SAÍDA DE VENDAS'!$B$6:$B$500, B721)&gt;2, " + " &amp; IFERROR(INDEX('SAÍDA DE VENDAS'!$H$6:$H$500 &amp; "x " &amp; 'SAÍDA DE VENDAS'!$G$6:$G$500, MATCH(B721, 'SAÍDA DE VENDAS'!$B$6:$B$500, 0)+2), ""), "")&amp; IF(COUNTIF('SAÍDA DE VENDAS'!$B$6:$B$500, B721)&gt;3, " + " &amp; IFERROR(INDEX('SAÍDA DE VENDAS'!$H$6:$H$500 &amp; "x " &amp; 'SAÍDA DE VENDAS'!$G$6:$G$500, MATCH(B721, 'SAÍDA DE VENDAS'!$B$6:$B$500, 0)+3), ""), "")&amp; IF(COUNTIF('SAÍDA DE VENDAS'!$B$6:$B$500, B721)&gt;4, " + " &amp; IFERROR(INDEX('SAÍDA DE VENDAS'!$H$6:$H$500 &amp; "x " &amp; 'SAÍDA DE VENDAS'!$G$6:$G$500, MATCH(B721, 'SAÍDA DE VENDAS'!$B$6:$B$500, 0)+4), ""), "")&amp; IF(COUNTIF('SAÍDA DE VENDAS'!$B$6:$B$500, B721)&gt;5, " + " &amp; IFERROR(INDEX('SAÍDA DE VENDAS'!$H$6:$H$500 &amp; "x " &amp; 'SAÍDA DE VENDAS'!$G$6:$G$500, MATCH(B721, 'SAÍDA DE VENDAS'!$B$6:$B$500, 0)+5), ""), ""))</f>
        <v/>
      </c>
      <c r="G721" s="34">
        <f>IFERROR(VLOOKUP(B721,'SAÍDA DE VENDAS'!$B$6:$P$500,10,FALSE),"")</f>
        <v>0</v>
      </c>
      <c r="H721" s="34" t="str">
        <f>IF(OR(ISBLANK(B721),B721=""), "", IF(B721=B720, (VALUE(LEFT(H720,FIND("/",H720)-1))+1)&amp;"/"&amp;RIGHT(H720,LEN(H720)-FIND("/",H720)), "1/"&amp;IFERROR(VLOOKUP(B721,'SAÍDA DE VENDAS'!$B$6:$P$500,13,FALSE),"1")))</f>
        <v/>
      </c>
      <c r="I721" s="35" t="str">
        <f t="shared" si="22"/>
        <v/>
      </c>
      <c r="J721" s="39" t="str">
        <f>IFERROR(VLOOKUP(B721,'SAÍDA DE VENDAS'!$B$6:$P$500,15,FALSE),"")</f>
        <v/>
      </c>
      <c r="K721" s="34" t="str">
        <f t="shared" ca="1" si="23"/>
        <v/>
      </c>
      <c r="L721" s="34"/>
      <c r="M721" s="34"/>
    </row>
    <row r="722" spans="2:13" ht="15" customHeight="1" x14ac:dyDescent="0.3">
      <c r="B722" s="28" t="str">
        <f>IF(B721="","", IF(VALUE(LEFT(H721,FIND("/",H721)-1)) &lt; VALUE(RIGHT(H721,LEN(H721)-FIND("/",H721))), B721, IFERROR(INDEX('SAÍDA DE VENDAS'!$B$6:$B$500, MATCH(B721,'SAÍDA DE VENDAS'!$B$6:$B$500,0)+COUNTIF('SAÍDA DE VENDAS'!$B$6:$B$500, B721)),"")))</f>
        <v/>
      </c>
      <c r="C722" s="29">
        <f>IFERROR(VLOOKUP(B722,'SAÍDA DE VENDAS'!$B$6:$P$500,3,FALSE),"")</f>
        <v>0</v>
      </c>
      <c r="D722" s="28">
        <f>IFERROR(VLOOKUP(B722,'SAÍDA DE VENDAS'!$B$6:$P$500,4,FALSE),"")</f>
        <v>0</v>
      </c>
      <c r="E722" s="28" t="str">
        <f>IFERROR(VLOOKUP(B722,'SAÍDA DE VENDAS'!$B$6:$P$500,5,FALSE),"")</f>
        <v/>
      </c>
      <c r="F722" s="28" t="str">
        <f>IF(OR(ISBLANK(B722),B722=""), "", IFERROR(INDEX('SAÍDA DE VENDAS'!$H$6:$H$500 &amp; "x " &amp; 'SAÍDA DE VENDAS'!$G$6:$G$500, MATCH(B722, 'SAÍDA DE VENDAS'!$B$6:$B$500, 0)), "")&amp; IF(COUNTIF('SAÍDA DE VENDAS'!$B$6:$B$500, B722)&gt;1, " + " &amp; IFERROR(INDEX('SAÍDA DE VENDAS'!$H$6:$H$500 &amp; "x " &amp; 'SAÍDA DE VENDAS'!$G$6:$G$500, MATCH(B722, 'SAÍDA DE VENDAS'!$B$6:$B$500, 0)+1), ""), "")&amp; IF(COUNTIF('SAÍDA DE VENDAS'!$B$6:$B$500, B722)&gt;2, " + " &amp; IFERROR(INDEX('SAÍDA DE VENDAS'!$H$6:$H$500 &amp; "x " &amp; 'SAÍDA DE VENDAS'!$G$6:$G$500, MATCH(B722, 'SAÍDA DE VENDAS'!$B$6:$B$500, 0)+2), ""), "")&amp; IF(COUNTIF('SAÍDA DE VENDAS'!$B$6:$B$500, B722)&gt;3, " + " &amp; IFERROR(INDEX('SAÍDA DE VENDAS'!$H$6:$H$500 &amp; "x " &amp; 'SAÍDA DE VENDAS'!$G$6:$G$500, MATCH(B722, 'SAÍDA DE VENDAS'!$B$6:$B$500, 0)+3), ""), "")&amp; IF(COUNTIF('SAÍDA DE VENDAS'!$B$6:$B$500, B722)&gt;4, " + " &amp; IFERROR(INDEX('SAÍDA DE VENDAS'!$H$6:$H$500 &amp; "x " &amp; 'SAÍDA DE VENDAS'!$G$6:$G$500, MATCH(B722, 'SAÍDA DE VENDAS'!$B$6:$B$500, 0)+4), ""), "")&amp; IF(COUNTIF('SAÍDA DE VENDAS'!$B$6:$B$500, B722)&gt;5, " + " &amp; IFERROR(INDEX('SAÍDA DE VENDAS'!$H$6:$H$500 &amp; "x " &amp; 'SAÍDA DE VENDAS'!$G$6:$G$500, MATCH(B722, 'SAÍDA DE VENDAS'!$B$6:$B$500, 0)+5), ""), ""))</f>
        <v/>
      </c>
      <c r="G722" s="28">
        <f>IFERROR(VLOOKUP(B722,'SAÍDA DE VENDAS'!$B$6:$P$500,10,FALSE),"")</f>
        <v>0</v>
      </c>
      <c r="H722" s="28" t="str">
        <f>IF(OR(ISBLANK(B722),B722=""), "", IF(B722=B721, (VALUE(LEFT(H721,FIND("/",H721)-1))+1)&amp;"/"&amp;RIGHT(H721,LEN(H721)-FIND("/",H721)), "1/"&amp;IFERROR(VLOOKUP(B722,'SAÍDA DE VENDAS'!$B$6:$P$500,13,FALSE),"1")))</f>
        <v/>
      </c>
      <c r="I722" s="69" t="str">
        <f t="shared" si="22"/>
        <v/>
      </c>
      <c r="J722" s="33" t="str">
        <f>IFERROR(VLOOKUP(B722,'SAÍDA DE VENDAS'!$B$6:$P$500,15,FALSE),"")</f>
        <v/>
      </c>
      <c r="K722" s="28" t="str">
        <f t="shared" ca="1" si="23"/>
        <v/>
      </c>
      <c r="L722" s="28"/>
      <c r="M722" s="28"/>
    </row>
    <row r="723" spans="2:13" ht="15" customHeight="1" x14ac:dyDescent="0.3">
      <c r="B723" s="34" t="str">
        <f>IF(B722="","", IF(VALUE(LEFT(H722,FIND("/",H722)-1)) &lt; VALUE(RIGHT(H722,LEN(H722)-FIND("/",H722))), B722, IFERROR(INDEX('SAÍDA DE VENDAS'!$B$6:$B$500, MATCH(B722,'SAÍDA DE VENDAS'!$B$6:$B$500,0)+COUNTIF('SAÍDA DE VENDAS'!$B$6:$B$500, B722)),"")))</f>
        <v/>
      </c>
      <c r="C723" s="35">
        <f>IFERROR(VLOOKUP(B723,'SAÍDA DE VENDAS'!$B$6:$P$500,3,FALSE),"")</f>
        <v>0</v>
      </c>
      <c r="D723" s="34">
        <f>IFERROR(VLOOKUP(B723,'SAÍDA DE VENDAS'!$B$6:$P$500,4,FALSE),"")</f>
        <v>0</v>
      </c>
      <c r="E723" s="34" t="str">
        <f>IFERROR(VLOOKUP(B723,'SAÍDA DE VENDAS'!$B$6:$P$500,5,FALSE),"")</f>
        <v/>
      </c>
      <c r="F723" s="34" t="str">
        <f>IF(OR(ISBLANK(B723),B723=""), "", IFERROR(INDEX('SAÍDA DE VENDAS'!$H$6:$H$500 &amp; "x " &amp; 'SAÍDA DE VENDAS'!$G$6:$G$500, MATCH(B723, 'SAÍDA DE VENDAS'!$B$6:$B$500, 0)), "")&amp; IF(COUNTIF('SAÍDA DE VENDAS'!$B$6:$B$500, B723)&gt;1, " + " &amp; IFERROR(INDEX('SAÍDA DE VENDAS'!$H$6:$H$500 &amp; "x " &amp; 'SAÍDA DE VENDAS'!$G$6:$G$500, MATCH(B723, 'SAÍDA DE VENDAS'!$B$6:$B$500, 0)+1), ""), "")&amp; IF(COUNTIF('SAÍDA DE VENDAS'!$B$6:$B$500, B723)&gt;2, " + " &amp; IFERROR(INDEX('SAÍDA DE VENDAS'!$H$6:$H$500 &amp; "x " &amp; 'SAÍDA DE VENDAS'!$G$6:$G$500, MATCH(B723, 'SAÍDA DE VENDAS'!$B$6:$B$500, 0)+2), ""), "")&amp; IF(COUNTIF('SAÍDA DE VENDAS'!$B$6:$B$500, B723)&gt;3, " + " &amp; IFERROR(INDEX('SAÍDA DE VENDAS'!$H$6:$H$500 &amp; "x " &amp; 'SAÍDA DE VENDAS'!$G$6:$G$500, MATCH(B723, 'SAÍDA DE VENDAS'!$B$6:$B$500, 0)+3), ""), "")&amp; IF(COUNTIF('SAÍDA DE VENDAS'!$B$6:$B$500, B723)&gt;4, " + " &amp; IFERROR(INDEX('SAÍDA DE VENDAS'!$H$6:$H$500 &amp; "x " &amp; 'SAÍDA DE VENDAS'!$G$6:$G$500, MATCH(B723, 'SAÍDA DE VENDAS'!$B$6:$B$500, 0)+4), ""), "")&amp; IF(COUNTIF('SAÍDA DE VENDAS'!$B$6:$B$500, B723)&gt;5, " + " &amp; IFERROR(INDEX('SAÍDA DE VENDAS'!$H$6:$H$500 &amp; "x " &amp; 'SAÍDA DE VENDAS'!$G$6:$G$500, MATCH(B723, 'SAÍDA DE VENDAS'!$B$6:$B$500, 0)+5), ""), ""))</f>
        <v/>
      </c>
      <c r="G723" s="34">
        <f>IFERROR(VLOOKUP(B723,'SAÍDA DE VENDAS'!$B$6:$P$500,10,FALSE),"")</f>
        <v>0</v>
      </c>
      <c r="H723" s="34" t="str">
        <f>IF(OR(ISBLANK(B723),B723=""), "", IF(B723=B722, (VALUE(LEFT(H722,FIND("/",H722)-1))+1)&amp;"/"&amp;RIGHT(H722,LEN(H722)-FIND("/",H722)), "1/"&amp;IFERROR(VLOOKUP(B723,'SAÍDA DE VENDAS'!$B$6:$P$500,13,FALSE),"1")))</f>
        <v/>
      </c>
      <c r="I723" s="35" t="str">
        <f t="shared" si="22"/>
        <v/>
      </c>
      <c r="J723" s="39" t="str">
        <f>IFERROR(VLOOKUP(B723,'SAÍDA DE VENDAS'!$B$6:$P$500,15,FALSE),"")</f>
        <v/>
      </c>
      <c r="K723" s="34" t="str">
        <f t="shared" ca="1" si="23"/>
        <v/>
      </c>
      <c r="L723" s="34"/>
      <c r="M723" s="34"/>
    </row>
    <row r="724" spans="2:13" ht="15" customHeight="1" x14ac:dyDescent="0.3">
      <c r="B724" s="28" t="str">
        <f>IF(B723="","", IF(VALUE(LEFT(H723,FIND("/",H723)-1)) &lt; VALUE(RIGHT(H723,LEN(H723)-FIND("/",H723))), B723, IFERROR(INDEX('SAÍDA DE VENDAS'!$B$6:$B$500, MATCH(B723,'SAÍDA DE VENDAS'!$B$6:$B$500,0)+COUNTIF('SAÍDA DE VENDAS'!$B$6:$B$500, B723)),"")))</f>
        <v/>
      </c>
      <c r="C724" s="29">
        <f>IFERROR(VLOOKUP(B724,'SAÍDA DE VENDAS'!$B$6:$P$500,3,FALSE),"")</f>
        <v>0</v>
      </c>
      <c r="D724" s="28">
        <f>IFERROR(VLOOKUP(B724,'SAÍDA DE VENDAS'!$B$6:$P$500,4,FALSE),"")</f>
        <v>0</v>
      </c>
      <c r="E724" s="28" t="str">
        <f>IFERROR(VLOOKUP(B724,'SAÍDA DE VENDAS'!$B$6:$P$500,5,FALSE),"")</f>
        <v/>
      </c>
      <c r="F724" s="28" t="str">
        <f>IF(OR(ISBLANK(B724),B724=""), "", IFERROR(INDEX('SAÍDA DE VENDAS'!$H$6:$H$500 &amp; "x " &amp; 'SAÍDA DE VENDAS'!$G$6:$G$500, MATCH(B724, 'SAÍDA DE VENDAS'!$B$6:$B$500, 0)), "")&amp; IF(COUNTIF('SAÍDA DE VENDAS'!$B$6:$B$500, B724)&gt;1, " + " &amp; IFERROR(INDEX('SAÍDA DE VENDAS'!$H$6:$H$500 &amp; "x " &amp; 'SAÍDA DE VENDAS'!$G$6:$G$500, MATCH(B724, 'SAÍDA DE VENDAS'!$B$6:$B$500, 0)+1), ""), "")&amp; IF(COUNTIF('SAÍDA DE VENDAS'!$B$6:$B$500, B724)&gt;2, " + " &amp; IFERROR(INDEX('SAÍDA DE VENDAS'!$H$6:$H$500 &amp; "x " &amp; 'SAÍDA DE VENDAS'!$G$6:$G$500, MATCH(B724, 'SAÍDA DE VENDAS'!$B$6:$B$500, 0)+2), ""), "")&amp; IF(COUNTIF('SAÍDA DE VENDAS'!$B$6:$B$500, B724)&gt;3, " + " &amp; IFERROR(INDEX('SAÍDA DE VENDAS'!$H$6:$H$500 &amp; "x " &amp; 'SAÍDA DE VENDAS'!$G$6:$G$500, MATCH(B724, 'SAÍDA DE VENDAS'!$B$6:$B$500, 0)+3), ""), "")&amp; IF(COUNTIF('SAÍDA DE VENDAS'!$B$6:$B$500, B724)&gt;4, " + " &amp; IFERROR(INDEX('SAÍDA DE VENDAS'!$H$6:$H$500 &amp; "x " &amp; 'SAÍDA DE VENDAS'!$G$6:$G$500, MATCH(B724, 'SAÍDA DE VENDAS'!$B$6:$B$500, 0)+4), ""), "")&amp; IF(COUNTIF('SAÍDA DE VENDAS'!$B$6:$B$500, B724)&gt;5, " + " &amp; IFERROR(INDEX('SAÍDA DE VENDAS'!$H$6:$H$500 &amp; "x " &amp; 'SAÍDA DE VENDAS'!$G$6:$G$500, MATCH(B724, 'SAÍDA DE VENDAS'!$B$6:$B$500, 0)+5), ""), ""))</f>
        <v/>
      </c>
      <c r="G724" s="28">
        <f>IFERROR(VLOOKUP(B724,'SAÍDA DE VENDAS'!$B$6:$P$500,10,FALSE),"")</f>
        <v>0</v>
      </c>
      <c r="H724" s="28" t="str">
        <f>IF(OR(ISBLANK(B724),B724=""), "", IF(B724=B723, (VALUE(LEFT(H723,FIND("/",H723)-1))+1)&amp;"/"&amp;RIGHT(H723,LEN(H723)-FIND("/",H723)), "1/"&amp;IFERROR(VLOOKUP(B724,'SAÍDA DE VENDAS'!$B$6:$P$500,13,FALSE),"1")))</f>
        <v/>
      </c>
      <c r="I724" s="69" t="str">
        <f t="shared" si="22"/>
        <v/>
      </c>
      <c r="J724" s="33" t="str">
        <f>IFERROR(VLOOKUP(B724,'SAÍDA DE VENDAS'!$B$6:$P$500,15,FALSE),"")</f>
        <v/>
      </c>
      <c r="K724" s="28" t="str">
        <f t="shared" ca="1" si="23"/>
        <v/>
      </c>
      <c r="L724" s="28"/>
      <c r="M724" s="28"/>
    </row>
    <row r="725" spans="2:13" ht="15" customHeight="1" x14ac:dyDescent="0.3">
      <c r="B725" s="34" t="str">
        <f>IF(B724="","", IF(VALUE(LEFT(H724,FIND("/",H724)-1)) &lt; VALUE(RIGHT(H724,LEN(H724)-FIND("/",H724))), B724, IFERROR(INDEX('SAÍDA DE VENDAS'!$B$6:$B$500, MATCH(B724,'SAÍDA DE VENDAS'!$B$6:$B$500,0)+COUNTIF('SAÍDA DE VENDAS'!$B$6:$B$500, B724)),"")))</f>
        <v/>
      </c>
      <c r="C725" s="35">
        <f>IFERROR(VLOOKUP(B725,'SAÍDA DE VENDAS'!$B$6:$P$500,3,FALSE),"")</f>
        <v>0</v>
      </c>
      <c r="D725" s="34">
        <f>IFERROR(VLOOKUP(B725,'SAÍDA DE VENDAS'!$B$6:$P$500,4,FALSE),"")</f>
        <v>0</v>
      </c>
      <c r="E725" s="34" t="str">
        <f>IFERROR(VLOOKUP(B725,'SAÍDA DE VENDAS'!$B$6:$P$500,5,FALSE),"")</f>
        <v/>
      </c>
      <c r="F725" s="34" t="str">
        <f>IF(OR(ISBLANK(B725),B725=""), "", IFERROR(INDEX('SAÍDA DE VENDAS'!$H$6:$H$500 &amp; "x " &amp; 'SAÍDA DE VENDAS'!$G$6:$G$500, MATCH(B725, 'SAÍDA DE VENDAS'!$B$6:$B$500, 0)), "")&amp; IF(COUNTIF('SAÍDA DE VENDAS'!$B$6:$B$500, B725)&gt;1, " + " &amp; IFERROR(INDEX('SAÍDA DE VENDAS'!$H$6:$H$500 &amp; "x " &amp; 'SAÍDA DE VENDAS'!$G$6:$G$500, MATCH(B725, 'SAÍDA DE VENDAS'!$B$6:$B$500, 0)+1), ""), "")&amp; IF(COUNTIF('SAÍDA DE VENDAS'!$B$6:$B$500, B725)&gt;2, " + " &amp; IFERROR(INDEX('SAÍDA DE VENDAS'!$H$6:$H$500 &amp; "x " &amp; 'SAÍDA DE VENDAS'!$G$6:$G$500, MATCH(B725, 'SAÍDA DE VENDAS'!$B$6:$B$500, 0)+2), ""), "")&amp; IF(COUNTIF('SAÍDA DE VENDAS'!$B$6:$B$500, B725)&gt;3, " + " &amp; IFERROR(INDEX('SAÍDA DE VENDAS'!$H$6:$H$500 &amp; "x " &amp; 'SAÍDA DE VENDAS'!$G$6:$G$500, MATCH(B725, 'SAÍDA DE VENDAS'!$B$6:$B$500, 0)+3), ""), "")&amp; IF(COUNTIF('SAÍDA DE VENDAS'!$B$6:$B$500, B725)&gt;4, " + " &amp; IFERROR(INDEX('SAÍDA DE VENDAS'!$H$6:$H$500 &amp; "x " &amp; 'SAÍDA DE VENDAS'!$G$6:$G$500, MATCH(B725, 'SAÍDA DE VENDAS'!$B$6:$B$500, 0)+4), ""), "")&amp; IF(COUNTIF('SAÍDA DE VENDAS'!$B$6:$B$500, B725)&gt;5, " + " &amp; IFERROR(INDEX('SAÍDA DE VENDAS'!$H$6:$H$500 &amp; "x " &amp; 'SAÍDA DE VENDAS'!$G$6:$G$500, MATCH(B725, 'SAÍDA DE VENDAS'!$B$6:$B$500, 0)+5), ""), ""))</f>
        <v/>
      </c>
      <c r="G725" s="34">
        <f>IFERROR(VLOOKUP(B725,'SAÍDA DE VENDAS'!$B$6:$P$500,10,FALSE),"")</f>
        <v>0</v>
      </c>
      <c r="H725" s="34" t="str">
        <f>IF(OR(ISBLANK(B725),B725=""), "", IF(B725=B724, (VALUE(LEFT(H724,FIND("/",H724)-1))+1)&amp;"/"&amp;RIGHT(H724,LEN(H724)-FIND("/",H724)), "1/"&amp;IFERROR(VLOOKUP(B725,'SAÍDA DE VENDAS'!$B$6:$P$500,13,FALSE),"1")))</f>
        <v/>
      </c>
      <c r="I725" s="35" t="str">
        <f t="shared" si="22"/>
        <v/>
      </c>
      <c r="J725" s="39" t="str">
        <f>IFERROR(VLOOKUP(B725,'SAÍDA DE VENDAS'!$B$6:$P$500,15,FALSE),"")</f>
        <v/>
      </c>
      <c r="K725" s="34" t="str">
        <f t="shared" ca="1" si="23"/>
        <v/>
      </c>
      <c r="L725" s="34"/>
      <c r="M725" s="34"/>
    </row>
    <row r="726" spans="2:13" ht="15" customHeight="1" x14ac:dyDescent="0.3">
      <c r="B726" s="28" t="str">
        <f>IF(B725="","", IF(VALUE(LEFT(H725,FIND("/",H725)-1)) &lt; VALUE(RIGHT(H725,LEN(H725)-FIND("/",H725))), B725, IFERROR(INDEX('SAÍDA DE VENDAS'!$B$6:$B$500, MATCH(B725,'SAÍDA DE VENDAS'!$B$6:$B$500,0)+COUNTIF('SAÍDA DE VENDAS'!$B$6:$B$500, B725)),"")))</f>
        <v/>
      </c>
      <c r="C726" s="29">
        <f>IFERROR(VLOOKUP(B726,'SAÍDA DE VENDAS'!$B$6:$P$500,3,FALSE),"")</f>
        <v>0</v>
      </c>
      <c r="D726" s="28">
        <f>IFERROR(VLOOKUP(B726,'SAÍDA DE VENDAS'!$B$6:$P$500,4,FALSE),"")</f>
        <v>0</v>
      </c>
      <c r="E726" s="28" t="str">
        <f>IFERROR(VLOOKUP(B726,'SAÍDA DE VENDAS'!$B$6:$P$500,5,FALSE),"")</f>
        <v/>
      </c>
      <c r="F726" s="28" t="str">
        <f>IF(OR(ISBLANK(B726),B726=""), "", IFERROR(INDEX('SAÍDA DE VENDAS'!$H$6:$H$500 &amp; "x " &amp; 'SAÍDA DE VENDAS'!$G$6:$G$500, MATCH(B726, 'SAÍDA DE VENDAS'!$B$6:$B$500, 0)), "")&amp; IF(COUNTIF('SAÍDA DE VENDAS'!$B$6:$B$500, B726)&gt;1, " + " &amp; IFERROR(INDEX('SAÍDA DE VENDAS'!$H$6:$H$500 &amp; "x " &amp; 'SAÍDA DE VENDAS'!$G$6:$G$500, MATCH(B726, 'SAÍDA DE VENDAS'!$B$6:$B$500, 0)+1), ""), "")&amp; IF(COUNTIF('SAÍDA DE VENDAS'!$B$6:$B$500, B726)&gt;2, " + " &amp; IFERROR(INDEX('SAÍDA DE VENDAS'!$H$6:$H$500 &amp; "x " &amp; 'SAÍDA DE VENDAS'!$G$6:$G$500, MATCH(B726, 'SAÍDA DE VENDAS'!$B$6:$B$500, 0)+2), ""), "")&amp; IF(COUNTIF('SAÍDA DE VENDAS'!$B$6:$B$500, B726)&gt;3, " + " &amp; IFERROR(INDEX('SAÍDA DE VENDAS'!$H$6:$H$500 &amp; "x " &amp; 'SAÍDA DE VENDAS'!$G$6:$G$500, MATCH(B726, 'SAÍDA DE VENDAS'!$B$6:$B$500, 0)+3), ""), "")&amp; IF(COUNTIF('SAÍDA DE VENDAS'!$B$6:$B$500, B726)&gt;4, " + " &amp; IFERROR(INDEX('SAÍDA DE VENDAS'!$H$6:$H$500 &amp; "x " &amp; 'SAÍDA DE VENDAS'!$G$6:$G$500, MATCH(B726, 'SAÍDA DE VENDAS'!$B$6:$B$500, 0)+4), ""), "")&amp; IF(COUNTIF('SAÍDA DE VENDAS'!$B$6:$B$500, B726)&gt;5, " + " &amp; IFERROR(INDEX('SAÍDA DE VENDAS'!$H$6:$H$500 &amp; "x " &amp; 'SAÍDA DE VENDAS'!$G$6:$G$500, MATCH(B726, 'SAÍDA DE VENDAS'!$B$6:$B$500, 0)+5), ""), ""))</f>
        <v/>
      </c>
      <c r="G726" s="28">
        <f>IFERROR(VLOOKUP(B726,'SAÍDA DE VENDAS'!$B$6:$P$500,10,FALSE),"")</f>
        <v>0</v>
      </c>
      <c r="H726" s="28" t="str">
        <f>IF(OR(ISBLANK(B726),B726=""), "", IF(B726=B725, (VALUE(LEFT(H725,FIND("/",H725)-1))+1)&amp;"/"&amp;RIGHT(H725,LEN(H725)-FIND("/",H725)), "1/"&amp;IFERROR(VLOOKUP(B726,'SAÍDA DE VENDAS'!$B$6:$P$500,13,FALSE),"1")))</f>
        <v/>
      </c>
      <c r="I726" s="69" t="str">
        <f t="shared" si="22"/>
        <v/>
      </c>
      <c r="J726" s="33" t="str">
        <f>IFERROR(VLOOKUP(B726,'SAÍDA DE VENDAS'!$B$6:$P$500,15,FALSE),"")</f>
        <v/>
      </c>
      <c r="K726" s="28" t="str">
        <f t="shared" ca="1" si="23"/>
        <v/>
      </c>
      <c r="L726" s="28"/>
      <c r="M726" s="28"/>
    </row>
    <row r="727" spans="2:13" ht="15" customHeight="1" x14ac:dyDescent="0.3">
      <c r="B727" s="34" t="str">
        <f>IF(B726="","", IF(VALUE(LEFT(H726,FIND("/",H726)-1)) &lt; VALUE(RIGHT(H726,LEN(H726)-FIND("/",H726))), B726, IFERROR(INDEX('SAÍDA DE VENDAS'!$B$6:$B$500, MATCH(B726,'SAÍDA DE VENDAS'!$B$6:$B$500,0)+COUNTIF('SAÍDA DE VENDAS'!$B$6:$B$500, B726)),"")))</f>
        <v/>
      </c>
      <c r="C727" s="35">
        <f>IFERROR(VLOOKUP(B727,'SAÍDA DE VENDAS'!$B$6:$P$500,3,FALSE),"")</f>
        <v>0</v>
      </c>
      <c r="D727" s="34">
        <f>IFERROR(VLOOKUP(B727,'SAÍDA DE VENDAS'!$B$6:$P$500,4,FALSE),"")</f>
        <v>0</v>
      </c>
      <c r="E727" s="34" t="str">
        <f>IFERROR(VLOOKUP(B727,'SAÍDA DE VENDAS'!$B$6:$P$500,5,FALSE),"")</f>
        <v/>
      </c>
      <c r="F727" s="34" t="str">
        <f>IF(OR(ISBLANK(B727),B727=""), "", IFERROR(INDEX('SAÍDA DE VENDAS'!$H$6:$H$500 &amp; "x " &amp; 'SAÍDA DE VENDAS'!$G$6:$G$500, MATCH(B727, 'SAÍDA DE VENDAS'!$B$6:$B$500, 0)), "")&amp; IF(COUNTIF('SAÍDA DE VENDAS'!$B$6:$B$500, B727)&gt;1, " + " &amp; IFERROR(INDEX('SAÍDA DE VENDAS'!$H$6:$H$500 &amp; "x " &amp; 'SAÍDA DE VENDAS'!$G$6:$G$500, MATCH(B727, 'SAÍDA DE VENDAS'!$B$6:$B$500, 0)+1), ""), "")&amp; IF(COUNTIF('SAÍDA DE VENDAS'!$B$6:$B$500, B727)&gt;2, " + " &amp; IFERROR(INDEX('SAÍDA DE VENDAS'!$H$6:$H$500 &amp; "x " &amp; 'SAÍDA DE VENDAS'!$G$6:$G$500, MATCH(B727, 'SAÍDA DE VENDAS'!$B$6:$B$500, 0)+2), ""), "")&amp; IF(COUNTIF('SAÍDA DE VENDAS'!$B$6:$B$500, B727)&gt;3, " + " &amp; IFERROR(INDEX('SAÍDA DE VENDAS'!$H$6:$H$500 &amp; "x " &amp; 'SAÍDA DE VENDAS'!$G$6:$G$500, MATCH(B727, 'SAÍDA DE VENDAS'!$B$6:$B$500, 0)+3), ""), "")&amp; IF(COUNTIF('SAÍDA DE VENDAS'!$B$6:$B$500, B727)&gt;4, " + " &amp; IFERROR(INDEX('SAÍDA DE VENDAS'!$H$6:$H$500 &amp; "x " &amp; 'SAÍDA DE VENDAS'!$G$6:$G$500, MATCH(B727, 'SAÍDA DE VENDAS'!$B$6:$B$500, 0)+4), ""), "")&amp; IF(COUNTIF('SAÍDA DE VENDAS'!$B$6:$B$500, B727)&gt;5, " + " &amp; IFERROR(INDEX('SAÍDA DE VENDAS'!$H$6:$H$500 &amp; "x " &amp; 'SAÍDA DE VENDAS'!$G$6:$G$500, MATCH(B727, 'SAÍDA DE VENDAS'!$B$6:$B$500, 0)+5), ""), ""))</f>
        <v/>
      </c>
      <c r="G727" s="34">
        <f>IFERROR(VLOOKUP(B727,'SAÍDA DE VENDAS'!$B$6:$P$500,10,FALSE),"")</f>
        <v>0</v>
      </c>
      <c r="H727" s="34" t="str">
        <f>IF(OR(ISBLANK(B727),B727=""), "", IF(B727=B726, (VALUE(LEFT(H726,FIND("/",H726)-1))+1)&amp;"/"&amp;RIGHT(H726,LEN(H726)-FIND("/",H726)), "1/"&amp;IFERROR(VLOOKUP(B727,'SAÍDA DE VENDAS'!$B$6:$P$500,13,FALSE),"1")))</f>
        <v/>
      </c>
      <c r="I727" s="35" t="str">
        <f t="shared" si="22"/>
        <v/>
      </c>
      <c r="J727" s="39" t="str">
        <f>IFERROR(VLOOKUP(B727,'SAÍDA DE VENDAS'!$B$6:$P$500,15,FALSE),"")</f>
        <v/>
      </c>
      <c r="K727" s="34" t="str">
        <f t="shared" ca="1" si="23"/>
        <v/>
      </c>
      <c r="L727" s="34"/>
      <c r="M727" s="34"/>
    </row>
    <row r="728" spans="2:13" ht="15" customHeight="1" x14ac:dyDescent="0.3">
      <c r="B728" s="28" t="str">
        <f>IF(B727="","", IF(VALUE(LEFT(H727,FIND("/",H727)-1)) &lt; VALUE(RIGHT(H727,LEN(H727)-FIND("/",H727))), B727, IFERROR(INDEX('SAÍDA DE VENDAS'!$B$6:$B$500, MATCH(B727,'SAÍDA DE VENDAS'!$B$6:$B$500,0)+COUNTIF('SAÍDA DE VENDAS'!$B$6:$B$500, B727)),"")))</f>
        <v/>
      </c>
      <c r="C728" s="29">
        <f>IFERROR(VLOOKUP(B728,'SAÍDA DE VENDAS'!$B$6:$P$500,3,FALSE),"")</f>
        <v>0</v>
      </c>
      <c r="D728" s="28">
        <f>IFERROR(VLOOKUP(B728,'SAÍDA DE VENDAS'!$B$6:$P$500,4,FALSE),"")</f>
        <v>0</v>
      </c>
      <c r="E728" s="28" t="str">
        <f>IFERROR(VLOOKUP(B728,'SAÍDA DE VENDAS'!$B$6:$P$500,5,FALSE),"")</f>
        <v/>
      </c>
      <c r="F728" s="28" t="str">
        <f>IF(OR(ISBLANK(B728),B728=""), "", IFERROR(INDEX('SAÍDA DE VENDAS'!$H$6:$H$500 &amp; "x " &amp; 'SAÍDA DE VENDAS'!$G$6:$G$500, MATCH(B728, 'SAÍDA DE VENDAS'!$B$6:$B$500, 0)), "")&amp; IF(COUNTIF('SAÍDA DE VENDAS'!$B$6:$B$500, B728)&gt;1, " + " &amp; IFERROR(INDEX('SAÍDA DE VENDAS'!$H$6:$H$500 &amp; "x " &amp; 'SAÍDA DE VENDAS'!$G$6:$G$500, MATCH(B728, 'SAÍDA DE VENDAS'!$B$6:$B$500, 0)+1), ""), "")&amp; IF(COUNTIF('SAÍDA DE VENDAS'!$B$6:$B$500, B728)&gt;2, " + " &amp; IFERROR(INDEX('SAÍDA DE VENDAS'!$H$6:$H$500 &amp; "x " &amp; 'SAÍDA DE VENDAS'!$G$6:$G$500, MATCH(B728, 'SAÍDA DE VENDAS'!$B$6:$B$500, 0)+2), ""), "")&amp; IF(COUNTIF('SAÍDA DE VENDAS'!$B$6:$B$500, B728)&gt;3, " + " &amp; IFERROR(INDEX('SAÍDA DE VENDAS'!$H$6:$H$500 &amp; "x " &amp; 'SAÍDA DE VENDAS'!$G$6:$G$500, MATCH(B728, 'SAÍDA DE VENDAS'!$B$6:$B$500, 0)+3), ""), "")&amp; IF(COUNTIF('SAÍDA DE VENDAS'!$B$6:$B$500, B728)&gt;4, " + " &amp; IFERROR(INDEX('SAÍDA DE VENDAS'!$H$6:$H$500 &amp; "x " &amp; 'SAÍDA DE VENDAS'!$G$6:$G$500, MATCH(B728, 'SAÍDA DE VENDAS'!$B$6:$B$500, 0)+4), ""), "")&amp; IF(COUNTIF('SAÍDA DE VENDAS'!$B$6:$B$500, B728)&gt;5, " + " &amp; IFERROR(INDEX('SAÍDA DE VENDAS'!$H$6:$H$500 &amp; "x " &amp; 'SAÍDA DE VENDAS'!$G$6:$G$500, MATCH(B728, 'SAÍDA DE VENDAS'!$B$6:$B$500, 0)+5), ""), ""))</f>
        <v/>
      </c>
      <c r="G728" s="28">
        <f>IFERROR(VLOOKUP(B728,'SAÍDA DE VENDAS'!$B$6:$P$500,10,FALSE),"")</f>
        <v>0</v>
      </c>
      <c r="H728" s="28" t="str">
        <f>IF(OR(ISBLANK(B728),B728=""), "", IF(B728=B727, (VALUE(LEFT(H727,FIND("/",H727)-1))+1)&amp;"/"&amp;RIGHT(H727,LEN(H727)-FIND("/",H727)), "1/"&amp;IFERROR(VLOOKUP(B728,'SAÍDA DE VENDAS'!$B$6:$P$500,13,FALSE),"1")))</f>
        <v/>
      </c>
      <c r="I728" s="69" t="str">
        <f t="shared" si="22"/>
        <v/>
      </c>
      <c r="J728" s="33" t="str">
        <f>IFERROR(VLOOKUP(B728,'SAÍDA DE VENDAS'!$B$6:$P$500,15,FALSE),"")</f>
        <v/>
      </c>
      <c r="K728" s="28" t="str">
        <f t="shared" ca="1" si="23"/>
        <v/>
      </c>
      <c r="L728" s="28"/>
      <c r="M728" s="28"/>
    </row>
    <row r="729" spans="2:13" ht="15" customHeight="1" x14ac:dyDescent="0.3">
      <c r="B729" s="34" t="str">
        <f>IF(B728="","", IF(VALUE(LEFT(H728,FIND("/",H728)-1)) &lt; VALUE(RIGHT(H728,LEN(H728)-FIND("/",H728))), B728, IFERROR(INDEX('SAÍDA DE VENDAS'!$B$6:$B$500, MATCH(B728,'SAÍDA DE VENDAS'!$B$6:$B$500,0)+COUNTIF('SAÍDA DE VENDAS'!$B$6:$B$500, B728)),"")))</f>
        <v/>
      </c>
      <c r="C729" s="35">
        <f>IFERROR(VLOOKUP(B729,'SAÍDA DE VENDAS'!$B$6:$P$500,3,FALSE),"")</f>
        <v>0</v>
      </c>
      <c r="D729" s="34">
        <f>IFERROR(VLOOKUP(B729,'SAÍDA DE VENDAS'!$B$6:$P$500,4,FALSE),"")</f>
        <v>0</v>
      </c>
      <c r="E729" s="34" t="str">
        <f>IFERROR(VLOOKUP(B729,'SAÍDA DE VENDAS'!$B$6:$P$500,5,FALSE),"")</f>
        <v/>
      </c>
      <c r="F729" s="34" t="str">
        <f>IF(OR(ISBLANK(B729),B729=""), "", IFERROR(INDEX('SAÍDA DE VENDAS'!$H$6:$H$500 &amp; "x " &amp; 'SAÍDA DE VENDAS'!$G$6:$G$500, MATCH(B729, 'SAÍDA DE VENDAS'!$B$6:$B$500, 0)), "")&amp; IF(COUNTIF('SAÍDA DE VENDAS'!$B$6:$B$500, B729)&gt;1, " + " &amp; IFERROR(INDEX('SAÍDA DE VENDAS'!$H$6:$H$500 &amp; "x " &amp; 'SAÍDA DE VENDAS'!$G$6:$G$500, MATCH(B729, 'SAÍDA DE VENDAS'!$B$6:$B$500, 0)+1), ""), "")&amp; IF(COUNTIF('SAÍDA DE VENDAS'!$B$6:$B$500, B729)&gt;2, " + " &amp; IFERROR(INDEX('SAÍDA DE VENDAS'!$H$6:$H$500 &amp; "x " &amp; 'SAÍDA DE VENDAS'!$G$6:$G$500, MATCH(B729, 'SAÍDA DE VENDAS'!$B$6:$B$500, 0)+2), ""), "")&amp; IF(COUNTIF('SAÍDA DE VENDAS'!$B$6:$B$500, B729)&gt;3, " + " &amp; IFERROR(INDEX('SAÍDA DE VENDAS'!$H$6:$H$500 &amp; "x " &amp; 'SAÍDA DE VENDAS'!$G$6:$G$500, MATCH(B729, 'SAÍDA DE VENDAS'!$B$6:$B$500, 0)+3), ""), "")&amp; IF(COUNTIF('SAÍDA DE VENDAS'!$B$6:$B$500, B729)&gt;4, " + " &amp; IFERROR(INDEX('SAÍDA DE VENDAS'!$H$6:$H$500 &amp; "x " &amp; 'SAÍDA DE VENDAS'!$G$6:$G$500, MATCH(B729, 'SAÍDA DE VENDAS'!$B$6:$B$500, 0)+4), ""), "")&amp; IF(COUNTIF('SAÍDA DE VENDAS'!$B$6:$B$500, B729)&gt;5, " + " &amp; IFERROR(INDEX('SAÍDA DE VENDAS'!$H$6:$H$500 &amp; "x " &amp; 'SAÍDA DE VENDAS'!$G$6:$G$500, MATCH(B729, 'SAÍDA DE VENDAS'!$B$6:$B$500, 0)+5), ""), ""))</f>
        <v/>
      </c>
      <c r="G729" s="34">
        <f>IFERROR(VLOOKUP(B729,'SAÍDA DE VENDAS'!$B$6:$P$500,10,FALSE),"")</f>
        <v>0</v>
      </c>
      <c r="H729" s="34" t="str">
        <f>IF(OR(ISBLANK(B729),B729=""), "", IF(B729=B728, (VALUE(LEFT(H728,FIND("/",H728)-1))+1)&amp;"/"&amp;RIGHT(H728,LEN(H728)-FIND("/",H728)), "1/"&amp;IFERROR(VLOOKUP(B729,'SAÍDA DE VENDAS'!$B$6:$P$500,13,FALSE),"1")))</f>
        <v/>
      </c>
      <c r="I729" s="35" t="str">
        <f t="shared" si="22"/>
        <v/>
      </c>
      <c r="J729" s="39" t="str">
        <f>IFERROR(VLOOKUP(B729,'SAÍDA DE VENDAS'!$B$6:$P$500,15,FALSE),"")</f>
        <v/>
      </c>
      <c r="K729" s="34" t="str">
        <f t="shared" ca="1" si="23"/>
        <v/>
      </c>
      <c r="L729" s="34"/>
      <c r="M729" s="34"/>
    </row>
    <row r="730" spans="2:13" ht="15" customHeight="1" x14ac:dyDescent="0.3">
      <c r="B730" s="28" t="str">
        <f>IF(B729="","", IF(VALUE(LEFT(H729,FIND("/",H729)-1)) &lt; VALUE(RIGHT(H729,LEN(H729)-FIND("/",H729))), B729, IFERROR(INDEX('SAÍDA DE VENDAS'!$B$6:$B$500, MATCH(B729,'SAÍDA DE VENDAS'!$B$6:$B$500,0)+COUNTIF('SAÍDA DE VENDAS'!$B$6:$B$500, B729)),"")))</f>
        <v/>
      </c>
      <c r="C730" s="29">
        <f>IFERROR(VLOOKUP(B730,'SAÍDA DE VENDAS'!$B$6:$P$500,3,FALSE),"")</f>
        <v>0</v>
      </c>
      <c r="D730" s="28">
        <f>IFERROR(VLOOKUP(B730,'SAÍDA DE VENDAS'!$B$6:$P$500,4,FALSE),"")</f>
        <v>0</v>
      </c>
      <c r="E730" s="28" t="str">
        <f>IFERROR(VLOOKUP(B730,'SAÍDA DE VENDAS'!$B$6:$P$500,5,FALSE),"")</f>
        <v/>
      </c>
      <c r="F730" s="28" t="str">
        <f>IF(OR(ISBLANK(B730),B730=""), "", IFERROR(INDEX('SAÍDA DE VENDAS'!$H$6:$H$500 &amp; "x " &amp; 'SAÍDA DE VENDAS'!$G$6:$G$500, MATCH(B730, 'SAÍDA DE VENDAS'!$B$6:$B$500, 0)), "")&amp; IF(COUNTIF('SAÍDA DE VENDAS'!$B$6:$B$500, B730)&gt;1, " + " &amp; IFERROR(INDEX('SAÍDA DE VENDAS'!$H$6:$H$500 &amp; "x " &amp; 'SAÍDA DE VENDAS'!$G$6:$G$500, MATCH(B730, 'SAÍDA DE VENDAS'!$B$6:$B$500, 0)+1), ""), "")&amp; IF(COUNTIF('SAÍDA DE VENDAS'!$B$6:$B$500, B730)&gt;2, " + " &amp; IFERROR(INDEX('SAÍDA DE VENDAS'!$H$6:$H$500 &amp; "x " &amp; 'SAÍDA DE VENDAS'!$G$6:$G$500, MATCH(B730, 'SAÍDA DE VENDAS'!$B$6:$B$500, 0)+2), ""), "")&amp; IF(COUNTIF('SAÍDA DE VENDAS'!$B$6:$B$500, B730)&gt;3, " + " &amp; IFERROR(INDEX('SAÍDA DE VENDAS'!$H$6:$H$500 &amp; "x " &amp; 'SAÍDA DE VENDAS'!$G$6:$G$500, MATCH(B730, 'SAÍDA DE VENDAS'!$B$6:$B$500, 0)+3), ""), "")&amp; IF(COUNTIF('SAÍDA DE VENDAS'!$B$6:$B$500, B730)&gt;4, " + " &amp; IFERROR(INDEX('SAÍDA DE VENDAS'!$H$6:$H$500 &amp; "x " &amp; 'SAÍDA DE VENDAS'!$G$6:$G$500, MATCH(B730, 'SAÍDA DE VENDAS'!$B$6:$B$500, 0)+4), ""), "")&amp; IF(COUNTIF('SAÍDA DE VENDAS'!$B$6:$B$500, B730)&gt;5, " + " &amp; IFERROR(INDEX('SAÍDA DE VENDAS'!$H$6:$H$500 &amp; "x " &amp; 'SAÍDA DE VENDAS'!$G$6:$G$500, MATCH(B730, 'SAÍDA DE VENDAS'!$B$6:$B$500, 0)+5), ""), ""))</f>
        <v/>
      </c>
      <c r="G730" s="28">
        <f>IFERROR(VLOOKUP(B730,'SAÍDA DE VENDAS'!$B$6:$P$500,10,FALSE),"")</f>
        <v>0</v>
      </c>
      <c r="H730" s="28" t="str">
        <f>IF(OR(ISBLANK(B730),B730=""), "", IF(B730=B729, (VALUE(LEFT(H729,FIND("/",H729)-1))+1)&amp;"/"&amp;RIGHT(H729,LEN(H729)-FIND("/",H729)), "1/"&amp;IFERROR(VLOOKUP(B730,'SAÍDA DE VENDAS'!$B$6:$P$500,13,FALSE),"1")))</f>
        <v/>
      </c>
      <c r="I730" s="69" t="str">
        <f t="shared" si="22"/>
        <v/>
      </c>
      <c r="J730" s="33" t="str">
        <f>IFERROR(VLOOKUP(B730,'SAÍDA DE VENDAS'!$B$6:$P$500,15,FALSE),"")</f>
        <v/>
      </c>
      <c r="K730" s="28" t="str">
        <f t="shared" ca="1" si="23"/>
        <v/>
      </c>
      <c r="L730" s="28"/>
      <c r="M730" s="28"/>
    </row>
    <row r="731" spans="2:13" ht="15" customHeight="1" x14ac:dyDescent="0.3">
      <c r="B731" s="34" t="str">
        <f>IF(B730="","", IF(VALUE(LEFT(H730,FIND("/",H730)-1)) &lt; VALUE(RIGHT(H730,LEN(H730)-FIND("/",H730))), B730, IFERROR(INDEX('SAÍDA DE VENDAS'!$B$6:$B$500, MATCH(B730,'SAÍDA DE VENDAS'!$B$6:$B$500,0)+COUNTIF('SAÍDA DE VENDAS'!$B$6:$B$500, B730)),"")))</f>
        <v/>
      </c>
      <c r="C731" s="35">
        <f>IFERROR(VLOOKUP(B731,'SAÍDA DE VENDAS'!$B$6:$P$500,3,FALSE),"")</f>
        <v>0</v>
      </c>
      <c r="D731" s="34">
        <f>IFERROR(VLOOKUP(B731,'SAÍDA DE VENDAS'!$B$6:$P$500,4,FALSE),"")</f>
        <v>0</v>
      </c>
      <c r="E731" s="34" t="str">
        <f>IFERROR(VLOOKUP(B731,'SAÍDA DE VENDAS'!$B$6:$P$500,5,FALSE),"")</f>
        <v/>
      </c>
      <c r="F731" s="34" t="str">
        <f>IF(OR(ISBLANK(B731),B731=""), "", IFERROR(INDEX('SAÍDA DE VENDAS'!$H$6:$H$500 &amp; "x " &amp; 'SAÍDA DE VENDAS'!$G$6:$G$500, MATCH(B731, 'SAÍDA DE VENDAS'!$B$6:$B$500, 0)), "")&amp; IF(COUNTIF('SAÍDA DE VENDAS'!$B$6:$B$500, B731)&gt;1, " + " &amp; IFERROR(INDEX('SAÍDA DE VENDAS'!$H$6:$H$500 &amp; "x " &amp; 'SAÍDA DE VENDAS'!$G$6:$G$500, MATCH(B731, 'SAÍDA DE VENDAS'!$B$6:$B$500, 0)+1), ""), "")&amp; IF(COUNTIF('SAÍDA DE VENDAS'!$B$6:$B$500, B731)&gt;2, " + " &amp; IFERROR(INDEX('SAÍDA DE VENDAS'!$H$6:$H$500 &amp; "x " &amp; 'SAÍDA DE VENDAS'!$G$6:$G$500, MATCH(B731, 'SAÍDA DE VENDAS'!$B$6:$B$500, 0)+2), ""), "")&amp; IF(COUNTIF('SAÍDA DE VENDAS'!$B$6:$B$500, B731)&gt;3, " + " &amp; IFERROR(INDEX('SAÍDA DE VENDAS'!$H$6:$H$500 &amp; "x " &amp; 'SAÍDA DE VENDAS'!$G$6:$G$500, MATCH(B731, 'SAÍDA DE VENDAS'!$B$6:$B$500, 0)+3), ""), "")&amp; IF(COUNTIF('SAÍDA DE VENDAS'!$B$6:$B$500, B731)&gt;4, " + " &amp; IFERROR(INDEX('SAÍDA DE VENDAS'!$H$6:$H$500 &amp; "x " &amp; 'SAÍDA DE VENDAS'!$G$6:$G$500, MATCH(B731, 'SAÍDA DE VENDAS'!$B$6:$B$500, 0)+4), ""), "")&amp; IF(COUNTIF('SAÍDA DE VENDAS'!$B$6:$B$500, B731)&gt;5, " + " &amp; IFERROR(INDEX('SAÍDA DE VENDAS'!$H$6:$H$500 &amp; "x " &amp; 'SAÍDA DE VENDAS'!$G$6:$G$500, MATCH(B731, 'SAÍDA DE VENDAS'!$B$6:$B$500, 0)+5), ""), ""))</f>
        <v/>
      </c>
      <c r="G731" s="34">
        <f>IFERROR(VLOOKUP(B731,'SAÍDA DE VENDAS'!$B$6:$P$500,10,FALSE),"")</f>
        <v>0</v>
      </c>
      <c r="H731" s="34" t="str">
        <f>IF(OR(ISBLANK(B731),B731=""), "", IF(B731=B730, (VALUE(LEFT(H730,FIND("/",H730)-1))+1)&amp;"/"&amp;RIGHT(H730,LEN(H730)-FIND("/",H730)), "1/"&amp;IFERROR(VLOOKUP(B731,'SAÍDA DE VENDAS'!$B$6:$P$500,13,FALSE),"1")))</f>
        <v/>
      </c>
      <c r="I731" s="35" t="str">
        <f t="shared" si="22"/>
        <v/>
      </c>
      <c r="J731" s="39" t="str">
        <f>IFERROR(VLOOKUP(B731,'SAÍDA DE VENDAS'!$B$6:$P$500,15,FALSE),"")</f>
        <v/>
      </c>
      <c r="K731" s="34" t="str">
        <f t="shared" ca="1" si="23"/>
        <v/>
      </c>
      <c r="L731" s="34"/>
      <c r="M731" s="34"/>
    </row>
    <row r="732" spans="2:13" ht="15" customHeight="1" x14ac:dyDescent="0.3">
      <c r="B732" s="28" t="str">
        <f>IF(B731="","", IF(VALUE(LEFT(H731,FIND("/",H731)-1)) &lt; VALUE(RIGHT(H731,LEN(H731)-FIND("/",H731))), B731, IFERROR(INDEX('SAÍDA DE VENDAS'!$B$6:$B$500, MATCH(B731,'SAÍDA DE VENDAS'!$B$6:$B$500,0)+COUNTIF('SAÍDA DE VENDAS'!$B$6:$B$500, B731)),"")))</f>
        <v/>
      </c>
      <c r="C732" s="29">
        <f>IFERROR(VLOOKUP(B732,'SAÍDA DE VENDAS'!$B$6:$P$500,3,FALSE),"")</f>
        <v>0</v>
      </c>
      <c r="D732" s="28">
        <f>IFERROR(VLOOKUP(B732,'SAÍDA DE VENDAS'!$B$6:$P$500,4,FALSE),"")</f>
        <v>0</v>
      </c>
      <c r="E732" s="28" t="str">
        <f>IFERROR(VLOOKUP(B732,'SAÍDA DE VENDAS'!$B$6:$P$500,5,FALSE),"")</f>
        <v/>
      </c>
      <c r="F732" s="28" t="str">
        <f>IF(OR(ISBLANK(B732),B732=""), "", IFERROR(INDEX('SAÍDA DE VENDAS'!$H$6:$H$500 &amp; "x " &amp; 'SAÍDA DE VENDAS'!$G$6:$G$500, MATCH(B732, 'SAÍDA DE VENDAS'!$B$6:$B$500, 0)), "")&amp; IF(COUNTIF('SAÍDA DE VENDAS'!$B$6:$B$500, B732)&gt;1, " + " &amp; IFERROR(INDEX('SAÍDA DE VENDAS'!$H$6:$H$500 &amp; "x " &amp; 'SAÍDA DE VENDAS'!$G$6:$G$500, MATCH(B732, 'SAÍDA DE VENDAS'!$B$6:$B$500, 0)+1), ""), "")&amp; IF(COUNTIF('SAÍDA DE VENDAS'!$B$6:$B$500, B732)&gt;2, " + " &amp; IFERROR(INDEX('SAÍDA DE VENDAS'!$H$6:$H$500 &amp; "x " &amp; 'SAÍDA DE VENDAS'!$G$6:$G$500, MATCH(B732, 'SAÍDA DE VENDAS'!$B$6:$B$500, 0)+2), ""), "")&amp; IF(COUNTIF('SAÍDA DE VENDAS'!$B$6:$B$500, B732)&gt;3, " + " &amp; IFERROR(INDEX('SAÍDA DE VENDAS'!$H$6:$H$500 &amp; "x " &amp; 'SAÍDA DE VENDAS'!$G$6:$G$500, MATCH(B732, 'SAÍDA DE VENDAS'!$B$6:$B$500, 0)+3), ""), "")&amp; IF(COUNTIF('SAÍDA DE VENDAS'!$B$6:$B$500, B732)&gt;4, " + " &amp; IFERROR(INDEX('SAÍDA DE VENDAS'!$H$6:$H$500 &amp; "x " &amp; 'SAÍDA DE VENDAS'!$G$6:$G$500, MATCH(B732, 'SAÍDA DE VENDAS'!$B$6:$B$500, 0)+4), ""), "")&amp; IF(COUNTIF('SAÍDA DE VENDAS'!$B$6:$B$500, B732)&gt;5, " + " &amp; IFERROR(INDEX('SAÍDA DE VENDAS'!$H$6:$H$500 &amp; "x " &amp; 'SAÍDA DE VENDAS'!$G$6:$G$500, MATCH(B732, 'SAÍDA DE VENDAS'!$B$6:$B$500, 0)+5), ""), ""))</f>
        <v/>
      </c>
      <c r="G732" s="28">
        <f>IFERROR(VLOOKUP(B732,'SAÍDA DE VENDAS'!$B$6:$P$500,10,FALSE),"")</f>
        <v>0</v>
      </c>
      <c r="H732" s="28" t="str">
        <f>IF(OR(ISBLANK(B732),B732=""), "", IF(B732=B731, (VALUE(LEFT(H731,FIND("/",H731)-1))+1)&amp;"/"&amp;RIGHT(H731,LEN(H731)-FIND("/",H731)), "1/"&amp;IFERROR(VLOOKUP(B732,'SAÍDA DE VENDAS'!$B$6:$P$500,13,FALSE),"1")))</f>
        <v/>
      </c>
      <c r="I732" s="69" t="str">
        <f t="shared" si="22"/>
        <v/>
      </c>
      <c r="J732" s="33" t="str">
        <f>IFERROR(VLOOKUP(B732,'SAÍDA DE VENDAS'!$B$6:$P$500,15,FALSE),"")</f>
        <v/>
      </c>
      <c r="K732" s="28" t="str">
        <f t="shared" ca="1" si="23"/>
        <v/>
      </c>
      <c r="L732" s="28"/>
      <c r="M732" s="28"/>
    </row>
    <row r="733" spans="2:13" ht="15" customHeight="1" x14ac:dyDescent="0.3">
      <c r="B733" s="34" t="str">
        <f>IF(B732="","", IF(VALUE(LEFT(H732,FIND("/",H732)-1)) &lt; VALUE(RIGHT(H732,LEN(H732)-FIND("/",H732))), B732, IFERROR(INDEX('SAÍDA DE VENDAS'!$B$6:$B$500, MATCH(B732,'SAÍDA DE VENDAS'!$B$6:$B$500,0)+COUNTIF('SAÍDA DE VENDAS'!$B$6:$B$500, B732)),"")))</f>
        <v/>
      </c>
      <c r="C733" s="35">
        <f>IFERROR(VLOOKUP(B733,'SAÍDA DE VENDAS'!$B$6:$P$500,3,FALSE),"")</f>
        <v>0</v>
      </c>
      <c r="D733" s="34">
        <f>IFERROR(VLOOKUP(B733,'SAÍDA DE VENDAS'!$B$6:$P$500,4,FALSE),"")</f>
        <v>0</v>
      </c>
      <c r="E733" s="34" t="str">
        <f>IFERROR(VLOOKUP(B733,'SAÍDA DE VENDAS'!$B$6:$P$500,5,FALSE),"")</f>
        <v/>
      </c>
      <c r="F733" s="34" t="str">
        <f>IF(OR(ISBLANK(B733),B733=""), "", IFERROR(INDEX('SAÍDA DE VENDAS'!$H$6:$H$500 &amp; "x " &amp; 'SAÍDA DE VENDAS'!$G$6:$G$500, MATCH(B733, 'SAÍDA DE VENDAS'!$B$6:$B$500, 0)), "")&amp; IF(COUNTIF('SAÍDA DE VENDAS'!$B$6:$B$500, B733)&gt;1, " + " &amp; IFERROR(INDEX('SAÍDA DE VENDAS'!$H$6:$H$500 &amp; "x " &amp; 'SAÍDA DE VENDAS'!$G$6:$G$500, MATCH(B733, 'SAÍDA DE VENDAS'!$B$6:$B$500, 0)+1), ""), "")&amp; IF(COUNTIF('SAÍDA DE VENDAS'!$B$6:$B$500, B733)&gt;2, " + " &amp; IFERROR(INDEX('SAÍDA DE VENDAS'!$H$6:$H$500 &amp; "x " &amp; 'SAÍDA DE VENDAS'!$G$6:$G$500, MATCH(B733, 'SAÍDA DE VENDAS'!$B$6:$B$500, 0)+2), ""), "")&amp; IF(COUNTIF('SAÍDA DE VENDAS'!$B$6:$B$500, B733)&gt;3, " + " &amp; IFERROR(INDEX('SAÍDA DE VENDAS'!$H$6:$H$500 &amp; "x " &amp; 'SAÍDA DE VENDAS'!$G$6:$G$500, MATCH(B733, 'SAÍDA DE VENDAS'!$B$6:$B$500, 0)+3), ""), "")&amp; IF(COUNTIF('SAÍDA DE VENDAS'!$B$6:$B$500, B733)&gt;4, " + " &amp; IFERROR(INDEX('SAÍDA DE VENDAS'!$H$6:$H$500 &amp; "x " &amp; 'SAÍDA DE VENDAS'!$G$6:$G$500, MATCH(B733, 'SAÍDA DE VENDAS'!$B$6:$B$500, 0)+4), ""), "")&amp; IF(COUNTIF('SAÍDA DE VENDAS'!$B$6:$B$500, B733)&gt;5, " + " &amp; IFERROR(INDEX('SAÍDA DE VENDAS'!$H$6:$H$500 &amp; "x " &amp; 'SAÍDA DE VENDAS'!$G$6:$G$500, MATCH(B733, 'SAÍDA DE VENDAS'!$B$6:$B$500, 0)+5), ""), ""))</f>
        <v/>
      </c>
      <c r="G733" s="34">
        <f>IFERROR(VLOOKUP(B733,'SAÍDA DE VENDAS'!$B$6:$P$500,10,FALSE),"")</f>
        <v>0</v>
      </c>
      <c r="H733" s="34" t="str">
        <f>IF(OR(ISBLANK(B733),B733=""), "", IF(B733=B732, (VALUE(LEFT(H732,FIND("/",H732)-1))+1)&amp;"/"&amp;RIGHT(H732,LEN(H732)-FIND("/",H732)), "1/"&amp;IFERROR(VLOOKUP(B733,'SAÍDA DE VENDAS'!$B$6:$P$500,13,FALSE),"1")))</f>
        <v/>
      </c>
      <c r="I733" s="35" t="str">
        <f t="shared" si="22"/>
        <v/>
      </c>
      <c r="J733" s="39" t="str">
        <f>IFERROR(VLOOKUP(B733,'SAÍDA DE VENDAS'!$B$6:$P$500,15,FALSE),"")</f>
        <v/>
      </c>
      <c r="K733" s="34" t="str">
        <f t="shared" ca="1" si="23"/>
        <v/>
      </c>
      <c r="L733" s="34"/>
      <c r="M733" s="34"/>
    </row>
    <row r="734" spans="2:13" ht="15" customHeight="1" x14ac:dyDescent="0.3">
      <c r="B734" s="28" t="str">
        <f>IF(B733="","", IF(VALUE(LEFT(H733,FIND("/",H733)-1)) &lt; VALUE(RIGHT(H733,LEN(H733)-FIND("/",H733))), B733, IFERROR(INDEX('SAÍDA DE VENDAS'!$B$6:$B$500, MATCH(B733,'SAÍDA DE VENDAS'!$B$6:$B$500,0)+COUNTIF('SAÍDA DE VENDAS'!$B$6:$B$500, B733)),"")))</f>
        <v/>
      </c>
      <c r="C734" s="29">
        <f>IFERROR(VLOOKUP(B734,'SAÍDA DE VENDAS'!$B$6:$P$500,3,FALSE),"")</f>
        <v>0</v>
      </c>
      <c r="D734" s="28">
        <f>IFERROR(VLOOKUP(B734,'SAÍDA DE VENDAS'!$B$6:$P$500,4,FALSE),"")</f>
        <v>0</v>
      </c>
      <c r="E734" s="28" t="str">
        <f>IFERROR(VLOOKUP(B734,'SAÍDA DE VENDAS'!$B$6:$P$500,5,FALSE),"")</f>
        <v/>
      </c>
      <c r="F734" s="28" t="str">
        <f>IF(OR(ISBLANK(B734),B734=""), "", IFERROR(INDEX('SAÍDA DE VENDAS'!$H$6:$H$500 &amp; "x " &amp; 'SAÍDA DE VENDAS'!$G$6:$G$500, MATCH(B734, 'SAÍDA DE VENDAS'!$B$6:$B$500, 0)), "")&amp; IF(COUNTIF('SAÍDA DE VENDAS'!$B$6:$B$500, B734)&gt;1, " + " &amp; IFERROR(INDEX('SAÍDA DE VENDAS'!$H$6:$H$500 &amp; "x " &amp; 'SAÍDA DE VENDAS'!$G$6:$G$500, MATCH(B734, 'SAÍDA DE VENDAS'!$B$6:$B$500, 0)+1), ""), "")&amp; IF(COUNTIF('SAÍDA DE VENDAS'!$B$6:$B$500, B734)&gt;2, " + " &amp; IFERROR(INDEX('SAÍDA DE VENDAS'!$H$6:$H$500 &amp; "x " &amp; 'SAÍDA DE VENDAS'!$G$6:$G$500, MATCH(B734, 'SAÍDA DE VENDAS'!$B$6:$B$500, 0)+2), ""), "")&amp; IF(COUNTIF('SAÍDA DE VENDAS'!$B$6:$B$500, B734)&gt;3, " + " &amp; IFERROR(INDEX('SAÍDA DE VENDAS'!$H$6:$H$500 &amp; "x " &amp; 'SAÍDA DE VENDAS'!$G$6:$G$500, MATCH(B734, 'SAÍDA DE VENDAS'!$B$6:$B$500, 0)+3), ""), "")&amp; IF(COUNTIF('SAÍDA DE VENDAS'!$B$6:$B$500, B734)&gt;4, " + " &amp; IFERROR(INDEX('SAÍDA DE VENDAS'!$H$6:$H$500 &amp; "x " &amp; 'SAÍDA DE VENDAS'!$G$6:$G$500, MATCH(B734, 'SAÍDA DE VENDAS'!$B$6:$B$500, 0)+4), ""), "")&amp; IF(COUNTIF('SAÍDA DE VENDAS'!$B$6:$B$500, B734)&gt;5, " + " &amp; IFERROR(INDEX('SAÍDA DE VENDAS'!$H$6:$H$500 &amp; "x " &amp; 'SAÍDA DE VENDAS'!$G$6:$G$500, MATCH(B734, 'SAÍDA DE VENDAS'!$B$6:$B$500, 0)+5), ""), ""))</f>
        <v/>
      </c>
      <c r="G734" s="28">
        <f>IFERROR(VLOOKUP(B734,'SAÍDA DE VENDAS'!$B$6:$P$500,10,FALSE),"")</f>
        <v>0</v>
      </c>
      <c r="H734" s="28" t="str">
        <f>IF(OR(ISBLANK(B734),B734=""), "", IF(B734=B733, (VALUE(LEFT(H733,FIND("/",H733)-1))+1)&amp;"/"&amp;RIGHT(H733,LEN(H733)-FIND("/",H733)), "1/"&amp;IFERROR(VLOOKUP(B734,'SAÍDA DE VENDAS'!$B$6:$P$500,13,FALSE),"1")))</f>
        <v/>
      </c>
      <c r="I734" s="69" t="str">
        <f t="shared" si="22"/>
        <v/>
      </c>
      <c r="J734" s="33" t="str">
        <f>IFERROR(VLOOKUP(B734,'SAÍDA DE VENDAS'!$B$6:$P$500,15,FALSE),"")</f>
        <v/>
      </c>
      <c r="K734" s="28" t="str">
        <f t="shared" ca="1" si="23"/>
        <v/>
      </c>
      <c r="L734" s="28"/>
      <c r="M734" s="28"/>
    </row>
    <row r="735" spans="2:13" ht="15" customHeight="1" x14ac:dyDescent="0.3">
      <c r="B735" s="34" t="str">
        <f>IF(B734="","", IF(VALUE(LEFT(H734,FIND("/",H734)-1)) &lt; VALUE(RIGHT(H734,LEN(H734)-FIND("/",H734))), B734, IFERROR(INDEX('SAÍDA DE VENDAS'!$B$6:$B$500, MATCH(B734,'SAÍDA DE VENDAS'!$B$6:$B$500,0)+COUNTIF('SAÍDA DE VENDAS'!$B$6:$B$500, B734)),"")))</f>
        <v/>
      </c>
      <c r="C735" s="35">
        <f>IFERROR(VLOOKUP(B735,'SAÍDA DE VENDAS'!$B$6:$P$500,3,FALSE),"")</f>
        <v>0</v>
      </c>
      <c r="D735" s="34">
        <f>IFERROR(VLOOKUP(B735,'SAÍDA DE VENDAS'!$B$6:$P$500,4,FALSE),"")</f>
        <v>0</v>
      </c>
      <c r="E735" s="34" t="str">
        <f>IFERROR(VLOOKUP(B735,'SAÍDA DE VENDAS'!$B$6:$P$500,5,FALSE),"")</f>
        <v/>
      </c>
      <c r="F735" s="34" t="str">
        <f>IF(OR(ISBLANK(B735),B735=""), "", IFERROR(INDEX('SAÍDA DE VENDAS'!$H$6:$H$500 &amp; "x " &amp; 'SAÍDA DE VENDAS'!$G$6:$G$500, MATCH(B735, 'SAÍDA DE VENDAS'!$B$6:$B$500, 0)), "")&amp; IF(COUNTIF('SAÍDA DE VENDAS'!$B$6:$B$500, B735)&gt;1, " + " &amp; IFERROR(INDEX('SAÍDA DE VENDAS'!$H$6:$H$500 &amp; "x " &amp; 'SAÍDA DE VENDAS'!$G$6:$G$500, MATCH(B735, 'SAÍDA DE VENDAS'!$B$6:$B$500, 0)+1), ""), "")&amp; IF(COUNTIF('SAÍDA DE VENDAS'!$B$6:$B$500, B735)&gt;2, " + " &amp; IFERROR(INDEX('SAÍDA DE VENDAS'!$H$6:$H$500 &amp; "x " &amp; 'SAÍDA DE VENDAS'!$G$6:$G$500, MATCH(B735, 'SAÍDA DE VENDAS'!$B$6:$B$500, 0)+2), ""), "")&amp; IF(COUNTIF('SAÍDA DE VENDAS'!$B$6:$B$500, B735)&gt;3, " + " &amp; IFERROR(INDEX('SAÍDA DE VENDAS'!$H$6:$H$500 &amp; "x " &amp; 'SAÍDA DE VENDAS'!$G$6:$G$500, MATCH(B735, 'SAÍDA DE VENDAS'!$B$6:$B$500, 0)+3), ""), "")&amp; IF(COUNTIF('SAÍDA DE VENDAS'!$B$6:$B$500, B735)&gt;4, " + " &amp; IFERROR(INDEX('SAÍDA DE VENDAS'!$H$6:$H$500 &amp; "x " &amp; 'SAÍDA DE VENDAS'!$G$6:$G$500, MATCH(B735, 'SAÍDA DE VENDAS'!$B$6:$B$500, 0)+4), ""), "")&amp; IF(COUNTIF('SAÍDA DE VENDAS'!$B$6:$B$500, B735)&gt;5, " + " &amp; IFERROR(INDEX('SAÍDA DE VENDAS'!$H$6:$H$500 &amp; "x " &amp; 'SAÍDA DE VENDAS'!$G$6:$G$500, MATCH(B735, 'SAÍDA DE VENDAS'!$B$6:$B$500, 0)+5), ""), ""))</f>
        <v/>
      </c>
      <c r="G735" s="34">
        <f>IFERROR(VLOOKUP(B735,'SAÍDA DE VENDAS'!$B$6:$P$500,10,FALSE),"")</f>
        <v>0</v>
      </c>
      <c r="H735" s="34" t="str">
        <f>IF(OR(ISBLANK(B735),B735=""), "", IF(B735=B734, (VALUE(LEFT(H734,FIND("/",H734)-1))+1)&amp;"/"&amp;RIGHT(H734,LEN(H734)-FIND("/",H734)), "1/"&amp;IFERROR(VLOOKUP(B735,'SAÍDA DE VENDAS'!$B$6:$P$500,13,FALSE),"1")))</f>
        <v/>
      </c>
      <c r="I735" s="35" t="str">
        <f t="shared" si="22"/>
        <v/>
      </c>
      <c r="J735" s="39" t="str">
        <f>IFERROR(VLOOKUP(B735,'SAÍDA DE VENDAS'!$B$6:$P$500,15,FALSE),"")</f>
        <v/>
      </c>
      <c r="K735" s="34" t="str">
        <f t="shared" ca="1" si="23"/>
        <v/>
      </c>
      <c r="L735" s="34"/>
      <c r="M735" s="34"/>
    </row>
    <row r="736" spans="2:13" ht="15" customHeight="1" x14ac:dyDescent="0.3">
      <c r="B736" s="28" t="str">
        <f>IF(B735="","", IF(VALUE(LEFT(H735,FIND("/",H735)-1)) &lt; VALUE(RIGHT(H735,LEN(H735)-FIND("/",H735))), B735, IFERROR(INDEX('SAÍDA DE VENDAS'!$B$6:$B$500, MATCH(B735,'SAÍDA DE VENDAS'!$B$6:$B$500,0)+COUNTIF('SAÍDA DE VENDAS'!$B$6:$B$500, B735)),"")))</f>
        <v/>
      </c>
      <c r="C736" s="29">
        <f>IFERROR(VLOOKUP(B736,'SAÍDA DE VENDAS'!$B$6:$P$500,3,FALSE),"")</f>
        <v>0</v>
      </c>
      <c r="D736" s="28">
        <f>IFERROR(VLOOKUP(B736,'SAÍDA DE VENDAS'!$B$6:$P$500,4,FALSE),"")</f>
        <v>0</v>
      </c>
      <c r="E736" s="28" t="str">
        <f>IFERROR(VLOOKUP(B736,'SAÍDA DE VENDAS'!$B$6:$P$500,5,FALSE),"")</f>
        <v/>
      </c>
      <c r="F736" s="28" t="str">
        <f>IF(OR(ISBLANK(B736),B736=""), "", IFERROR(INDEX('SAÍDA DE VENDAS'!$H$6:$H$500 &amp; "x " &amp; 'SAÍDA DE VENDAS'!$G$6:$G$500, MATCH(B736, 'SAÍDA DE VENDAS'!$B$6:$B$500, 0)), "")&amp; IF(COUNTIF('SAÍDA DE VENDAS'!$B$6:$B$500, B736)&gt;1, " + " &amp; IFERROR(INDEX('SAÍDA DE VENDAS'!$H$6:$H$500 &amp; "x " &amp; 'SAÍDA DE VENDAS'!$G$6:$G$500, MATCH(B736, 'SAÍDA DE VENDAS'!$B$6:$B$500, 0)+1), ""), "")&amp; IF(COUNTIF('SAÍDA DE VENDAS'!$B$6:$B$500, B736)&gt;2, " + " &amp; IFERROR(INDEX('SAÍDA DE VENDAS'!$H$6:$H$500 &amp; "x " &amp; 'SAÍDA DE VENDAS'!$G$6:$G$500, MATCH(B736, 'SAÍDA DE VENDAS'!$B$6:$B$500, 0)+2), ""), "")&amp; IF(COUNTIF('SAÍDA DE VENDAS'!$B$6:$B$500, B736)&gt;3, " + " &amp; IFERROR(INDEX('SAÍDA DE VENDAS'!$H$6:$H$500 &amp; "x " &amp; 'SAÍDA DE VENDAS'!$G$6:$G$500, MATCH(B736, 'SAÍDA DE VENDAS'!$B$6:$B$500, 0)+3), ""), "")&amp; IF(COUNTIF('SAÍDA DE VENDAS'!$B$6:$B$500, B736)&gt;4, " + " &amp; IFERROR(INDEX('SAÍDA DE VENDAS'!$H$6:$H$500 &amp; "x " &amp; 'SAÍDA DE VENDAS'!$G$6:$G$500, MATCH(B736, 'SAÍDA DE VENDAS'!$B$6:$B$500, 0)+4), ""), "")&amp; IF(COUNTIF('SAÍDA DE VENDAS'!$B$6:$B$500, B736)&gt;5, " + " &amp; IFERROR(INDEX('SAÍDA DE VENDAS'!$H$6:$H$500 &amp; "x " &amp; 'SAÍDA DE VENDAS'!$G$6:$G$500, MATCH(B736, 'SAÍDA DE VENDAS'!$B$6:$B$500, 0)+5), ""), ""))</f>
        <v/>
      </c>
      <c r="G736" s="28">
        <f>IFERROR(VLOOKUP(B736,'SAÍDA DE VENDAS'!$B$6:$P$500,10,FALSE),"")</f>
        <v>0</v>
      </c>
      <c r="H736" s="28" t="str">
        <f>IF(OR(ISBLANK(B736),B736=""), "", IF(B736=B735, (VALUE(LEFT(H735,FIND("/",H735)-1))+1)&amp;"/"&amp;RIGHT(H735,LEN(H735)-FIND("/",H735)), "1/"&amp;IFERROR(VLOOKUP(B736,'SAÍDA DE VENDAS'!$B$6:$P$500,13,FALSE),"1")))</f>
        <v/>
      </c>
      <c r="I736" s="69" t="str">
        <f t="shared" si="22"/>
        <v/>
      </c>
      <c r="J736" s="33" t="str">
        <f>IFERROR(VLOOKUP(B736,'SAÍDA DE VENDAS'!$B$6:$P$500,15,FALSE),"")</f>
        <v/>
      </c>
      <c r="K736" s="28" t="str">
        <f t="shared" ca="1" si="23"/>
        <v/>
      </c>
      <c r="L736" s="28"/>
      <c r="M736" s="28"/>
    </row>
    <row r="737" spans="2:13" ht="15" customHeight="1" x14ac:dyDescent="0.3">
      <c r="B737" s="34" t="str">
        <f>IF(B736="","", IF(VALUE(LEFT(H736,FIND("/",H736)-1)) &lt; VALUE(RIGHT(H736,LEN(H736)-FIND("/",H736))), B736, IFERROR(INDEX('SAÍDA DE VENDAS'!$B$6:$B$500, MATCH(B736,'SAÍDA DE VENDAS'!$B$6:$B$500,0)+COUNTIF('SAÍDA DE VENDAS'!$B$6:$B$500, B736)),"")))</f>
        <v/>
      </c>
      <c r="C737" s="35">
        <f>IFERROR(VLOOKUP(B737,'SAÍDA DE VENDAS'!$B$6:$P$500,3,FALSE),"")</f>
        <v>0</v>
      </c>
      <c r="D737" s="34">
        <f>IFERROR(VLOOKUP(B737,'SAÍDA DE VENDAS'!$B$6:$P$500,4,FALSE),"")</f>
        <v>0</v>
      </c>
      <c r="E737" s="34" t="str">
        <f>IFERROR(VLOOKUP(B737,'SAÍDA DE VENDAS'!$B$6:$P$500,5,FALSE),"")</f>
        <v/>
      </c>
      <c r="F737" s="34" t="str">
        <f>IF(OR(ISBLANK(B737),B737=""), "", IFERROR(INDEX('SAÍDA DE VENDAS'!$H$6:$H$500 &amp; "x " &amp; 'SAÍDA DE VENDAS'!$G$6:$G$500, MATCH(B737, 'SAÍDA DE VENDAS'!$B$6:$B$500, 0)), "")&amp; IF(COUNTIF('SAÍDA DE VENDAS'!$B$6:$B$500, B737)&gt;1, " + " &amp; IFERROR(INDEX('SAÍDA DE VENDAS'!$H$6:$H$500 &amp; "x " &amp; 'SAÍDA DE VENDAS'!$G$6:$G$500, MATCH(B737, 'SAÍDA DE VENDAS'!$B$6:$B$500, 0)+1), ""), "")&amp; IF(COUNTIF('SAÍDA DE VENDAS'!$B$6:$B$500, B737)&gt;2, " + " &amp; IFERROR(INDEX('SAÍDA DE VENDAS'!$H$6:$H$500 &amp; "x " &amp; 'SAÍDA DE VENDAS'!$G$6:$G$500, MATCH(B737, 'SAÍDA DE VENDAS'!$B$6:$B$500, 0)+2), ""), "")&amp; IF(COUNTIF('SAÍDA DE VENDAS'!$B$6:$B$500, B737)&gt;3, " + " &amp; IFERROR(INDEX('SAÍDA DE VENDAS'!$H$6:$H$500 &amp; "x " &amp; 'SAÍDA DE VENDAS'!$G$6:$G$500, MATCH(B737, 'SAÍDA DE VENDAS'!$B$6:$B$500, 0)+3), ""), "")&amp; IF(COUNTIF('SAÍDA DE VENDAS'!$B$6:$B$500, B737)&gt;4, " + " &amp; IFERROR(INDEX('SAÍDA DE VENDAS'!$H$6:$H$500 &amp; "x " &amp; 'SAÍDA DE VENDAS'!$G$6:$G$500, MATCH(B737, 'SAÍDA DE VENDAS'!$B$6:$B$500, 0)+4), ""), "")&amp; IF(COUNTIF('SAÍDA DE VENDAS'!$B$6:$B$500, B737)&gt;5, " + " &amp; IFERROR(INDEX('SAÍDA DE VENDAS'!$H$6:$H$500 &amp; "x " &amp; 'SAÍDA DE VENDAS'!$G$6:$G$500, MATCH(B737, 'SAÍDA DE VENDAS'!$B$6:$B$500, 0)+5), ""), ""))</f>
        <v/>
      </c>
      <c r="G737" s="34">
        <f>IFERROR(VLOOKUP(B737,'SAÍDA DE VENDAS'!$B$6:$P$500,10,FALSE),"")</f>
        <v>0</v>
      </c>
      <c r="H737" s="34" t="str">
        <f>IF(OR(ISBLANK(B737),B737=""), "", IF(B737=B736, (VALUE(LEFT(H736,FIND("/",H736)-1))+1)&amp;"/"&amp;RIGHT(H736,LEN(H736)-FIND("/",H736)), "1/"&amp;IFERROR(VLOOKUP(B737,'SAÍDA DE VENDAS'!$B$6:$P$500,13,FALSE),"1")))</f>
        <v/>
      </c>
      <c r="I737" s="35" t="str">
        <f t="shared" si="22"/>
        <v/>
      </c>
      <c r="J737" s="39" t="str">
        <f>IFERROR(VLOOKUP(B737,'SAÍDA DE VENDAS'!$B$6:$P$500,15,FALSE),"")</f>
        <v/>
      </c>
      <c r="K737" s="34" t="str">
        <f t="shared" ca="1" si="23"/>
        <v/>
      </c>
      <c r="L737" s="34"/>
      <c r="M737" s="34"/>
    </row>
    <row r="738" spans="2:13" ht="15" customHeight="1" x14ac:dyDescent="0.3">
      <c r="B738" s="28" t="str">
        <f>IF(B737="","", IF(VALUE(LEFT(H737,FIND("/",H737)-1)) &lt; VALUE(RIGHT(H737,LEN(H737)-FIND("/",H737))), B737, IFERROR(INDEX('SAÍDA DE VENDAS'!$B$6:$B$500, MATCH(B737,'SAÍDA DE VENDAS'!$B$6:$B$500,0)+COUNTIF('SAÍDA DE VENDAS'!$B$6:$B$500, B737)),"")))</f>
        <v/>
      </c>
      <c r="C738" s="29">
        <f>IFERROR(VLOOKUP(B738,'SAÍDA DE VENDAS'!$B$6:$P$500,3,FALSE),"")</f>
        <v>0</v>
      </c>
      <c r="D738" s="28">
        <f>IFERROR(VLOOKUP(B738,'SAÍDA DE VENDAS'!$B$6:$P$500,4,FALSE),"")</f>
        <v>0</v>
      </c>
      <c r="E738" s="28" t="str">
        <f>IFERROR(VLOOKUP(B738,'SAÍDA DE VENDAS'!$B$6:$P$500,5,FALSE),"")</f>
        <v/>
      </c>
      <c r="F738" s="28" t="str">
        <f>IF(OR(ISBLANK(B738),B738=""), "", IFERROR(INDEX('SAÍDA DE VENDAS'!$H$6:$H$500 &amp; "x " &amp; 'SAÍDA DE VENDAS'!$G$6:$G$500, MATCH(B738, 'SAÍDA DE VENDAS'!$B$6:$B$500, 0)), "")&amp; IF(COUNTIF('SAÍDA DE VENDAS'!$B$6:$B$500, B738)&gt;1, " + " &amp; IFERROR(INDEX('SAÍDA DE VENDAS'!$H$6:$H$500 &amp; "x " &amp; 'SAÍDA DE VENDAS'!$G$6:$G$500, MATCH(B738, 'SAÍDA DE VENDAS'!$B$6:$B$500, 0)+1), ""), "")&amp; IF(COUNTIF('SAÍDA DE VENDAS'!$B$6:$B$500, B738)&gt;2, " + " &amp; IFERROR(INDEX('SAÍDA DE VENDAS'!$H$6:$H$500 &amp; "x " &amp; 'SAÍDA DE VENDAS'!$G$6:$G$500, MATCH(B738, 'SAÍDA DE VENDAS'!$B$6:$B$500, 0)+2), ""), "")&amp; IF(COUNTIF('SAÍDA DE VENDAS'!$B$6:$B$500, B738)&gt;3, " + " &amp; IFERROR(INDEX('SAÍDA DE VENDAS'!$H$6:$H$500 &amp; "x " &amp; 'SAÍDA DE VENDAS'!$G$6:$G$500, MATCH(B738, 'SAÍDA DE VENDAS'!$B$6:$B$500, 0)+3), ""), "")&amp; IF(COUNTIF('SAÍDA DE VENDAS'!$B$6:$B$500, B738)&gt;4, " + " &amp; IFERROR(INDEX('SAÍDA DE VENDAS'!$H$6:$H$500 &amp; "x " &amp; 'SAÍDA DE VENDAS'!$G$6:$G$500, MATCH(B738, 'SAÍDA DE VENDAS'!$B$6:$B$500, 0)+4), ""), "")&amp; IF(COUNTIF('SAÍDA DE VENDAS'!$B$6:$B$500, B738)&gt;5, " + " &amp; IFERROR(INDEX('SAÍDA DE VENDAS'!$H$6:$H$500 &amp; "x " &amp; 'SAÍDA DE VENDAS'!$G$6:$G$500, MATCH(B738, 'SAÍDA DE VENDAS'!$B$6:$B$500, 0)+5), ""), ""))</f>
        <v/>
      </c>
      <c r="G738" s="28">
        <f>IFERROR(VLOOKUP(B738,'SAÍDA DE VENDAS'!$B$6:$P$500,10,FALSE),"")</f>
        <v>0</v>
      </c>
      <c r="H738" s="28" t="str">
        <f>IF(OR(ISBLANK(B738),B738=""), "", IF(B738=B737, (VALUE(LEFT(H737,FIND("/",H737)-1))+1)&amp;"/"&amp;RIGHT(H737,LEN(H737)-FIND("/",H737)), "1/"&amp;IFERROR(VLOOKUP(B738,'SAÍDA DE VENDAS'!$B$6:$P$500,13,FALSE),"1")))</f>
        <v/>
      </c>
      <c r="I738" s="69" t="str">
        <f t="shared" si="22"/>
        <v/>
      </c>
      <c r="J738" s="33" t="str">
        <f>IFERROR(VLOOKUP(B738,'SAÍDA DE VENDAS'!$B$6:$P$500,15,FALSE),"")</f>
        <v/>
      </c>
      <c r="K738" s="28" t="str">
        <f t="shared" ca="1" si="23"/>
        <v/>
      </c>
      <c r="L738" s="28"/>
      <c r="M738" s="28"/>
    </row>
    <row r="739" spans="2:13" ht="15" customHeight="1" x14ac:dyDescent="0.3">
      <c r="B739" s="34" t="str">
        <f>IF(B738="","", IF(VALUE(LEFT(H738,FIND("/",H738)-1)) &lt; VALUE(RIGHT(H738,LEN(H738)-FIND("/",H738))), B738, IFERROR(INDEX('SAÍDA DE VENDAS'!$B$6:$B$500, MATCH(B738,'SAÍDA DE VENDAS'!$B$6:$B$500,0)+COUNTIF('SAÍDA DE VENDAS'!$B$6:$B$500, B738)),"")))</f>
        <v/>
      </c>
      <c r="C739" s="35">
        <f>IFERROR(VLOOKUP(B739,'SAÍDA DE VENDAS'!$B$6:$P$500,3,FALSE),"")</f>
        <v>0</v>
      </c>
      <c r="D739" s="34">
        <f>IFERROR(VLOOKUP(B739,'SAÍDA DE VENDAS'!$B$6:$P$500,4,FALSE),"")</f>
        <v>0</v>
      </c>
      <c r="E739" s="34" t="str">
        <f>IFERROR(VLOOKUP(B739,'SAÍDA DE VENDAS'!$B$6:$P$500,5,FALSE),"")</f>
        <v/>
      </c>
      <c r="F739" s="34" t="str">
        <f>IF(OR(ISBLANK(B739),B739=""), "", IFERROR(INDEX('SAÍDA DE VENDAS'!$H$6:$H$500 &amp; "x " &amp; 'SAÍDA DE VENDAS'!$G$6:$G$500, MATCH(B739, 'SAÍDA DE VENDAS'!$B$6:$B$500, 0)), "")&amp; IF(COUNTIF('SAÍDA DE VENDAS'!$B$6:$B$500, B739)&gt;1, " + " &amp; IFERROR(INDEX('SAÍDA DE VENDAS'!$H$6:$H$500 &amp; "x " &amp; 'SAÍDA DE VENDAS'!$G$6:$G$500, MATCH(B739, 'SAÍDA DE VENDAS'!$B$6:$B$500, 0)+1), ""), "")&amp; IF(COUNTIF('SAÍDA DE VENDAS'!$B$6:$B$500, B739)&gt;2, " + " &amp; IFERROR(INDEX('SAÍDA DE VENDAS'!$H$6:$H$500 &amp; "x " &amp; 'SAÍDA DE VENDAS'!$G$6:$G$500, MATCH(B739, 'SAÍDA DE VENDAS'!$B$6:$B$500, 0)+2), ""), "")&amp; IF(COUNTIF('SAÍDA DE VENDAS'!$B$6:$B$500, B739)&gt;3, " + " &amp; IFERROR(INDEX('SAÍDA DE VENDAS'!$H$6:$H$500 &amp; "x " &amp; 'SAÍDA DE VENDAS'!$G$6:$G$500, MATCH(B739, 'SAÍDA DE VENDAS'!$B$6:$B$500, 0)+3), ""), "")&amp; IF(COUNTIF('SAÍDA DE VENDAS'!$B$6:$B$500, B739)&gt;4, " + " &amp; IFERROR(INDEX('SAÍDA DE VENDAS'!$H$6:$H$500 &amp; "x " &amp; 'SAÍDA DE VENDAS'!$G$6:$G$500, MATCH(B739, 'SAÍDA DE VENDAS'!$B$6:$B$500, 0)+4), ""), "")&amp; IF(COUNTIF('SAÍDA DE VENDAS'!$B$6:$B$500, B739)&gt;5, " + " &amp; IFERROR(INDEX('SAÍDA DE VENDAS'!$H$6:$H$500 &amp; "x " &amp; 'SAÍDA DE VENDAS'!$G$6:$G$500, MATCH(B739, 'SAÍDA DE VENDAS'!$B$6:$B$500, 0)+5), ""), ""))</f>
        <v/>
      </c>
      <c r="G739" s="34">
        <f>IFERROR(VLOOKUP(B739,'SAÍDA DE VENDAS'!$B$6:$P$500,10,FALSE),"")</f>
        <v>0</v>
      </c>
      <c r="H739" s="34" t="str">
        <f>IF(OR(ISBLANK(B739),B739=""), "", IF(B739=B738, (VALUE(LEFT(H738,FIND("/",H738)-1))+1)&amp;"/"&amp;RIGHT(H738,LEN(H738)-FIND("/",H738)), "1/"&amp;IFERROR(VLOOKUP(B739,'SAÍDA DE VENDAS'!$B$6:$P$500,13,FALSE),"1")))</f>
        <v/>
      </c>
      <c r="I739" s="35" t="str">
        <f t="shared" si="22"/>
        <v/>
      </c>
      <c r="J739" s="39" t="str">
        <f>IFERROR(VLOOKUP(B739,'SAÍDA DE VENDAS'!$B$6:$P$500,15,FALSE),"")</f>
        <v/>
      </c>
      <c r="K739" s="34" t="str">
        <f t="shared" ca="1" si="23"/>
        <v/>
      </c>
      <c r="L739" s="34"/>
      <c r="M739" s="34"/>
    </row>
    <row r="740" spans="2:13" ht="15" customHeight="1" x14ac:dyDescent="0.3">
      <c r="B740" s="28" t="str">
        <f>IF(B739="","", IF(VALUE(LEFT(H739,FIND("/",H739)-1)) &lt; VALUE(RIGHT(H739,LEN(H739)-FIND("/",H739))), B739, IFERROR(INDEX('SAÍDA DE VENDAS'!$B$6:$B$500, MATCH(B739,'SAÍDA DE VENDAS'!$B$6:$B$500,0)+COUNTIF('SAÍDA DE VENDAS'!$B$6:$B$500, B739)),"")))</f>
        <v/>
      </c>
      <c r="C740" s="29">
        <f>IFERROR(VLOOKUP(B740,'SAÍDA DE VENDAS'!$B$6:$P$500,3,FALSE),"")</f>
        <v>0</v>
      </c>
      <c r="D740" s="28">
        <f>IFERROR(VLOOKUP(B740,'SAÍDA DE VENDAS'!$B$6:$P$500,4,FALSE),"")</f>
        <v>0</v>
      </c>
      <c r="E740" s="28" t="str">
        <f>IFERROR(VLOOKUP(B740,'SAÍDA DE VENDAS'!$B$6:$P$500,5,FALSE),"")</f>
        <v/>
      </c>
      <c r="F740" s="28" t="str">
        <f>IF(OR(ISBLANK(B740),B740=""), "", IFERROR(INDEX('SAÍDA DE VENDAS'!$H$6:$H$500 &amp; "x " &amp; 'SAÍDA DE VENDAS'!$G$6:$G$500, MATCH(B740, 'SAÍDA DE VENDAS'!$B$6:$B$500, 0)), "")&amp; IF(COUNTIF('SAÍDA DE VENDAS'!$B$6:$B$500, B740)&gt;1, " + " &amp; IFERROR(INDEX('SAÍDA DE VENDAS'!$H$6:$H$500 &amp; "x " &amp; 'SAÍDA DE VENDAS'!$G$6:$G$500, MATCH(B740, 'SAÍDA DE VENDAS'!$B$6:$B$500, 0)+1), ""), "")&amp; IF(COUNTIF('SAÍDA DE VENDAS'!$B$6:$B$500, B740)&gt;2, " + " &amp; IFERROR(INDEX('SAÍDA DE VENDAS'!$H$6:$H$500 &amp; "x " &amp; 'SAÍDA DE VENDAS'!$G$6:$G$500, MATCH(B740, 'SAÍDA DE VENDAS'!$B$6:$B$500, 0)+2), ""), "")&amp; IF(COUNTIF('SAÍDA DE VENDAS'!$B$6:$B$500, B740)&gt;3, " + " &amp; IFERROR(INDEX('SAÍDA DE VENDAS'!$H$6:$H$500 &amp; "x " &amp; 'SAÍDA DE VENDAS'!$G$6:$G$500, MATCH(B740, 'SAÍDA DE VENDAS'!$B$6:$B$500, 0)+3), ""), "")&amp; IF(COUNTIF('SAÍDA DE VENDAS'!$B$6:$B$500, B740)&gt;4, " + " &amp; IFERROR(INDEX('SAÍDA DE VENDAS'!$H$6:$H$500 &amp; "x " &amp; 'SAÍDA DE VENDAS'!$G$6:$G$500, MATCH(B740, 'SAÍDA DE VENDAS'!$B$6:$B$500, 0)+4), ""), "")&amp; IF(COUNTIF('SAÍDA DE VENDAS'!$B$6:$B$500, B740)&gt;5, " + " &amp; IFERROR(INDEX('SAÍDA DE VENDAS'!$H$6:$H$500 &amp; "x " &amp; 'SAÍDA DE VENDAS'!$G$6:$G$500, MATCH(B740, 'SAÍDA DE VENDAS'!$B$6:$B$500, 0)+5), ""), ""))</f>
        <v/>
      </c>
      <c r="G740" s="28">
        <f>IFERROR(VLOOKUP(B740,'SAÍDA DE VENDAS'!$B$6:$P$500,10,FALSE),"")</f>
        <v>0</v>
      </c>
      <c r="H740" s="28" t="str">
        <f>IF(OR(ISBLANK(B740),B740=""), "", IF(B740=B739, (VALUE(LEFT(H739,FIND("/",H739)-1))+1)&amp;"/"&amp;RIGHT(H739,LEN(H739)-FIND("/",H739)), "1/"&amp;IFERROR(VLOOKUP(B740,'SAÍDA DE VENDAS'!$B$6:$P$500,13,FALSE),"1")))</f>
        <v/>
      </c>
      <c r="I740" s="69" t="str">
        <f t="shared" si="22"/>
        <v/>
      </c>
      <c r="J740" s="33" t="str">
        <f>IFERROR(VLOOKUP(B740,'SAÍDA DE VENDAS'!$B$6:$P$500,15,FALSE),"")</f>
        <v/>
      </c>
      <c r="K740" s="28" t="str">
        <f t="shared" ca="1" si="23"/>
        <v/>
      </c>
      <c r="L740" s="28"/>
      <c r="M740" s="28"/>
    </row>
    <row r="741" spans="2:13" ht="15" customHeight="1" x14ac:dyDescent="0.3">
      <c r="B741" s="34" t="str">
        <f>IF(B740="","", IF(VALUE(LEFT(H740,FIND("/",H740)-1)) &lt; VALUE(RIGHT(H740,LEN(H740)-FIND("/",H740))), B740, IFERROR(INDEX('SAÍDA DE VENDAS'!$B$6:$B$500, MATCH(B740,'SAÍDA DE VENDAS'!$B$6:$B$500,0)+COUNTIF('SAÍDA DE VENDAS'!$B$6:$B$500, B740)),"")))</f>
        <v/>
      </c>
      <c r="C741" s="35">
        <f>IFERROR(VLOOKUP(B741,'SAÍDA DE VENDAS'!$B$6:$P$500,3,FALSE),"")</f>
        <v>0</v>
      </c>
      <c r="D741" s="34">
        <f>IFERROR(VLOOKUP(B741,'SAÍDA DE VENDAS'!$B$6:$P$500,4,FALSE),"")</f>
        <v>0</v>
      </c>
      <c r="E741" s="34" t="str">
        <f>IFERROR(VLOOKUP(B741,'SAÍDA DE VENDAS'!$B$6:$P$500,5,FALSE),"")</f>
        <v/>
      </c>
      <c r="F741" s="34" t="str">
        <f>IF(OR(ISBLANK(B741),B741=""), "", IFERROR(INDEX('SAÍDA DE VENDAS'!$H$6:$H$500 &amp; "x " &amp; 'SAÍDA DE VENDAS'!$G$6:$G$500, MATCH(B741, 'SAÍDA DE VENDAS'!$B$6:$B$500, 0)), "")&amp; IF(COUNTIF('SAÍDA DE VENDAS'!$B$6:$B$500, B741)&gt;1, " + " &amp; IFERROR(INDEX('SAÍDA DE VENDAS'!$H$6:$H$500 &amp; "x " &amp; 'SAÍDA DE VENDAS'!$G$6:$G$500, MATCH(B741, 'SAÍDA DE VENDAS'!$B$6:$B$500, 0)+1), ""), "")&amp; IF(COUNTIF('SAÍDA DE VENDAS'!$B$6:$B$500, B741)&gt;2, " + " &amp; IFERROR(INDEX('SAÍDA DE VENDAS'!$H$6:$H$500 &amp; "x " &amp; 'SAÍDA DE VENDAS'!$G$6:$G$500, MATCH(B741, 'SAÍDA DE VENDAS'!$B$6:$B$500, 0)+2), ""), "")&amp; IF(COUNTIF('SAÍDA DE VENDAS'!$B$6:$B$500, B741)&gt;3, " + " &amp; IFERROR(INDEX('SAÍDA DE VENDAS'!$H$6:$H$500 &amp; "x " &amp; 'SAÍDA DE VENDAS'!$G$6:$G$500, MATCH(B741, 'SAÍDA DE VENDAS'!$B$6:$B$500, 0)+3), ""), "")&amp; IF(COUNTIF('SAÍDA DE VENDAS'!$B$6:$B$500, B741)&gt;4, " + " &amp; IFERROR(INDEX('SAÍDA DE VENDAS'!$H$6:$H$500 &amp; "x " &amp; 'SAÍDA DE VENDAS'!$G$6:$G$500, MATCH(B741, 'SAÍDA DE VENDAS'!$B$6:$B$500, 0)+4), ""), "")&amp; IF(COUNTIF('SAÍDA DE VENDAS'!$B$6:$B$500, B741)&gt;5, " + " &amp; IFERROR(INDEX('SAÍDA DE VENDAS'!$H$6:$H$500 &amp; "x " &amp; 'SAÍDA DE VENDAS'!$G$6:$G$500, MATCH(B741, 'SAÍDA DE VENDAS'!$B$6:$B$500, 0)+5), ""), ""))</f>
        <v/>
      </c>
      <c r="G741" s="34">
        <f>IFERROR(VLOOKUP(B741,'SAÍDA DE VENDAS'!$B$6:$P$500,10,FALSE),"")</f>
        <v>0</v>
      </c>
      <c r="H741" s="34" t="str">
        <f>IF(OR(ISBLANK(B741),B741=""), "", IF(B741=B740, (VALUE(LEFT(H740,FIND("/",H740)-1))+1)&amp;"/"&amp;RIGHT(H740,LEN(H740)-FIND("/",H740)), "1/"&amp;IFERROR(VLOOKUP(B741,'SAÍDA DE VENDAS'!$B$6:$P$500,13,FALSE),"1")))</f>
        <v/>
      </c>
      <c r="I741" s="35" t="str">
        <f t="shared" si="22"/>
        <v/>
      </c>
      <c r="J741" s="39" t="str">
        <f>IFERROR(VLOOKUP(B741,'SAÍDA DE VENDAS'!$B$6:$P$500,15,FALSE),"")</f>
        <v/>
      </c>
      <c r="K741" s="34" t="str">
        <f t="shared" ca="1" si="23"/>
        <v/>
      </c>
      <c r="L741" s="34"/>
      <c r="M741" s="34"/>
    </row>
    <row r="742" spans="2:13" ht="15" customHeight="1" x14ac:dyDescent="0.3">
      <c r="B742" s="28" t="str">
        <f>IF(B741="","", IF(VALUE(LEFT(H741,FIND("/",H741)-1)) &lt; VALUE(RIGHT(H741,LEN(H741)-FIND("/",H741))), B741, IFERROR(INDEX('SAÍDA DE VENDAS'!$B$6:$B$500, MATCH(B741,'SAÍDA DE VENDAS'!$B$6:$B$500,0)+COUNTIF('SAÍDA DE VENDAS'!$B$6:$B$500, B741)),"")))</f>
        <v/>
      </c>
      <c r="C742" s="29">
        <f>IFERROR(VLOOKUP(B742,'SAÍDA DE VENDAS'!$B$6:$P$500,3,FALSE),"")</f>
        <v>0</v>
      </c>
      <c r="D742" s="28">
        <f>IFERROR(VLOOKUP(B742,'SAÍDA DE VENDAS'!$B$6:$P$500,4,FALSE),"")</f>
        <v>0</v>
      </c>
      <c r="E742" s="28" t="str">
        <f>IFERROR(VLOOKUP(B742,'SAÍDA DE VENDAS'!$B$6:$P$500,5,FALSE),"")</f>
        <v/>
      </c>
      <c r="F742" s="28" t="str">
        <f>IF(OR(ISBLANK(B742),B742=""), "", IFERROR(INDEX('SAÍDA DE VENDAS'!$H$6:$H$500 &amp; "x " &amp; 'SAÍDA DE VENDAS'!$G$6:$G$500, MATCH(B742, 'SAÍDA DE VENDAS'!$B$6:$B$500, 0)), "")&amp; IF(COUNTIF('SAÍDA DE VENDAS'!$B$6:$B$500, B742)&gt;1, " + " &amp; IFERROR(INDEX('SAÍDA DE VENDAS'!$H$6:$H$500 &amp; "x " &amp; 'SAÍDA DE VENDAS'!$G$6:$G$500, MATCH(B742, 'SAÍDA DE VENDAS'!$B$6:$B$500, 0)+1), ""), "")&amp; IF(COUNTIF('SAÍDA DE VENDAS'!$B$6:$B$500, B742)&gt;2, " + " &amp; IFERROR(INDEX('SAÍDA DE VENDAS'!$H$6:$H$500 &amp; "x " &amp; 'SAÍDA DE VENDAS'!$G$6:$G$500, MATCH(B742, 'SAÍDA DE VENDAS'!$B$6:$B$500, 0)+2), ""), "")&amp; IF(COUNTIF('SAÍDA DE VENDAS'!$B$6:$B$500, B742)&gt;3, " + " &amp; IFERROR(INDEX('SAÍDA DE VENDAS'!$H$6:$H$500 &amp; "x " &amp; 'SAÍDA DE VENDAS'!$G$6:$G$500, MATCH(B742, 'SAÍDA DE VENDAS'!$B$6:$B$500, 0)+3), ""), "")&amp; IF(COUNTIF('SAÍDA DE VENDAS'!$B$6:$B$500, B742)&gt;4, " + " &amp; IFERROR(INDEX('SAÍDA DE VENDAS'!$H$6:$H$500 &amp; "x " &amp; 'SAÍDA DE VENDAS'!$G$6:$G$500, MATCH(B742, 'SAÍDA DE VENDAS'!$B$6:$B$500, 0)+4), ""), "")&amp; IF(COUNTIF('SAÍDA DE VENDAS'!$B$6:$B$500, B742)&gt;5, " + " &amp; IFERROR(INDEX('SAÍDA DE VENDAS'!$H$6:$H$500 &amp; "x " &amp; 'SAÍDA DE VENDAS'!$G$6:$G$500, MATCH(B742, 'SAÍDA DE VENDAS'!$B$6:$B$500, 0)+5), ""), ""))</f>
        <v/>
      </c>
      <c r="G742" s="28">
        <f>IFERROR(VLOOKUP(B742,'SAÍDA DE VENDAS'!$B$6:$P$500,10,FALSE),"")</f>
        <v>0</v>
      </c>
      <c r="H742" s="28" t="str">
        <f>IF(OR(ISBLANK(B742),B742=""), "", IF(B742=B741, (VALUE(LEFT(H741,FIND("/",H741)-1))+1)&amp;"/"&amp;RIGHT(H741,LEN(H741)-FIND("/",H741)), "1/"&amp;IFERROR(VLOOKUP(B742,'SAÍDA DE VENDAS'!$B$6:$P$500,13,FALSE),"1")))</f>
        <v/>
      </c>
      <c r="I742" s="69" t="str">
        <f t="shared" si="22"/>
        <v/>
      </c>
      <c r="J742" s="33" t="str">
        <f>IFERROR(VLOOKUP(B742,'SAÍDA DE VENDAS'!$B$6:$P$500,15,FALSE),"")</f>
        <v/>
      </c>
      <c r="K742" s="28" t="str">
        <f t="shared" ca="1" si="23"/>
        <v/>
      </c>
      <c r="L742" s="28"/>
      <c r="M742" s="28"/>
    </row>
    <row r="743" spans="2:13" ht="15" customHeight="1" x14ac:dyDescent="0.3">
      <c r="B743" s="34" t="str">
        <f>IF(B742="","", IF(VALUE(LEFT(H742,FIND("/",H742)-1)) &lt; VALUE(RIGHT(H742,LEN(H742)-FIND("/",H742))), B742, IFERROR(INDEX('SAÍDA DE VENDAS'!$B$6:$B$500, MATCH(B742,'SAÍDA DE VENDAS'!$B$6:$B$500,0)+COUNTIF('SAÍDA DE VENDAS'!$B$6:$B$500, B742)),"")))</f>
        <v/>
      </c>
      <c r="C743" s="35">
        <f>IFERROR(VLOOKUP(B743,'SAÍDA DE VENDAS'!$B$6:$P$500,3,FALSE),"")</f>
        <v>0</v>
      </c>
      <c r="D743" s="34">
        <f>IFERROR(VLOOKUP(B743,'SAÍDA DE VENDAS'!$B$6:$P$500,4,FALSE),"")</f>
        <v>0</v>
      </c>
      <c r="E743" s="34" t="str">
        <f>IFERROR(VLOOKUP(B743,'SAÍDA DE VENDAS'!$B$6:$P$500,5,FALSE),"")</f>
        <v/>
      </c>
      <c r="F743" s="34" t="str">
        <f>IF(OR(ISBLANK(B743),B743=""), "", IFERROR(INDEX('SAÍDA DE VENDAS'!$H$6:$H$500 &amp; "x " &amp; 'SAÍDA DE VENDAS'!$G$6:$G$500, MATCH(B743, 'SAÍDA DE VENDAS'!$B$6:$B$500, 0)), "")&amp; IF(COUNTIF('SAÍDA DE VENDAS'!$B$6:$B$500, B743)&gt;1, " + " &amp; IFERROR(INDEX('SAÍDA DE VENDAS'!$H$6:$H$500 &amp; "x " &amp; 'SAÍDA DE VENDAS'!$G$6:$G$500, MATCH(B743, 'SAÍDA DE VENDAS'!$B$6:$B$500, 0)+1), ""), "")&amp; IF(COUNTIF('SAÍDA DE VENDAS'!$B$6:$B$500, B743)&gt;2, " + " &amp; IFERROR(INDEX('SAÍDA DE VENDAS'!$H$6:$H$500 &amp; "x " &amp; 'SAÍDA DE VENDAS'!$G$6:$G$500, MATCH(B743, 'SAÍDA DE VENDAS'!$B$6:$B$500, 0)+2), ""), "")&amp; IF(COUNTIF('SAÍDA DE VENDAS'!$B$6:$B$500, B743)&gt;3, " + " &amp; IFERROR(INDEX('SAÍDA DE VENDAS'!$H$6:$H$500 &amp; "x " &amp; 'SAÍDA DE VENDAS'!$G$6:$G$500, MATCH(B743, 'SAÍDA DE VENDAS'!$B$6:$B$500, 0)+3), ""), "")&amp; IF(COUNTIF('SAÍDA DE VENDAS'!$B$6:$B$500, B743)&gt;4, " + " &amp; IFERROR(INDEX('SAÍDA DE VENDAS'!$H$6:$H$500 &amp; "x " &amp; 'SAÍDA DE VENDAS'!$G$6:$G$500, MATCH(B743, 'SAÍDA DE VENDAS'!$B$6:$B$500, 0)+4), ""), "")&amp; IF(COUNTIF('SAÍDA DE VENDAS'!$B$6:$B$500, B743)&gt;5, " + " &amp; IFERROR(INDEX('SAÍDA DE VENDAS'!$H$6:$H$500 &amp; "x " &amp; 'SAÍDA DE VENDAS'!$G$6:$G$500, MATCH(B743, 'SAÍDA DE VENDAS'!$B$6:$B$500, 0)+5), ""), ""))</f>
        <v/>
      </c>
      <c r="G743" s="34">
        <f>IFERROR(VLOOKUP(B743,'SAÍDA DE VENDAS'!$B$6:$P$500,10,FALSE),"")</f>
        <v>0</v>
      </c>
      <c r="H743" s="34" t="str">
        <f>IF(OR(ISBLANK(B743),B743=""), "", IF(B743=B742, (VALUE(LEFT(H742,FIND("/",H742)-1))+1)&amp;"/"&amp;RIGHT(H742,LEN(H742)-FIND("/",H742)), "1/"&amp;IFERROR(VLOOKUP(B743,'SAÍDA DE VENDAS'!$B$6:$P$500,13,FALSE),"1")))</f>
        <v/>
      </c>
      <c r="I743" s="35" t="str">
        <f t="shared" si="22"/>
        <v/>
      </c>
      <c r="J743" s="39" t="str">
        <f>IFERROR(VLOOKUP(B743,'SAÍDA DE VENDAS'!$B$6:$P$500,15,FALSE),"")</f>
        <v/>
      </c>
      <c r="K743" s="34" t="str">
        <f t="shared" ca="1" si="23"/>
        <v/>
      </c>
      <c r="L743" s="34"/>
      <c r="M743" s="34"/>
    </row>
    <row r="744" spans="2:13" ht="15" customHeight="1" x14ac:dyDescent="0.3">
      <c r="B744" s="28" t="str">
        <f>IF(B743="","", IF(VALUE(LEFT(H743,FIND("/",H743)-1)) &lt; VALUE(RIGHT(H743,LEN(H743)-FIND("/",H743))), B743, IFERROR(INDEX('SAÍDA DE VENDAS'!$B$6:$B$500, MATCH(B743,'SAÍDA DE VENDAS'!$B$6:$B$500,0)+COUNTIF('SAÍDA DE VENDAS'!$B$6:$B$500, B743)),"")))</f>
        <v/>
      </c>
      <c r="C744" s="29">
        <f>IFERROR(VLOOKUP(B744,'SAÍDA DE VENDAS'!$B$6:$P$500,3,FALSE),"")</f>
        <v>0</v>
      </c>
      <c r="D744" s="28">
        <f>IFERROR(VLOOKUP(B744,'SAÍDA DE VENDAS'!$B$6:$P$500,4,FALSE),"")</f>
        <v>0</v>
      </c>
      <c r="E744" s="28" t="str">
        <f>IFERROR(VLOOKUP(B744,'SAÍDA DE VENDAS'!$B$6:$P$500,5,FALSE),"")</f>
        <v/>
      </c>
      <c r="F744" s="28" t="str">
        <f>IF(OR(ISBLANK(B744),B744=""), "", IFERROR(INDEX('SAÍDA DE VENDAS'!$H$6:$H$500 &amp; "x " &amp; 'SAÍDA DE VENDAS'!$G$6:$G$500, MATCH(B744, 'SAÍDA DE VENDAS'!$B$6:$B$500, 0)), "")&amp; IF(COUNTIF('SAÍDA DE VENDAS'!$B$6:$B$500, B744)&gt;1, " + " &amp; IFERROR(INDEX('SAÍDA DE VENDAS'!$H$6:$H$500 &amp; "x " &amp; 'SAÍDA DE VENDAS'!$G$6:$G$500, MATCH(B744, 'SAÍDA DE VENDAS'!$B$6:$B$500, 0)+1), ""), "")&amp; IF(COUNTIF('SAÍDA DE VENDAS'!$B$6:$B$500, B744)&gt;2, " + " &amp; IFERROR(INDEX('SAÍDA DE VENDAS'!$H$6:$H$500 &amp; "x " &amp; 'SAÍDA DE VENDAS'!$G$6:$G$500, MATCH(B744, 'SAÍDA DE VENDAS'!$B$6:$B$500, 0)+2), ""), "")&amp; IF(COUNTIF('SAÍDA DE VENDAS'!$B$6:$B$500, B744)&gt;3, " + " &amp; IFERROR(INDEX('SAÍDA DE VENDAS'!$H$6:$H$500 &amp; "x " &amp; 'SAÍDA DE VENDAS'!$G$6:$G$500, MATCH(B744, 'SAÍDA DE VENDAS'!$B$6:$B$500, 0)+3), ""), "")&amp; IF(COUNTIF('SAÍDA DE VENDAS'!$B$6:$B$500, B744)&gt;4, " + " &amp; IFERROR(INDEX('SAÍDA DE VENDAS'!$H$6:$H$500 &amp; "x " &amp; 'SAÍDA DE VENDAS'!$G$6:$G$500, MATCH(B744, 'SAÍDA DE VENDAS'!$B$6:$B$500, 0)+4), ""), "")&amp; IF(COUNTIF('SAÍDA DE VENDAS'!$B$6:$B$500, B744)&gt;5, " + " &amp; IFERROR(INDEX('SAÍDA DE VENDAS'!$H$6:$H$500 &amp; "x " &amp; 'SAÍDA DE VENDAS'!$G$6:$G$500, MATCH(B744, 'SAÍDA DE VENDAS'!$B$6:$B$500, 0)+5), ""), ""))</f>
        <v/>
      </c>
      <c r="G744" s="28">
        <f>IFERROR(VLOOKUP(B744,'SAÍDA DE VENDAS'!$B$6:$P$500,10,FALSE),"")</f>
        <v>0</v>
      </c>
      <c r="H744" s="28" t="str">
        <f>IF(OR(ISBLANK(B744),B744=""), "", IF(B744=B743, (VALUE(LEFT(H743,FIND("/",H743)-1))+1)&amp;"/"&amp;RIGHT(H743,LEN(H743)-FIND("/",H743)), "1/"&amp;IFERROR(VLOOKUP(B744,'SAÍDA DE VENDAS'!$B$6:$P$500,13,FALSE),"1")))</f>
        <v/>
      </c>
      <c r="I744" s="69" t="str">
        <f t="shared" si="22"/>
        <v/>
      </c>
      <c r="J744" s="33" t="str">
        <f>IFERROR(VLOOKUP(B744,'SAÍDA DE VENDAS'!$B$6:$P$500,15,FALSE),"")</f>
        <v/>
      </c>
      <c r="K744" s="28" t="str">
        <f t="shared" ca="1" si="23"/>
        <v/>
      </c>
      <c r="L744" s="28"/>
      <c r="M744" s="28"/>
    </row>
    <row r="745" spans="2:13" ht="15" customHeight="1" x14ac:dyDescent="0.3">
      <c r="B745" s="34" t="str">
        <f>IF(B744="","", IF(VALUE(LEFT(H744,FIND("/",H744)-1)) &lt; VALUE(RIGHT(H744,LEN(H744)-FIND("/",H744))), B744, IFERROR(INDEX('SAÍDA DE VENDAS'!$B$6:$B$500, MATCH(B744,'SAÍDA DE VENDAS'!$B$6:$B$500,0)+COUNTIF('SAÍDA DE VENDAS'!$B$6:$B$500, B744)),"")))</f>
        <v/>
      </c>
      <c r="C745" s="35">
        <f>IFERROR(VLOOKUP(B745,'SAÍDA DE VENDAS'!$B$6:$P$500,3,FALSE),"")</f>
        <v>0</v>
      </c>
      <c r="D745" s="34">
        <f>IFERROR(VLOOKUP(B745,'SAÍDA DE VENDAS'!$B$6:$P$500,4,FALSE),"")</f>
        <v>0</v>
      </c>
      <c r="E745" s="34" t="str">
        <f>IFERROR(VLOOKUP(B745,'SAÍDA DE VENDAS'!$B$6:$P$500,5,FALSE),"")</f>
        <v/>
      </c>
      <c r="F745" s="34" t="str">
        <f>IF(OR(ISBLANK(B745),B745=""), "", IFERROR(INDEX('SAÍDA DE VENDAS'!$H$6:$H$500 &amp; "x " &amp; 'SAÍDA DE VENDAS'!$G$6:$G$500, MATCH(B745, 'SAÍDA DE VENDAS'!$B$6:$B$500, 0)), "")&amp; IF(COUNTIF('SAÍDA DE VENDAS'!$B$6:$B$500, B745)&gt;1, " + " &amp; IFERROR(INDEX('SAÍDA DE VENDAS'!$H$6:$H$500 &amp; "x " &amp; 'SAÍDA DE VENDAS'!$G$6:$G$500, MATCH(B745, 'SAÍDA DE VENDAS'!$B$6:$B$500, 0)+1), ""), "")&amp; IF(COUNTIF('SAÍDA DE VENDAS'!$B$6:$B$500, B745)&gt;2, " + " &amp; IFERROR(INDEX('SAÍDA DE VENDAS'!$H$6:$H$500 &amp; "x " &amp; 'SAÍDA DE VENDAS'!$G$6:$G$500, MATCH(B745, 'SAÍDA DE VENDAS'!$B$6:$B$500, 0)+2), ""), "")&amp; IF(COUNTIF('SAÍDA DE VENDAS'!$B$6:$B$500, B745)&gt;3, " + " &amp; IFERROR(INDEX('SAÍDA DE VENDAS'!$H$6:$H$500 &amp; "x " &amp; 'SAÍDA DE VENDAS'!$G$6:$G$500, MATCH(B745, 'SAÍDA DE VENDAS'!$B$6:$B$500, 0)+3), ""), "")&amp; IF(COUNTIF('SAÍDA DE VENDAS'!$B$6:$B$500, B745)&gt;4, " + " &amp; IFERROR(INDEX('SAÍDA DE VENDAS'!$H$6:$H$500 &amp; "x " &amp; 'SAÍDA DE VENDAS'!$G$6:$G$500, MATCH(B745, 'SAÍDA DE VENDAS'!$B$6:$B$500, 0)+4), ""), "")&amp; IF(COUNTIF('SAÍDA DE VENDAS'!$B$6:$B$500, B745)&gt;5, " + " &amp; IFERROR(INDEX('SAÍDA DE VENDAS'!$H$6:$H$500 &amp; "x " &amp; 'SAÍDA DE VENDAS'!$G$6:$G$500, MATCH(B745, 'SAÍDA DE VENDAS'!$B$6:$B$500, 0)+5), ""), ""))</f>
        <v/>
      </c>
      <c r="G745" s="34">
        <f>IFERROR(VLOOKUP(B745,'SAÍDA DE VENDAS'!$B$6:$P$500,10,FALSE),"")</f>
        <v>0</v>
      </c>
      <c r="H745" s="34" t="str">
        <f>IF(OR(ISBLANK(B745),B745=""), "", IF(B745=B744, (VALUE(LEFT(H744,FIND("/",H744)-1))+1)&amp;"/"&amp;RIGHT(H744,LEN(H744)-FIND("/",H744)), "1/"&amp;IFERROR(VLOOKUP(B745,'SAÍDA DE VENDAS'!$B$6:$P$500,13,FALSE),"1")))</f>
        <v/>
      </c>
      <c r="I745" s="35" t="str">
        <f t="shared" si="22"/>
        <v/>
      </c>
      <c r="J745" s="39" t="str">
        <f>IFERROR(VLOOKUP(B745,'SAÍDA DE VENDAS'!$B$6:$P$500,15,FALSE),"")</f>
        <v/>
      </c>
      <c r="K745" s="34" t="str">
        <f t="shared" ca="1" si="23"/>
        <v/>
      </c>
      <c r="L745" s="34"/>
      <c r="M745" s="34"/>
    </row>
    <row r="746" spans="2:13" ht="15" customHeight="1" x14ac:dyDescent="0.3">
      <c r="B746" s="28" t="str">
        <f>IF(B745="","", IF(VALUE(LEFT(H745,FIND("/",H745)-1)) &lt; VALUE(RIGHT(H745,LEN(H745)-FIND("/",H745))), B745, IFERROR(INDEX('SAÍDA DE VENDAS'!$B$6:$B$500, MATCH(B745,'SAÍDA DE VENDAS'!$B$6:$B$500,0)+COUNTIF('SAÍDA DE VENDAS'!$B$6:$B$500, B745)),"")))</f>
        <v/>
      </c>
      <c r="C746" s="29">
        <f>IFERROR(VLOOKUP(B746,'SAÍDA DE VENDAS'!$B$6:$P$500,3,FALSE),"")</f>
        <v>0</v>
      </c>
      <c r="D746" s="28">
        <f>IFERROR(VLOOKUP(B746,'SAÍDA DE VENDAS'!$B$6:$P$500,4,FALSE),"")</f>
        <v>0</v>
      </c>
      <c r="E746" s="28" t="str">
        <f>IFERROR(VLOOKUP(B746,'SAÍDA DE VENDAS'!$B$6:$P$500,5,FALSE),"")</f>
        <v/>
      </c>
      <c r="F746" s="28" t="str">
        <f>IF(OR(ISBLANK(B746),B746=""), "", IFERROR(INDEX('SAÍDA DE VENDAS'!$H$6:$H$500 &amp; "x " &amp; 'SAÍDA DE VENDAS'!$G$6:$G$500, MATCH(B746, 'SAÍDA DE VENDAS'!$B$6:$B$500, 0)), "")&amp; IF(COUNTIF('SAÍDA DE VENDAS'!$B$6:$B$500, B746)&gt;1, " + " &amp; IFERROR(INDEX('SAÍDA DE VENDAS'!$H$6:$H$500 &amp; "x " &amp; 'SAÍDA DE VENDAS'!$G$6:$G$500, MATCH(B746, 'SAÍDA DE VENDAS'!$B$6:$B$500, 0)+1), ""), "")&amp; IF(COUNTIF('SAÍDA DE VENDAS'!$B$6:$B$500, B746)&gt;2, " + " &amp; IFERROR(INDEX('SAÍDA DE VENDAS'!$H$6:$H$500 &amp; "x " &amp; 'SAÍDA DE VENDAS'!$G$6:$G$500, MATCH(B746, 'SAÍDA DE VENDAS'!$B$6:$B$500, 0)+2), ""), "")&amp; IF(COUNTIF('SAÍDA DE VENDAS'!$B$6:$B$500, B746)&gt;3, " + " &amp; IFERROR(INDEX('SAÍDA DE VENDAS'!$H$6:$H$500 &amp; "x " &amp; 'SAÍDA DE VENDAS'!$G$6:$G$500, MATCH(B746, 'SAÍDA DE VENDAS'!$B$6:$B$500, 0)+3), ""), "")&amp; IF(COUNTIF('SAÍDA DE VENDAS'!$B$6:$B$500, B746)&gt;4, " + " &amp; IFERROR(INDEX('SAÍDA DE VENDAS'!$H$6:$H$500 &amp; "x " &amp; 'SAÍDA DE VENDAS'!$G$6:$G$500, MATCH(B746, 'SAÍDA DE VENDAS'!$B$6:$B$500, 0)+4), ""), "")&amp; IF(COUNTIF('SAÍDA DE VENDAS'!$B$6:$B$500, B746)&gt;5, " + " &amp; IFERROR(INDEX('SAÍDA DE VENDAS'!$H$6:$H$500 &amp; "x " &amp; 'SAÍDA DE VENDAS'!$G$6:$G$500, MATCH(B746, 'SAÍDA DE VENDAS'!$B$6:$B$500, 0)+5), ""), ""))</f>
        <v/>
      </c>
      <c r="G746" s="28">
        <f>IFERROR(VLOOKUP(B746,'SAÍDA DE VENDAS'!$B$6:$P$500,10,FALSE),"")</f>
        <v>0</v>
      </c>
      <c r="H746" s="28" t="str">
        <f>IF(OR(ISBLANK(B746),B746=""), "", IF(B746=B745, (VALUE(LEFT(H745,FIND("/",H745)-1))+1)&amp;"/"&amp;RIGHT(H745,LEN(H745)-FIND("/",H745)), "1/"&amp;IFERROR(VLOOKUP(B746,'SAÍDA DE VENDAS'!$B$6:$P$500,13,FALSE),"1")))</f>
        <v/>
      </c>
      <c r="I746" s="69" t="str">
        <f t="shared" si="22"/>
        <v/>
      </c>
      <c r="J746" s="33" t="str">
        <f>IFERROR(VLOOKUP(B746,'SAÍDA DE VENDAS'!$B$6:$P$500,15,FALSE),"")</f>
        <v/>
      </c>
      <c r="K746" s="28" t="str">
        <f t="shared" ca="1" si="23"/>
        <v/>
      </c>
      <c r="L746" s="28"/>
      <c r="M746" s="28"/>
    </row>
    <row r="747" spans="2:13" ht="15" customHeight="1" x14ac:dyDescent="0.3">
      <c r="B747" s="34" t="str">
        <f>IF(B746="","", IF(VALUE(LEFT(H746,FIND("/",H746)-1)) &lt; VALUE(RIGHT(H746,LEN(H746)-FIND("/",H746))), B746, IFERROR(INDEX('SAÍDA DE VENDAS'!$B$6:$B$500, MATCH(B746,'SAÍDA DE VENDAS'!$B$6:$B$500,0)+COUNTIF('SAÍDA DE VENDAS'!$B$6:$B$500, B746)),"")))</f>
        <v/>
      </c>
      <c r="C747" s="35">
        <f>IFERROR(VLOOKUP(B747,'SAÍDA DE VENDAS'!$B$6:$P$500,3,FALSE),"")</f>
        <v>0</v>
      </c>
      <c r="D747" s="34">
        <f>IFERROR(VLOOKUP(B747,'SAÍDA DE VENDAS'!$B$6:$P$500,4,FALSE),"")</f>
        <v>0</v>
      </c>
      <c r="E747" s="34" t="str">
        <f>IFERROR(VLOOKUP(B747,'SAÍDA DE VENDAS'!$B$6:$P$500,5,FALSE),"")</f>
        <v/>
      </c>
      <c r="F747" s="34" t="str">
        <f>IF(OR(ISBLANK(B747),B747=""), "", IFERROR(INDEX('SAÍDA DE VENDAS'!$H$6:$H$500 &amp; "x " &amp; 'SAÍDA DE VENDAS'!$G$6:$G$500, MATCH(B747, 'SAÍDA DE VENDAS'!$B$6:$B$500, 0)), "")&amp; IF(COUNTIF('SAÍDA DE VENDAS'!$B$6:$B$500, B747)&gt;1, " + " &amp; IFERROR(INDEX('SAÍDA DE VENDAS'!$H$6:$H$500 &amp; "x " &amp; 'SAÍDA DE VENDAS'!$G$6:$G$500, MATCH(B747, 'SAÍDA DE VENDAS'!$B$6:$B$500, 0)+1), ""), "")&amp; IF(COUNTIF('SAÍDA DE VENDAS'!$B$6:$B$500, B747)&gt;2, " + " &amp; IFERROR(INDEX('SAÍDA DE VENDAS'!$H$6:$H$500 &amp; "x " &amp; 'SAÍDA DE VENDAS'!$G$6:$G$500, MATCH(B747, 'SAÍDA DE VENDAS'!$B$6:$B$500, 0)+2), ""), "")&amp; IF(COUNTIF('SAÍDA DE VENDAS'!$B$6:$B$500, B747)&gt;3, " + " &amp; IFERROR(INDEX('SAÍDA DE VENDAS'!$H$6:$H$500 &amp; "x " &amp; 'SAÍDA DE VENDAS'!$G$6:$G$500, MATCH(B747, 'SAÍDA DE VENDAS'!$B$6:$B$500, 0)+3), ""), "")&amp; IF(COUNTIF('SAÍDA DE VENDAS'!$B$6:$B$500, B747)&gt;4, " + " &amp; IFERROR(INDEX('SAÍDA DE VENDAS'!$H$6:$H$500 &amp; "x " &amp; 'SAÍDA DE VENDAS'!$G$6:$G$500, MATCH(B747, 'SAÍDA DE VENDAS'!$B$6:$B$500, 0)+4), ""), "")&amp; IF(COUNTIF('SAÍDA DE VENDAS'!$B$6:$B$500, B747)&gt;5, " + " &amp; IFERROR(INDEX('SAÍDA DE VENDAS'!$H$6:$H$500 &amp; "x " &amp; 'SAÍDA DE VENDAS'!$G$6:$G$500, MATCH(B747, 'SAÍDA DE VENDAS'!$B$6:$B$500, 0)+5), ""), ""))</f>
        <v/>
      </c>
      <c r="G747" s="34">
        <f>IFERROR(VLOOKUP(B747,'SAÍDA DE VENDAS'!$B$6:$P$500,10,FALSE),"")</f>
        <v>0</v>
      </c>
      <c r="H747" s="34" t="str">
        <f>IF(OR(ISBLANK(B747),B747=""), "", IF(B747=B746, (VALUE(LEFT(H746,FIND("/",H746)-1))+1)&amp;"/"&amp;RIGHT(H746,LEN(H746)-FIND("/",H746)), "1/"&amp;IFERROR(VLOOKUP(B747,'SAÍDA DE VENDAS'!$B$6:$P$500,13,FALSE),"1")))</f>
        <v/>
      </c>
      <c r="I747" s="35" t="str">
        <f t="shared" si="22"/>
        <v/>
      </c>
      <c r="J747" s="39" t="str">
        <f>IFERROR(VLOOKUP(B747,'SAÍDA DE VENDAS'!$B$6:$P$500,15,FALSE),"")</f>
        <v/>
      </c>
      <c r="K747" s="34" t="str">
        <f t="shared" ca="1" si="23"/>
        <v/>
      </c>
      <c r="L747" s="34"/>
      <c r="M747" s="34"/>
    </row>
    <row r="748" spans="2:13" ht="15" customHeight="1" x14ac:dyDescent="0.3">
      <c r="B748" s="28" t="str">
        <f>IF(B747="","", IF(VALUE(LEFT(H747,FIND("/",H747)-1)) &lt; VALUE(RIGHT(H747,LEN(H747)-FIND("/",H747))), B747, IFERROR(INDEX('SAÍDA DE VENDAS'!$B$6:$B$500, MATCH(B747,'SAÍDA DE VENDAS'!$B$6:$B$500,0)+COUNTIF('SAÍDA DE VENDAS'!$B$6:$B$500, B747)),"")))</f>
        <v/>
      </c>
      <c r="C748" s="29">
        <f>IFERROR(VLOOKUP(B748,'SAÍDA DE VENDAS'!$B$6:$P$500,3,FALSE),"")</f>
        <v>0</v>
      </c>
      <c r="D748" s="28">
        <f>IFERROR(VLOOKUP(B748,'SAÍDA DE VENDAS'!$B$6:$P$500,4,FALSE),"")</f>
        <v>0</v>
      </c>
      <c r="E748" s="28" t="str">
        <f>IFERROR(VLOOKUP(B748,'SAÍDA DE VENDAS'!$B$6:$P$500,5,FALSE),"")</f>
        <v/>
      </c>
      <c r="F748" s="28" t="str">
        <f>IF(OR(ISBLANK(B748),B748=""), "", IFERROR(INDEX('SAÍDA DE VENDAS'!$H$6:$H$500 &amp; "x " &amp; 'SAÍDA DE VENDAS'!$G$6:$G$500, MATCH(B748, 'SAÍDA DE VENDAS'!$B$6:$B$500, 0)), "")&amp; IF(COUNTIF('SAÍDA DE VENDAS'!$B$6:$B$500, B748)&gt;1, " + " &amp; IFERROR(INDEX('SAÍDA DE VENDAS'!$H$6:$H$500 &amp; "x " &amp; 'SAÍDA DE VENDAS'!$G$6:$G$500, MATCH(B748, 'SAÍDA DE VENDAS'!$B$6:$B$500, 0)+1), ""), "")&amp; IF(COUNTIF('SAÍDA DE VENDAS'!$B$6:$B$500, B748)&gt;2, " + " &amp; IFERROR(INDEX('SAÍDA DE VENDAS'!$H$6:$H$500 &amp; "x " &amp; 'SAÍDA DE VENDAS'!$G$6:$G$500, MATCH(B748, 'SAÍDA DE VENDAS'!$B$6:$B$500, 0)+2), ""), "")&amp; IF(COUNTIF('SAÍDA DE VENDAS'!$B$6:$B$500, B748)&gt;3, " + " &amp; IFERROR(INDEX('SAÍDA DE VENDAS'!$H$6:$H$500 &amp; "x " &amp; 'SAÍDA DE VENDAS'!$G$6:$G$500, MATCH(B748, 'SAÍDA DE VENDAS'!$B$6:$B$500, 0)+3), ""), "")&amp; IF(COUNTIF('SAÍDA DE VENDAS'!$B$6:$B$500, B748)&gt;4, " + " &amp; IFERROR(INDEX('SAÍDA DE VENDAS'!$H$6:$H$500 &amp; "x " &amp; 'SAÍDA DE VENDAS'!$G$6:$G$500, MATCH(B748, 'SAÍDA DE VENDAS'!$B$6:$B$500, 0)+4), ""), "")&amp; IF(COUNTIF('SAÍDA DE VENDAS'!$B$6:$B$500, B748)&gt;5, " + " &amp; IFERROR(INDEX('SAÍDA DE VENDAS'!$H$6:$H$500 &amp; "x " &amp; 'SAÍDA DE VENDAS'!$G$6:$G$500, MATCH(B748, 'SAÍDA DE VENDAS'!$B$6:$B$500, 0)+5), ""), ""))</f>
        <v/>
      </c>
      <c r="G748" s="28">
        <f>IFERROR(VLOOKUP(B748,'SAÍDA DE VENDAS'!$B$6:$P$500,10,FALSE),"")</f>
        <v>0</v>
      </c>
      <c r="H748" s="28" t="str">
        <f>IF(OR(ISBLANK(B748),B748=""), "", IF(B748=B747, (VALUE(LEFT(H747,FIND("/",H747)-1))+1)&amp;"/"&amp;RIGHT(H747,LEN(H747)-FIND("/",H747)), "1/"&amp;IFERROR(VLOOKUP(B748,'SAÍDA DE VENDAS'!$B$6:$P$500,13,FALSE),"1")))</f>
        <v/>
      </c>
      <c r="I748" s="69" t="str">
        <f t="shared" si="22"/>
        <v/>
      </c>
      <c r="J748" s="33" t="str">
        <f>IFERROR(VLOOKUP(B748,'SAÍDA DE VENDAS'!$B$6:$P$500,15,FALSE),"")</f>
        <v/>
      </c>
      <c r="K748" s="28" t="str">
        <f t="shared" ca="1" si="23"/>
        <v/>
      </c>
      <c r="L748" s="28"/>
      <c r="M748" s="28"/>
    </row>
    <row r="749" spans="2:13" ht="15" customHeight="1" x14ac:dyDescent="0.3">
      <c r="B749" s="34" t="str">
        <f>IF(B748="","", IF(VALUE(LEFT(H748,FIND("/",H748)-1)) &lt; VALUE(RIGHT(H748,LEN(H748)-FIND("/",H748))), B748, IFERROR(INDEX('SAÍDA DE VENDAS'!$B$6:$B$500, MATCH(B748,'SAÍDA DE VENDAS'!$B$6:$B$500,0)+COUNTIF('SAÍDA DE VENDAS'!$B$6:$B$500, B748)),"")))</f>
        <v/>
      </c>
      <c r="C749" s="35">
        <f>IFERROR(VLOOKUP(B749,'SAÍDA DE VENDAS'!$B$6:$P$500,3,FALSE),"")</f>
        <v>0</v>
      </c>
      <c r="D749" s="34">
        <f>IFERROR(VLOOKUP(B749,'SAÍDA DE VENDAS'!$B$6:$P$500,4,FALSE),"")</f>
        <v>0</v>
      </c>
      <c r="E749" s="34" t="str">
        <f>IFERROR(VLOOKUP(B749,'SAÍDA DE VENDAS'!$B$6:$P$500,5,FALSE),"")</f>
        <v/>
      </c>
      <c r="F749" s="34" t="str">
        <f>IF(OR(ISBLANK(B749),B749=""), "", IFERROR(INDEX('SAÍDA DE VENDAS'!$H$6:$H$500 &amp; "x " &amp; 'SAÍDA DE VENDAS'!$G$6:$G$500, MATCH(B749, 'SAÍDA DE VENDAS'!$B$6:$B$500, 0)), "")&amp; IF(COUNTIF('SAÍDA DE VENDAS'!$B$6:$B$500, B749)&gt;1, " + " &amp; IFERROR(INDEX('SAÍDA DE VENDAS'!$H$6:$H$500 &amp; "x " &amp; 'SAÍDA DE VENDAS'!$G$6:$G$500, MATCH(B749, 'SAÍDA DE VENDAS'!$B$6:$B$500, 0)+1), ""), "")&amp; IF(COUNTIF('SAÍDA DE VENDAS'!$B$6:$B$500, B749)&gt;2, " + " &amp; IFERROR(INDEX('SAÍDA DE VENDAS'!$H$6:$H$500 &amp; "x " &amp; 'SAÍDA DE VENDAS'!$G$6:$G$500, MATCH(B749, 'SAÍDA DE VENDAS'!$B$6:$B$500, 0)+2), ""), "")&amp; IF(COUNTIF('SAÍDA DE VENDAS'!$B$6:$B$500, B749)&gt;3, " + " &amp; IFERROR(INDEX('SAÍDA DE VENDAS'!$H$6:$H$500 &amp; "x " &amp; 'SAÍDA DE VENDAS'!$G$6:$G$500, MATCH(B749, 'SAÍDA DE VENDAS'!$B$6:$B$500, 0)+3), ""), "")&amp; IF(COUNTIF('SAÍDA DE VENDAS'!$B$6:$B$500, B749)&gt;4, " + " &amp; IFERROR(INDEX('SAÍDA DE VENDAS'!$H$6:$H$500 &amp; "x " &amp; 'SAÍDA DE VENDAS'!$G$6:$G$500, MATCH(B749, 'SAÍDA DE VENDAS'!$B$6:$B$500, 0)+4), ""), "")&amp; IF(COUNTIF('SAÍDA DE VENDAS'!$B$6:$B$500, B749)&gt;5, " + " &amp; IFERROR(INDEX('SAÍDA DE VENDAS'!$H$6:$H$500 &amp; "x " &amp; 'SAÍDA DE VENDAS'!$G$6:$G$500, MATCH(B749, 'SAÍDA DE VENDAS'!$B$6:$B$500, 0)+5), ""), ""))</f>
        <v/>
      </c>
      <c r="G749" s="34">
        <f>IFERROR(VLOOKUP(B749,'SAÍDA DE VENDAS'!$B$6:$P$500,10,FALSE),"")</f>
        <v>0</v>
      </c>
      <c r="H749" s="34" t="str">
        <f>IF(OR(ISBLANK(B749),B749=""), "", IF(B749=B748, (VALUE(LEFT(H748,FIND("/",H748)-1))+1)&amp;"/"&amp;RIGHT(H748,LEN(H748)-FIND("/",H748)), "1/"&amp;IFERROR(VLOOKUP(B749,'SAÍDA DE VENDAS'!$B$6:$P$500,13,FALSE),"1")))</f>
        <v/>
      </c>
      <c r="I749" s="35" t="str">
        <f t="shared" si="22"/>
        <v/>
      </c>
      <c r="J749" s="39" t="str">
        <f>IFERROR(VLOOKUP(B749,'SAÍDA DE VENDAS'!$B$6:$P$500,15,FALSE),"")</f>
        <v/>
      </c>
      <c r="K749" s="34" t="str">
        <f t="shared" ca="1" si="23"/>
        <v/>
      </c>
      <c r="L749" s="34"/>
      <c r="M749" s="34"/>
    </row>
    <row r="750" spans="2:13" ht="15" customHeight="1" x14ac:dyDescent="0.3">
      <c r="B750" s="28" t="str">
        <f>IF(B749="","", IF(VALUE(LEFT(H749,FIND("/",H749)-1)) &lt; VALUE(RIGHT(H749,LEN(H749)-FIND("/",H749))), B749, IFERROR(INDEX('SAÍDA DE VENDAS'!$B$6:$B$500, MATCH(B749,'SAÍDA DE VENDAS'!$B$6:$B$500,0)+COUNTIF('SAÍDA DE VENDAS'!$B$6:$B$500, B749)),"")))</f>
        <v/>
      </c>
      <c r="C750" s="29">
        <f>IFERROR(VLOOKUP(B750,'SAÍDA DE VENDAS'!$B$6:$P$500,3,FALSE),"")</f>
        <v>0</v>
      </c>
      <c r="D750" s="28">
        <f>IFERROR(VLOOKUP(B750,'SAÍDA DE VENDAS'!$B$6:$P$500,4,FALSE),"")</f>
        <v>0</v>
      </c>
      <c r="E750" s="28" t="str">
        <f>IFERROR(VLOOKUP(B750,'SAÍDA DE VENDAS'!$B$6:$P$500,5,FALSE),"")</f>
        <v/>
      </c>
      <c r="F750" s="28" t="str">
        <f>IF(OR(ISBLANK(B750),B750=""), "", IFERROR(INDEX('SAÍDA DE VENDAS'!$H$6:$H$500 &amp; "x " &amp; 'SAÍDA DE VENDAS'!$G$6:$G$500, MATCH(B750, 'SAÍDA DE VENDAS'!$B$6:$B$500, 0)), "")&amp; IF(COUNTIF('SAÍDA DE VENDAS'!$B$6:$B$500, B750)&gt;1, " + " &amp; IFERROR(INDEX('SAÍDA DE VENDAS'!$H$6:$H$500 &amp; "x " &amp; 'SAÍDA DE VENDAS'!$G$6:$G$500, MATCH(B750, 'SAÍDA DE VENDAS'!$B$6:$B$500, 0)+1), ""), "")&amp; IF(COUNTIF('SAÍDA DE VENDAS'!$B$6:$B$500, B750)&gt;2, " + " &amp; IFERROR(INDEX('SAÍDA DE VENDAS'!$H$6:$H$500 &amp; "x " &amp; 'SAÍDA DE VENDAS'!$G$6:$G$500, MATCH(B750, 'SAÍDA DE VENDAS'!$B$6:$B$500, 0)+2), ""), "")&amp; IF(COUNTIF('SAÍDA DE VENDAS'!$B$6:$B$500, B750)&gt;3, " + " &amp; IFERROR(INDEX('SAÍDA DE VENDAS'!$H$6:$H$500 &amp; "x " &amp; 'SAÍDA DE VENDAS'!$G$6:$G$500, MATCH(B750, 'SAÍDA DE VENDAS'!$B$6:$B$500, 0)+3), ""), "")&amp; IF(COUNTIF('SAÍDA DE VENDAS'!$B$6:$B$500, B750)&gt;4, " + " &amp; IFERROR(INDEX('SAÍDA DE VENDAS'!$H$6:$H$500 &amp; "x " &amp; 'SAÍDA DE VENDAS'!$G$6:$G$500, MATCH(B750, 'SAÍDA DE VENDAS'!$B$6:$B$500, 0)+4), ""), "")&amp; IF(COUNTIF('SAÍDA DE VENDAS'!$B$6:$B$500, B750)&gt;5, " + " &amp; IFERROR(INDEX('SAÍDA DE VENDAS'!$H$6:$H$500 &amp; "x " &amp; 'SAÍDA DE VENDAS'!$G$6:$G$500, MATCH(B750, 'SAÍDA DE VENDAS'!$B$6:$B$500, 0)+5), ""), ""))</f>
        <v/>
      </c>
      <c r="G750" s="28">
        <f>IFERROR(VLOOKUP(B750,'SAÍDA DE VENDAS'!$B$6:$P$500,10,FALSE),"")</f>
        <v>0</v>
      </c>
      <c r="H750" s="28" t="str">
        <f>IF(OR(ISBLANK(B750),B750=""), "", IF(B750=B749, (VALUE(LEFT(H749,FIND("/",H749)-1))+1)&amp;"/"&amp;RIGHT(H749,LEN(H749)-FIND("/",H749)), "1/"&amp;IFERROR(VLOOKUP(B750,'SAÍDA DE VENDAS'!$B$6:$P$500,13,FALSE),"1")))</f>
        <v/>
      </c>
      <c r="I750" s="69" t="str">
        <f t="shared" si="22"/>
        <v/>
      </c>
      <c r="J750" s="33" t="str">
        <f>IFERROR(VLOOKUP(B750,'SAÍDA DE VENDAS'!$B$6:$P$500,15,FALSE),"")</f>
        <v/>
      </c>
      <c r="K750" s="28" t="str">
        <f t="shared" ca="1" si="23"/>
        <v/>
      </c>
      <c r="L750" s="28"/>
      <c r="M750" s="28"/>
    </row>
    <row r="751" spans="2:13" ht="15" customHeight="1" x14ac:dyDescent="0.3">
      <c r="B751" s="34" t="str">
        <f>IF(B750="","", IF(VALUE(LEFT(H750,FIND("/",H750)-1)) &lt; VALUE(RIGHT(H750,LEN(H750)-FIND("/",H750))), B750, IFERROR(INDEX('SAÍDA DE VENDAS'!$B$6:$B$500, MATCH(B750,'SAÍDA DE VENDAS'!$B$6:$B$500,0)+COUNTIF('SAÍDA DE VENDAS'!$B$6:$B$500, B750)),"")))</f>
        <v/>
      </c>
      <c r="C751" s="35">
        <f>IFERROR(VLOOKUP(B751,'SAÍDA DE VENDAS'!$B$6:$P$500,3,FALSE),"")</f>
        <v>0</v>
      </c>
      <c r="D751" s="34">
        <f>IFERROR(VLOOKUP(B751,'SAÍDA DE VENDAS'!$B$6:$P$500,4,FALSE),"")</f>
        <v>0</v>
      </c>
      <c r="E751" s="34" t="str">
        <f>IFERROR(VLOOKUP(B751,'SAÍDA DE VENDAS'!$B$6:$P$500,5,FALSE),"")</f>
        <v/>
      </c>
      <c r="F751" s="34" t="str">
        <f>IF(OR(ISBLANK(B751),B751=""), "", IFERROR(INDEX('SAÍDA DE VENDAS'!$H$6:$H$500 &amp; "x " &amp; 'SAÍDA DE VENDAS'!$G$6:$G$500, MATCH(B751, 'SAÍDA DE VENDAS'!$B$6:$B$500, 0)), "")&amp; IF(COUNTIF('SAÍDA DE VENDAS'!$B$6:$B$500, B751)&gt;1, " + " &amp; IFERROR(INDEX('SAÍDA DE VENDAS'!$H$6:$H$500 &amp; "x " &amp; 'SAÍDA DE VENDAS'!$G$6:$G$500, MATCH(B751, 'SAÍDA DE VENDAS'!$B$6:$B$500, 0)+1), ""), "")&amp; IF(COUNTIF('SAÍDA DE VENDAS'!$B$6:$B$500, B751)&gt;2, " + " &amp; IFERROR(INDEX('SAÍDA DE VENDAS'!$H$6:$H$500 &amp; "x " &amp; 'SAÍDA DE VENDAS'!$G$6:$G$500, MATCH(B751, 'SAÍDA DE VENDAS'!$B$6:$B$500, 0)+2), ""), "")&amp; IF(COUNTIF('SAÍDA DE VENDAS'!$B$6:$B$500, B751)&gt;3, " + " &amp; IFERROR(INDEX('SAÍDA DE VENDAS'!$H$6:$H$500 &amp; "x " &amp; 'SAÍDA DE VENDAS'!$G$6:$G$500, MATCH(B751, 'SAÍDA DE VENDAS'!$B$6:$B$500, 0)+3), ""), "")&amp; IF(COUNTIF('SAÍDA DE VENDAS'!$B$6:$B$500, B751)&gt;4, " + " &amp; IFERROR(INDEX('SAÍDA DE VENDAS'!$H$6:$H$500 &amp; "x " &amp; 'SAÍDA DE VENDAS'!$G$6:$G$500, MATCH(B751, 'SAÍDA DE VENDAS'!$B$6:$B$500, 0)+4), ""), "")&amp; IF(COUNTIF('SAÍDA DE VENDAS'!$B$6:$B$500, B751)&gt;5, " + " &amp; IFERROR(INDEX('SAÍDA DE VENDAS'!$H$6:$H$500 &amp; "x " &amp; 'SAÍDA DE VENDAS'!$G$6:$G$500, MATCH(B751, 'SAÍDA DE VENDAS'!$B$6:$B$500, 0)+5), ""), ""))</f>
        <v/>
      </c>
      <c r="G751" s="34">
        <f>IFERROR(VLOOKUP(B751,'SAÍDA DE VENDAS'!$B$6:$P$500,10,FALSE),"")</f>
        <v>0</v>
      </c>
      <c r="H751" s="34" t="str">
        <f>IF(OR(ISBLANK(B751),B751=""), "", IF(B751=B750, (VALUE(LEFT(H750,FIND("/",H750)-1))+1)&amp;"/"&amp;RIGHT(H750,LEN(H750)-FIND("/",H750)), "1/"&amp;IFERROR(VLOOKUP(B751,'SAÍDA DE VENDAS'!$B$6:$P$500,13,FALSE),"1")))</f>
        <v/>
      </c>
      <c r="I751" s="35" t="str">
        <f t="shared" si="22"/>
        <v/>
      </c>
      <c r="J751" s="39" t="str">
        <f>IFERROR(VLOOKUP(B751,'SAÍDA DE VENDAS'!$B$6:$P$500,15,FALSE),"")</f>
        <v/>
      </c>
      <c r="K751" s="34" t="str">
        <f t="shared" ca="1" si="23"/>
        <v/>
      </c>
      <c r="L751" s="34"/>
      <c r="M751" s="34"/>
    </row>
    <row r="752" spans="2:13" ht="15" customHeight="1" x14ac:dyDescent="0.3">
      <c r="B752" s="28" t="str">
        <f>IF(B751="","", IF(VALUE(LEFT(H751,FIND("/",H751)-1)) &lt; VALUE(RIGHT(H751,LEN(H751)-FIND("/",H751))), B751, IFERROR(INDEX('SAÍDA DE VENDAS'!$B$6:$B$500, MATCH(B751,'SAÍDA DE VENDAS'!$B$6:$B$500,0)+COUNTIF('SAÍDA DE VENDAS'!$B$6:$B$500, B751)),"")))</f>
        <v/>
      </c>
      <c r="C752" s="29">
        <f>IFERROR(VLOOKUP(B752,'SAÍDA DE VENDAS'!$B$6:$P$500,3,FALSE),"")</f>
        <v>0</v>
      </c>
      <c r="D752" s="28">
        <f>IFERROR(VLOOKUP(B752,'SAÍDA DE VENDAS'!$B$6:$P$500,4,FALSE),"")</f>
        <v>0</v>
      </c>
      <c r="E752" s="28" t="str">
        <f>IFERROR(VLOOKUP(B752,'SAÍDA DE VENDAS'!$B$6:$P$500,5,FALSE),"")</f>
        <v/>
      </c>
      <c r="F752" s="28" t="str">
        <f>IF(OR(ISBLANK(B752),B752=""), "", IFERROR(INDEX('SAÍDA DE VENDAS'!$H$6:$H$500 &amp; "x " &amp; 'SAÍDA DE VENDAS'!$G$6:$G$500, MATCH(B752, 'SAÍDA DE VENDAS'!$B$6:$B$500, 0)), "")&amp; IF(COUNTIF('SAÍDA DE VENDAS'!$B$6:$B$500, B752)&gt;1, " + " &amp; IFERROR(INDEX('SAÍDA DE VENDAS'!$H$6:$H$500 &amp; "x " &amp; 'SAÍDA DE VENDAS'!$G$6:$G$500, MATCH(B752, 'SAÍDA DE VENDAS'!$B$6:$B$500, 0)+1), ""), "")&amp; IF(COUNTIF('SAÍDA DE VENDAS'!$B$6:$B$500, B752)&gt;2, " + " &amp; IFERROR(INDEX('SAÍDA DE VENDAS'!$H$6:$H$500 &amp; "x " &amp; 'SAÍDA DE VENDAS'!$G$6:$G$500, MATCH(B752, 'SAÍDA DE VENDAS'!$B$6:$B$500, 0)+2), ""), "")&amp; IF(COUNTIF('SAÍDA DE VENDAS'!$B$6:$B$500, B752)&gt;3, " + " &amp; IFERROR(INDEX('SAÍDA DE VENDAS'!$H$6:$H$500 &amp; "x " &amp; 'SAÍDA DE VENDAS'!$G$6:$G$500, MATCH(B752, 'SAÍDA DE VENDAS'!$B$6:$B$500, 0)+3), ""), "")&amp; IF(COUNTIF('SAÍDA DE VENDAS'!$B$6:$B$500, B752)&gt;4, " + " &amp; IFERROR(INDEX('SAÍDA DE VENDAS'!$H$6:$H$500 &amp; "x " &amp; 'SAÍDA DE VENDAS'!$G$6:$G$500, MATCH(B752, 'SAÍDA DE VENDAS'!$B$6:$B$500, 0)+4), ""), "")&amp; IF(COUNTIF('SAÍDA DE VENDAS'!$B$6:$B$500, B752)&gt;5, " + " &amp; IFERROR(INDEX('SAÍDA DE VENDAS'!$H$6:$H$500 &amp; "x " &amp; 'SAÍDA DE VENDAS'!$G$6:$G$500, MATCH(B752, 'SAÍDA DE VENDAS'!$B$6:$B$500, 0)+5), ""), ""))</f>
        <v/>
      </c>
      <c r="G752" s="28">
        <f>IFERROR(VLOOKUP(B752,'SAÍDA DE VENDAS'!$B$6:$P$500,10,FALSE),"")</f>
        <v>0</v>
      </c>
      <c r="H752" s="28" t="str">
        <f>IF(OR(ISBLANK(B752),B752=""), "", IF(B752=B751, (VALUE(LEFT(H751,FIND("/",H751)-1))+1)&amp;"/"&amp;RIGHT(H751,LEN(H751)-FIND("/",H751)), "1/"&amp;IFERROR(VLOOKUP(B752,'SAÍDA DE VENDAS'!$B$6:$P$500,13,FALSE),"1")))</f>
        <v/>
      </c>
      <c r="I752" s="69" t="str">
        <f t="shared" si="22"/>
        <v/>
      </c>
      <c r="J752" s="33" t="str">
        <f>IFERROR(VLOOKUP(B752,'SAÍDA DE VENDAS'!$B$6:$P$500,15,FALSE),"")</f>
        <v/>
      </c>
      <c r="K752" s="28" t="str">
        <f t="shared" ca="1" si="23"/>
        <v/>
      </c>
      <c r="L752" s="28"/>
      <c r="M752" s="28"/>
    </row>
    <row r="753" spans="2:13" ht="15" customHeight="1" x14ac:dyDescent="0.3">
      <c r="B753" s="34" t="str">
        <f>IF(B752="","", IF(VALUE(LEFT(H752,FIND("/",H752)-1)) &lt; VALUE(RIGHT(H752,LEN(H752)-FIND("/",H752))), B752, IFERROR(INDEX('SAÍDA DE VENDAS'!$B$6:$B$500, MATCH(B752,'SAÍDA DE VENDAS'!$B$6:$B$500,0)+COUNTIF('SAÍDA DE VENDAS'!$B$6:$B$500, B752)),"")))</f>
        <v/>
      </c>
      <c r="C753" s="35">
        <f>IFERROR(VLOOKUP(B753,'SAÍDA DE VENDAS'!$B$6:$P$500,3,FALSE),"")</f>
        <v>0</v>
      </c>
      <c r="D753" s="34">
        <f>IFERROR(VLOOKUP(B753,'SAÍDA DE VENDAS'!$B$6:$P$500,4,FALSE),"")</f>
        <v>0</v>
      </c>
      <c r="E753" s="34" t="str">
        <f>IFERROR(VLOOKUP(B753,'SAÍDA DE VENDAS'!$B$6:$P$500,5,FALSE),"")</f>
        <v/>
      </c>
      <c r="F753" s="34" t="str">
        <f>IF(OR(ISBLANK(B753),B753=""), "", IFERROR(INDEX('SAÍDA DE VENDAS'!$H$6:$H$500 &amp; "x " &amp; 'SAÍDA DE VENDAS'!$G$6:$G$500, MATCH(B753, 'SAÍDA DE VENDAS'!$B$6:$B$500, 0)), "")&amp; IF(COUNTIF('SAÍDA DE VENDAS'!$B$6:$B$500, B753)&gt;1, " + " &amp; IFERROR(INDEX('SAÍDA DE VENDAS'!$H$6:$H$500 &amp; "x " &amp; 'SAÍDA DE VENDAS'!$G$6:$G$500, MATCH(B753, 'SAÍDA DE VENDAS'!$B$6:$B$500, 0)+1), ""), "")&amp; IF(COUNTIF('SAÍDA DE VENDAS'!$B$6:$B$500, B753)&gt;2, " + " &amp; IFERROR(INDEX('SAÍDA DE VENDAS'!$H$6:$H$500 &amp; "x " &amp; 'SAÍDA DE VENDAS'!$G$6:$G$500, MATCH(B753, 'SAÍDA DE VENDAS'!$B$6:$B$500, 0)+2), ""), "")&amp; IF(COUNTIF('SAÍDA DE VENDAS'!$B$6:$B$500, B753)&gt;3, " + " &amp; IFERROR(INDEX('SAÍDA DE VENDAS'!$H$6:$H$500 &amp; "x " &amp; 'SAÍDA DE VENDAS'!$G$6:$G$500, MATCH(B753, 'SAÍDA DE VENDAS'!$B$6:$B$500, 0)+3), ""), "")&amp; IF(COUNTIF('SAÍDA DE VENDAS'!$B$6:$B$500, B753)&gt;4, " + " &amp; IFERROR(INDEX('SAÍDA DE VENDAS'!$H$6:$H$500 &amp; "x " &amp; 'SAÍDA DE VENDAS'!$G$6:$G$500, MATCH(B753, 'SAÍDA DE VENDAS'!$B$6:$B$500, 0)+4), ""), "")&amp; IF(COUNTIF('SAÍDA DE VENDAS'!$B$6:$B$500, B753)&gt;5, " + " &amp; IFERROR(INDEX('SAÍDA DE VENDAS'!$H$6:$H$500 &amp; "x " &amp; 'SAÍDA DE VENDAS'!$G$6:$G$500, MATCH(B753, 'SAÍDA DE VENDAS'!$B$6:$B$500, 0)+5), ""), ""))</f>
        <v/>
      </c>
      <c r="G753" s="34">
        <f>IFERROR(VLOOKUP(B753,'SAÍDA DE VENDAS'!$B$6:$P$500,10,FALSE),"")</f>
        <v>0</v>
      </c>
      <c r="H753" s="34" t="str">
        <f>IF(OR(ISBLANK(B753),B753=""), "", IF(B753=B752, (VALUE(LEFT(H752,FIND("/",H752)-1))+1)&amp;"/"&amp;RIGHT(H752,LEN(H752)-FIND("/",H752)), "1/"&amp;IFERROR(VLOOKUP(B753,'SAÍDA DE VENDAS'!$B$6:$P$500,13,FALSE),"1")))</f>
        <v/>
      </c>
      <c r="I753" s="35" t="str">
        <f t="shared" si="22"/>
        <v/>
      </c>
      <c r="J753" s="39" t="str">
        <f>IFERROR(VLOOKUP(B753,'SAÍDA DE VENDAS'!$B$6:$P$500,15,FALSE),"")</f>
        <v/>
      </c>
      <c r="K753" s="34" t="str">
        <f t="shared" ca="1" si="23"/>
        <v/>
      </c>
      <c r="L753" s="34"/>
      <c r="M753" s="34"/>
    </row>
    <row r="754" spans="2:13" ht="15" customHeight="1" x14ac:dyDescent="0.3">
      <c r="B754" s="28" t="str">
        <f>IF(B753="","", IF(VALUE(LEFT(H753,FIND("/",H753)-1)) &lt; VALUE(RIGHT(H753,LEN(H753)-FIND("/",H753))), B753, IFERROR(INDEX('SAÍDA DE VENDAS'!$B$6:$B$500, MATCH(B753,'SAÍDA DE VENDAS'!$B$6:$B$500,0)+COUNTIF('SAÍDA DE VENDAS'!$B$6:$B$500, B753)),"")))</f>
        <v/>
      </c>
      <c r="C754" s="29">
        <f>IFERROR(VLOOKUP(B754,'SAÍDA DE VENDAS'!$B$6:$P$500,3,FALSE),"")</f>
        <v>0</v>
      </c>
      <c r="D754" s="28">
        <f>IFERROR(VLOOKUP(B754,'SAÍDA DE VENDAS'!$B$6:$P$500,4,FALSE),"")</f>
        <v>0</v>
      </c>
      <c r="E754" s="28" t="str">
        <f>IFERROR(VLOOKUP(B754,'SAÍDA DE VENDAS'!$B$6:$P$500,5,FALSE),"")</f>
        <v/>
      </c>
      <c r="F754" s="28" t="str">
        <f>IF(OR(ISBLANK(B754),B754=""), "", IFERROR(INDEX('SAÍDA DE VENDAS'!$H$6:$H$500 &amp; "x " &amp; 'SAÍDA DE VENDAS'!$G$6:$G$500, MATCH(B754, 'SAÍDA DE VENDAS'!$B$6:$B$500, 0)), "")&amp; IF(COUNTIF('SAÍDA DE VENDAS'!$B$6:$B$500, B754)&gt;1, " + " &amp; IFERROR(INDEX('SAÍDA DE VENDAS'!$H$6:$H$500 &amp; "x " &amp; 'SAÍDA DE VENDAS'!$G$6:$G$500, MATCH(B754, 'SAÍDA DE VENDAS'!$B$6:$B$500, 0)+1), ""), "")&amp; IF(COUNTIF('SAÍDA DE VENDAS'!$B$6:$B$500, B754)&gt;2, " + " &amp; IFERROR(INDEX('SAÍDA DE VENDAS'!$H$6:$H$500 &amp; "x " &amp; 'SAÍDA DE VENDAS'!$G$6:$G$500, MATCH(B754, 'SAÍDA DE VENDAS'!$B$6:$B$500, 0)+2), ""), "")&amp; IF(COUNTIF('SAÍDA DE VENDAS'!$B$6:$B$500, B754)&gt;3, " + " &amp; IFERROR(INDEX('SAÍDA DE VENDAS'!$H$6:$H$500 &amp; "x " &amp; 'SAÍDA DE VENDAS'!$G$6:$G$500, MATCH(B754, 'SAÍDA DE VENDAS'!$B$6:$B$500, 0)+3), ""), "")&amp; IF(COUNTIF('SAÍDA DE VENDAS'!$B$6:$B$500, B754)&gt;4, " + " &amp; IFERROR(INDEX('SAÍDA DE VENDAS'!$H$6:$H$500 &amp; "x " &amp; 'SAÍDA DE VENDAS'!$G$6:$G$500, MATCH(B754, 'SAÍDA DE VENDAS'!$B$6:$B$500, 0)+4), ""), "")&amp; IF(COUNTIF('SAÍDA DE VENDAS'!$B$6:$B$500, B754)&gt;5, " + " &amp; IFERROR(INDEX('SAÍDA DE VENDAS'!$H$6:$H$500 &amp; "x " &amp; 'SAÍDA DE VENDAS'!$G$6:$G$500, MATCH(B754, 'SAÍDA DE VENDAS'!$B$6:$B$500, 0)+5), ""), ""))</f>
        <v/>
      </c>
      <c r="G754" s="28">
        <f>IFERROR(VLOOKUP(B754,'SAÍDA DE VENDAS'!$B$6:$P$500,10,FALSE),"")</f>
        <v>0</v>
      </c>
      <c r="H754" s="28" t="str">
        <f>IF(OR(ISBLANK(B754),B754=""), "", IF(B754=B753, (VALUE(LEFT(H753,FIND("/",H753)-1))+1)&amp;"/"&amp;RIGHT(H753,LEN(H753)-FIND("/",H753)), "1/"&amp;IFERROR(VLOOKUP(B754,'SAÍDA DE VENDAS'!$B$6:$P$500,13,FALSE),"1")))</f>
        <v/>
      </c>
      <c r="I754" s="69" t="str">
        <f t="shared" si="22"/>
        <v/>
      </c>
      <c r="J754" s="33" t="str">
        <f>IFERROR(VLOOKUP(B754,'SAÍDA DE VENDAS'!$B$6:$P$500,15,FALSE),"")</f>
        <v/>
      </c>
      <c r="K754" s="28" t="str">
        <f t="shared" ca="1" si="23"/>
        <v/>
      </c>
      <c r="L754" s="28"/>
      <c r="M754" s="28"/>
    </row>
    <row r="755" spans="2:13" ht="15" customHeight="1" x14ac:dyDescent="0.3">
      <c r="B755" s="34" t="str">
        <f>IF(B754="","", IF(VALUE(LEFT(H754,FIND("/",H754)-1)) &lt; VALUE(RIGHT(H754,LEN(H754)-FIND("/",H754))), B754, IFERROR(INDEX('SAÍDA DE VENDAS'!$B$6:$B$500, MATCH(B754,'SAÍDA DE VENDAS'!$B$6:$B$500,0)+COUNTIF('SAÍDA DE VENDAS'!$B$6:$B$500, B754)),"")))</f>
        <v/>
      </c>
      <c r="C755" s="35">
        <f>IFERROR(VLOOKUP(B755,'SAÍDA DE VENDAS'!$B$6:$P$500,3,FALSE),"")</f>
        <v>0</v>
      </c>
      <c r="D755" s="34">
        <f>IFERROR(VLOOKUP(B755,'SAÍDA DE VENDAS'!$B$6:$P$500,4,FALSE),"")</f>
        <v>0</v>
      </c>
      <c r="E755" s="34" t="str">
        <f>IFERROR(VLOOKUP(B755,'SAÍDA DE VENDAS'!$B$6:$P$500,5,FALSE),"")</f>
        <v/>
      </c>
      <c r="F755" s="34" t="str">
        <f>IF(OR(ISBLANK(B755),B755=""), "", IFERROR(INDEX('SAÍDA DE VENDAS'!$H$6:$H$500 &amp; "x " &amp; 'SAÍDA DE VENDAS'!$G$6:$G$500, MATCH(B755, 'SAÍDA DE VENDAS'!$B$6:$B$500, 0)), "")&amp; IF(COUNTIF('SAÍDA DE VENDAS'!$B$6:$B$500, B755)&gt;1, " + " &amp; IFERROR(INDEX('SAÍDA DE VENDAS'!$H$6:$H$500 &amp; "x " &amp; 'SAÍDA DE VENDAS'!$G$6:$G$500, MATCH(B755, 'SAÍDA DE VENDAS'!$B$6:$B$500, 0)+1), ""), "")&amp; IF(COUNTIF('SAÍDA DE VENDAS'!$B$6:$B$500, B755)&gt;2, " + " &amp; IFERROR(INDEX('SAÍDA DE VENDAS'!$H$6:$H$500 &amp; "x " &amp; 'SAÍDA DE VENDAS'!$G$6:$G$500, MATCH(B755, 'SAÍDA DE VENDAS'!$B$6:$B$500, 0)+2), ""), "")&amp; IF(COUNTIF('SAÍDA DE VENDAS'!$B$6:$B$500, B755)&gt;3, " + " &amp; IFERROR(INDEX('SAÍDA DE VENDAS'!$H$6:$H$500 &amp; "x " &amp; 'SAÍDA DE VENDAS'!$G$6:$G$500, MATCH(B755, 'SAÍDA DE VENDAS'!$B$6:$B$500, 0)+3), ""), "")&amp; IF(COUNTIF('SAÍDA DE VENDAS'!$B$6:$B$500, B755)&gt;4, " + " &amp; IFERROR(INDEX('SAÍDA DE VENDAS'!$H$6:$H$500 &amp; "x " &amp; 'SAÍDA DE VENDAS'!$G$6:$G$500, MATCH(B755, 'SAÍDA DE VENDAS'!$B$6:$B$500, 0)+4), ""), "")&amp; IF(COUNTIF('SAÍDA DE VENDAS'!$B$6:$B$500, B755)&gt;5, " + " &amp; IFERROR(INDEX('SAÍDA DE VENDAS'!$H$6:$H$500 &amp; "x " &amp; 'SAÍDA DE VENDAS'!$G$6:$G$500, MATCH(B755, 'SAÍDA DE VENDAS'!$B$6:$B$500, 0)+5), ""), ""))</f>
        <v/>
      </c>
      <c r="G755" s="34">
        <f>IFERROR(VLOOKUP(B755,'SAÍDA DE VENDAS'!$B$6:$P$500,10,FALSE),"")</f>
        <v>0</v>
      </c>
      <c r="H755" s="34" t="str">
        <f>IF(OR(ISBLANK(B755),B755=""), "", IF(B755=B754, (VALUE(LEFT(H754,FIND("/",H754)-1))+1)&amp;"/"&amp;RIGHT(H754,LEN(H754)-FIND("/",H754)), "1/"&amp;IFERROR(VLOOKUP(B755,'SAÍDA DE VENDAS'!$B$6:$P$500,13,FALSE),"1")))</f>
        <v/>
      </c>
      <c r="I755" s="35" t="str">
        <f t="shared" si="22"/>
        <v/>
      </c>
      <c r="J755" s="39" t="str">
        <f>IFERROR(VLOOKUP(B755,'SAÍDA DE VENDAS'!$B$6:$P$500,15,FALSE),"")</f>
        <v/>
      </c>
      <c r="K755" s="34" t="str">
        <f t="shared" ca="1" si="23"/>
        <v/>
      </c>
      <c r="L755" s="34"/>
      <c r="M755" s="34"/>
    </row>
    <row r="756" spans="2:13" ht="15" customHeight="1" x14ac:dyDescent="0.3">
      <c r="B756" s="28" t="str">
        <f>IF(B755="","", IF(VALUE(LEFT(H755,FIND("/",H755)-1)) &lt; VALUE(RIGHT(H755,LEN(H755)-FIND("/",H755))), B755, IFERROR(INDEX('SAÍDA DE VENDAS'!$B$6:$B$500, MATCH(B755,'SAÍDA DE VENDAS'!$B$6:$B$500,0)+COUNTIF('SAÍDA DE VENDAS'!$B$6:$B$500, B755)),"")))</f>
        <v/>
      </c>
      <c r="C756" s="29">
        <f>IFERROR(VLOOKUP(B756,'SAÍDA DE VENDAS'!$B$6:$P$500,3,FALSE),"")</f>
        <v>0</v>
      </c>
      <c r="D756" s="28">
        <f>IFERROR(VLOOKUP(B756,'SAÍDA DE VENDAS'!$B$6:$P$500,4,FALSE),"")</f>
        <v>0</v>
      </c>
      <c r="E756" s="28" t="str">
        <f>IFERROR(VLOOKUP(B756,'SAÍDA DE VENDAS'!$B$6:$P$500,5,FALSE),"")</f>
        <v/>
      </c>
      <c r="F756" s="28" t="str">
        <f>IF(OR(ISBLANK(B756),B756=""), "", IFERROR(INDEX('SAÍDA DE VENDAS'!$H$6:$H$500 &amp; "x " &amp; 'SAÍDA DE VENDAS'!$G$6:$G$500, MATCH(B756, 'SAÍDA DE VENDAS'!$B$6:$B$500, 0)), "")&amp; IF(COUNTIF('SAÍDA DE VENDAS'!$B$6:$B$500, B756)&gt;1, " + " &amp; IFERROR(INDEX('SAÍDA DE VENDAS'!$H$6:$H$500 &amp; "x " &amp; 'SAÍDA DE VENDAS'!$G$6:$G$500, MATCH(B756, 'SAÍDA DE VENDAS'!$B$6:$B$500, 0)+1), ""), "")&amp; IF(COUNTIF('SAÍDA DE VENDAS'!$B$6:$B$500, B756)&gt;2, " + " &amp; IFERROR(INDEX('SAÍDA DE VENDAS'!$H$6:$H$500 &amp; "x " &amp; 'SAÍDA DE VENDAS'!$G$6:$G$500, MATCH(B756, 'SAÍDA DE VENDAS'!$B$6:$B$500, 0)+2), ""), "")&amp; IF(COUNTIF('SAÍDA DE VENDAS'!$B$6:$B$500, B756)&gt;3, " + " &amp; IFERROR(INDEX('SAÍDA DE VENDAS'!$H$6:$H$500 &amp; "x " &amp; 'SAÍDA DE VENDAS'!$G$6:$G$500, MATCH(B756, 'SAÍDA DE VENDAS'!$B$6:$B$500, 0)+3), ""), "")&amp; IF(COUNTIF('SAÍDA DE VENDAS'!$B$6:$B$500, B756)&gt;4, " + " &amp; IFERROR(INDEX('SAÍDA DE VENDAS'!$H$6:$H$500 &amp; "x " &amp; 'SAÍDA DE VENDAS'!$G$6:$G$500, MATCH(B756, 'SAÍDA DE VENDAS'!$B$6:$B$500, 0)+4), ""), "")&amp; IF(COUNTIF('SAÍDA DE VENDAS'!$B$6:$B$500, B756)&gt;5, " + " &amp; IFERROR(INDEX('SAÍDA DE VENDAS'!$H$6:$H$500 &amp; "x " &amp; 'SAÍDA DE VENDAS'!$G$6:$G$500, MATCH(B756, 'SAÍDA DE VENDAS'!$B$6:$B$500, 0)+5), ""), ""))</f>
        <v/>
      </c>
      <c r="G756" s="28">
        <f>IFERROR(VLOOKUP(B756,'SAÍDA DE VENDAS'!$B$6:$P$500,10,FALSE),"")</f>
        <v>0</v>
      </c>
      <c r="H756" s="28" t="str">
        <f>IF(OR(ISBLANK(B756),B756=""), "", IF(B756=B755, (VALUE(LEFT(H755,FIND("/",H755)-1))+1)&amp;"/"&amp;RIGHT(H755,LEN(H755)-FIND("/",H755)), "1/"&amp;IFERROR(VLOOKUP(B756,'SAÍDA DE VENDAS'!$B$6:$P$500,13,FALSE),"1")))</f>
        <v/>
      </c>
      <c r="I756" s="69" t="str">
        <f t="shared" si="22"/>
        <v/>
      </c>
      <c r="J756" s="33" t="str">
        <f>IFERROR(VLOOKUP(B756,'SAÍDA DE VENDAS'!$B$6:$P$500,15,FALSE),"")</f>
        <v/>
      </c>
      <c r="K756" s="28" t="str">
        <f t="shared" ca="1" si="23"/>
        <v/>
      </c>
      <c r="L756" s="28"/>
      <c r="M756" s="28"/>
    </row>
    <row r="757" spans="2:13" ht="15" customHeight="1" x14ac:dyDescent="0.3">
      <c r="B757" s="34" t="str">
        <f>IF(B756="","", IF(VALUE(LEFT(H756,FIND("/",H756)-1)) &lt; VALUE(RIGHT(H756,LEN(H756)-FIND("/",H756))), B756, IFERROR(INDEX('SAÍDA DE VENDAS'!$B$6:$B$500, MATCH(B756,'SAÍDA DE VENDAS'!$B$6:$B$500,0)+COUNTIF('SAÍDA DE VENDAS'!$B$6:$B$500, B756)),"")))</f>
        <v/>
      </c>
      <c r="C757" s="35">
        <f>IFERROR(VLOOKUP(B757,'SAÍDA DE VENDAS'!$B$6:$P$500,3,FALSE),"")</f>
        <v>0</v>
      </c>
      <c r="D757" s="34">
        <f>IFERROR(VLOOKUP(B757,'SAÍDA DE VENDAS'!$B$6:$P$500,4,FALSE),"")</f>
        <v>0</v>
      </c>
      <c r="E757" s="34" t="str">
        <f>IFERROR(VLOOKUP(B757,'SAÍDA DE VENDAS'!$B$6:$P$500,5,FALSE),"")</f>
        <v/>
      </c>
      <c r="F757" s="34" t="str">
        <f>IF(OR(ISBLANK(B757),B757=""), "", IFERROR(INDEX('SAÍDA DE VENDAS'!$H$6:$H$500 &amp; "x " &amp; 'SAÍDA DE VENDAS'!$G$6:$G$500, MATCH(B757, 'SAÍDA DE VENDAS'!$B$6:$B$500, 0)), "")&amp; IF(COUNTIF('SAÍDA DE VENDAS'!$B$6:$B$500, B757)&gt;1, " + " &amp; IFERROR(INDEX('SAÍDA DE VENDAS'!$H$6:$H$500 &amp; "x " &amp; 'SAÍDA DE VENDAS'!$G$6:$G$500, MATCH(B757, 'SAÍDA DE VENDAS'!$B$6:$B$500, 0)+1), ""), "")&amp; IF(COUNTIF('SAÍDA DE VENDAS'!$B$6:$B$500, B757)&gt;2, " + " &amp; IFERROR(INDEX('SAÍDA DE VENDAS'!$H$6:$H$500 &amp; "x " &amp; 'SAÍDA DE VENDAS'!$G$6:$G$500, MATCH(B757, 'SAÍDA DE VENDAS'!$B$6:$B$500, 0)+2), ""), "")&amp; IF(COUNTIF('SAÍDA DE VENDAS'!$B$6:$B$500, B757)&gt;3, " + " &amp; IFERROR(INDEX('SAÍDA DE VENDAS'!$H$6:$H$500 &amp; "x " &amp; 'SAÍDA DE VENDAS'!$G$6:$G$500, MATCH(B757, 'SAÍDA DE VENDAS'!$B$6:$B$500, 0)+3), ""), "")&amp; IF(COUNTIF('SAÍDA DE VENDAS'!$B$6:$B$500, B757)&gt;4, " + " &amp; IFERROR(INDEX('SAÍDA DE VENDAS'!$H$6:$H$500 &amp; "x " &amp; 'SAÍDA DE VENDAS'!$G$6:$G$500, MATCH(B757, 'SAÍDA DE VENDAS'!$B$6:$B$500, 0)+4), ""), "")&amp; IF(COUNTIF('SAÍDA DE VENDAS'!$B$6:$B$500, B757)&gt;5, " + " &amp; IFERROR(INDEX('SAÍDA DE VENDAS'!$H$6:$H$500 &amp; "x " &amp; 'SAÍDA DE VENDAS'!$G$6:$G$500, MATCH(B757, 'SAÍDA DE VENDAS'!$B$6:$B$500, 0)+5), ""), ""))</f>
        <v/>
      </c>
      <c r="G757" s="34">
        <f>IFERROR(VLOOKUP(B757,'SAÍDA DE VENDAS'!$B$6:$P$500,10,FALSE),"")</f>
        <v>0</v>
      </c>
      <c r="H757" s="34" t="str">
        <f>IF(OR(ISBLANK(B757),B757=""), "", IF(B757=B756, (VALUE(LEFT(H756,FIND("/",H756)-1))+1)&amp;"/"&amp;RIGHT(H756,LEN(H756)-FIND("/",H756)), "1/"&amp;IFERROR(VLOOKUP(B757,'SAÍDA DE VENDAS'!$B$6:$P$500,13,FALSE),"1")))</f>
        <v/>
      </c>
      <c r="I757" s="35" t="str">
        <f t="shared" si="22"/>
        <v/>
      </c>
      <c r="J757" s="39" t="str">
        <f>IFERROR(VLOOKUP(B757,'SAÍDA DE VENDAS'!$B$6:$P$500,15,FALSE),"")</f>
        <v/>
      </c>
      <c r="K757" s="34" t="str">
        <f t="shared" ca="1" si="23"/>
        <v/>
      </c>
      <c r="L757" s="34"/>
      <c r="M757" s="34"/>
    </row>
    <row r="758" spans="2:13" ht="15" customHeight="1" x14ac:dyDescent="0.3">
      <c r="B758" s="28" t="str">
        <f>IF(B757="","", IF(VALUE(LEFT(H757,FIND("/",H757)-1)) &lt; VALUE(RIGHT(H757,LEN(H757)-FIND("/",H757))), B757, IFERROR(INDEX('SAÍDA DE VENDAS'!$B$6:$B$500, MATCH(B757,'SAÍDA DE VENDAS'!$B$6:$B$500,0)+COUNTIF('SAÍDA DE VENDAS'!$B$6:$B$500, B757)),"")))</f>
        <v/>
      </c>
      <c r="C758" s="29">
        <f>IFERROR(VLOOKUP(B758,'SAÍDA DE VENDAS'!$B$6:$P$500,3,FALSE),"")</f>
        <v>0</v>
      </c>
      <c r="D758" s="28">
        <f>IFERROR(VLOOKUP(B758,'SAÍDA DE VENDAS'!$B$6:$P$500,4,FALSE),"")</f>
        <v>0</v>
      </c>
      <c r="E758" s="28" t="str">
        <f>IFERROR(VLOOKUP(B758,'SAÍDA DE VENDAS'!$B$6:$P$500,5,FALSE),"")</f>
        <v/>
      </c>
      <c r="F758" s="28" t="str">
        <f>IF(OR(ISBLANK(B758),B758=""), "", IFERROR(INDEX('SAÍDA DE VENDAS'!$H$6:$H$500 &amp; "x " &amp; 'SAÍDA DE VENDAS'!$G$6:$G$500, MATCH(B758, 'SAÍDA DE VENDAS'!$B$6:$B$500, 0)), "")&amp; IF(COUNTIF('SAÍDA DE VENDAS'!$B$6:$B$500, B758)&gt;1, " + " &amp; IFERROR(INDEX('SAÍDA DE VENDAS'!$H$6:$H$500 &amp; "x " &amp; 'SAÍDA DE VENDAS'!$G$6:$G$500, MATCH(B758, 'SAÍDA DE VENDAS'!$B$6:$B$500, 0)+1), ""), "")&amp; IF(COUNTIF('SAÍDA DE VENDAS'!$B$6:$B$500, B758)&gt;2, " + " &amp; IFERROR(INDEX('SAÍDA DE VENDAS'!$H$6:$H$500 &amp; "x " &amp; 'SAÍDA DE VENDAS'!$G$6:$G$500, MATCH(B758, 'SAÍDA DE VENDAS'!$B$6:$B$500, 0)+2), ""), "")&amp; IF(COUNTIF('SAÍDA DE VENDAS'!$B$6:$B$500, B758)&gt;3, " + " &amp; IFERROR(INDEX('SAÍDA DE VENDAS'!$H$6:$H$500 &amp; "x " &amp; 'SAÍDA DE VENDAS'!$G$6:$G$500, MATCH(B758, 'SAÍDA DE VENDAS'!$B$6:$B$500, 0)+3), ""), "")&amp; IF(COUNTIF('SAÍDA DE VENDAS'!$B$6:$B$500, B758)&gt;4, " + " &amp; IFERROR(INDEX('SAÍDA DE VENDAS'!$H$6:$H$500 &amp; "x " &amp; 'SAÍDA DE VENDAS'!$G$6:$G$500, MATCH(B758, 'SAÍDA DE VENDAS'!$B$6:$B$500, 0)+4), ""), "")&amp; IF(COUNTIF('SAÍDA DE VENDAS'!$B$6:$B$500, B758)&gt;5, " + " &amp; IFERROR(INDEX('SAÍDA DE VENDAS'!$H$6:$H$500 &amp; "x " &amp; 'SAÍDA DE VENDAS'!$G$6:$G$500, MATCH(B758, 'SAÍDA DE VENDAS'!$B$6:$B$500, 0)+5), ""), ""))</f>
        <v/>
      </c>
      <c r="G758" s="28">
        <f>IFERROR(VLOOKUP(B758,'SAÍDA DE VENDAS'!$B$6:$P$500,10,FALSE),"")</f>
        <v>0</v>
      </c>
      <c r="H758" s="28" t="str">
        <f>IF(OR(ISBLANK(B758),B758=""), "", IF(B758=B757, (VALUE(LEFT(H757,FIND("/",H757)-1))+1)&amp;"/"&amp;RIGHT(H757,LEN(H757)-FIND("/",H757)), "1/"&amp;IFERROR(VLOOKUP(B758,'SAÍDA DE VENDAS'!$B$6:$P$500,13,FALSE),"1")))</f>
        <v/>
      </c>
      <c r="I758" s="69" t="str">
        <f t="shared" si="22"/>
        <v/>
      </c>
      <c r="J758" s="33" t="str">
        <f>IFERROR(VLOOKUP(B758,'SAÍDA DE VENDAS'!$B$6:$P$500,15,FALSE),"")</f>
        <v/>
      </c>
      <c r="K758" s="28" t="str">
        <f t="shared" ca="1" si="23"/>
        <v/>
      </c>
      <c r="L758" s="28"/>
      <c r="M758" s="28"/>
    </row>
    <row r="759" spans="2:13" ht="15" customHeight="1" x14ac:dyDescent="0.3">
      <c r="B759" s="34" t="str">
        <f>IF(B758="","", IF(VALUE(LEFT(H758,FIND("/",H758)-1)) &lt; VALUE(RIGHT(H758,LEN(H758)-FIND("/",H758))), B758, IFERROR(INDEX('SAÍDA DE VENDAS'!$B$6:$B$500, MATCH(B758,'SAÍDA DE VENDAS'!$B$6:$B$500,0)+COUNTIF('SAÍDA DE VENDAS'!$B$6:$B$500, B758)),"")))</f>
        <v/>
      </c>
      <c r="C759" s="35">
        <f>IFERROR(VLOOKUP(B759,'SAÍDA DE VENDAS'!$B$6:$P$500,3,FALSE),"")</f>
        <v>0</v>
      </c>
      <c r="D759" s="34">
        <f>IFERROR(VLOOKUP(B759,'SAÍDA DE VENDAS'!$B$6:$P$500,4,FALSE),"")</f>
        <v>0</v>
      </c>
      <c r="E759" s="34" t="str">
        <f>IFERROR(VLOOKUP(B759,'SAÍDA DE VENDAS'!$B$6:$P$500,5,FALSE),"")</f>
        <v/>
      </c>
      <c r="F759" s="34" t="str">
        <f>IF(OR(ISBLANK(B759),B759=""), "", IFERROR(INDEX('SAÍDA DE VENDAS'!$H$6:$H$500 &amp; "x " &amp; 'SAÍDA DE VENDAS'!$G$6:$G$500, MATCH(B759, 'SAÍDA DE VENDAS'!$B$6:$B$500, 0)), "")&amp; IF(COUNTIF('SAÍDA DE VENDAS'!$B$6:$B$500, B759)&gt;1, " + " &amp; IFERROR(INDEX('SAÍDA DE VENDAS'!$H$6:$H$500 &amp; "x " &amp; 'SAÍDA DE VENDAS'!$G$6:$G$500, MATCH(B759, 'SAÍDA DE VENDAS'!$B$6:$B$500, 0)+1), ""), "")&amp; IF(COUNTIF('SAÍDA DE VENDAS'!$B$6:$B$500, B759)&gt;2, " + " &amp; IFERROR(INDEX('SAÍDA DE VENDAS'!$H$6:$H$500 &amp; "x " &amp; 'SAÍDA DE VENDAS'!$G$6:$G$500, MATCH(B759, 'SAÍDA DE VENDAS'!$B$6:$B$500, 0)+2), ""), "")&amp; IF(COUNTIF('SAÍDA DE VENDAS'!$B$6:$B$500, B759)&gt;3, " + " &amp; IFERROR(INDEX('SAÍDA DE VENDAS'!$H$6:$H$500 &amp; "x " &amp; 'SAÍDA DE VENDAS'!$G$6:$G$500, MATCH(B759, 'SAÍDA DE VENDAS'!$B$6:$B$500, 0)+3), ""), "")&amp; IF(COUNTIF('SAÍDA DE VENDAS'!$B$6:$B$500, B759)&gt;4, " + " &amp; IFERROR(INDEX('SAÍDA DE VENDAS'!$H$6:$H$500 &amp; "x " &amp; 'SAÍDA DE VENDAS'!$G$6:$G$500, MATCH(B759, 'SAÍDA DE VENDAS'!$B$6:$B$500, 0)+4), ""), "")&amp; IF(COUNTIF('SAÍDA DE VENDAS'!$B$6:$B$500, B759)&gt;5, " + " &amp; IFERROR(INDEX('SAÍDA DE VENDAS'!$H$6:$H$500 &amp; "x " &amp; 'SAÍDA DE VENDAS'!$G$6:$G$500, MATCH(B759, 'SAÍDA DE VENDAS'!$B$6:$B$500, 0)+5), ""), ""))</f>
        <v/>
      </c>
      <c r="G759" s="34">
        <f>IFERROR(VLOOKUP(B759,'SAÍDA DE VENDAS'!$B$6:$P$500,10,FALSE),"")</f>
        <v>0</v>
      </c>
      <c r="H759" s="34" t="str">
        <f>IF(OR(ISBLANK(B759),B759=""), "", IF(B759=B758, (VALUE(LEFT(H758,FIND("/",H758)-1))+1)&amp;"/"&amp;RIGHT(H758,LEN(H758)-FIND("/",H758)), "1/"&amp;IFERROR(VLOOKUP(B759,'SAÍDA DE VENDAS'!$B$6:$P$500,13,FALSE),"1")))</f>
        <v/>
      </c>
      <c r="I759" s="35" t="str">
        <f t="shared" si="22"/>
        <v/>
      </c>
      <c r="J759" s="39" t="str">
        <f>IFERROR(VLOOKUP(B759,'SAÍDA DE VENDAS'!$B$6:$P$500,15,FALSE),"")</f>
        <v/>
      </c>
      <c r="K759" s="34" t="str">
        <f t="shared" ca="1" si="23"/>
        <v/>
      </c>
      <c r="L759" s="34"/>
      <c r="M759" s="34"/>
    </row>
    <row r="760" spans="2:13" ht="15" customHeight="1" x14ac:dyDescent="0.3">
      <c r="B760" s="28" t="str">
        <f>IF(B759="","", IF(VALUE(LEFT(H759,FIND("/",H759)-1)) &lt; VALUE(RIGHT(H759,LEN(H759)-FIND("/",H759))), B759, IFERROR(INDEX('SAÍDA DE VENDAS'!$B$6:$B$500, MATCH(B759,'SAÍDA DE VENDAS'!$B$6:$B$500,0)+COUNTIF('SAÍDA DE VENDAS'!$B$6:$B$500, B759)),"")))</f>
        <v/>
      </c>
      <c r="C760" s="29">
        <f>IFERROR(VLOOKUP(B760,'SAÍDA DE VENDAS'!$B$6:$P$500,3,FALSE),"")</f>
        <v>0</v>
      </c>
      <c r="D760" s="28">
        <f>IFERROR(VLOOKUP(B760,'SAÍDA DE VENDAS'!$B$6:$P$500,4,FALSE),"")</f>
        <v>0</v>
      </c>
      <c r="E760" s="28" t="str">
        <f>IFERROR(VLOOKUP(B760,'SAÍDA DE VENDAS'!$B$6:$P$500,5,FALSE),"")</f>
        <v/>
      </c>
      <c r="F760" s="28" t="str">
        <f>IF(OR(ISBLANK(B760),B760=""), "", IFERROR(INDEX('SAÍDA DE VENDAS'!$H$6:$H$500 &amp; "x " &amp; 'SAÍDA DE VENDAS'!$G$6:$G$500, MATCH(B760, 'SAÍDA DE VENDAS'!$B$6:$B$500, 0)), "")&amp; IF(COUNTIF('SAÍDA DE VENDAS'!$B$6:$B$500, B760)&gt;1, " + " &amp; IFERROR(INDEX('SAÍDA DE VENDAS'!$H$6:$H$500 &amp; "x " &amp; 'SAÍDA DE VENDAS'!$G$6:$G$500, MATCH(B760, 'SAÍDA DE VENDAS'!$B$6:$B$500, 0)+1), ""), "")&amp; IF(COUNTIF('SAÍDA DE VENDAS'!$B$6:$B$500, B760)&gt;2, " + " &amp; IFERROR(INDEX('SAÍDA DE VENDAS'!$H$6:$H$500 &amp; "x " &amp; 'SAÍDA DE VENDAS'!$G$6:$G$500, MATCH(B760, 'SAÍDA DE VENDAS'!$B$6:$B$500, 0)+2), ""), "")&amp; IF(COUNTIF('SAÍDA DE VENDAS'!$B$6:$B$500, B760)&gt;3, " + " &amp; IFERROR(INDEX('SAÍDA DE VENDAS'!$H$6:$H$500 &amp; "x " &amp; 'SAÍDA DE VENDAS'!$G$6:$G$500, MATCH(B760, 'SAÍDA DE VENDAS'!$B$6:$B$500, 0)+3), ""), "")&amp; IF(COUNTIF('SAÍDA DE VENDAS'!$B$6:$B$500, B760)&gt;4, " + " &amp; IFERROR(INDEX('SAÍDA DE VENDAS'!$H$6:$H$500 &amp; "x " &amp; 'SAÍDA DE VENDAS'!$G$6:$G$500, MATCH(B760, 'SAÍDA DE VENDAS'!$B$6:$B$500, 0)+4), ""), "")&amp; IF(COUNTIF('SAÍDA DE VENDAS'!$B$6:$B$500, B760)&gt;5, " + " &amp; IFERROR(INDEX('SAÍDA DE VENDAS'!$H$6:$H$500 &amp; "x " &amp; 'SAÍDA DE VENDAS'!$G$6:$G$500, MATCH(B760, 'SAÍDA DE VENDAS'!$B$6:$B$500, 0)+5), ""), ""))</f>
        <v/>
      </c>
      <c r="G760" s="28">
        <f>IFERROR(VLOOKUP(B760,'SAÍDA DE VENDAS'!$B$6:$P$500,10,FALSE),"")</f>
        <v>0</v>
      </c>
      <c r="H760" s="28" t="str">
        <f>IF(OR(ISBLANK(B760),B760=""), "", IF(B760=B759, (VALUE(LEFT(H759,FIND("/",H759)-1))+1)&amp;"/"&amp;RIGHT(H759,LEN(H759)-FIND("/",H759)), "1/"&amp;IFERROR(VLOOKUP(B760,'SAÍDA DE VENDAS'!$B$6:$P$500,13,FALSE),"1")))</f>
        <v/>
      </c>
      <c r="I760" s="69" t="str">
        <f t="shared" si="22"/>
        <v/>
      </c>
      <c r="J760" s="33" t="str">
        <f>IFERROR(VLOOKUP(B760,'SAÍDA DE VENDAS'!$B$6:$P$500,15,FALSE),"")</f>
        <v/>
      </c>
      <c r="K760" s="28" t="str">
        <f t="shared" ca="1" si="23"/>
        <v/>
      </c>
      <c r="L760" s="28"/>
      <c r="M760" s="28"/>
    </row>
    <row r="761" spans="2:13" ht="15" customHeight="1" x14ac:dyDescent="0.3">
      <c r="B761" s="34" t="str">
        <f>IF(B760="","", IF(VALUE(LEFT(H760,FIND("/",H760)-1)) &lt; VALUE(RIGHT(H760,LEN(H760)-FIND("/",H760))), B760, IFERROR(INDEX('SAÍDA DE VENDAS'!$B$6:$B$500, MATCH(B760,'SAÍDA DE VENDAS'!$B$6:$B$500,0)+COUNTIF('SAÍDA DE VENDAS'!$B$6:$B$500, B760)),"")))</f>
        <v/>
      </c>
      <c r="C761" s="35">
        <f>IFERROR(VLOOKUP(B761,'SAÍDA DE VENDAS'!$B$6:$P$500,3,FALSE),"")</f>
        <v>0</v>
      </c>
      <c r="D761" s="34">
        <f>IFERROR(VLOOKUP(B761,'SAÍDA DE VENDAS'!$B$6:$P$500,4,FALSE),"")</f>
        <v>0</v>
      </c>
      <c r="E761" s="34" t="str">
        <f>IFERROR(VLOOKUP(B761,'SAÍDA DE VENDAS'!$B$6:$P$500,5,FALSE),"")</f>
        <v/>
      </c>
      <c r="F761" s="34" t="str">
        <f>IF(OR(ISBLANK(B761),B761=""), "", IFERROR(INDEX('SAÍDA DE VENDAS'!$H$6:$H$500 &amp; "x " &amp; 'SAÍDA DE VENDAS'!$G$6:$G$500, MATCH(B761, 'SAÍDA DE VENDAS'!$B$6:$B$500, 0)), "")&amp; IF(COUNTIF('SAÍDA DE VENDAS'!$B$6:$B$500, B761)&gt;1, " + " &amp; IFERROR(INDEX('SAÍDA DE VENDAS'!$H$6:$H$500 &amp; "x " &amp; 'SAÍDA DE VENDAS'!$G$6:$G$500, MATCH(B761, 'SAÍDA DE VENDAS'!$B$6:$B$500, 0)+1), ""), "")&amp; IF(COUNTIF('SAÍDA DE VENDAS'!$B$6:$B$500, B761)&gt;2, " + " &amp; IFERROR(INDEX('SAÍDA DE VENDAS'!$H$6:$H$500 &amp; "x " &amp; 'SAÍDA DE VENDAS'!$G$6:$G$500, MATCH(B761, 'SAÍDA DE VENDAS'!$B$6:$B$500, 0)+2), ""), "")&amp; IF(COUNTIF('SAÍDA DE VENDAS'!$B$6:$B$500, B761)&gt;3, " + " &amp; IFERROR(INDEX('SAÍDA DE VENDAS'!$H$6:$H$500 &amp; "x " &amp; 'SAÍDA DE VENDAS'!$G$6:$G$500, MATCH(B761, 'SAÍDA DE VENDAS'!$B$6:$B$500, 0)+3), ""), "")&amp; IF(COUNTIF('SAÍDA DE VENDAS'!$B$6:$B$500, B761)&gt;4, " + " &amp; IFERROR(INDEX('SAÍDA DE VENDAS'!$H$6:$H$500 &amp; "x " &amp; 'SAÍDA DE VENDAS'!$G$6:$G$500, MATCH(B761, 'SAÍDA DE VENDAS'!$B$6:$B$500, 0)+4), ""), "")&amp; IF(COUNTIF('SAÍDA DE VENDAS'!$B$6:$B$500, B761)&gt;5, " + " &amp; IFERROR(INDEX('SAÍDA DE VENDAS'!$H$6:$H$500 &amp; "x " &amp; 'SAÍDA DE VENDAS'!$G$6:$G$500, MATCH(B761, 'SAÍDA DE VENDAS'!$B$6:$B$500, 0)+5), ""), ""))</f>
        <v/>
      </c>
      <c r="G761" s="34">
        <f>IFERROR(VLOOKUP(B761,'SAÍDA DE VENDAS'!$B$6:$P$500,10,FALSE),"")</f>
        <v>0</v>
      </c>
      <c r="H761" s="34" t="str">
        <f>IF(OR(ISBLANK(B761),B761=""), "", IF(B761=B760, (VALUE(LEFT(H760,FIND("/",H760)-1))+1)&amp;"/"&amp;RIGHT(H760,LEN(H760)-FIND("/",H760)), "1/"&amp;IFERROR(VLOOKUP(B761,'SAÍDA DE VENDAS'!$B$6:$P$500,13,FALSE),"1")))</f>
        <v/>
      </c>
      <c r="I761" s="35" t="str">
        <f t="shared" si="22"/>
        <v/>
      </c>
      <c r="J761" s="39" t="str">
        <f>IFERROR(VLOOKUP(B761,'SAÍDA DE VENDAS'!$B$6:$P$500,15,FALSE),"")</f>
        <v/>
      </c>
      <c r="K761" s="34" t="str">
        <f t="shared" ca="1" si="23"/>
        <v/>
      </c>
      <c r="L761" s="34"/>
      <c r="M761" s="34"/>
    </row>
    <row r="762" spans="2:13" ht="15" customHeight="1" x14ac:dyDescent="0.3">
      <c r="B762" s="28" t="str">
        <f>IF(B761="","", IF(VALUE(LEFT(H761,FIND("/",H761)-1)) &lt; VALUE(RIGHT(H761,LEN(H761)-FIND("/",H761))), B761, IFERROR(INDEX('SAÍDA DE VENDAS'!$B$6:$B$500, MATCH(B761,'SAÍDA DE VENDAS'!$B$6:$B$500,0)+COUNTIF('SAÍDA DE VENDAS'!$B$6:$B$500, B761)),"")))</f>
        <v/>
      </c>
      <c r="C762" s="29">
        <f>IFERROR(VLOOKUP(B762,'SAÍDA DE VENDAS'!$B$6:$P$500,3,FALSE),"")</f>
        <v>0</v>
      </c>
      <c r="D762" s="28">
        <f>IFERROR(VLOOKUP(B762,'SAÍDA DE VENDAS'!$B$6:$P$500,4,FALSE),"")</f>
        <v>0</v>
      </c>
      <c r="E762" s="28" t="str">
        <f>IFERROR(VLOOKUP(B762,'SAÍDA DE VENDAS'!$B$6:$P$500,5,FALSE),"")</f>
        <v/>
      </c>
      <c r="F762" s="28" t="str">
        <f>IF(OR(ISBLANK(B762),B762=""), "", IFERROR(INDEX('SAÍDA DE VENDAS'!$H$6:$H$500 &amp; "x " &amp; 'SAÍDA DE VENDAS'!$G$6:$G$500, MATCH(B762, 'SAÍDA DE VENDAS'!$B$6:$B$500, 0)), "")&amp; IF(COUNTIF('SAÍDA DE VENDAS'!$B$6:$B$500, B762)&gt;1, " + " &amp; IFERROR(INDEX('SAÍDA DE VENDAS'!$H$6:$H$500 &amp; "x " &amp; 'SAÍDA DE VENDAS'!$G$6:$G$500, MATCH(B762, 'SAÍDA DE VENDAS'!$B$6:$B$500, 0)+1), ""), "")&amp; IF(COUNTIF('SAÍDA DE VENDAS'!$B$6:$B$500, B762)&gt;2, " + " &amp; IFERROR(INDEX('SAÍDA DE VENDAS'!$H$6:$H$500 &amp; "x " &amp; 'SAÍDA DE VENDAS'!$G$6:$G$500, MATCH(B762, 'SAÍDA DE VENDAS'!$B$6:$B$500, 0)+2), ""), "")&amp; IF(COUNTIF('SAÍDA DE VENDAS'!$B$6:$B$500, B762)&gt;3, " + " &amp; IFERROR(INDEX('SAÍDA DE VENDAS'!$H$6:$H$500 &amp; "x " &amp; 'SAÍDA DE VENDAS'!$G$6:$G$500, MATCH(B762, 'SAÍDA DE VENDAS'!$B$6:$B$500, 0)+3), ""), "")&amp; IF(COUNTIF('SAÍDA DE VENDAS'!$B$6:$B$500, B762)&gt;4, " + " &amp; IFERROR(INDEX('SAÍDA DE VENDAS'!$H$6:$H$500 &amp; "x " &amp; 'SAÍDA DE VENDAS'!$G$6:$G$500, MATCH(B762, 'SAÍDA DE VENDAS'!$B$6:$B$500, 0)+4), ""), "")&amp; IF(COUNTIF('SAÍDA DE VENDAS'!$B$6:$B$500, B762)&gt;5, " + " &amp; IFERROR(INDEX('SAÍDA DE VENDAS'!$H$6:$H$500 &amp; "x " &amp; 'SAÍDA DE VENDAS'!$G$6:$G$500, MATCH(B762, 'SAÍDA DE VENDAS'!$B$6:$B$500, 0)+5), ""), ""))</f>
        <v/>
      </c>
      <c r="G762" s="28">
        <f>IFERROR(VLOOKUP(B762,'SAÍDA DE VENDAS'!$B$6:$P$500,10,FALSE),"")</f>
        <v>0</v>
      </c>
      <c r="H762" s="28" t="str">
        <f>IF(OR(ISBLANK(B762),B762=""), "", IF(B762=B761, (VALUE(LEFT(H761,FIND("/",H761)-1))+1)&amp;"/"&amp;RIGHT(H761,LEN(H761)-FIND("/",H761)), "1/"&amp;IFERROR(VLOOKUP(B762,'SAÍDA DE VENDAS'!$B$6:$P$500,13,FALSE),"1")))</f>
        <v/>
      </c>
      <c r="I762" s="69" t="str">
        <f t="shared" si="22"/>
        <v/>
      </c>
      <c r="J762" s="33" t="str">
        <f>IFERROR(VLOOKUP(B762,'SAÍDA DE VENDAS'!$B$6:$P$500,15,FALSE),"")</f>
        <v/>
      </c>
      <c r="K762" s="28" t="str">
        <f t="shared" ca="1" si="23"/>
        <v/>
      </c>
      <c r="L762" s="28"/>
      <c r="M762" s="28"/>
    </row>
    <row r="763" spans="2:13" ht="15" customHeight="1" x14ac:dyDescent="0.3">
      <c r="B763" s="34" t="str">
        <f>IF(B762="","", IF(VALUE(LEFT(H762,FIND("/",H762)-1)) &lt; VALUE(RIGHT(H762,LEN(H762)-FIND("/",H762))), B762, IFERROR(INDEX('SAÍDA DE VENDAS'!$B$6:$B$500, MATCH(B762,'SAÍDA DE VENDAS'!$B$6:$B$500,0)+COUNTIF('SAÍDA DE VENDAS'!$B$6:$B$500, B762)),"")))</f>
        <v/>
      </c>
      <c r="C763" s="35">
        <f>IFERROR(VLOOKUP(B763,'SAÍDA DE VENDAS'!$B$6:$P$500,3,FALSE),"")</f>
        <v>0</v>
      </c>
      <c r="D763" s="34">
        <f>IFERROR(VLOOKUP(B763,'SAÍDA DE VENDAS'!$B$6:$P$500,4,FALSE),"")</f>
        <v>0</v>
      </c>
      <c r="E763" s="34" t="str">
        <f>IFERROR(VLOOKUP(B763,'SAÍDA DE VENDAS'!$B$6:$P$500,5,FALSE),"")</f>
        <v/>
      </c>
      <c r="F763" s="34" t="str">
        <f>IF(OR(ISBLANK(B763),B763=""), "", IFERROR(INDEX('SAÍDA DE VENDAS'!$H$6:$H$500 &amp; "x " &amp; 'SAÍDA DE VENDAS'!$G$6:$G$500, MATCH(B763, 'SAÍDA DE VENDAS'!$B$6:$B$500, 0)), "")&amp; IF(COUNTIF('SAÍDA DE VENDAS'!$B$6:$B$500, B763)&gt;1, " + " &amp; IFERROR(INDEX('SAÍDA DE VENDAS'!$H$6:$H$500 &amp; "x " &amp; 'SAÍDA DE VENDAS'!$G$6:$G$500, MATCH(B763, 'SAÍDA DE VENDAS'!$B$6:$B$500, 0)+1), ""), "")&amp; IF(COUNTIF('SAÍDA DE VENDAS'!$B$6:$B$500, B763)&gt;2, " + " &amp; IFERROR(INDEX('SAÍDA DE VENDAS'!$H$6:$H$500 &amp; "x " &amp; 'SAÍDA DE VENDAS'!$G$6:$G$500, MATCH(B763, 'SAÍDA DE VENDAS'!$B$6:$B$500, 0)+2), ""), "")&amp; IF(COUNTIF('SAÍDA DE VENDAS'!$B$6:$B$500, B763)&gt;3, " + " &amp; IFERROR(INDEX('SAÍDA DE VENDAS'!$H$6:$H$500 &amp; "x " &amp; 'SAÍDA DE VENDAS'!$G$6:$G$500, MATCH(B763, 'SAÍDA DE VENDAS'!$B$6:$B$500, 0)+3), ""), "")&amp; IF(COUNTIF('SAÍDA DE VENDAS'!$B$6:$B$500, B763)&gt;4, " + " &amp; IFERROR(INDEX('SAÍDA DE VENDAS'!$H$6:$H$500 &amp; "x " &amp; 'SAÍDA DE VENDAS'!$G$6:$G$500, MATCH(B763, 'SAÍDA DE VENDAS'!$B$6:$B$500, 0)+4), ""), "")&amp; IF(COUNTIF('SAÍDA DE VENDAS'!$B$6:$B$500, B763)&gt;5, " + " &amp; IFERROR(INDEX('SAÍDA DE VENDAS'!$H$6:$H$500 &amp; "x " &amp; 'SAÍDA DE VENDAS'!$G$6:$G$500, MATCH(B763, 'SAÍDA DE VENDAS'!$B$6:$B$500, 0)+5), ""), ""))</f>
        <v/>
      </c>
      <c r="G763" s="34">
        <f>IFERROR(VLOOKUP(B763,'SAÍDA DE VENDAS'!$B$6:$P$500,10,FALSE),"")</f>
        <v>0</v>
      </c>
      <c r="H763" s="34" t="str">
        <f>IF(OR(ISBLANK(B763),B763=""), "", IF(B763=B762, (VALUE(LEFT(H762,FIND("/",H762)-1))+1)&amp;"/"&amp;RIGHT(H762,LEN(H762)-FIND("/",H762)), "1/"&amp;IFERROR(VLOOKUP(B763,'SAÍDA DE VENDAS'!$B$6:$P$500,13,FALSE),"1")))</f>
        <v/>
      </c>
      <c r="I763" s="35" t="str">
        <f t="shared" si="22"/>
        <v/>
      </c>
      <c r="J763" s="39" t="str">
        <f>IFERROR(VLOOKUP(B763,'SAÍDA DE VENDAS'!$B$6:$P$500,15,FALSE),"")</f>
        <v/>
      </c>
      <c r="K763" s="34" t="str">
        <f t="shared" ca="1" si="23"/>
        <v/>
      </c>
      <c r="L763" s="34"/>
      <c r="M763" s="34"/>
    </row>
    <row r="764" spans="2:13" ht="15" customHeight="1" x14ac:dyDescent="0.3">
      <c r="B764" s="28" t="str">
        <f>IF(B763="","", IF(VALUE(LEFT(H763,FIND("/",H763)-1)) &lt; VALUE(RIGHT(H763,LEN(H763)-FIND("/",H763))), B763, IFERROR(INDEX('SAÍDA DE VENDAS'!$B$6:$B$500, MATCH(B763,'SAÍDA DE VENDAS'!$B$6:$B$500,0)+COUNTIF('SAÍDA DE VENDAS'!$B$6:$B$500, B763)),"")))</f>
        <v/>
      </c>
      <c r="C764" s="29">
        <f>IFERROR(VLOOKUP(B764,'SAÍDA DE VENDAS'!$B$6:$P$500,3,FALSE),"")</f>
        <v>0</v>
      </c>
      <c r="D764" s="28">
        <f>IFERROR(VLOOKUP(B764,'SAÍDA DE VENDAS'!$B$6:$P$500,4,FALSE),"")</f>
        <v>0</v>
      </c>
      <c r="E764" s="28" t="str">
        <f>IFERROR(VLOOKUP(B764,'SAÍDA DE VENDAS'!$B$6:$P$500,5,FALSE),"")</f>
        <v/>
      </c>
      <c r="F764" s="28" t="str">
        <f>IF(OR(ISBLANK(B764),B764=""), "", IFERROR(INDEX('SAÍDA DE VENDAS'!$H$6:$H$500 &amp; "x " &amp; 'SAÍDA DE VENDAS'!$G$6:$G$500, MATCH(B764, 'SAÍDA DE VENDAS'!$B$6:$B$500, 0)), "")&amp; IF(COUNTIF('SAÍDA DE VENDAS'!$B$6:$B$500, B764)&gt;1, " + " &amp; IFERROR(INDEX('SAÍDA DE VENDAS'!$H$6:$H$500 &amp; "x " &amp; 'SAÍDA DE VENDAS'!$G$6:$G$500, MATCH(B764, 'SAÍDA DE VENDAS'!$B$6:$B$500, 0)+1), ""), "")&amp; IF(COUNTIF('SAÍDA DE VENDAS'!$B$6:$B$500, B764)&gt;2, " + " &amp; IFERROR(INDEX('SAÍDA DE VENDAS'!$H$6:$H$500 &amp; "x " &amp; 'SAÍDA DE VENDAS'!$G$6:$G$500, MATCH(B764, 'SAÍDA DE VENDAS'!$B$6:$B$500, 0)+2), ""), "")&amp; IF(COUNTIF('SAÍDA DE VENDAS'!$B$6:$B$500, B764)&gt;3, " + " &amp; IFERROR(INDEX('SAÍDA DE VENDAS'!$H$6:$H$500 &amp; "x " &amp; 'SAÍDA DE VENDAS'!$G$6:$G$500, MATCH(B764, 'SAÍDA DE VENDAS'!$B$6:$B$500, 0)+3), ""), "")&amp; IF(COUNTIF('SAÍDA DE VENDAS'!$B$6:$B$500, B764)&gt;4, " + " &amp; IFERROR(INDEX('SAÍDA DE VENDAS'!$H$6:$H$500 &amp; "x " &amp; 'SAÍDA DE VENDAS'!$G$6:$G$500, MATCH(B764, 'SAÍDA DE VENDAS'!$B$6:$B$500, 0)+4), ""), "")&amp; IF(COUNTIF('SAÍDA DE VENDAS'!$B$6:$B$500, B764)&gt;5, " + " &amp; IFERROR(INDEX('SAÍDA DE VENDAS'!$H$6:$H$500 &amp; "x " &amp; 'SAÍDA DE VENDAS'!$G$6:$G$500, MATCH(B764, 'SAÍDA DE VENDAS'!$B$6:$B$500, 0)+5), ""), ""))</f>
        <v/>
      </c>
      <c r="G764" s="28">
        <f>IFERROR(VLOOKUP(B764,'SAÍDA DE VENDAS'!$B$6:$P$500,10,FALSE),"")</f>
        <v>0</v>
      </c>
      <c r="H764" s="28" t="str">
        <f>IF(OR(ISBLANK(B764),B764=""), "", IF(B764=B763, (VALUE(LEFT(H763,FIND("/",H763)-1))+1)&amp;"/"&amp;RIGHT(H763,LEN(H763)-FIND("/",H763)), "1/"&amp;IFERROR(VLOOKUP(B764,'SAÍDA DE VENDAS'!$B$6:$P$500,13,FALSE),"1")))</f>
        <v/>
      </c>
      <c r="I764" s="69" t="str">
        <f t="shared" si="22"/>
        <v/>
      </c>
      <c r="J764" s="33" t="str">
        <f>IFERROR(VLOOKUP(B764,'SAÍDA DE VENDAS'!$B$6:$P$500,15,FALSE),"")</f>
        <v/>
      </c>
      <c r="K764" s="28" t="str">
        <f t="shared" ca="1" si="23"/>
        <v/>
      </c>
      <c r="L764" s="28"/>
      <c r="M764" s="28"/>
    </row>
    <row r="765" spans="2:13" ht="15" customHeight="1" x14ac:dyDescent="0.3">
      <c r="B765" s="34" t="str">
        <f>IF(B764="","", IF(VALUE(LEFT(H764,FIND("/",H764)-1)) &lt; VALUE(RIGHT(H764,LEN(H764)-FIND("/",H764))), B764, IFERROR(INDEX('SAÍDA DE VENDAS'!$B$6:$B$500, MATCH(B764,'SAÍDA DE VENDAS'!$B$6:$B$500,0)+COUNTIF('SAÍDA DE VENDAS'!$B$6:$B$500, B764)),"")))</f>
        <v/>
      </c>
      <c r="C765" s="35">
        <f>IFERROR(VLOOKUP(B765,'SAÍDA DE VENDAS'!$B$6:$P$500,3,FALSE),"")</f>
        <v>0</v>
      </c>
      <c r="D765" s="34">
        <f>IFERROR(VLOOKUP(B765,'SAÍDA DE VENDAS'!$B$6:$P$500,4,FALSE),"")</f>
        <v>0</v>
      </c>
      <c r="E765" s="34" t="str">
        <f>IFERROR(VLOOKUP(B765,'SAÍDA DE VENDAS'!$B$6:$P$500,5,FALSE),"")</f>
        <v/>
      </c>
      <c r="F765" s="34" t="str">
        <f>IF(OR(ISBLANK(B765),B765=""), "", IFERROR(INDEX('SAÍDA DE VENDAS'!$H$6:$H$500 &amp; "x " &amp; 'SAÍDA DE VENDAS'!$G$6:$G$500, MATCH(B765, 'SAÍDA DE VENDAS'!$B$6:$B$500, 0)), "")&amp; IF(COUNTIF('SAÍDA DE VENDAS'!$B$6:$B$500, B765)&gt;1, " + " &amp; IFERROR(INDEX('SAÍDA DE VENDAS'!$H$6:$H$500 &amp; "x " &amp; 'SAÍDA DE VENDAS'!$G$6:$G$500, MATCH(B765, 'SAÍDA DE VENDAS'!$B$6:$B$500, 0)+1), ""), "")&amp; IF(COUNTIF('SAÍDA DE VENDAS'!$B$6:$B$500, B765)&gt;2, " + " &amp; IFERROR(INDEX('SAÍDA DE VENDAS'!$H$6:$H$500 &amp; "x " &amp; 'SAÍDA DE VENDAS'!$G$6:$G$500, MATCH(B765, 'SAÍDA DE VENDAS'!$B$6:$B$500, 0)+2), ""), "")&amp; IF(COUNTIF('SAÍDA DE VENDAS'!$B$6:$B$500, B765)&gt;3, " + " &amp; IFERROR(INDEX('SAÍDA DE VENDAS'!$H$6:$H$500 &amp; "x " &amp; 'SAÍDA DE VENDAS'!$G$6:$G$500, MATCH(B765, 'SAÍDA DE VENDAS'!$B$6:$B$500, 0)+3), ""), "")&amp; IF(COUNTIF('SAÍDA DE VENDAS'!$B$6:$B$500, B765)&gt;4, " + " &amp; IFERROR(INDEX('SAÍDA DE VENDAS'!$H$6:$H$500 &amp; "x " &amp; 'SAÍDA DE VENDAS'!$G$6:$G$500, MATCH(B765, 'SAÍDA DE VENDAS'!$B$6:$B$500, 0)+4), ""), "")&amp; IF(COUNTIF('SAÍDA DE VENDAS'!$B$6:$B$500, B765)&gt;5, " + " &amp; IFERROR(INDEX('SAÍDA DE VENDAS'!$H$6:$H$500 &amp; "x " &amp; 'SAÍDA DE VENDAS'!$G$6:$G$500, MATCH(B765, 'SAÍDA DE VENDAS'!$B$6:$B$500, 0)+5), ""), ""))</f>
        <v/>
      </c>
      <c r="G765" s="34">
        <f>IFERROR(VLOOKUP(B765,'SAÍDA DE VENDAS'!$B$6:$P$500,10,FALSE),"")</f>
        <v>0</v>
      </c>
      <c r="H765" s="34" t="str">
        <f>IF(OR(ISBLANK(B765),B765=""), "", IF(B765=B764, (VALUE(LEFT(H764,FIND("/",H764)-1))+1)&amp;"/"&amp;RIGHT(H764,LEN(H764)-FIND("/",H764)), "1/"&amp;IFERROR(VLOOKUP(B765,'SAÍDA DE VENDAS'!$B$6:$P$500,13,FALSE),"1")))</f>
        <v/>
      </c>
      <c r="I765" s="35" t="str">
        <f t="shared" si="22"/>
        <v/>
      </c>
      <c r="J765" s="39" t="str">
        <f>IFERROR(VLOOKUP(B765,'SAÍDA DE VENDAS'!$B$6:$P$500,15,FALSE),"")</f>
        <v/>
      </c>
      <c r="K765" s="34" t="str">
        <f t="shared" ca="1" si="23"/>
        <v/>
      </c>
      <c r="L765" s="34"/>
      <c r="M765" s="34"/>
    </row>
    <row r="766" spans="2:13" ht="15" customHeight="1" x14ac:dyDescent="0.3">
      <c r="B766" s="28" t="str">
        <f>IF(B765="","", IF(VALUE(LEFT(H765,FIND("/",H765)-1)) &lt; VALUE(RIGHT(H765,LEN(H765)-FIND("/",H765))), B765, IFERROR(INDEX('SAÍDA DE VENDAS'!$B$6:$B$500, MATCH(B765,'SAÍDA DE VENDAS'!$B$6:$B$500,0)+COUNTIF('SAÍDA DE VENDAS'!$B$6:$B$500, B765)),"")))</f>
        <v/>
      </c>
      <c r="C766" s="29">
        <f>IFERROR(VLOOKUP(B766,'SAÍDA DE VENDAS'!$B$6:$P$500,3,FALSE),"")</f>
        <v>0</v>
      </c>
      <c r="D766" s="28">
        <f>IFERROR(VLOOKUP(B766,'SAÍDA DE VENDAS'!$B$6:$P$500,4,FALSE),"")</f>
        <v>0</v>
      </c>
      <c r="E766" s="28" t="str">
        <f>IFERROR(VLOOKUP(B766,'SAÍDA DE VENDAS'!$B$6:$P$500,5,FALSE),"")</f>
        <v/>
      </c>
      <c r="F766" s="28" t="str">
        <f>IF(OR(ISBLANK(B766),B766=""), "", IFERROR(INDEX('SAÍDA DE VENDAS'!$H$6:$H$500 &amp; "x " &amp; 'SAÍDA DE VENDAS'!$G$6:$G$500, MATCH(B766, 'SAÍDA DE VENDAS'!$B$6:$B$500, 0)), "")&amp; IF(COUNTIF('SAÍDA DE VENDAS'!$B$6:$B$500, B766)&gt;1, " + " &amp; IFERROR(INDEX('SAÍDA DE VENDAS'!$H$6:$H$500 &amp; "x " &amp; 'SAÍDA DE VENDAS'!$G$6:$G$500, MATCH(B766, 'SAÍDA DE VENDAS'!$B$6:$B$500, 0)+1), ""), "")&amp; IF(COUNTIF('SAÍDA DE VENDAS'!$B$6:$B$500, B766)&gt;2, " + " &amp; IFERROR(INDEX('SAÍDA DE VENDAS'!$H$6:$H$500 &amp; "x " &amp; 'SAÍDA DE VENDAS'!$G$6:$G$500, MATCH(B766, 'SAÍDA DE VENDAS'!$B$6:$B$500, 0)+2), ""), "")&amp; IF(COUNTIF('SAÍDA DE VENDAS'!$B$6:$B$500, B766)&gt;3, " + " &amp; IFERROR(INDEX('SAÍDA DE VENDAS'!$H$6:$H$500 &amp; "x " &amp; 'SAÍDA DE VENDAS'!$G$6:$G$500, MATCH(B766, 'SAÍDA DE VENDAS'!$B$6:$B$500, 0)+3), ""), "")&amp; IF(COUNTIF('SAÍDA DE VENDAS'!$B$6:$B$500, B766)&gt;4, " + " &amp; IFERROR(INDEX('SAÍDA DE VENDAS'!$H$6:$H$500 &amp; "x " &amp; 'SAÍDA DE VENDAS'!$G$6:$G$500, MATCH(B766, 'SAÍDA DE VENDAS'!$B$6:$B$500, 0)+4), ""), "")&amp; IF(COUNTIF('SAÍDA DE VENDAS'!$B$6:$B$500, B766)&gt;5, " + " &amp; IFERROR(INDEX('SAÍDA DE VENDAS'!$H$6:$H$500 &amp; "x " &amp; 'SAÍDA DE VENDAS'!$G$6:$G$500, MATCH(B766, 'SAÍDA DE VENDAS'!$B$6:$B$500, 0)+5), ""), ""))</f>
        <v/>
      </c>
      <c r="G766" s="28">
        <f>IFERROR(VLOOKUP(B766,'SAÍDA DE VENDAS'!$B$6:$P$500,10,FALSE),"")</f>
        <v>0</v>
      </c>
      <c r="H766" s="28" t="str">
        <f>IF(OR(ISBLANK(B766),B766=""), "", IF(B766=B765, (VALUE(LEFT(H765,FIND("/",H765)-1))+1)&amp;"/"&amp;RIGHT(H765,LEN(H765)-FIND("/",H765)), "1/"&amp;IFERROR(VLOOKUP(B766,'SAÍDA DE VENDAS'!$B$6:$P$500,13,FALSE),"1")))</f>
        <v/>
      </c>
      <c r="I766" s="69" t="str">
        <f t="shared" si="22"/>
        <v/>
      </c>
      <c r="J766" s="33" t="str">
        <f>IFERROR(VLOOKUP(B766,'SAÍDA DE VENDAS'!$B$6:$P$500,15,FALSE),"")</f>
        <v/>
      </c>
      <c r="K766" s="28" t="str">
        <f t="shared" ca="1" si="23"/>
        <v/>
      </c>
      <c r="L766" s="28"/>
      <c r="M766" s="28"/>
    </row>
    <row r="767" spans="2:13" ht="15" customHeight="1" x14ac:dyDescent="0.3">
      <c r="B767" s="34" t="str">
        <f>IF(B766="","", IF(VALUE(LEFT(H766,FIND("/",H766)-1)) &lt; VALUE(RIGHT(H766,LEN(H766)-FIND("/",H766))), B766, IFERROR(INDEX('SAÍDA DE VENDAS'!$B$6:$B$500, MATCH(B766,'SAÍDA DE VENDAS'!$B$6:$B$500,0)+COUNTIF('SAÍDA DE VENDAS'!$B$6:$B$500, B766)),"")))</f>
        <v/>
      </c>
      <c r="C767" s="35">
        <f>IFERROR(VLOOKUP(B767,'SAÍDA DE VENDAS'!$B$6:$P$500,3,FALSE),"")</f>
        <v>0</v>
      </c>
      <c r="D767" s="34">
        <f>IFERROR(VLOOKUP(B767,'SAÍDA DE VENDAS'!$B$6:$P$500,4,FALSE),"")</f>
        <v>0</v>
      </c>
      <c r="E767" s="34" t="str">
        <f>IFERROR(VLOOKUP(B767,'SAÍDA DE VENDAS'!$B$6:$P$500,5,FALSE),"")</f>
        <v/>
      </c>
      <c r="F767" s="34" t="str">
        <f>IF(OR(ISBLANK(B767),B767=""), "", IFERROR(INDEX('SAÍDA DE VENDAS'!$H$6:$H$500 &amp; "x " &amp; 'SAÍDA DE VENDAS'!$G$6:$G$500, MATCH(B767, 'SAÍDA DE VENDAS'!$B$6:$B$500, 0)), "")&amp; IF(COUNTIF('SAÍDA DE VENDAS'!$B$6:$B$500, B767)&gt;1, " + " &amp; IFERROR(INDEX('SAÍDA DE VENDAS'!$H$6:$H$500 &amp; "x " &amp; 'SAÍDA DE VENDAS'!$G$6:$G$500, MATCH(B767, 'SAÍDA DE VENDAS'!$B$6:$B$500, 0)+1), ""), "")&amp; IF(COUNTIF('SAÍDA DE VENDAS'!$B$6:$B$500, B767)&gt;2, " + " &amp; IFERROR(INDEX('SAÍDA DE VENDAS'!$H$6:$H$500 &amp; "x " &amp; 'SAÍDA DE VENDAS'!$G$6:$G$500, MATCH(B767, 'SAÍDA DE VENDAS'!$B$6:$B$500, 0)+2), ""), "")&amp; IF(COUNTIF('SAÍDA DE VENDAS'!$B$6:$B$500, B767)&gt;3, " + " &amp; IFERROR(INDEX('SAÍDA DE VENDAS'!$H$6:$H$500 &amp; "x " &amp; 'SAÍDA DE VENDAS'!$G$6:$G$500, MATCH(B767, 'SAÍDA DE VENDAS'!$B$6:$B$500, 0)+3), ""), "")&amp; IF(COUNTIF('SAÍDA DE VENDAS'!$B$6:$B$500, B767)&gt;4, " + " &amp; IFERROR(INDEX('SAÍDA DE VENDAS'!$H$6:$H$500 &amp; "x " &amp; 'SAÍDA DE VENDAS'!$G$6:$G$500, MATCH(B767, 'SAÍDA DE VENDAS'!$B$6:$B$500, 0)+4), ""), "")&amp; IF(COUNTIF('SAÍDA DE VENDAS'!$B$6:$B$500, B767)&gt;5, " + " &amp; IFERROR(INDEX('SAÍDA DE VENDAS'!$H$6:$H$500 &amp; "x " &amp; 'SAÍDA DE VENDAS'!$G$6:$G$500, MATCH(B767, 'SAÍDA DE VENDAS'!$B$6:$B$500, 0)+5), ""), ""))</f>
        <v/>
      </c>
      <c r="G767" s="34">
        <f>IFERROR(VLOOKUP(B767,'SAÍDA DE VENDAS'!$B$6:$P$500,10,FALSE),"")</f>
        <v>0</v>
      </c>
      <c r="H767" s="34" t="str">
        <f>IF(OR(ISBLANK(B767),B767=""), "", IF(B767=B766, (VALUE(LEFT(H766,FIND("/",H766)-1))+1)&amp;"/"&amp;RIGHT(H766,LEN(H766)-FIND("/",H766)), "1/"&amp;IFERROR(VLOOKUP(B767,'SAÍDA DE VENDAS'!$B$6:$P$500,13,FALSE),"1")))</f>
        <v/>
      </c>
      <c r="I767" s="35" t="str">
        <f t="shared" si="22"/>
        <v/>
      </c>
      <c r="J767" s="39" t="str">
        <f>IFERROR(VLOOKUP(B767,'SAÍDA DE VENDAS'!$B$6:$P$500,15,FALSE),"")</f>
        <v/>
      </c>
      <c r="K767" s="34" t="str">
        <f t="shared" ca="1" si="23"/>
        <v/>
      </c>
      <c r="L767" s="34"/>
      <c r="M767" s="34"/>
    </row>
    <row r="768" spans="2:13" ht="15" customHeight="1" x14ac:dyDescent="0.3">
      <c r="B768" s="28" t="str">
        <f>IF(B767="","", IF(VALUE(LEFT(H767,FIND("/",H767)-1)) &lt; VALUE(RIGHT(H767,LEN(H767)-FIND("/",H767))), B767, IFERROR(INDEX('SAÍDA DE VENDAS'!$B$6:$B$500, MATCH(B767,'SAÍDA DE VENDAS'!$B$6:$B$500,0)+COUNTIF('SAÍDA DE VENDAS'!$B$6:$B$500, B767)),"")))</f>
        <v/>
      </c>
      <c r="C768" s="29">
        <f>IFERROR(VLOOKUP(B768,'SAÍDA DE VENDAS'!$B$6:$P$500,3,FALSE),"")</f>
        <v>0</v>
      </c>
      <c r="D768" s="28">
        <f>IFERROR(VLOOKUP(B768,'SAÍDA DE VENDAS'!$B$6:$P$500,4,FALSE),"")</f>
        <v>0</v>
      </c>
      <c r="E768" s="28" t="str">
        <f>IFERROR(VLOOKUP(B768,'SAÍDA DE VENDAS'!$B$6:$P$500,5,FALSE),"")</f>
        <v/>
      </c>
      <c r="F768" s="28" t="str">
        <f>IF(OR(ISBLANK(B768),B768=""), "", IFERROR(INDEX('SAÍDA DE VENDAS'!$H$6:$H$500 &amp; "x " &amp; 'SAÍDA DE VENDAS'!$G$6:$G$500, MATCH(B768, 'SAÍDA DE VENDAS'!$B$6:$B$500, 0)), "")&amp; IF(COUNTIF('SAÍDA DE VENDAS'!$B$6:$B$500, B768)&gt;1, " + " &amp; IFERROR(INDEX('SAÍDA DE VENDAS'!$H$6:$H$500 &amp; "x " &amp; 'SAÍDA DE VENDAS'!$G$6:$G$500, MATCH(B768, 'SAÍDA DE VENDAS'!$B$6:$B$500, 0)+1), ""), "")&amp; IF(COUNTIF('SAÍDA DE VENDAS'!$B$6:$B$500, B768)&gt;2, " + " &amp; IFERROR(INDEX('SAÍDA DE VENDAS'!$H$6:$H$500 &amp; "x " &amp; 'SAÍDA DE VENDAS'!$G$6:$G$500, MATCH(B768, 'SAÍDA DE VENDAS'!$B$6:$B$500, 0)+2), ""), "")&amp; IF(COUNTIF('SAÍDA DE VENDAS'!$B$6:$B$500, B768)&gt;3, " + " &amp; IFERROR(INDEX('SAÍDA DE VENDAS'!$H$6:$H$500 &amp; "x " &amp; 'SAÍDA DE VENDAS'!$G$6:$G$500, MATCH(B768, 'SAÍDA DE VENDAS'!$B$6:$B$500, 0)+3), ""), "")&amp; IF(COUNTIF('SAÍDA DE VENDAS'!$B$6:$B$500, B768)&gt;4, " + " &amp; IFERROR(INDEX('SAÍDA DE VENDAS'!$H$6:$H$500 &amp; "x " &amp; 'SAÍDA DE VENDAS'!$G$6:$G$500, MATCH(B768, 'SAÍDA DE VENDAS'!$B$6:$B$500, 0)+4), ""), "")&amp; IF(COUNTIF('SAÍDA DE VENDAS'!$B$6:$B$500, B768)&gt;5, " + " &amp; IFERROR(INDEX('SAÍDA DE VENDAS'!$H$6:$H$500 &amp; "x " &amp; 'SAÍDA DE VENDAS'!$G$6:$G$500, MATCH(B768, 'SAÍDA DE VENDAS'!$B$6:$B$500, 0)+5), ""), ""))</f>
        <v/>
      </c>
      <c r="G768" s="28">
        <f>IFERROR(VLOOKUP(B768,'SAÍDA DE VENDAS'!$B$6:$P$500,10,FALSE),"")</f>
        <v>0</v>
      </c>
      <c r="H768" s="28" t="str">
        <f>IF(OR(ISBLANK(B768),B768=""), "", IF(B768=B767, (VALUE(LEFT(H767,FIND("/",H767)-1))+1)&amp;"/"&amp;RIGHT(H767,LEN(H767)-FIND("/",H767)), "1/"&amp;IFERROR(VLOOKUP(B768,'SAÍDA DE VENDAS'!$B$6:$P$500,13,FALSE),"1")))</f>
        <v/>
      </c>
      <c r="I768" s="69" t="str">
        <f t="shared" si="22"/>
        <v/>
      </c>
      <c r="J768" s="33" t="str">
        <f>IFERROR(VLOOKUP(B768,'SAÍDA DE VENDAS'!$B$6:$P$500,15,FALSE),"")</f>
        <v/>
      </c>
      <c r="K768" s="28" t="str">
        <f t="shared" ca="1" si="23"/>
        <v/>
      </c>
      <c r="L768" s="28"/>
      <c r="M768" s="28"/>
    </row>
    <row r="769" spans="2:13" ht="15" customHeight="1" x14ac:dyDescent="0.3">
      <c r="B769" s="34" t="str">
        <f>IF(B768="","", IF(VALUE(LEFT(H768,FIND("/",H768)-1)) &lt; VALUE(RIGHT(H768,LEN(H768)-FIND("/",H768))), B768, IFERROR(INDEX('SAÍDA DE VENDAS'!$B$6:$B$500, MATCH(B768,'SAÍDA DE VENDAS'!$B$6:$B$500,0)+COUNTIF('SAÍDA DE VENDAS'!$B$6:$B$500, B768)),"")))</f>
        <v/>
      </c>
      <c r="C769" s="35">
        <f>IFERROR(VLOOKUP(B769,'SAÍDA DE VENDAS'!$B$6:$P$500,3,FALSE),"")</f>
        <v>0</v>
      </c>
      <c r="D769" s="34">
        <f>IFERROR(VLOOKUP(B769,'SAÍDA DE VENDAS'!$B$6:$P$500,4,FALSE),"")</f>
        <v>0</v>
      </c>
      <c r="E769" s="34" t="str">
        <f>IFERROR(VLOOKUP(B769,'SAÍDA DE VENDAS'!$B$6:$P$500,5,FALSE),"")</f>
        <v/>
      </c>
      <c r="F769" s="34" t="str">
        <f>IF(OR(ISBLANK(B769),B769=""), "", IFERROR(INDEX('SAÍDA DE VENDAS'!$H$6:$H$500 &amp; "x " &amp; 'SAÍDA DE VENDAS'!$G$6:$G$500, MATCH(B769, 'SAÍDA DE VENDAS'!$B$6:$B$500, 0)), "")&amp; IF(COUNTIF('SAÍDA DE VENDAS'!$B$6:$B$500, B769)&gt;1, " + " &amp; IFERROR(INDEX('SAÍDA DE VENDAS'!$H$6:$H$500 &amp; "x " &amp; 'SAÍDA DE VENDAS'!$G$6:$G$500, MATCH(B769, 'SAÍDA DE VENDAS'!$B$6:$B$500, 0)+1), ""), "")&amp; IF(COUNTIF('SAÍDA DE VENDAS'!$B$6:$B$500, B769)&gt;2, " + " &amp; IFERROR(INDEX('SAÍDA DE VENDAS'!$H$6:$H$500 &amp; "x " &amp; 'SAÍDA DE VENDAS'!$G$6:$G$500, MATCH(B769, 'SAÍDA DE VENDAS'!$B$6:$B$500, 0)+2), ""), "")&amp; IF(COUNTIF('SAÍDA DE VENDAS'!$B$6:$B$500, B769)&gt;3, " + " &amp; IFERROR(INDEX('SAÍDA DE VENDAS'!$H$6:$H$500 &amp; "x " &amp; 'SAÍDA DE VENDAS'!$G$6:$G$500, MATCH(B769, 'SAÍDA DE VENDAS'!$B$6:$B$500, 0)+3), ""), "")&amp; IF(COUNTIF('SAÍDA DE VENDAS'!$B$6:$B$500, B769)&gt;4, " + " &amp; IFERROR(INDEX('SAÍDA DE VENDAS'!$H$6:$H$500 &amp; "x " &amp; 'SAÍDA DE VENDAS'!$G$6:$G$500, MATCH(B769, 'SAÍDA DE VENDAS'!$B$6:$B$500, 0)+4), ""), "")&amp; IF(COUNTIF('SAÍDA DE VENDAS'!$B$6:$B$500, B769)&gt;5, " + " &amp; IFERROR(INDEX('SAÍDA DE VENDAS'!$H$6:$H$500 &amp; "x " &amp; 'SAÍDA DE VENDAS'!$G$6:$G$500, MATCH(B769, 'SAÍDA DE VENDAS'!$B$6:$B$500, 0)+5), ""), ""))</f>
        <v/>
      </c>
      <c r="G769" s="34">
        <f>IFERROR(VLOOKUP(B769,'SAÍDA DE VENDAS'!$B$6:$P$500,10,FALSE),"")</f>
        <v>0</v>
      </c>
      <c r="H769" s="34" t="str">
        <f>IF(OR(ISBLANK(B769),B769=""), "", IF(B769=B768, (VALUE(LEFT(H768,FIND("/",H768)-1))+1)&amp;"/"&amp;RIGHT(H768,LEN(H768)-FIND("/",H768)), "1/"&amp;IFERROR(VLOOKUP(B769,'SAÍDA DE VENDAS'!$B$6:$P$500,13,FALSE),"1")))</f>
        <v/>
      </c>
      <c r="I769" s="35" t="str">
        <f t="shared" si="22"/>
        <v/>
      </c>
      <c r="J769" s="39" t="str">
        <f>IFERROR(VLOOKUP(B769,'SAÍDA DE VENDAS'!$B$6:$P$500,15,FALSE),"")</f>
        <v/>
      </c>
      <c r="K769" s="34" t="str">
        <f t="shared" ca="1" si="23"/>
        <v/>
      </c>
      <c r="L769" s="34"/>
      <c r="M769" s="34"/>
    </row>
    <row r="770" spans="2:13" ht="15" customHeight="1" x14ac:dyDescent="0.3">
      <c r="B770" s="28" t="str">
        <f>IF(B769="","", IF(VALUE(LEFT(H769,FIND("/",H769)-1)) &lt; VALUE(RIGHT(H769,LEN(H769)-FIND("/",H769))), B769, IFERROR(INDEX('SAÍDA DE VENDAS'!$B$6:$B$500, MATCH(B769,'SAÍDA DE VENDAS'!$B$6:$B$500,0)+COUNTIF('SAÍDA DE VENDAS'!$B$6:$B$500, B769)),"")))</f>
        <v/>
      </c>
      <c r="C770" s="29">
        <f>IFERROR(VLOOKUP(B770,'SAÍDA DE VENDAS'!$B$6:$P$500,3,FALSE),"")</f>
        <v>0</v>
      </c>
      <c r="D770" s="28">
        <f>IFERROR(VLOOKUP(B770,'SAÍDA DE VENDAS'!$B$6:$P$500,4,FALSE),"")</f>
        <v>0</v>
      </c>
      <c r="E770" s="28" t="str">
        <f>IFERROR(VLOOKUP(B770,'SAÍDA DE VENDAS'!$B$6:$P$500,5,FALSE),"")</f>
        <v/>
      </c>
      <c r="F770" s="28" t="str">
        <f>IF(OR(ISBLANK(B770),B770=""), "", IFERROR(INDEX('SAÍDA DE VENDAS'!$H$6:$H$500 &amp; "x " &amp; 'SAÍDA DE VENDAS'!$G$6:$G$500, MATCH(B770, 'SAÍDA DE VENDAS'!$B$6:$B$500, 0)), "")&amp; IF(COUNTIF('SAÍDA DE VENDAS'!$B$6:$B$500, B770)&gt;1, " + " &amp; IFERROR(INDEX('SAÍDA DE VENDAS'!$H$6:$H$500 &amp; "x " &amp; 'SAÍDA DE VENDAS'!$G$6:$G$500, MATCH(B770, 'SAÍDA DE VENDAS'!$B$6:$B$500, 0)+1), ""), "")&amp; IF(COUNTIF('SAÍDA DE VENDAS'!$B$6:$B$500, B770)&gt;2, " + " &amp; IFERROR(INDEX('SAÍDA DE VENDAS'!$H$6:$H$500 &amp; "x " &amp; 'SAÍDA DE VENDAS'!$G$6:$G$500, MATCH(B770, 'SAÍDA DE VENDAS'!$B$6:$B$500, 0)+2), ""), "")&amp; IF(COUNTIF('SAÍDA DE VENDAS'!$B$6:$B$500, B770)&gt;3, " + " &amp; IFERROR(INDEX('SAÍDA DE VENDAS'!$H$6:$H$500 &amp; "x " &amp; 'SAÍDA DE VENDAS'!$G$6:$G$500, MATCH(B770, 'SAÍDA DE VENDAS'!$B$6:$B$500, 0)+3), ""), "")&amp; IF(COUNTIF('SAÍDA DE VENDAS'!$B$6:$B$500, B770)&gt;4, " + " &amp; IFERROR(INDEX('SAÍDA DE VENDAS'!$H$6:$H$500 &amp; "x " &amp; 'SAÍDA DE VENDAS'!$G$6:$G$500, MATCH(B770, 'SAÍDA DE VENDAS'!$B$6:$B$500, 0)+4), ""), "")&amp; IF(COUNTIF('SAÍDA DE VENDAS'!$B$6:$B$500, B770)&gt;5, " + " &amp; IFERROR(INDEX('SAÍDA DE VENDAS'!$H$6:$H$500 &amp; "x " &amp; 'SAÍDA DE VENDAS'!$G$6:$G$500, MATCH(B770, 'SAÍDA DE VENDAS'!$B$6:$B$500, 0)+5), ""), ""))</f>
        <v/>
      </c>
      <c r="G770" s="28">
        <f>IFERROR(VLOOKUP(B770,'SAÍDA DE VENDAS'!$B$6:$P$500,10,FALSE),"")</f>
        <v>0</v>
      </c>
      <c r="H770" s="28" t="str">
        <f>IF(OR(ISBLANK(B770),B770=""), "", IF(B770=B769, (VALUE(LEFT(H769,FIND("/",H769)-1))+1)&amp;"/"&amp;RIGHT(H769,LEN(H769)-FIND("/",H769)), "1/"&amp;IFERROR(VLOOKUP(B770,'SAÍDA DE VENDAS'!$B$6:$P$500,13,FALSE),"1")))</f>
        <v/>
      </c>
      <c r="I770" s="69" t="str">
        <f t="shared" si="22"/>
        <v/>
      </c>
      <c r="J770" s="33" t="str">
        <f>IFERROR(VLOOKUP(B770,'SAÍDA DE VENDAS'!$B$6:$P$500,15,FALSE),"")</f>
        <v/>
      </c>
      <c r="K770" s="28" t="str">
        <f t="shared" ca="1" si="23"/>
        <v/>
      </c>
      <c r="L770" s="28"/>
      <c r="M770" s="28"/>
    </row>
    <row r="771" spans="2:13" ht="15" customHeight="1" x14ac:dyDescent="0.3">
      <c r="B771" s="34" t="str">
        <f>IF(B770="","", IF(VALUE(LEFT(H770,FIND("/",H770)-1)) &lt; VALUE(RIGHT(H770,LEN(H770)-FIND("/",H770))), B770, IFERROR(INDEX('SAÍDA DE VENDAS'!$B$6:$B$500, MATCH(B770,'SAÍDA DE VENDAS'!$B$6:$B$500,0)+COUNTIF('SAÍDA DE VENDAS'!$B$6:$B$500, B770)),"")))</f>
        <v/>
      </c>
      <c r="C771" s="35">
        <f>IFERROR(VLOOKUP(B771,'SAÍDA DE VENDAS'!$B$6:$P$500,3,FALSE),"")</f>
        <v>0</v>
      </c>
      <c r="D771" s="34">
        <f>IFERROR(VLOOKUP(B771,'SAÍDA DE VENDAS'!$B$6:$P$500,4,FALSE),"")</f>
        <v>0</v>
      </c>
      <c r="E771" s="34" t="str">
        <f>IFERROR(VLOOKUP(B771,'SAÍDA DE VENDAS'!$B$6:$P$500,5,FALSE),"")</f>
        <v/>
      </c>
      <c r="F771" s="34" t="str">
        <f>IF(OR(ISBLANK(B771),B771=""), "", IFERROR(INDEX('SAÍDA DE VENDAS'!$H$6:$H$500 &amp; "x " &amp; 'SAÍDA DE VENDAS'!$G$6:$G$500, MATCH(B771, 'SAÍDA DE VENDAS'!$B$6:$B$500, 0)), "")&amp; IF(COUNTIF('SAÍDA DE VENDAS'!$B$6:$B$500, B771)&gt;1, " + " &amp; IFERROR(INDEX('SAÍDA DE VENDAS'!$H$6:$H$500 &amp; "x " &amp; 'SAÍDA DE VENDAS'!$G$6:$G$500, MATCH(B771, 'SAÍDA DE VENDAS'!$B$6:$B$500, 0)+1), ""), "")&amp; IF(COUNTIF('SAÍDA DE VENDAS'!$B$6:$B$500, B771)&gt;2, " + " &amp; IFERROR(INDEX('SAÍDA DE VENDAS'!$H$6:$H$500 &amp; "x " &amp; 'SAÍDA DE VENDAS'!$G$6:$G$500, MATCH(B771, 'SAÍDA DE VENDAS'!$B$6:$B$500, 0)+2), ""), "")&amp; IF(COUNTIF('SAÍDA DE VENDAS'!$B$6:$B$500, B771)&gt;3, " + " &amp; IFERROR(INDEX('SAÍDA DE VENDAS'!$H$6:$H$500 &amp; "x " &amp; 'SAÍDA DE VENDAS'!$G$6:$G$500, MATCH(B771, 'SAÍDA DE VENDAS'!$B$6:$B$500, 0)+3), ""), "")&amp; IF(COUNTIF('SAÍDA DE VENDAS'!$B$6:$B$500, B771)&gt;4, " + " &amp; IFERROR(INDEX('SAÍDA DE VENDAS'!$H$6:$H$500 &amp; "x " &amp; 'SAÍDA DE VENDAS'!$G$6:$G$500, MATCH(B771, 'SAÍDA DE VENDAS'!$B$6:$B$500, 0)+4), ""), "")&amp; IF(COUNTIF('SAÍDA DE VENDAS'!$B$6:$B$500, B771)&gt;5, " + " &amp; IFERROR(INDEX('SAÍDA DE VENDAS'!$H$6:$H$500 &amp; "x " &amp; 'SAÍDA DE VENDAS'!$G$6:$G$500, MATCH(B771, 'SAÍDA DE VENDAS'!$B$6:$B$500, 0)+5), ""), ""))</f>
        <v/>
      </c>
      <c r="G771" s="34">
        <f>IFERROR(VLOOKUP(B771,'SAÍDA DE VENDAS'!$B$6:$P$500,10,FALSE),"")</f>
        <v>0</v>
      </c>
      <c r="H771" s="34" t="str">
        <f>IF(OR(ISBLANK(B771),B771=""), "", IF(B771=B770, (VALUE(LEFT(H770,FIND("/",H770)-1))+1)&amp;"/"&amp;RIGHT(H770,LEN(H770)-FIND("/",H770)), "1/"&amp;IFERROR(VLOOKUP(B771,'SAÍDA DE VENDAS'!$B$6:$P$500,13,FALSE),"1")))</f>
        <v/>
      </c>
      <c r="I771" s="35" t="str">
        <f t="shared" si="22"/>
        <v/>
      </c>
      <c r="J771" s="39" t="str">
        <f>IFERROR(VLOOKUP(B771,'SAÍDA DE VENDAS'!$B$6:$P$500,15,FALSE),"")</f>
        <v/>
      </c>
      <c r="K771" s="34" t="str">
        <f t="shared" ca="1" si="23"/>
        <v/>
      </c>
      <c r="L771" s="34"/>
      <c r="M771" s="34"/>
    </row>
    <row r="772" spans="2:13" ht="15" customHeight="1" x14ac:dyDescent="0.3">
      <c r="B772" s="28" t="str">
        <f>IF(B771="","", IF(VALUE(LEFT(H771,FIND("/",H771)-1)) &lt; VALUE(RIGHT(H771,LEN(H771)-FIND("/",H771))), B771, IFERROR(INDEX('SAÍDA DE VENDAS'!$B$6:$B$500, MATCH(B771,'SAÍDA DE VENDAS'!$B$6:$B$500,0)+COUNTIF('SAÍDA DE VENDAS'!$B$6:$B$500, B771)),"")))</f>
        <v/>
      </c>
      <c r="C772" s="29">
        <f>IFERROR(VLOOKUP(B772,'SAÍDA DE VENDAS'!$B$6:$P$500,3,FALSE),"")</f>
        <v>0</v>
      </c>
      <c r="D772" s="28">
        <f>IFERROR(VLOOKUP(B772,'SAÍDA DE VENDAS'!$B$6:$P$500,4,FALSE),"")</f>
        <v>0</v>
      </c>
      <c r="E772" s="28" t="str">
        <f>IFERROR(VLOOKUP(B772,'SAÍDA DE VENDAS'!$B$6:$P$500,5,FALSE),"")</f>
        <v/>
      </c>
      <c r="F772" s="28" t="str">
        <f>IF(OR(ISBLANK(B772),B772=""), "", IFERROR(INDEX('SAÍDA DE VENDAS'!$H$6:$H$500 &amp; "x " &amp; 'SAÍDA DE VENDAS'!$G$6:$G$500, MATCH(B772, 'SAÍDA DE VENDAS'!$B$6:$B$500, 0)), "")&amp; IF(COUNTIF('SAÍDA DE VENDAS'!$B$6:$B$500, B772)&gt;1, " + " &amp; IFERROR(INDEX('SAÍDA DE VENDAS'!$H$6:$H$500 &amp; "x " &amp; 'SAÍDA DE VENDAS'!$G$6:$G$500, MATCH(B772, 'SAÍDA DE VENDAS'!$B$6:$B$500, 0)+1), ""), "")&amp; IF(COUNTIF('SAÍDA DE VENDAS'!$B$6:$B$500, B772)&gt;2, " + " &amp; IFERROR(INDEX('SAÍDA DE VENDAS'!$H$6:$H$500 &amp; "x " &amp; 'SAÍDA DE VENDAS'!$G$6:$G$500, MATCH(B772, 'SAÍDA DE VENDAS'!$B$6:$B$500, 0)+2), ""), "")&amp; IF(COUNTIF('SAÍDA DE VENDAS'!$B$6:$B$500, B772)&gt;3, " + " &amp; IFERROR(INDEX('SAÍDA DE VENDAS'!$H$6:$H$500 &amp; "x " &amp; 'SAÍDA DE VENDAS'!$G$6:$G$500, MATCH(B772, 'SAÍDA DE VENDAS'!$B$6:$B$500, 0)+3), ""), "")&amp; IF(COUNTIF('SAÍDA DE VENDAS'!$B$6:$B$500, B772)&gt;4, " + " &amp; IFERROR(INDEX('SAÍDA DE VENDAS'!$H$6:$H$500 &amp; "x " &amp; 'SAÍDA DE VENDAS'!$G$6:$G$500, MATCH(B772, 'SAÍDA DE VENDAS'!$B$6:$B$500, 0)+4), ""), "")&amp; IF(COUNTIF('SAÍDA DE VENDAS'!$B$6:$B$500, B772)&gt;5, " + " &amp; IFERROR(INDEX('SAÍDA DE VENDAS'!$H$6:$H$500 &amp; "x " &amp; 'SAÍDA DE VENDAS'!$G$6:$G$500, MATCH(B772, 'SAÍDA DE VENDAS'!$B$6:$B$500, 0)+5), ""), ""))</f>
        <v/>
      </c>
      <c r="G772" s="28">
        <f>IFERROR(VLOOKUP(B772,'SAÍDA DE VENDAS'!$B$6:$P$500,10,FALSE),"")</f>
        <v>0</v>
      </c>
      <c r="H772" s="28" t="str">
        <f>IF(OR(ISBLANK(B772),B772=""), "", IF(B772=B771, (VALUE(LEFT(H771,FIND("/",H771)-1))+1)&amp;"/"&amp;RIGHT(H771,LEN(H771)-FIND("/",H771)), "1/"&amp;IFERROR(VLOOKUP(B772,'SAÍDA DE VENDAS'!$B$6:$P$500,13,FALSE),"1")))</f>
        <v/>
      </c>
      <c r="I772" s="69" t="str">
        <f t="shared" si="22"/>
        <v/>
      </c>
      <c r="J772" s="33" t="str">
        <f>IFERROR(VLOOKUP(B772,'SAÍDA DE VENDAS'!$B$6:$P$500,15,FALSE),"")</f>
        <v/>
      </c>
      <c r="K772" s="28" t="str">
        <f t="shared" ca="1" si="23"/>
        <v/>
      </c>
      <c r="L772" s="28"/>
      <c r="M772" s="28"/>
    </row>
    <row r="773" spans="2:13" ht="15" customHeight="1" x14ac:dyDescent="0.3">
      <c r="B773" s="34" t="str">
        <f>IF(B772="","", IF(VALUE(LEFT(H772,FIND("/",H772)-1)) &lt; VALUE(RIGHT(H772,LEN(H772)-FIND("/",H772))), B772, IFERROR(INDEX('SAÍDA DE VENDAS'!$B$6:$B$500, MATCH(B772,'SAÍDA DE VENDAS'!$B$6:$B$500,0)+COUNTIF('SAÍDA DE VENDAS'!$B$6:$B$500, B772)),"")))</f>
        <v/>
      </c>
      <c r="C773" s="35">
        <f>IFERROR(VLOOKUP(B773,'SAÍDA DE VENDAS'!$B$6:$P$500,3,FALSE),"")</f>
        <v>0</v>
      </c>
      <c r="D773" s="34">
        <f>IFERROR(VLOOKUP(B773,'SAÍDA DE VENDAS'!$B$6:$P$500,4,FALSE),"")</f>
        <v>0</v>
      </c>
      <c r="E773" s="34" t="str">
        <f>IFERROR(VLOOKUP(B773,'SAÍDA DE VENDAS'!$B$6:$P$500,5,FALSE),"")</f>
        <v/>
      </c>
      <c r="F773" s="34" t="str">
        <f>IF(OR(ISBLANK(B773),B773=""), "", IFERROR(INDEX('SAÍDA DE VENDAS'!$H$6:$H$500 &amp; "x " &amp; 'SAÍDA DE VENDAS'!$G$6:$G$500, MATCH(B773, 'SAÍDA DE VENDAS'!$B$6:$B$500, 0)), "")&amp; IF(COUNTIF('SAÍDA DE VENDAS'!$B$6:$B$500, B773)&gt;1, " + " &amp; IFERROR(INDEX('SAÍDA DE VENDAS'!$H$6:$H$500 &amp; "x " &amp; 'SAÍDA DE VENDAS'!$G$6:$G$500, MATCH(B773, 'SAÍDA DE VENDAS'!$B$6:$B$500, 0)+1), ""), "")&amp; IF(COUNTIF('SAÍDA DE VENDAS'!$B$6:$B$500, B773)&gt;2, " + " &amp; IFERROR(INDEX('SAÍDA DE VENDAS'!$H$6:$H$500 &amp; "x " &amp; 'SAÍDA DE VENDAS'!$G$6:$G$500, MATCH(B773, 'SAÍDA DE VENDAS'!$B$6:$B$500, 0)+2), ""), "")&amp; IF(COUNTIF('SAÍDA DE VENDAS'!$B$6:$B$500, B773)&gt;3, " + " &amp; IFERROR(INDEX('SAÍDA DE VENDAS'!$H$6:$H$500 &amp; "x " &amp; 'SAÍDA DE VENDAS'!$G$6:$G$500, MATCH(B773, 'SAÍDA DE VENDAS'!$B$6:$B$500, 0)+3), ""), "")&amp; IF(COUNTIF('SAÍDA DE VENDAS'!$B$6:$B$500, B773)&gt;4, " + " &amp; IFERROR(INDEX('SAÍDA DE VENDAS'!$H$6:$H$500 &amp; "x " &amp; 'SAÍDA DE VENDAS'!$G$6:$G$500, MATCH(B773, 'SAÍDA DE VENDAS'!$B$6:$B$500, 0)+4), ""), "")&amp; IF(COUNTIF('SAÍDA DE VENDAS'!$B$6:$B$500, B773)&gt;5, " + " &amp; IFERROR(INDEX('SAÍDA DE VENDAS'!$H$6:$H$500 &amp; "x " &amp; 'SAÍDA DE VENDAS'!$G$6:$G$500, MATCH(B773, 'SAÍDA DE VENDAS'!$B$6:$B$500, 0)+5), ""), ""))</f>
        <v/>
      </c>
      <c r="G773" s="34">
        <f>IFERROR(VLOOKUP(B773,'SAÍDA DE VENDAS'!$B$6:$P$500,10,FALSE),"")</f>
        <v>0</v>
      </c>
      <c r="H773" s="34" t="str">
        <f>IF(OR(ISBLANK(B773),B773=""), "", IF(B773=B772, (VALUE(LEFT(H772,FIND("/",H772)-1))+1)&amp;"/"&amp;RIGHT(H772,LEN(H772)-FIND("/",H772)), "1/"&amp;IFERROR(VLOOKUP(B773,'SAÍDA DE VENDAS'!$B$6:$P$500,13,FALSE),"1")))</f>
        <v/>
      </c>
      <c r="I773" s="35" t="str">
        <f t="shared" si="22"/>
        <v/>
      </c>
      <c r="J773" s="39" t="str">
        <f>IFERROR(VLOOKUP(B773,'SAÍDA DE VENDAS'!$B$6:$P$500,15,FALSE),"")</f>
        <v/>
      </c>
      <c r="K773" s="34" t="str">
        <f t="shared" ca="1" si="23"/>
        <v/>
      </c>
      <c r="L773" s="34"/>
      <c r="M773" s="34"/>
    </row>
    <row r="774" spans="2:13" ht="15" customHeight="1" x14ac:dyDescent="0.3">
      <c r="B774" s="28" t="str">
        <f>IF(B773="","", IF(VALUE(LEFT(H773,FIND("/",H773)-1)) &lt; VALUE(RIGHT(H773,LEN(H773)-FIND("/",H773))), B773, IFERROR(INDEX('SAÍDA DE VENDAS'!$B$6:$B$500, MATCH(B773,'SAÍDA DE VENDAS'!$B$6:$B$500,0)+COUNTIF('SAÍDA DE VENDAS'!$B$6:$B$500, B773)),"")))</f>
        <v/>
      </c>
      <c r="C774" s="29">
        <f>IFERROR(VLOOKUP(B774,'SAÍDA DE VENDAS'!$B$6:$P$500,3,FALSE),"")</f>
        <v>0</v>
      </c>
      <c r="D774" s="28">
        <f>IFERROR(VLOOKUP(B774,'SAÍDA DE VENDAS'!$B$6:$P$500,4,FALSE),"")</f>
        <v>0</v>
      </c>
      <c r="E774" s="28" t="str">
        <f>IFERROR(VLOOKUP(B774,'SAÍDA DE VENDAS'!$B$6:$P$500,5,FALSE),"")</f>
        <v/>
      </c>
      <c r="F774" s="28" t="str">
        <f>IF(OR(ISBLANK(B774),B774=""), "", IFERROR(INDEX('SAÍDA DE VENDAS'!$H$6:$H$500 &amp; "x " &amp; 'SAÍDA DE VENDAS'!$G$6:$G$500, MATCH(B774, 'SAÍDA DE VENDAS'!$B$6:$B$500, 0)), "")&amp; IF(COUNTIF('SAÍDA DE VENDAS'!$B$6:$B$500, B774)&gt;1, " + " &amp; IFERROR(INDEX('SAÍDA DE VENDAS'!$H$6:$H$500 &amp; "x " &amp; 'SAÍDA DE VENDAS'!$G$6:$G$500, MATCH(B774, 'SAÍDA DE VENDAS'!$B$6:$B$500, 0)+1), ""), "")&amp; IF(COUNTIF('SAÍDA DE VENDAS'!$B$6:$B$500, B774)&gt;2, " + " &amp; IFERROR(INDEX('SAÍDA DE VENDAS'!$H$6:$H$500 &amp; "x " &amp; 'SAÍDA DE VENDAS'!$G$6:$G$500, MATCH(B774, 'SAÍDA DE VENDAS'!$B$6:$B$500, 0)+2), ""), "")&amp; IF(COUNTIF('SAÍDA DE VENDAS'!$B$6:$B$500, B774)&gt;3, " + " &amp; IFERROR(INDEX('SAÍDA DE VENDAS'!$H$6:$H$500 &amp; "x " &amp; 'SAÍDA DE VENDAS'!$G$6:$G$500, MATCH(B774, 'SAÍDA DE VENDAS'!$B$6:$B$500, 0)+3), ""), "")&amp; IF(COUNTIF('SAÍDA DE VENDAS'!$B$6:$B$500, B774)&gt;4, " + " &amp; IFERROR(INDEX('SAÍDA DE VENDAS'!$H$6:$H$500 &amp; "x " &amp; 'SAÍDA DE VENDAS'!$G$6:$G$500, MATCH(B774, 'SAÍDA DE VENDAS'!$B$6:$B$500, 0)+4), ""), "")&amp; IF(COUNTIF('SAÍDA DE VENDAS'!$B$6:$B$500, B774)&gt;5, " + " &amp; IFERROR(INDEX('SAÍDA DE VENDAS'!$H$6:$H$500 &amp; "x " &amp; 'SAÍDA DE VENDAS'!$G$6:$G$500, MATCH(B774, 'SAÍDA DE VENDAS'!$B$6:$B$500, 0)+5), ""), ""))</f>
        <v/>
      </c>
      <c r="G774" s="28">
        <f>IFERROR(VLOOKUP(B774,'SAÍDA DE VENDAS'!$B$6:$P$500,10,FALSE),"")</f>
        <v>0</v>
      </c>
      <c r="H774" s="28" t="str">
        <f>IF(OR(ISBLANK(B774),B774=""), "", IF(B774=B773, (VALUE(LEFT(H773,FIND("/",H773)-1))+1)&amp;"/"&amp;RIGHT(H773,LEN(H773)-FIND("/",H773)), "1/"&amp;IFERROR(VLOOKUP(B774,'SAÍDA DE VENDAS'!$B$6:$P$500,13,FALSE),"1")))</f>
        <v/>
      </c>
      <c r="I774" s="69" t="str">
        <f t="shared" ref="I774:I837" si="24">IF(OR(ISBLANK(B774), B774="", C774=""), "", C774 + (IFERROR(VALUE(LEFT(H774, FIND("/", H774)-1)), 1) * 30))</f>
        <v/>
      </c>
      <c r="J774" s="33" t="str">
        <f>IFERROR(VLOOKUP(B774,'SAÍDA DE VENDAS'!$B$6:$P$500,15,FALSE),"")</f>
        <v/>
      </c>
      <c r="K774" s="28" t="str">
        <f t="shared" ref="K774:K837" ca="1" si="25">IF(B774="","", IF(OR(G774="À Vista", L774&lt;&gt;""), "Pago", IF(AND(I774&lt;&gt;"", I774&lt;TODAY()), "Atrasado", "Pendente")))</f>
        <v/>
      </c>
      <c r="L774" s="28"/>
      <c r="M774" s="28"/>
    </row>
    <row r="775" spans="2:13" ht="15" customHeight="1" x14ac:dyDescent="0.3">
      <c r="B775" s="34" t="str">
        <f>IF(B774="","", IF(VALUE(LEFT(H774,FIND("/",H774)-1)) &lt; VALUE(RIGHT(H774,LEN(H774)-FIND("/",H774))), B774, IFERROR(INDEX('SAÍDA DE VENDAS'!$B$6:$B$500, MATCH(B774,'SAÍDA DE VENDAS'!$B$6:$B$500,0)+COUNTIF('SAÍDA DE VENDAS'!$B$6:$B$500, B774)),"")))</f>
        <v/>
      </c>
      <c r="C775" s="35">
        <f>IFERROR(VLOOKUP(B775,'SAÍDA DE VENDAS'!$B$6:$P$500,3,FALSE),"")</f>
        <v>0</v>
      </c>
      <c r="D775" s="34">
        <f>IFERROR(VLOOKUP(B775,'SAÍDA DE VENDAS'!$B$6:$P$500,4,FALSE),"")</f>
        <v>0</v>
      </c>
      <c r="E775" s="34" t="str">
        <f>IFERROR(VLOOKUP(B775,'SAÍDA DE VENDAS'!$B$6:$P$500,5,FALSE),"")</f>
        <v/>
      </c>
      <c r="F775" s="34" t="str">
        <f>IF(OR(ISBLANK(B775),B775=""), "", IFERROR(INDEX('SAÍDA DE VENDAS'!$H$6:$H$500 &amp; "x " &amp; 'SAÍDA DE VENDAS'!$G$6:$G$500, MATCH(B775, 'SAÍDA DE VENDAS'!$B$6:$B$500, 0)), "")&amp; IF(COUNTIF('SAÍDA DE VENDAS'!$B$6:$B$500, B775)&gt;1, " + " &amp; IFERROR(INDEX('SAÍDA DE VENDAS'!$H$6:$H$500 &amp; "x " &amp; 'SAÍDA DE VENDAS'!$G$6:$G$500, MATCH(B775, 'SAÍDA DE VENDAS'!$B$6:$B$500, 0)+1), ""), "")&amp; IF(COUNTIF('SAÍDA DE VENDAS'!$B$6:$B$500, B775)&gt;2, " + " &amp; IFERROR(INDEX('SAÍDA DE VENDAS'!$H$6:$H$500 &amp; "x " &amp; 'SAÍDA DE VENDAS'!$G$6:$G$500, MATCH(B775, 'SAÍDA DE VENDAS'!$B$6:$B$500, 0)+2), ""), "")&amp; IF(COUNTIF('SAÍDA DE VENDAS'!$B$6:$B$500, B775)&gt;3, " + " &amp; IFERROR(INDEX('SAÍDA DE VENDAS'!$H$6:$H$500 &amp; "x " &amp; 'SAÍDA DE VENDAS'!$G$6:$G$500, MATCH(B775, 'SAÍDA DE VENDAS'!$B$6:$B$500, 0)+3), ""), "")&amp; IF(COUNTIF('SAÍDA DE VENDAS'!$B$6:$B$500, B775)&gt;4, " + " &amp; IFERROR(INDEX('SAÍDA DE VENDAS'!$H$6:$H$500 &amp; "x " &amp; 'SAÍDA DE VENDAS'!$G$6:$G$500, MATCH(B775, 'SAÍDA DE VENDAS'!$B$6:$B$500, 0)+4), ""), "")&amp; IF(COUNTIF('SAÍDA DE VENDAS'!$B$6:$B$500, B775)&gt;5, " + " &amp; IFERROR(INDEX('SAÍDA DE VENDAS'!$H$6:$H$500 &amp; "x " &amp; 'SAÍDA DE VENDAS'!$G$6:$G$500, MATCH(B775, 'SAÍDA DE VENDAS'!$B$6:$B$500, 0)+5), ""), ""))</f>
        <v/>
      </c>
      <c r="G775" s="34">
        <f>IFERROR(VLOOKUP(B775,'SAÍDA DE VENDAS'!$B$6:$P$500,10,FALSE),"")</f>
        <v>0</v>
      </c>
      <c r="H775" s="34" t="str">
        <f>IF(OR(ISBLANK(B775),B775=""), "", IF(B775=B774, (VALUE(LEFT(H774,FIND("/",H774)-1))+1)&amp;"/"&amp;RIGHT(H774,LEN(H774)-FIND("/",H774)), "1/"&amp;IFERROR(VLOOKUP(B775,'SAÍDA DE VENDAS'!$B$6:$P$500,13,FALSE),"1")))</f>
        <v/>
      </c>
      <c r="I775" s="35" t="str">
        <f t="shared" si="24"/>
        <v/>
      </c>
      <c r="J775" s="39" t="str">
        <f>IFERROR(VLOOKUP(B775,'SAÍDA DE VENDAS'!$B$6:$P$500,15,FALSE),"")</f>
        <v/>
      </c>
      <c r="K775" s="34" t="str">
        <f t="shared" ca="1" si="25"/>
        <v/>
      </c>
      <c r="L775" s="34"/>
      <c r="M775" s="34"/>
    </row>
    <row r="776" spans="2:13" ht="15" customHeight="1" x14ac:dyDescent="0.3">
      <c r="B776" s="28" t="str">
        <f>IF(B775="","", IF(VALUE(LEFT(H775,FIND("/",H775)-1)) &lt; VALUE(RIGHT(H775,LEN(H775)-FIND("/",H775))), B775, IFERROR(INDEX('SAÍDA DE VENDAS'!$B$6:$B$500, MATCH(B775,'SAÍDA DE VENDAS'!$B$6:$B$500,0)+COUNTIF('SAÍDA DE VENDAS'!$B$6:$B$500, B775)),"")))</f>
        <v/>
      </c>
      <c r="C776" s="29">
        <f>IFERROR(VLOOKUP(B776,'SAÍDA DE VENDAS'!$B$6:$P$500,3,FALSE),"")</f>
        <v>0</v>
      </c>
      <c r="D776" s="28">
        <f>IFERROR(VLOOKUP(B776,'SAÍDA DE VENDAS'!$B$6:$P$500,4,FALSE),"")</f>
        <v>0</v>
      </c>
      <c r="E776" s="28" t="str">
        <f>IFERROR(VLOOKUP(B776,'SAÍDA DE VENDAS'!$B$6:$P$500,5,FALSE),"")</f>
        <v/>
      </c>
      <c r="F776" s="28" t="str">
        <f>IF(OR(ISBLANK(B776),B776=""), "", IFERROR(INDEX('SAÍDA DE VENDAS'!$H$6:$H$500 &amp; "x " &amp; 'SAÍDA DE VENDAS'!$G$6:$G$500, MATCH(B776, 'SAÍDA DE VENDAS'!$B$6:$B$500, 0)), "")&amp; IF(COUNTIF('SAÍDA DE VENDAS'!$B$6:$B$500, B776)&gt;1, " + " &amp; IFERROR(INDEX('SAÍDA DE VENDAS'!$H$6:$H$500 &amp; "x " &amp; 'SAÍDA DE VENDAS'!$G$6:$G$500, MATCH(B776, 'SAÍDA DE VENDAS'!$B$6:$B$500, 0)+1), ""), "")&amp; IF(COUNTIF('SAÍDA DE VENDAS'!$B$6:$B$500, B776)&gt;2, " + " &amp; IFERROR(INDEX('SAÍDA DE VENDAS'!$H$6:$H$500 &amp; "x " &amp; 'SAÍDA DE VENDAS'!$G$6:$G$500, MATCH(B776, 'SAÍDA DE VENDAS'!$B$6:$B$500, 0)+2), ""), "")&amp; IF(COUNTIF('SAÍDA DE VENDAS'!$B$6:$B$500, B776)&gt;3, " + " &amp; IFERROR(INDEX('SAÍDA DE VENDAS'!$H$6:$H$500 &amp; "x " &amp; 'SAÍDA DE VENDAS'!$G$6:$G$500, MATCH(B776, 'SAÍDA DE VENDAS'!$B$6:$B$500, 0)+3), ""), "")&amp; IF(COUNTIF('SAÍDA DE VENDAS'!$B$6:$B$500, B776)&gt;4, " + " &amp; IFERROR(INDEX('SAÍDA DE VENDAS'!$H$6:$H$500 &amp; "x " &amp; 'SAÍDA DE VENDAS'!$G$6:$G$500, MATCH(B776, 'SAÍDA DE VENDAS'!$B$6:$B$500, 0)+4), ""), "")&amp; IF(COUNTIF('SAÍDA DE VENDAS'!$B$6:$B$500, B776)&gt;5, " + " &amp; IFERROR(INDEX('SAÍDA DE VENDAS'!$H$6:$H$500 &amp; "x " &amp; 'SAÍDA DE VENDAS'!$G$6:$G$500, MATCH(B776, 'SAÍDA DE VENDAS'!$B$6:$B$500, 0)+5), ""), ""))</f>
        <v/>
      </c>
      <c r="G776" s="28">
        <f>IFERROR(VLOOKUP(B776,'SAÍDA DE VENDAS'!$B$6:$P$500,10,FALSE),"")</f>
        <v>0</v>
      </c>
      <c r="H776" s="28" t="str">
        <f>IF(OR(ISBLANK(B776),B776=""), "", IF(B776=B775, (VALUE(LEFT(H775,FIND("/",H775)-1))+1)&amp;"/"&amp;RIGHT(H775,LEN(H775)-FIND("/",H775)), "1/"&amp;IFERROR(VLOOKUP(B776,'SAÍDA DE VENDAS'!$B$6:$P$500,13,FALSE),"1")))</f>
        <v/>
      </c>
      <c r="I776" s="69" t="str">
        <f t="shared" si="24"/>
        <v/>
      </c>
      <c r="J776" s="33" t="str">
        <f>IFERROR(VLOOKUP(B776,'SAÍDA DE VENDAS'!$B$6:$P$500,15,FALSE),"")</f>
        <v/>
      </c>
      <c r="K776" s="28" t="str">
        <f t="shared" ca="1" si="25"/>
        <v/>
      </c>
      <c r="L776" s="28"/>
      <c r="M776" s="28"/>
    </row>
    <row r="777" spans="2:13" ht="15" customHeight="1" x14ac:dyDescent="0.3">
      <c r="B777" s="34" t="str">
        <f>IF(B776="","", IF(VALUE(LEFT(H776,FIND("/",H776)-1)) &lt; VALUE(RIGHT(H776,LEN(H776)-FIND("/",H776))), B776, IFERROR(INDEX('SAÍDA DE VENDAS'!$B$6:$B$500, MATCH(B776,'SAÍDA DE VENDAS'!$B$6:$B$500,0)+COUNTIF('SAÍDA DE VENDAS'!$B$6:$B$500, B776)),"")))</f>
        <v/>
      </c>
      <c r="C777" s="35">
        <f>IFERROR(VLOOKUP(B777,'SAÍDA DE VENDAS'!$B$6:$P$500,3,FALSE),"")</f>
        <v>0</v>
      </c>
      <c r="D777" s="34">
        <f>IFERROR(VLOOKUP(B777,'SAÍDA DE VENDAS'!$B$6:$P$500,4,FALSE),"")</f>
        <v>0</v>
      </c>
      <c r="E777" s="34" t="str">
        <f>IFERROR(VLOOKUP(B777,'SAÍDA DE VENDAS'!$B$6:$P$500,5,FALSE),"")</f>
        <v/>
      </c>
      <c r="F777" s="34" t="str">
        <f>IF(OR(ISBLANK(B777),B777=""), "", IFERROR(INDEX('SAÍDA DE VENDAS'!$H$6:$H$500 &amp; "x " &amp; 'SAÍDA DE VENDAS'!$G$6:$G$500, MATCH(B777, 'SAÍDA DE VENDAS'!$B$6:$B$500, 0)), "")&amp; IF(COUNTIF('SAÍDA DE VENDAS'!$B$6:$B$500, B777)&gt;1, " + " &amp; IFERROR(INDEX('SAÍDA DE VENDAS'!$H$6:$H$500 &amp; "x " &amp; 'SAÍDA DE VENDAS'!$G$6:$G$500, MATCH(B777, 'SAÍDA DE VENDAS'!$B$6:$B$500, 0)+1), ""), "")&amp; IF(COUNTIF('SAÍDA DE VENDAS'!$B$6:$B$500, B777)&gt;2, " + " &amp; IFERROR(INDEX('SAÍDA DE VENDAS'!$H$6:$H$500 &amp; "x " &amp; 'SAÍDA DE VENDAS'!$G$6:$G$500, MATCH(B777, 'SAÍDA DE VENDAS'!$B$6:$B$500, 0)+2), ""), "")&amp; IF(COUNTIF('SAÍDA DE VENDAS'!$B$6:$B$500, B777)&gt;3, " + " &amp; IFERROR(INDEX('SAÍDA DE VENDAS'!$H$6:$H$500 &amp; "x " &amp; 'SAÍDA DE VENDAS'!$G$6:$G$500, MATCH(B777, 'SAÍDA DE VENDAS'!$B$6:$B$500, 0)+3), ""), "")&amp; IF(COUNTIF('SAÍDA DE VENDAS'!$B$6:$B$500, B777)&gt;4, " + " &amp; IFERROR(INDEX('SAÍDA DE VENDAS'!$H$6:$H$500 &amp; "x " &amp; 'SAÍDA DE VENDAS'!$G$6:$G$500, MATCH(B777, 'SAÍDA DE VENDAS'!$B$6:$B$500, 0)+4), ""), "")&amp; IF(COUNTIF('SAÍDA DE VENDAS'!$B$6:$B$500, B777)&gt;5, " + " &amp; IFERROR(INDEX('SAÍDA DE VENDAS'!$H$6:$H$500 &amp; "x " &amp; 'SAÍDA DE VENDAS'!$G$6:$G$500, MATCH(B777, 'SAÍDA DE VENDAS'!$B$6:$B$500, 0)+5), ""), ""))</f>
        <v/>
      </c>
      <c r="G777" s="34">
        <f>IFERROR(VLOOKUP(B777,'SAÍDA DE VENDAS'!$B$6:$P$500,10,FALSE),"")</f>
        <v>0</v>
      </c>
      <c r="H777" s="34" t="str">
        <f>IF(OR(ISBLANK(B777),B777=""), "", IF(B777=B776, (VALUE(LEFT(H776,FIND("/",H776)-1))+1)&amp;"/"&amp;RIGHT(H776,LEN(H776)-FIND("/",H776)), "1/"&amp;IFERROR(VLOOKUP(B777,'SAÍDA DE VENDAS'!$B$6:$P$500,13,FALSE),"1")))</f>
        <v/>
      </c>
      <c r="I777" s="35" t="str">
        <f t="shared" si="24"/>
        <v/>
      </c>
      <c r="J777" s="39" t="str">
        <f>IFERROR(VLOOKUP(B777,'SAÍDA DE VENDAS'!$B$6:$P$500,15,FALSE),"")</f>
        <v/>
      </c>
      <c r="K777" s="34" t="str">
        <f t="shared" ca="1" si="25"/>
        <v/>
      </c>
      <c r="L777" s="34"/>
      <c r="M777" s="34"/>
    </row>
    <row r="778" spans="2:13" ht="15" customHeight="1" x14ac:dyDescent="0.3">
      <c r="B778" s="28" t="str">
        <f>IF(B777="","", IF(VALUE(LEFT(H777,FIND("/",H777)-1)) &lt; VALUE(RIGHT(H777,LEN(H777)-FIND("/",H777))), B777, IFERROR(INDEX('SAÍDA DE VENDAS'!$B$6:$B$500, MATCH(B777,'SAÍDA DE VENDAS'!$B$6:$B$500,0)+COUNTIF('SAÍDA DE VENDAS'!$B$6:$B$500, B777)),"")))</f>
        <v/>
      </c>
      <c r="C778" s="29">
        <f>IFERROR(VLOOKUP(B778,'SAÍDA DE VENDAS'!$B$6:$P$500,3,FALSE),"")</f>
        <v>0</v>
      </c>
      <c r="D778" s="28">
        <f>IFERROR(VLOOKUP(B778,'SAÍDA DE VENDAS'!$B$6:$P$500,4,FALSE),"")</f>
        <v>0</v>
      </c>
      <c r="E778" s="28" t="str">
        <f>IFERROR(VLOOKUP(B778,'SAÍDA DE VENDAS'!$B$6:$P$500,5,FALSE),"")</f>
        <v/>
      </c>
      <c r="F778" s="28" t="str">
        <f>IF(OR(ISBLANK(B778),B778=""), "", IFERROR(INDEX('SAÍDA DE VENDAS'!$H$6:$H$500 &amp; "x " &amp; 'SAÍDA DE VENDAS'!$G$6:$G$500, MATCH(B778, 'SAÍDA DE VENDAS'!$B$6:$B$500, 0)), "")&amp; IF(COUNTIF('SAÍDA DE VENDAS'!$B$6:$B$500, B778)&gt;1, " + " &amp; IFERROR(INDEX('SAÍDA DE VENDAS'!$H$6:$H$500 &amp; "x " &amp; 'SAÍDA DE VENDAS'!$G$6:$G$500, MATCH(B778, 'SAÍDA DE VENDAS'!$B$6:$B$500, 0)+1), ""), "")&amp; IF(COUNTIF('SAÍDA DE VENDAS'!$B$6:$B$500, B778)&gt;2, " + " &amp; IFERROR(INDEX('SAÍDA DE VENDAS'!$H$6:$H$500 &amp; "x " &amp; 'SAÍDA DE VENDAS'!$G$6:$G$500, MATCH(B778, 'SAÍDA DE VENDAS'!$B$6:$B$500, 0)+2), ""), "")&amp; IF(COUNTIF('SAÍDA DE VENDAS'!$B$6:$B$500, B778)&gt;3, " + " &amp; IFERROR(INDEX('SAÍDA DE VENDAS'!$H$6:$H$500 &amp; "x " &amp; 'SAÍDA DE VENDAS'!$G$6:$G$500, MATCH(B778, 'SAÍDA DE VENDAS'!$B$6:$B$500, 0)+3), ""), "")&amp; IF(COUNTIF('SAÍDA DE VENDAS'!$B$6:$B$500, B778)&gt;4, " + " &amp; IFERROR(INDEX('SAÍDA DE VENDAS'!$H$6:$H$500 &amp; "x " &amp; 'SAÍDA DE VENDAS'!$G$6:$G$500, MATCH(B778, 'SAÍDA DE VENDAS'!$B$6:$B$500, 0)+4), ""), "")&amp; IF(COUNTIF('SAÍDA DE VENDAS'!$B$6:$B$500, B778)&gt;5, " + " &amp; IFERROR(INDEX('SAÍDA DE VENDAS'!$H$6:$H$500 &amp; "x " &amp; 'SAÍDA DE VENDAS'!$G$6:$G$500, MATCH(B778, 'SAÍDA DE VENDAS'!$B$6:$B$500, 0)+5), ""), ""))</f>
        <v/>
      </c>
      <c r="G778" s="28">
        <f>IFERROR(VLOOKUP(B778,'SAÍDA DE VENDAS'!$B$6:$P$500,10,FALSE),"")</f>
        <v>0</v>
      </c>
      <c r="H778" s="28" t="str">
        <f>IF(OR(ISBLANK(B778),B778=""), "", IF(B778=B777, (VALUE(LEFT(H777,FIND("/",H777)-1))+1)&amp;"/"&amp;RIGHT(H777,LEN(H777)-FIND("/",H777)), "1/"&amp;IFERROR(VLOOKUP(B778,'SAÍDA DE VENDAS'!$B$6:$P$500,13,FALSE),"1")))</f>
        <v/>
      </c>
      <c r="I778" s="69" t="str">
        <f t="shared" si="24"/>
        <v/>
      </c>
      <c r="J778" s="33" t="str">
        <f>IFERROR(VLOOKUP(B778,'SAÍDA DE VENDAS'!$B$6:$P$500,15,FALSE),"")</f>
        <v/>
      </c>
      <c r="K778" s="28" t="str">
        <f t="shared" ca="1" si="25"/>
        <v/>
      </c>
      <c r="L778" s="28"/>
      <c r="M778" s="28"/>
    </row>
    <row r="779" spans="2:13" ht="15" customHeight="1" x14ac:dyDescent="0.3">
      <c r="B779" s="34" t="str">
        <f>IF(B778="","", IF(VALUE(LEFT(H778,FIND("/",H778)-1)) &lt; VALUE(RIGHT(H778,LEN(H778)-FIND("/",H778))), B778, IFERROR(INDEX('SAÍDA DE VENDAS'!$B$6:$B$500, MATCH(B778,'SAÍDA DE VENDAS'!$B$6:$B$500,0)+COUNTIF('SAÍDA DE VENDAS'!$B$6:$B$500, B778)),"")))</f>
        <v/>
      </c>
      <c r="C779" s="35">
        <f>IFERROR(VLOOKUP(B779,'SAÍDA DE VENDAS'!$B$6:$P$500,3,FALSE),"")</f>
        <v>0</v>
      </c>
      <c r="D779" s="34">
        <f>IFERROR(VLOOKUP(B779,'SAÍDA DE VENDAS'!$B$6:$P$500,4,FALSE),"")</f>
        <v>0</v>
      </c>
      <c r="E779" s="34" t="str">
        <f>IFERROR(VLOOKUP(B779,'SAÍDA DE VENDAS'!$B$6:$P$500,5,FALSE),"")</f>
        <v/>
      </c>
      <c r="F779" s="34" t="str">
        <f>IF(OR(ISBLANK(B779),B779=""), "", IFERROR(INDEX('SAÍDA DE VENDAS'!$H$6:$H$500 &amp; "x " &amp; 'SAÍDA DE VENDAS'!$G$6:$G$500, MATCH(B779, 'SAÍDA DE VENDAS'!$B$6:$B$500, 0)), "")&amp; IF(COUNTIF('SAÍDA DE VENDAS'!$B$6:$B$500, B779)&gt;1, " + " &amp; IFERROR(INDEX('SAÍDA DE VENDAS'!$H$6:$H$500 &amp; "x " &amp; 'SAÍDA DE VENDAS'!$G$6:$G$500, MATCH(B779, 'SAÍDA DE VENDAS'!$B$6:$B$500, 0)+1), ""), "")&amp; IF(COUNTIF('SAÍDA DE VENDAS'!$B$6:$B$500, B779)&gt;2, " + " &amp; IFERROR(INDEX('SAÍDA DE VENDAS'!$H$6:$H$500 &amp; "x " &amp; 'SAÍDA DE VENDAS'!$G$6:$G$500, MATCH(B779, 'SAÍDA DE VENDAS'!$B$6:$B$500, 0)+2), ""), "")&amp; IF(COUNTIF('SAÍDA DE VENDAS'!$B$6:$B$500, B779)&gt;3, " + " &amp; IFERROR(INDEX('SAÍDA DE VENDAS'!$H$6:$H$500 &amp; "x " &amp; 'SAÍDA DE VENDAS'!$G$6:$G$500, MATCH(B779, 'SAÍDA DE VENDAS'!$B$6:$B$500, 0)+3), ""), "")&amp; IF(COUNTIF('SAÍDA DE VENDAS'!$B$6:$B$500, B779)&gt;4, " + " &amp; IFERROR(INDEX('SAÍDA DE VENDAS'!$H$6:$H$500 &amp; "x " &amp; 'SAÍDA DE VENDAS'!$G$6:$G$500, MATCH(B779, 'SAÍDA DE VENDAS'!$B$6:$B$500, 0)+4), ""), "")&amp; IF(COUNTIF('SAÍDA DE VENDAS'!$B$6:$B$500, B779)&gt;5, " + " &amp; IFERROR(INDEX('SAÍDA DE VENDAS'!$H$6:$H$500 &amp; "x " &amp; 'SAÍDA DE VENDAS'!$G$6:$G$500, MATCH(B779, 'SAÍDA DE VENDAS'!$B$6:$B$500, 0)+5), ""), ""))</f>
        <v/>
      </c>
      <c r="G779" s="34">
        <f>IFERROR(VLOOKUP(B779,'SAÍDA DE VENDAS'!$B$6:$P$500,10,FALSE),"")</f>
        <v>0</v>
      </c>
      <c r="H779" s="34" t="str">
        <f>IF(OR(ISBLANK(B779),B779=""), "", IF(B779=B778, (VALUE(LEFT(H778,FIND("/",H778)-1))+1)&amp;"/"&amp;RIGHT(H778,LEN(H778)-FIND("/",H778)), "1/"&amp;IFERROR(VLOOKUP(B779,'SAÍDA DE VENDAS'!$B$6:$P$500,13,FALSE),"1")))</f>
        <v/>
      </c>
      <c r="I779" s="35" t="str">
        <f t="shared" si="24"/>
        <v/>
      </c>
      <c r="J779" s="39" t="str">
        <f>IFERROR(VLOOKUP(B779,'SAÍDA DE VENDAS'!$B$6:$P$500,15,FALSE),"")</f>
        <v/>
      </c>
      <c r="K779" s="34" t="str">
        <f t="shared" ca="1" si="25"/>
        <v/>
      </c>
      <c r="L779" s="34"/>
      <c r="M779" s="34"/>
    </row>
    <row r="780" spans="2:13" ht="15" customHeight="1" x14ac:dyDescent="0.3">
      <c r="B780" s="28" t="str">
        <f>IF(B779="","", IF(VALUE(LEFT(H779,FIND("/",H779)-1)) &lt; VALUE(RIGHT(H779,LEN(H779)-FIND("/",H779))), B779, IFERROR(INDEX('SAÍDA DE VENDAS'!$B$6:$B$500, MATCH(B779,'SAÍDA DE VENDAS'!$B$6:$B$500,0)+COUNTIF('SAÍDA DE VENDAS'!$B$6:$B$500, B779)),"")))</f>
        <v/>
      </c>
      <c r="C780" s="29">
        <f>IFERROR(VLOOKUP(B780,'SAÍDA DE VENDAS'!$B$6:$P$500,3,FALSE),"")</f>
        <v>0</v>
      </c>
      <c r="D780" s="28">
        <f>IFERROR(VLOOKUP(B780,'SAÍDA DE VENDAS'!$B$6:$P$500,4,FALSE),"")</f>
        <v>0</v>
      </c>
      <c r="E780" s="28" t="str">
        <f>IFERROR(VLOOKUP(B780,'SAÍDA DE VENDAS'!$B$6:$P$500,5,FALSE),"")</f>
        <v/>
      </c>
      <c r="F780" s="28" t="str">
        <f>IF(OR(ISBLANK(B780),B780=""), "", IFERROR(INDEX('SAÍDA DE VENDAS'!$H$6:$H$500 &amp; "x " &amp; 'SAÍDA DE VENDAS'!$G$6:$G$500, MATCH(B780, 'SAÍDA DE VENDAS'!$B$6:$B$500, 0)), "")&amp; IF(COUNTIF('SAÍDA DE VENDAS'!$B$6:$B$500, B780)&gt;1, " + " &amp; IFERROR(INDEX('SAÍDA DE VENDAS'!$H$6:$H$500 &amp; "x " &amp; 'SAÍDA DE VENDAS'!$G$6:$G$500, MATCH(B780, 'SAÍDA DE VENDAS'!$B$6:$B$500, 0)+1), ""), "")&amp; IF(COUNTIF('SAÍDA DE VENDAS'!$B$6:$B$500, B780)&gt;2, " + " &amp; IFERROR(INDEX('SAÍDA DE VENDAS'!$H$6:$H$500 &amp; "x " &amp; 'SAÍDA DE VENDAS'!$G$6:$G$500, MATCH(B780, 'SAÍDA DE VENDAS'!$B$6:$B$500, 0)+2), ""), "")&amp; IF(COUNTIF('SAÍDA DE VENDAS'!$B$6:$B$500, B780)&gt;3, " + " &amp; IFERROR(INDEX('SAÍDA DE VENDAS'!$H$6:$H$500 &amp; "x " &amp; 'SAÍDA DE VENDAS'!$G$6:$G$500, MATCH(B780, 'SAÍDA DE VENDAS'!$B$6:$B$500, 0)+3), ""), "")&amp; IF(COUNTIF('SAÍDA DE VENDAS'!$B$6:$B$500, B780)&gt;4, " + " &amp; IFERROR(INDEX('SAÍDA DE VENDAS'!$H$6:$H$500 &amp; "x " &amp; 'SAÍDA DE VENDAS'!$G$6:$G$500, MATCH(B780, 'SAÍDA DE VENDAS'!$B$6:$B$500, 0)+4), ""), "")&amp; IF(COUNTIF('SAÍDA DE VENDAS'!$B$6:$B$500, B780)&gt;5, " + " &amp; IFERROR(INDEX('SAÍDA DE VENDAS'!$H$6:$H$500 &amp; "x " &amp; 'SAÍDA DE VENDAS'!$G$6:$G$500, MATCH(B780, 'SAÍDA DE VENDAS'!$B$6:$B$500, 0)+5), ""), ""))</f>
        <v/>
      </c>
      <c r="G780" s="28">
        <f>IFERROR(VLOOKUP(B780,'SAÍDA DE VENDAS'!$B$6:$P$500,10,FALSE),"")</f>
        <v>0</v>
      </c>
      <c r="H780" s="28" t="str">
        <f>IF(OR(ISBLANK(B780),B780=""), "", IF(B780=B779, (VALUE(LEFT(H779,FIND("/",H779)-1))+1)&amp;"/"&amp;RIGHT(H779,LEN(H779)-FIND("/",H779)), "1/"&amp;IFERROR(VLOOKUP(B780,'SAÍDA DE VENDAS'!$B$6:$P$500,13,FALSE),"1")))</f>
        <v/>
      </c>
      <c r="I780" s="69" t="str">
        <f t="shared" si="24"/>
        <v/>
      </c>
      <c r="J780" s="33" t="str">
        <f>IFERROR(VLOOKUP(B780,'SAÍDA DE VENDAS'!$B$6:$P$500,15,FALSE),"")</f>
        <v/>
      </c>
      <c r="K780" s="28" t="str">
        <f t="shared" ca="1" si="25"/>
        <v/>
      </c>
      <c r="L780" s="28"/>
      <c r="M780" s="28"/>
    </row>
    <row r="781" spans="2:13" ht="15" customHeight="1" x14ac:dyDescent="0.3">
      <c r="B781" s="34" t="str">
        <f>IF(B780="","", IF(VALUE(LEFT(H780,FIND("/",H780)-1)) &lt; VALUE(RIGHT(H780,LEN(H780)-FIND("/",H780))), B780, IFERROR(INDEX('SAÍDA DE VENDAS'!$B$6:$B$500, MATCH(B780,'SAÍDA DE VENDAS'!$B$6:$B$500,0)+COUNTIF('SAÍDA DE VENDAS'!$B$6:$B$500, B780)),"")))</f>
        <v/>
      </c>
      <c r="C781" s="35">
        <f>IFERROR(VLOOKUP(B781,'SAÍDA DE VENDAS'!$B$6:$P$500,3,FALSE),"")</f>
        <v>0</v>
      </c>
      <c r="D781" s="34">
        <f>IFERROR(VLOOKUP(B781,'SAÍDA DE VENDAS'!$B$6:$P$500,4,FALSE),"")</f>
        <v>0</v>
      </c>
      <c r="E781" s="34" t="str">
        <f>IFERROR(VLOOKUP(B781,'SAÍDA DE VENDAS'!$B$6:$P$500,5,FALSE),"")</f>
        <v/>
      </c>
      <c r="F781" s="34" t="str">
        <f>IF(OR(ISBLANK(B781),B781=""), "", IFERROR(INDEX('SAÍDA DE VENDAS'!$H$6:$H$500 &amp; "x " &amp; 'SAÍDA DE VENDAS'!$G$6:$G$500, MATCH(B781, 'SAÍDA DE VENDAS'!$B$6:$B$500, 0)), "")&amp; IF(COUNTIF('SAÍDA DE VENDAS'!$B$6:$B$500, B781)&gt;1, " + " &amp; IFERROR(INDEX('SAÍDA DE VENDAS'!$H$6:$H$500 &amp; "x " &amp; 'SAÍDA DE VENDAS'!$G$6:$G$500, MATCH(B781, 'SAÍDA DE VENDAS'!$B$6:$B$500, 0)+1), ""), "")&amp; IF(COUNTIF('SAÍDA DE VENDAS'!$B$6:$B$500, B781)&gt;2, " + " &amp; IFERROR(INDEX('SAÍDA DE VENDAS'!$H$6:$H$500 &amp; "x " &amp; 'SAÍDA DE VENDAS'!$G$6:$G$500, MATCH(B781, 'SAÍDA DE VENDAS'!$B$6:$B$500, 0)+2), ""), "")&amp; IF(COUNTIF('SAÍDA DE VENDAS'!$B$6:$B$500, B781)&gt;3, " + " &amp; IFERROR(INDEX('SAÍDA DE VENDAS'!$H$6:$H$500 &amp; "x " &amp; 'SAÍDA DE VENDAS'!$G$6:$G$500, MATCH(B781, 'SAÍDA DE VENDAS'!$B$6:$B$500, 0)+3), ""), "")&amp; IF(COUNTIF('SAÍDA DE VENDAS'!$B$6:$B$500, B781)&gt;4, " + " &amp; IFERROR(INDEX('SAÍDA DE VENDAS'!$H$6:$H$500 &amp; "x " &amp; 'SAÍDA DE VENDAS'!$G$6:$G$500, MATCH(B781, 'SAÍDA DE VENDAS'!$B$6:$B$500, 0)+4), ""), "")&amp; IF(COUNTIF('SAÍDA DE VENDAS'!$B$6:$B$500, B781)&gt;5, " + " &amp; IFERROR(INDEX('SAÍDA DE VENDAS'!$H$6:$H$500 &amp; "x " &amp; 'SAÍDA DE VENDAS'!$G$6:$G$500, MATCH(B781, 'SAÍDA DE VENDAS'!$B$6:$B$500, 0)+5), ""), ""))</f>
        <v/>
      </c>
      <c r="G781" s="34">
        <f>IFERROR(VLOOKUP(B781,'SAÍDA DE VENDAS'!$B$6:$P$500,10,FALSE),"")</f>
        <v>0</v>
      </c>
      <c r="H781" s="34" t="str">
        <f>IF(OR(ISBLANK(B781),B781=""), "", IF(B781=B780, (VALUE(LEFT(H780,FIND("/",H780)-1))+1)&amp;"/"&amp;RIGHT(H780,LEN(H780)-FIND("/",H780)), "1/"&amp;IFERROR(VLOOKUP(B781,'SAÍDA DE VENDAS'!$B$6:$P$500,13,FALSE),"1")))</f>
        <v/>
      </c>
      <c r="I781" s="35" t="str">
        <f t="shared" si="24"/>
        <v/>
      </c>
      <c r="J781" s="39" t="str">
        <f>IFERROR(VLOOKUP(B781,'SAÍDA DE VENDAS'!$B$6:$P$500,15,FALSE),"")</f>
        <v/>
      </c>
      <c r="K781" s="34" t="str">
        <f t="shared" ca="1" si="25"/>
        <v/>
      </c>
      <c r="L781" s="34"/>
      <c r="M781" s="34"/>
    </row>
    <row r="782" spans="2:13" ht="15" customHeight="1" x14ac:dyDescent="0.3">
      <c r="B782" s="28" t="str">
        <f>IF(B781="","", IF(VALUE(LEFT(H781,FIND("/",H781)-1)) &lt; VALUE(RIGHT(H781,LEN(H781)-FIND("/",H781))), B781, IFERROR(INDEX('SAÍDA DE VENDAS'!$B$6:$B$500, MATCH(B781,'SAÍDA DE VENDAS'!$B$6:$B$500,0)+COUNTIF('SAÍDA DE VENDAS'!$B$6:$B$500, B781)),"")))</f>
        <v/>
      </c>
      <c r="C782" s="29">
        <f>IFERROR(VLOOKUP(B782,'SAÍDA DE VENDAS'!$B$6:$P$500,3,FALSE),"")</f>
        <v>0</v>
      </c>
      <c r="D782" s="28">
        <f>IFERROR(VLOOKUP(B782,'SAÍDA DE VENDAS'!$B$6:$P$500,4,FALSE),"")</f>
        <v>0</v>
      </c>
      <c r="E782" s="28" t="str">
        <f>IFERROR(VLOOKUP(B782,'SAÍDA DE VENDAS'!$B$6:$P$500,5,FALSE),"")</f>
        <v/>
      </c>
      <c r="F782" s="28" t="str">
        <f>IF(OR(ISBLANK(B782),B782=""), "", IFERROR(INDEX('SAÍDA DE VENDAS'!$H$6:$H$500 &amp; "x " &amp; 'SAÍDA DE VENDAS'!$G$6:$G$500, MATCH(B782, 'SAÍDA DE VENDAS'!$B$6:$B$500, 0)), "")&amp; IF(COUNTIF('SAÍDA DE VENDAS'!$B$6:$B$500, B782)&gt;1, " + " &amp; IFERROR(INDEX('SAÍDA DE VENDAS'!$H$6:$H$500 &amp; "x " &amp; 'SAÍDA DE VENDAS'!$G$6:$G$500, MATCH(B782, 'SAÍDA DE VENDAS'!$B$6:$B$500, 0)+1), ""), "")&amp; IF(COUNTIF('SAÍDA DE VENDAS'!$B$6:$B$500, B782)&gt;2, " + " &amp; IFERROR(INDEX('SAÍDA DE VENDAS'!$H$6:$H$500 &amp; "x " &amp; 'SAÍDA DE VENDAS'!$G$6:$G$500, MATCH(B782, 'SAÍDA DE VENDAS'!$B$6:$B$500, 0)+2), ""), "")&amp; IF(COUNTIF('SAÍDA DE VENDAS'!$B$6:$B$500, B782)&gt;3, " + " &amp; IFERROR(INDEX('SAÍDA DE VENDAS'!$H$6:$H$500 &amp; "x " &amp; 'SAÍDA DE VENDAS'!$G$6:$G$500, MATCH(B782, 'SAÍDA DE VENDAS'!$B$6:$B$500, 0)+3), ""), "")&amp; IF(COUNTIF('SAÍDA DE VENDAS'!$B$6:$B$500, B782)&gt;4, " + " &amp; IFERROR(INDEX('SAÍDA DE VENDAS'!$H$6:$H$500 &amp; "x " &amp; 'SAÍDA DE VENDAS'!$G$6:$G$500, MATCH(B782, 'SAÍDA DE VENDAS'!$B$6:$B$500, 0)+4), ""), "")&amp; IF(COUNTIF('SAÍDA DE VENDAS'!$B$6:$B$500, B782)&gt;5, " + " &amp; IFERROR(INDEX('SAÍDA DE VENDAS'!$H$6:$H$500 &amp; "x " &amp; 'SAÍDA DE VENDAS'!$G$6:$G$500, MATCH(B782, 'SAÍDA DE VENDAS'!$B$6:$B$500, 0)+5), ""), ""))</f>
        <v/>
      </c>
      <c r="G782" s="28">
        <f>IFERROR(VLOOKUP(B782,'SAÍDA DE VENDAS'!$B$6:$P$500,10,FALSE),"")</f>
        <v>0</v>
      </c>
      <c r="H782" s="28" t="str">
        <f>IF(OR(ISBLANK(B782),B782=""), "", IF(B782=B781, (VALUE(LEFT(H781,FIND("/",H781)-1))+1)&amp;"/"&amp;RIGHT(H781,LEN(H781)-FIND("/",H781)), "1/"&amp;IFERROR(VLOOKUP(B782,'SAÍDA DE VENDAS'!$B$6:$P$500,13,FALSE),"1")))</f>
        <v/>
      </c>
      <c r="I782" s="69" t="str">
        <f t="shared" si="24"/>
        <v/>
      </c>
      <c r="J782" s="33" t="str">
        <f>IFERROR(VLOOKUP(B782,'SAÍDA DE VENDAS'!$B$6:$P$500,15,FALSE),"")</f>
        <v/>
      </c>
      <c r="K782" s="28" t="str">
        <f t="shared" ca="1" si="25"/>
        <v/>
      </c>
      <c r="L782" s="28"/>
      <c r="M782" s="28"/>
    </row>
    <row r="783" spans="2:13" ht="15" customHeight="1" x14ac:dyDescent="0.3">
      <c r="B783" s="34" t="str">
        <f>IF(B782="","", IF(VALUE(LEFT(H782,FIND("/",H782)-1)) &lt; VALUE(RIGHT(H782,LEN(H782)-FIND("/",H782))), B782, IFERROR(INDEX('SAÍDA DE VENDAS'!$B$6:$B$500, MATCH(B782,'SAÍDA DE VENDAS'!$B$6:$B$500,0)+COUNTIF('SAÍDA DE VENDAS'!$B$6:$B$500, B782)),"")))</f>
        <v/>
      </c>
      <c r="C783" s="35">
        <f>IFERROR(VLOOKUP(B783,'SAÍDA DE VENDAS'!$B$6:$P$500,3,FALSE),"")</f>
        <v>0</v>
      </c>
      <c r="D783" s="34">
        <f>IFERROR(VLOOKUP(B783,'SAÍDA DE VENDAS'!$B$6:$P$500,4,FALSE),"")</f>
        <v>0</v>
      </c>
      <c r="E783" s="34" t="str">
        <f>IFERROR(VLOOKUP(B783,'SAÍDA DE VENDAS'!$B$6:$P$500,5,FALSE),"")</f>
        <v/>
      </c>
      <c r="F783" s="34" t="str">
        <f>IF(OR(ISBLANK(B783),B783=""), "", IFERROR(INDEX('SAÍDA DE VENDAS'!$H$6:$H$500 &amp; "x " &amp; 'SAÍDA DE VENDAS'!$G$6:$G$500, MATCH(B783, 'SAÍDA DE VENDAS'!$B$6:$B$500, 0)), "")&amp; IF(COUNTIF('SAÍDA DE VENDAS'!$B$6:$B$500, B783)&gt;1, " + " &amp; IFERROR(INDEX('SAÍDA DE VENDAS'!$H$6:$H$500 &amp; "x " &amp; 'SAÍDA DE VENDAS'!$G$6:$G$500, MATCH(B783, 'SAÍDA DE VENDAS'!$B$6:$B$500, 0)+1), ""), "")&amp; IF(COUNTIF('SAÍDA DE VENDAS'!$B$6:$B$500, B783)&gt;2, " + " &amp; IFERROR(INDEX('SAÍDA DE VENDAS'!$H$6:$H$500 &amp; "x " &amp; 'SAÍDA DE VENDAS'!$G$6:$G$500, MATCH(B783, 'SAÍDA DE VENDAS'!$B$6:$B$500, 0)+2), ""), "")&amp; IF(COUNTIF('SAÍDA DE VENDAS'!$B$6:$B$500, B783)&gt;3, " + " &amp; IFERROR(INDEX('SAÍDA DE VENDAS'!$H$6:$H$500 &amp; "x " &amp; 'SAÍDA DE VENDAS'!$G$6:$G$500, MATCH(B783, 'SAÍDA DE VENDAS'!$B$6:$B$500, 0)+3), ""), "")&amp; IF(COUNTIF('SAÍDA DE VENDAS'!$B$6:$B$500, B783)&gt;4, " + " &amp; IFERROR(INDEX('SAÍDA DE VENDAS'!$H$6:$H$500 &amp; "x " &amp; 'SAÍDA DE VENDAS'!$G$6:$G$500, MATCH(B783, 'SAÍDA DE VENDAS'!$B$6:$B$500, 0)+4), ""), "")&amp; IF(COUNTIF('SAÍDA DE VENDAS'!$B$6:$B$500, B783)&gt;5, " + " &amp; IFERROR(INDEX('SAÍDA DE VENDAS'!$H$6:$H$500 &amp; "x " &amp; 'SAÍDA DE VENDAS'!$G$6:$G$500, MATCH(B783, 'SAÍDA DE VENDAS'!$B$6:$B$500, 0)+5), ""), ""))</f>
        <v/>
      </c>
      <c r="G783" s="34">
        <f>IFERROR(VLOOKUP(B783,'SAÍDA DE VENDAS'!$B$6:$P$500,10,FALSE),"")</f>
        <v>0</v>
      </c>
      <c r="H783" s="34" t="str">
        <f>IF(OR(ISBLANK(B783),B783=""), "", IF(B783=B782, (VALUE(LEFT(H782,FIND("/",H782)-1))+1)&amp;"/"&amp;RIGHT(H782,LEN(H782)-FIND("/",H782)), "1/"&amp;IFERROR(VLOOKUP(B783,'SAÍDA DE VENDAS'!$B$6:$P$500,13,FALSE),"1")))</f>
        <v/>
      </c>
      <c r="I783" s="35" t="str">
        <f t="shared" si="24"/>
        <v/>
      </c>
      <c r="J783" s="39" t="str">
        <f>IFERROR(VLOOKUP(B783,'SAÍDA DE VENDAS'!$B$6:$P$500,15,FALSE),"")</f>
        <v/>
      </c>
      <c r="K783" s="34" t="str">
        <f t="shared" ca="1" si="25"/>
        <v/>
      </c>
      <c r="L783" s="34"/>
      <c r="M783" s="34"/>
    </row>
    <row r="784" spans="2:13" ht="15" customHeight="1" x14ac:dyDescent="0.3">
      <c r="B784" s="28" t="str">
        <f>IF(B783="","", IF(VALUE(LEFT(H783,FIND("/",H783)-1)) &lt; VALUE(RIGHT(H783,LEN(H783)-FIND("/",H783))), B783, IFERROR(INDEX('SAÍDA DE VENDAS'!$B$6:$B$500, MATCH(B783,'SAÍDA DE VENDAS'!$B$6:$B$500,0)+COUNTIF('SAÍDA DE VENDAS'!$B$6:$B$500, B783)),"")))</f>
        <v/>
      </c>
      <c r="C784" s="29">
        <f>IFERROR(VLOOKUP(B784,'SAÍDA DE VENDAS'!$B$6:$P$500,3,FALSE),"")</f>
        <v>0</v>
      </c>
      <c r="D784" s="28">
        <f>IFERROR(VLOOKUP(B784,'SAÍDA DE VENDAS'!$B$6:$P$500,4,FALSE),"")</f>
        <v>0</v>
      </c>
      <c r="E784" s="28" t="str">
        <f>IFERROR(VLOOKUP(B784,'SAÍDA DE VENDAS'!$B$6:$P$500,5,FALSE),"")</f>
        <v/>
      </c>
      <c r="F784" s="28" t="str">
        <f>IF(OR(ISBLANK(B784),B784=""), "", IFERROR(INDEX('SAÍDA DE VENDAS'!$H$6:$H$500 &amp; "x " &amp; 'SAÍDA DE VENDAS'!$G$6:$G$500, MATCH(B784, 'SAÍDA DE VENDAS'!$B$6:$B$500, 0)), "")&amp; IF(COUNTIF('SAÍDA DE VENDAS'!$B$6:$B$500, B784)&gt;1, " + " &amp; IFERROR(INDEX('SAÍDA DE VENDAS'!$H$6:$H$500 &amp; "x " &amp; 'SAÍDA DE VENDAS'!$G$6:$G$500, MATCH(B784, 'SAÍDA DE VENDAS'!$B$6:$B$500, 0)+1), ""), "")&amp; IF(COUNTIF('SAÍDA DE VENDAS'!$B$6:$B$500, B784)&gt;2, " + " &amp; IFERROR(INDEX('SAÍDA DE VENDAS'!$H$6:$H$500 &amp; "x " &amp; 'SAÍDA DE VENDAS'!$G$6:$G$500, MATCH(B784, 'SAÍDA DE VENDAS'!$B$6:$B$500, 0)+2), ""), "")&amp; IF(COUNTIF('SAÍDA DE VENDAS'!$B$6:$B$500, B784)&gt;3, " + " &amp; IFERROR(INDEX('SAÍDA DE VENDAS'!$H$6:$H$500 &amp; "x " &amp; 'SAÍDA DE VENDAS'!$G$6:$G$500, MATCH(B784, 'SAÍDA DE VENDAS'!$B$6:$B$500, 0)+3), ""), "")&amp; IF(COUNTIF('SAÍDA DE VENDAS'!$B$6:$B$500, B784)&gt;4, " + " &amp; IFERROR(INDEX('SAÍDA DE VENDAS'!$H$6:$H$500 &amp; "x " &amp; 'SAÍDA DE VENDAS'!$G$6:$G$500, MATCH(B784, 'SAÍDA DE VENDAS'!$B$6:$B$500, 0)+4), ""), "")&amp; IF(COUNTIF('SAÍDA DE VENDAS'!$B$6:$B$500, B784)&gt;5, " + " &amp; IFERROR(INDEX('SAÍDA DE VENDAS'!$H$6:$H$500 &amp; "x " &amp; 'SAÍDA DE VENDAS'!$G$6:$G$500, MATCH(B784, 'SAÍDA DE VENDAS'!$B$6:$B$500, 0)+5), ""), ""))</f>
        <v/>
      </c>
      <c r="G784" s="28">
        <f>IFERROR(VLOOKUP(B784,'SAÍDA DE VENDAS'!$B$6:$P$500,10,FALSE),"")</f>
        <v>0</v>
      </c>
      <c r="H784" s="28" t="str">
        <f>IF(OR(ISBLANK(B784),B784=""), "", IF(B784=B783, (VALUE(LEFT(H783,FIND("/",H783)-1))+1)&amp;"/"&amp;RIGHT(H783,LEN(H783)-FIND("/",H783)), "1/"&amp;IFERROR(VLOOKUP(B784,'SAÍDA DE VENDAS'!$B$6:$P$500,13,FALSE),"1")))</f>
        <v/>
      </c>
      <c r="I784" s="69" t="str">
        <f t="shared" si="24"/>
        <v/>
      </c>
      <c r="J784" s="33" t="str">
        <f>IFERROR(VLOOKUP(B784,'SAÍDA DE VENDAS'!$B$6:$P$500,15,FALSE),"")</f>
        <v/>
      </c>
      <c r="K784" s="28" t="str">
        <f t="shared" ca="1" si="25"/>
        <v/>
      </c>
      <c r="L784" s="28"/>
      <c r="M784" s="28"/>
    </row>
    <row r="785" spans="2:13" ht="15" customHeight="1" x14ac:dyDescent="0.3">
      <c r="B785" s="34" t="str">
        <f>IF(B784="","", IF(VALUE(LEFT(H784,FIND("/",H784)-1)) &lt; VALUE(RIGHT(H784,LEN(H784)-FIND("/",H784))), B784, IFERROR(INDEX('SAÍDA DE VENDAS'!$B$6:$B$500, MATCH(B784,'SAÍDA DE VENDAS'!$B$6:$B$500,0)+COUNTIF('SAÍDA DE VENDAS'!$B$6:$B$500, B784)),"")))</f>
        <v/>
      </c>
      <c r="C785" s="35">
        <f>IFERROR(VLOOKUP(B785,'SAÍDA DE VENDAS'!$B$6:$P$500,3,FALSE),"")</f>
        <v>0</v>
      </c>
      <c r="D785" s="34">
        <f>IFERROR(VLOOKUP(B785,'SAÍDA DE VENDAS'!$B$6:$P$500,4,FALSE),"")</f>
        <v>0</v>
      </c>
      <c r="E785" s="34" t="str">
        <f>IFERROR(VLOOKUP(B785,'SAÍDA DE VENDAS'!$B$6:$P$500,5,FALSE),"")</f>
        <v/>
      </c>
      <c r="F785" s="34" t="str">
        <f>IF(OR(ISBLANK(B785),B785=""), "", IFERROR(INDEX('SAÍDA DE VENDAS'!$H$6:$H$500 &amp; "x " &amp; 'SAÍDA DE VENDAS'!$G$6:$G$500, MATCH(B785, 'SAÍDA DE VENDAS'!$B$6:$B$500, 0)), "")&amp; IF(COUNTIF('SAÍDA DE VENDAS'!$B$6:$B$500, B785)&gt;1, " + " &amp; IFERROR(INDEX('SAÍDA DE VENDAS'!$H$6:$H$500 &amp; "x " &amp; 'SAÍDA DE VENDAS'!$G$6:$G$500, MATCH(B785, 'SAÍDA DE VENDAS'!$B$6:$B$500, 0)+1), ""), "")&amp; IF(COUNTIF('SAÍDA DE VENDAS'!$B$6:$B$500, B785)&gt;2, " + " &amp; IFERROR(INDEX('SAÍDA DE VENDAS'!$H$6:$H$500 &amp; "x " &amp; 'SAÍDA DE VENDAS'!$G$6:$G$500, MATCH(B785, 'SAÍDA DE VENDAS'!$B$6:$B$500, 0)+2), ""), "")&amp; IF(COUNTIF('SAÍDA DE VENDAS'!$B$6:$B$500, B785)&gt;3, " + " &amp; IFERROR(INDEX('SAÍDA DE VENDAS'!$H$6:$H$500 &amp; "x " &amp; 'SAÍDA DE VENDAS'!$G$6:$G$500, MATCH(B785, 'SAÍDA DE VENDAS'!$B$6:$B$500, 0)+3), ""), "")&amp; IF(COUNTIF('SAÍDA DE VENDAS'!$B$6:$B$500, B785)&gt;4, " + " &amp; IFERROR(INDEX('SAÍDA DE VENDAS'!$H$6:$H$500 &amp; "x " &amp; 'SAÍDA DE VENDAS'!$G$6:$G$500, MATCH(B785, 'SAÍDA DE VENDAS'!$B$6:$B$500, 0)+4), ""), "")&amp; IF(COUNTIF('SAÍDA DE VENDAS'!$B$6:$B$500, B785)&gt;5, " + " &amp; IFERROR(INDEX('SAÍDA DE VENDAS'!$H$6:$H$500 &amp; "x " &amp; 'SAÍDA DE VENDAS'!$G$6:$G$500, MATCH(B785, 'SAÍDA DE VENDAS'!$B$6:$B$500, 0)+5), ""), ""))</f>
        <v/>
      </c>
      <c r="G785" s="34">
        <f>IFERROR(VLOOKUP(B785,'SAÍDA DE VENDAS'!$B$6:$P$500,10,FALSE),"")</f>
        <v>0</v>
      </c>
      <c r="H785" s="34" t="str">
        <f>IF(OR(ISBLANK(B785),B785=""), "", IF(B785=B784, (VALUE(LEFT(H784,FIND("/",H784)-1))+1)&amp;"/"&amp;RIGHT(H784,LEN(H784)-FIND("/",H784)), "1/"&amp;IFERROR(VLOOKUP(B785,'SAÍDA DE VENDAS'!$B$6:$P$500,13,FALSE),"1")))</f>
        <v/>
      </c>
      <c r="I785" s="35" t="str">
        <f t="shared" si="24"/>
        <v/>
      </c>
      <c r="J785" s="39" t="str">
        <f>IFERROR(VLOOKUP(B785,'SAÍDA DE VENDAS'!$B$6:$P$500,15,FALSE),"")</f>
        <v/>
      </c>
      <c r="K785" s="34" t="str">
        <f t="shared" ca="1" si="25"/>
        <v/>
      </c>
      <c r="L785" s="34"/>
      <c r="M785" s="34"/>
    </row>
    <row r="786" spans="2:13" ht="15" customHeight="1" x14ac:dyDescent="0.3">
      <c r="B786" s="28" t="str">
        <f>IF(B785="","", IF(VALUE(LEFT(H785,FIND("/",H785)-1)) &lt; VALUE(RIGHT(H785,LEN(H785)-FIND("/",H785))), B785, IFERROR(INDEX('SAÍDA DE VENDAS'!$B$6:$B$500, MATCH(B785,'SAÍDA DE VENDAS'!$B$6:$B$500,0)+COUNTIF('SAÍDA DE VENDAS'!$B$6:$B$500, B785)),"")))</f>
        <v/>
      </c>
      <c r="C786" s="29">
        <f>IFERROR(VLOOKUP(B786,'SAÍDA DE VENDAS'!$B$6:$P$500,3,FALSE),"")</f>
        <v>0</v>
      </c>
      <c r="D786" s="28">
        <f>IFERROR(VLOOKUP(B786,'SAÍDA DE VENDAS'!$B$6:$P$500,4,FALSE),"")</f>
        <v>0</v>
      </c>
      <c r="E786" s="28" t="str">
        <f>IFERROR(VLOOKUP(B786,'SAÍDA DE VENDAS'!$B$6:$P$500,5,FALSE),"")</f>
        <v/>
      </c>
      <c r="F786" s="28" t="str">
        <f>IF(OR(ISBLANK(B786),B786=""), "", IFERROR(INDEX('SAÍDA DE VENDAS'!$H$6:$H$500 &amp; "x " &amp; 'SAÍDA DE VENDAS'!$G$6:$G$500, MATCH(B786, 'SAÍDA DE VENDAS'!$B$6:$B$500, 0)), "")&amp; IF(COUNTIF('SAÍDA DE VENDAS'!$B$6:$B$500, B786)&gt;1, " + " &amp; IFERROR(INDEX('SAÍDA DE VENDAS'!$H$6:$H$500 &amp; "x " &amp; 'SAÍDA DE VENDAS'!$G$6:$G$500, MATCH(B786, 'SAÍDA DE VENDAS'!$B$6:$B$500, 0)+1), ""), "")&amp; IF(COUNTIF('SAÍDA DE VENDAS'!$B$6:$B$500, B786)&gt;2, " + " &amp; IFERROR(INDEX('SAÍDA DE VENDAS'!$H$6:$H$500 &amp; "x " &amp; 'SAÍDA DE VENDAS'!$G$6:$G$500, MATCH(B786, 'SAÍDA DE VENDAS'!$B$6:$B$500, 0)+2), ""), "")&amp; IF(COUNTIF('SAÍDA DE VENDAS'!$B$6:$B$500, B786)&gt;3, " + " &amp; IFERROR(INDEX('SAÍDA DE VENDAS'!$H$6:$H$500 &amp; "x " &amp; 'SAÍDA DE VENDAS'!$G$6:$G$500, MATCH(B786, 'SAÍDA DE VENDAS'!$B$6:$B$500, 0)+3), ""), "")&amp; IF(COUNTIF('SAÍDA DE VENDAS'!$B$6:$B$500, B786)&gt;4, " + " &amp; IFERROR(INDEX('SAÍDA DE VENDAS'!$H$6:$H$500 &amp; "x " &amp; 'SAÍDA DE VENDAS'!$G$6:$G$500, MATCH(B786, 'SAÍDA DE VENDAS'!$B$6:$B$500, 0)+4), ""), "")&amp; IF(COUNTIF('SAÍDA DE VENDAS'!$B$6:$B$500, B786)&gt;5, " + " &amp; IFERROR(INDEX('SAÍDA DE VENDAS'!$H$6:$H$500 &amp; "x " &amp; 'SAÍDA DE VENDAS'!$G$6:$G$500, MATCH(B786, 'SAÍDA DE VENDAS'!$B$6:$B$500, 0)+5), ""), ""))</f>
        <v/>
      </c>
      <c r="G786" s="28">
        <f>IFERROR(VLOOKUP(B786,'SAÍDA DE VENDAS'!$B$6:$P$500,10,FALSE),"")</f>
        <v>0</v>
      </c>
      <c r="H786" s="28" t="str">
        <f>IF(OR(ISBLANK(B786),B786=""), "", IF(B786=B785, (VALUE(LEFT(H785,FIND("/",H785)-1))+1)&amp;"/"&amp;RIGHT(H785,LEN(H785)-FIND("/",H785)), "1/"&amp;IFERROR(VLOOKUP(B786,'SAÍDA DE VENDAS'!$B$6:$P$500,13,FALSE),"1")))</f>
        <v/>
      </c>
      <c r="I786" s="69" t="str">
        <f t="shared" si="24"/>
        <v/>
      </c>
      <c r="J786" s="33" t="str">
        <f>IFERROR(VLOOKUP(B786,'SAÍDA DE VENDAS'!$B$6:$P$500,15,FALSE),"")</f>
        <v/>
      </c>
      <c r="K786" s="28" t="str">
        <f t="shared" ca="1" si="25"/>
        <v/>
      </c>
      <c r="L786" s="28"/>
      <c r="M786" s="28"/>
    </row>
    <row r="787" spans="2:13" ht="15" customHeight="1" x14ac:dyDescent="0.3">
      <c r="B787" s="34" t="str">
        <f>IF(B786="","", IF(VALUE(LEFT(H786,FIND("/",H786)-1)) &lt; VALUE(RIGHT(H786,LEN(H786)-FIND("/",H786))), B786, IFERROR(INDEX('SAÍDA DE VENDAS'!$B$6:$B$500, MATCH(B786,'SAÍDA DE VENDAS'!$B$6:$B$500,0)+COUNTIF('SAÍDA DE VENDAS'!$B$6:$B$500, B786)),"")))</f>
        <v/>
      </c>
      <c r="C787" s="35">
        <f>IFERROR(VLOOKUP(B787,'SAÍDA DE VENDAS'!$B$6:$P$500,3,FALSE),"")</f>
        <v>0</v>
      </c>
      <c r="D787" s="34">
        <f>IFERROR(VLOOKUP(B787,'SAÍDA DE VENDAS'!$B$6:$P$500,4,FALSE),"")</f>
        <v>0</v>
      </c>
      <c r="E787" s="34" t="str">
        <f>IFERROR(VLOOKUP(B787,'SAÍDA DE VENDAS'!$B$6:$P$500,5,FALSE),"")</f>
        <v/>
      </c>
      <c r="F787" s="34" t="str">
        <f>IF(OR(ISBLANK(B787),B787=""), "", IFERROR(INDEX('SAÍDA DE VENDAS'!$H$6:$H$500 &amp; "x " &amp; 'SAÍDA DE VENDAS'!$G$6:$G$500, MATCH(B787, 'SAÍDA DE VENDAS'!$B$6:$B$500, 0)), "")&amp; IF(COUNTIF('SAÍDA DE VENDAS'!$B$6:$B$500, B787)&gt;1, " + " &amp; IFERROR(INDEX('SAÍDA DE VENDAS'!$H$6:$H$500 &amp; "x " &amp; 'SAÍDA DE VENDAS'!$G$6:$G$500, MATCH(B787, 'SAÍDA DE VENDAS'!$B$6:$B$500, 0)+1), ""), "")&amp; IF(COUNTIF('SAÍDA DE VENDAS'!$B$6:$B$500, B787)&gt;2, " + " &amp; IFERROR(INDEX('SAÍDA DE VENDAS'!$H$6:$H$500 &amp; "x " &amp; 'SAÍDA DE VENDAS'!$G$6:$G$500, MATCH(B787, 'SAÍDA DE VENDAS'!$B$6:$B$500, 0)+2), ""), "")&amp; IF(COUNTIF('SAÍDA DE VENDAS'!$B$6:$B$500, B787)&gt;3, " + " &amp; IFERROR(INDEX('SAÍDA DE VENDAS'!$H$6:$H$500 &amp; "x " &amp; 'SAÍDA DE VENDAS'!$G$6:$G$500, MATCH(B787, 'SAÍDA DE VENDAS'!$B$6:$B$500, 0)+3), ""), "")&amp; IF(COUNTIF('SAÍDA DE VENDAS'!$B$6:$B$500, B787)&gt;4, " + " &amp; IFERROR(INDEX('SAÍDA DE VENDAS'!$H$6:$H$500 &amp; "x " &amp; 'SAÍDA DE VENDAS'!$G$6:$G$500, MATCH(B787, 'SAÍDA DE VENDAS'!$B$6:$B$500, 0)+4), ""), "")&amp; IF(COUNTIF('SAÍDA DE VENDAS'!$B$6:$B$500, B787)&gt;5, " + " &amp; IFERROR(INDEX('SAÍDA DE VENDAS'!$H$6:$H$500 &amp; "x " &amp; 'SAÍDA DE VENDAS'!$G$6:$G$500, MATCH(B787, 'SAÍDA DE VENDAS'!$B$6:$B$500, 0)+5), ""), ""))</f>
        <v/>
      </c>
      <c r="G787" s="34">
        <f>IFERROR(VLOOKUP(B787,'SAÍDA DE VENDAS'!$B$6:$P$500,10,FALSE),"")</f>
        <v>0</v>
      </c>
      <c r="H787" s="34" t="str">
        <f>IF(OR(ISBLANK(B787),B787=""), "", IF(B787=B786, (VALUE(LEFT(H786,FIND("/",H786)-1))+1)&amp;"/"&amp;RIGHT(H786,LEN(H786)-FIND("/",H786)), "1/"&amp;IFERROR(VLOOKUP(B787,'SAÍDA DE VENDAS'!$B$6:$P$500,13,FALSE),"1")))</f>
        <v/>
      </c>
      <c r="I787" s="35" t="str">
        <f t="shared" si="24"/>
        <v/>
      </c>
      <c r="J787" s="39" t="str">
        <f>IFERROR(VLOOKUP(B787,'SAÍDA DE VENDAS'!$B$6:$P$500,15,FALSE),"")</f>
        <v/>
      </c>
      <c r="K787" s="34" t="str">
        <f t="shared" ca="1" si="25"/>
        <v/>
      </c>
      <c r="L787" s="34"/>
      <c r="M787" s="34"/>
    </row>
    <row r="788" spans="2:13" ht="15" customHeight="1" x14ac:dyDescent="0.3">
      <c r="B788" s="28" t="str">
        <f>IF(B787="","", IF(VALUE(LEFT(H787,FIND("/",H787)-1)) &lt; VALUE(RIGHT(H787,LEN(H787)-FIND("/",H787))), B787, IFERROR(INDEX('SAÍDA DE VENDAS'!$B$6:$B$500, MATCH(B787,'SAÍDA DE VENDAS'!$B$6:$B$500,0)+COUNTIF('SAÍDA DE VENDAS'!$B$6:$B$500, B787)),"")))</f>
        <v/>
      </c>
      <c r="C788" s="29">
        <f>IFERROR(VLOOKUP(B788,'SAÍDA DE VENDAS'!$B$6:$P$500,3,FALSE),"")</f>
        <v>0</v>
      </c>
      <c r="D788" s="28">
        <f>IFERROR(VLOOKUP(B788,'SAÍDA DE VENDAS'!$B$6:$P$500,4,FALSE),"")</f>
        <v>0</v>
      </c>
      <c r="E788" s="28" t="str">
        <f>IFERROR(VLOOKUP(B788,'SAÍDA DE VENDAS'!$B$6:$P$500,5,FALSE),"")</f>
        <v/>
      </c>
      <c r="F788" s="28" t="str">
        <f>IF(OR(ISBLANK(B788),B788=""), "", IFERROR(INDEX('SAÍDA DE VENDAS'!$H$6:$H$500 &amp; "x " &amp; 'SAÍDA DE VENDAS'!$G$6:$G$500, MATCH(B788, 'SAÍDA DE VENDAS'!$B$6:$B$500, 0)), "")&amp; IF(COUNTIF('SAÍDA DE VENDAS'!$B$6:$B$500, B788)&gt;1, " + " &amp; IFERROR(INDEX('SAÍDA DE VENDAS'!$H$6:$H$500 &amp; "x " &amp; 'SAÍDA DE VENDAS'!$G$6:$G$500, MATCH(B788, 'SAÍDA DE VENDAS'!$B$6:$B$500, 0)+1), ""), "")&amp; IF(COUNTIF('SAÍDA DE VENDAS'!$B$6:$B$500, B788)&gt;2, " + " &amp; IFERROR(INDEX('SAÍDA DE VENDAS'!$H$6:$H$500 &amp; "x " &amp; 'SAÍDA DE VENDAS'!$G$6:$G$500, MATCH(B788, 'SAÍDA DE VENDAS'!$B$6:$B$500, 0)+2), ""), "")&amp; IF(COUNTIF('SAÍDA DE VENDAS'!$B$6:$B$500, B788)&gt;3, " + " &amp; IFERROR(INDEX('SAÍDA DE VENDAS'!$H$6:$H$500 &amp; "x " &amp; 'SAÍDA DE VENDAS'!$G$6:$G$500, MATCH(B788, 'SAÍDA DE VENDAS'!$B$6:$B$500, 0)+3), ""), "")&amp; IF(COUNTIF('SAÍDA DE VENDAS'!$B$6:$B$500, B788)&gt;4, " + " &amp; IFERROR(INDEX('SAÍDA DE VENDAS'!$H$6:$H$500 &amp; "x " &amp; 'SAÍDA DE VENDAS'!$G$6:$G$500, MATCH(B788, 'SAÍDA DE VENDAS'!$B$6:$B$500, 0)+4), ""), "")&amp; IF(COUNTIF('SAÍDA DE VENDAS'!$B$6:$B$500, B788)&gt;5, " + " &amp; IFERROR(INDEX('SAÍDA DE VENDAS'!$H$6:$H$500 &amp; "x " &amp; 'SAÍDA DE VENDAS'!$G$6:$G$500, MATCH(B788, 'SAÍDA DE VENDAS'!$B$6:$B$500, 0)+5), ""), ""))</f>
        <v/>
      </c>
      <c r="G788" s="28">
        <f>IFERROR(VLOOKUP(B788,'SAÍDA DE VENDAS'!$B$6:$P$500,10,FALSE),"")</f>
        <v>0</v>
      </c>
      <c r="H788" s="28" t="str">
        <f>IF(OR(ISBLANK(B788),B788=""), "", IF(B788=B787, (VALUE(LEFT(H787,FIND("/",H787)-1))+1)&amp;"/"&amp;RIGHT(H787,LEN(H787)-FIND("/",H787)), "1/"&amp;IFERROR(VLOOKUP(B788,'SAÍDA DE VENDAS'!$B$6:$P$500,13,FALSE),"1")))</f>
        <v/>
      </c>
      <c r="I788" s="69" t="str">
        <f t="shared" si="24"/>
        <v/>
      </c>
      <c r="J788" s="33" t="str">
        <f>IFERROR(VLOOKUP(B788,'SAÍDA DE VENDAS'!$B$6:$P$500,15,FALSE),"")</f>
        <v/>
      </c>
      <c r="K788" s="28" t="str">
        <f t="shared" ca="1" si="25"/>
        <v/>
      </c>
      <c r="L788" s="28"/>
      <c r="M788" s="28"/>
    </row>
    <row r="789" spans="2:13" ht="15" customHeight="1" x14ac:dyDescent="0.3">
      <c r="B789" s="34" t="str">
        <f>IF(B788="","", IF(VALUE(LEFT(H788,FIND("/",H788)-1)) &lt; VALUE(RIGHT(H788,LEN(H788)-FIND("/",H788))), B788, IFERROR(INDEX('SAÍDA DE VENDAS'!$B$6:$B$500, MATCH(B788,'SAÍDA DE VENDAS'!$B$6:$B$500,0)+COUNTIF('SAÍDA DE VENDAS'!$B$6:$B$500, B788)),"")))</f>
        <v/>
      </c>
      <c r="C789" s="35">
        <f>IFERROR(VLOOKUP(B789,'SAÍDA DE VENDAS'!$B$6:$P$500,3,FALSE),"")</f>
        <v>0</v>
      </c>
      <c r="D789" s="34">
        <f>IFERROR(VLOOKUP(B789,'SAÍDA DE VENDAS'!$B$6:$P$500,4,FALSE),"")</f>
        <v>0</v>
      </c>
      <c r="E789" s="34" t="str">
        <f>IFERROR(VLOOKUP(B789,'SAÍDA DE VENDAS'!$B$6:$P$500,5,FALSE),"")</f>
        <v/>
      </c>
      <c r="F789" s="34" t="str">
        <f>IF(OR(ISBLANK(B789),B789=""), "", IFERROR(INDEX('SAÍDA DE VENDAS'!$H$6:$H$500 &amp; "x " &amp; 'SAÍDA DE VENDAS'!$G$6:$G$500, MATCH(B789, 'SAÍDA DE VENDAS'!$B$6:$B$500, 0)), "")&amp; IF(COUNTIF('SAÍDA DE VENDAS'!$B$6:$B$500, B789)&gt;1, " + " &amp; IFERROR(INDEX('SAÍDA DE VENDAS'!$H$6:$H$500 &amp; "x " &amp; 'SAÍDA DE VENDAS'!$G$6:$G$500, MATCH(B789, 'SAÍDA DE VENDAS'!$B$6:$B$500, 0)+1), ""), "")&amp; IF(COUNTIF('SAÍDA DE VENDAS'!$B$6:$B$500, B789)&gt;2, " + " &amp; IFERROR(INDEX('SAÍDA DE VENDAS'!$H$6:$H$500 &amp; "x " &amp; 'SAÍDA DE VENDAS'!$G$6:$G$500, MATCH(B789, 'SAÍDA DE VENDAS'!$B$6:$B$500, 0)+2), ""), "")&amp; IF(COUNTIF('SAÍDA DE VENDAS'!$B$6:$B$500, B789)&gt;3, " + " &amp; IFERROR(INDEX('SAÍDA DE VENDAS'!$H$6:$H$500 &amp; "x " &amp; 'SAÍDA DE VENDAS'!$G$6:$G$500, MATCH(B789, 'SAÍDA DE VENDAS'!$B$6:$B$500, 0)+3), ""), "")&amp; IF(COUNTIF('SAÍDA DE VENDAS'!$B$6:$B$500, B789)&gt;4, " + " &amp; IFERROR(INDEX('SAÍDA DE VENDAS'!$H$6:$H$500 &amp; "x " &amp; 'SAÍDA DE VENDAS'!$G$6:$G$500, MATCH(B789, 'SAÍDA DE VENDAS'!$B$6:$B$500, 0)+4), ""), "")&amp; IF(COUNTIF('SAÍDA DE VENDAS'!$B$6:$B$500, B789)&gt;5, " + " &amp; IFERROR(INDEX('SAÍDA DE VENDAS'!$H$6:$H$500 &amp; "x " &amp; 'SAÍDA DE VENDAS'!$G$6:$G$500, MATCH(B789, 'SAÍDA DE VENDAS'!$B$6:$B$500, 0)+5), ""), ""))</f>
        <v/>
      </c>
      <c r="G789" s="34">
        <f>IFERROR(VLOOKUP(B789,'SAÍDA DE VENDAS'!$B$6:$P$500,10,FALSE),"")</f>
        <v>0</v>
      </c>
      <c r="H789" s="34" t="str">
        <f>IF(OR(ISBLANK(B789),B789=""), "", IF(B789=B788, (VALUE(LEFT(H788,FIND("/",H788)-1))+1)&amp;"/"&amp;RIGHT(H788,LEN(H788)-FIND("/",H788)), "1/"&amp;IFERROR(VLOOKUP(B789,'SAÍDA DE VENDAS'!$B$6:$P$500,13,FALSE),"1")))</f>
        <v/>
      </c>
      <c r="I789" s="35" t="str">
        <f t="shared" si="24"/>
        <v/>
      </c>
      <c r="J789" s="39" t="str">
        <f>IFERROR(VLOOKUP(B789,'SAÍDA DE VENDAS'!$B$6:$P$500,15,FALSE),"")</f>
        <v/>
      </c>
      <c r="K789" s="34" t="str">
        <f t="shared" ca="1" si="25"/>
        <v/>
      </c>
      <c r="L789" s="34"/>
      <c r="M789" s="34"/>
    </row>
    <row r="790" spans="2:13" ht="15" customHeight="1" x14ac:dyDescent="0.3">
      <c r="B790" s="28" t="str">
        <f>IF(B789="","", IF(VALUE(LEFT(H789,FIND("/",H789)-1)) &lt; VALUE(RIGHT(H789,LEN(H789)-FIND("/",H789))), B789, IFERROR(INDEX('SAÍDA DE VENDAS'!$B$6:$B$500, MATCH(B789,'SAÍDA DE VENDAS'!$B$6:$B$500,0)+COUNTIF('SAÍDA DE VENDAS'!$B$6:$B$500, B789)),"")))</f>
        <v/>
      </c>
      <c r="C790" s="29">
        <f>IFERROR(VLOOKUP(B790,'SAÍDA DE VENDAS'!$B$6:$P$500,3,FALSE),"")</f>
        <v>0</v>
      </c>
      <c r="D790" s="28">
        <f>IFERROR(VLOOKUP(B790,'SAÍDA DE VENDAS'!$B$6:$P$500,4,FALSE),"")</f>
        <v>0</v>
      </c>
      <c r="E790" s="28" t="str">
        <f>IFERROR(VLOOKUP(B790,'SAÍDA DE VENDAS'!$B$6:$P$500,5,FALSE),"")</f>
        <v/>
      </c>
      <c r="F790" s="28" t="str">
        <f>IF(OR(ISBLANK(B790),B790=""), "", IFERROR(INDEX('SAÍDA DE VENDAS'!$H$6:$H$500 &amp; "x " &amp; 'SAÍDA DE VENDAS'!$G$6:$G$500, MATCH(B790, 'SAÍDA DE VENDAS'!$B$6:$B$500, 0)), "")&amp; IF(COUNTIF('SAÍDA DE VENDAS'!$B$6:$B$500, B790)&gt;1, " + " &amp; IFERROR(INDEX('SAÍDA DE VENDAS'!$H$6:$H$500 &amp; "x " &amp; 'SAÍDA DE VENDAS'!$G$6:$G$500, MATCH(B790, 'SAÍDA DE VENDAS'!$B$6:$B$500, 0)+1), ""), "")&amp; IF(COUNTIF('SAÍDA DE VENDAS'!$B$6:$B$500, B790)&gt;2, " + " &amp; IFERROR(INDEX('SAÍDA DE VENDAS'!$H$6:$H$500 &amp; "x " &amp; 'SAÍDA DE VENDAS'!$G$6:$G$500, MATCH(B790, 'SAÍDA DE VENDAS'!$B$6:$B$500, 0)+2), ""), "")&amp; IF(COUNTIF('SAÍDA DE VENDAS'!$B$6:$B$500, B790)&gt;3, " + " &amp; IFERROR(INDEX('SAÍDA DE VENDAS'!$H$6:$H$500 &amp; "x " &amp; 'SAÍDA DE VENDAS'!$G$6:$G$500, MATCH(B790, 'SAÍDA DE VENDAS'!$B$6:$B$500, 0)+3), ""), "")&amp; IF(COUNTIF('SAÍDA DE VENDAS'!$B$6:$B$500, B790)&gt;4, " + " &amp; IFERROR(INDEX('SAÍDA DE VENDAS'!$H$6:$H$500 &amp; "x " &amp; 'SAÍDA DE VENDAS'!$G$6:$G$500, MATCH(B790, 'SAÍDA DE VENDAS'!$B$6:$B$500, 0)+4), ""), "")&amp; IF(COUNTIF('SAÍDA DE VENDAS'!$B$6:$B$500, B790)&gt;5, " + " &amp; IFERROR(INDEX('SAÍDA DE VENDAS'!$H$6:$H$500 &amp; "x " &amp; 'SAÍDA DE VENDAS'!$G$6:$G$500, MATCH(B790, 'SAÍDA DE VENDAS'!$B$6:$B$500, 0)+5), ""), ""))</f>
        <v/>
      </c>
      <c r="G790" s="28">
        <f>IFERROR(VLOOKUP(B790,'SAÍDA DE VENDAS'!$B$6:$P$500,10,FALSE),"")</f>
        <v>0</v>
      </c>
      <c r="H790" s="28" t="str">
        <f>IF(OR(ISBLANK(B790),B790=""), "", IF(B790=B789, (VALUE(LEFT(H789,FIND("/",H789)-1))+1)&amp;"/"&amp;RIGHT(H789,LEN(H789)-FIND("/",H789)), "1/"&amp;IFERROR(VLOOKUP(B790,'SAÍDA DE VENDAS'!$B$6:$P$500,13,FALSE),"1")))</f>
        <v/>
      </c>
      <c r="I790" s="69" t="str">
        <f t="shared" si="24"/>
        <v/>
      </c>
      <c r="J790" s="33" t="str">
        <f>IFERROR(VLOOKUP(B790,'SAÍDA DE VENDAS'!$B$6:$P$500,15,FALSE),"")</f>
        <v/>
      </c>
      <c r="K790" s="28" t="str">
        <f t="shared" ca="1" si="25"/>
        <v/>
      </c>
      <c r="L790" s="28"/>
      <c r="M790" s="28"/>
    </row>
    <row r="791" spans="2:13" ht="15" customHeight="1" x14ac:dyDescent="0.3">
      <c r="B791" s="34" t="str">
        <f>IF(B790="","", IF(VALUE(LEFT(H790,FIND("/",H790)-1)) &lt; VALUE(RIGHT(H790,LEN(H790)-FIND("/",H790))), B790, IFERROR(INDEX('SAÍDA DE VENDAS'!$B$6:$B$500, MATCH(B790,'SAÍDA DE VENDAS'!$B$6:$B$500,0)+COUNTIF('SAÍDA DE VENDAS'!$B$6:$B$500, B790)),"")))</f>
        <v/>
      </c>
      <c r="C791" s="35">
        <f>IFERROR(VLOOKUP(B791,'SAÍDA DE VENDAS'!$B$6:$P$500,3,FALSE),"")</f>
        <v>0</v>
      </c>
      <c r="D791" s="34">
        <f>IFERROR(VLOOKUP(B791,'SAÍDA DE VENDAS'!$B$6:$P$500,4,FALSE),"")</f>
        <v>0</v>
      </c>
      <c r="E791" s="34" t="str">
        <f>IFERROR(VLOOKUP(B791,'SAÍDA DE VENDAS'!$B$6:$P$500,5,FALSE),"")</f>
        <v/>
      </c>
      <c r="F791" s="34" t="str">
        <f>IF(OR(ISBLANK(B791),B791=""), "", IFERROR(INDEX('SAÍDA DE VENDAS'!$H$6:$H$500 &amp; "x " &amp; 'SAÍDA DE VENDAS'!$G$6:$G$500, MATCH(B791, 'SAÍDA DE VENDAS'!$B$6:$B$500, 0)), "")&amp; IF(COUNTIF('SAÍDA DE VENDAS'!$B$6:$B$500, B791)&gt;1, " + " &amp; IFERROR(INDEX('SAÍDA DE VENDAS'!$H$6:$H$500 &amp; "x " &amp; 'SAÍDA DE VENDAS'!$G$6:$G$500, MATCH(B791, 'SAÍDA DE VENDAS'!$B$6:$B$500, 0)+1), ""), "")&amp; IF(COUNTIF('SAÍDA DE VENDAS'!$B$6:$B$500, B791)&gt;2, " + " &amp; IFERROR(INDEX('SAÍDA DE VENDAS'!$H$6:$H$500 &amp; "x " &amp; 'SAÍDA DE VENDAS'!$G$6:$G$500, MATCH(B791, 'SAÍDA DE VENDAS'!$B$6:$B$500, 0)+2), ""), "")&amp; IF(COUNTIF('SAÍDA DE VENDAS'!$B$6:$B$500, B791)&gt;3, " + " &amp; IFERROR(INDEX('SAÍDA DE VENDAS'!$H$6:$H$500 &amp; "x " &amp; 'SAÍDA DE VENDAS'!$G$6:$G$500, MATCH(B791, 'SAÍDA DE VENDAS'!$B$6:$B$500, 0)+3), ""), "")&amp; IF(COUNTIF('SAÍDA DE VENDAS'!$B$6:$B$500, B791)&gt;4, " + " &amp; IFERROR(INDEX('SAÍDA DE VENDAS'!$H$6:$H$500 &amp; "x " &amp; 'SAÍDA DE VENDAS'!$G$6:$G$500, MATCH(B791, 'SAÍDA DE VENDAS'!$B$6:$B$500, 0)+4), ""), "")&amp; IF(COUNTIF('SAÍDA DE VENDAS'!$B$6:$B$500, B791)&gt;5, " + " &amp; IFERROR(INDEX('SAÍDA DE VENDAS'!$H$6:$H$500 &amp; "x " &amp; 'SAÍDA DE VENDAS'!$G$6:$G$500, MATCH(B791, 'SAÍDA DE VENDAS'!$B$6:$B$500, 0)+5), ""), ""))</f>
        <v/>
      </c>
      <c r="G791" s="34">
        <f>IFERROR(VLOOKUP(B791,'SAÍDA DE VENDAS'!$B$6:$P$500,10,FALSE),"")</f>
        <v>0</v>
      </c>
      <c r="H791" s="34" t="str">
        <f>IF(OR(ISBLANK(B791),B791=""), "", IF(B791=B790, (VALUE(LEFT(H790,FIND("/",H790)-1))+1)&amp;"/"&amp;RIGHT(H790,LEN(H790)-FIND("/",H790)), "1/"&amp;IFERROR(VLOOKUP(B791,'SAÍDA DE VENDAS'!$B$6:$P$500,13,FALSE),"1")))</f>
        <v/>
      </c>
      <c r="I791" s="35" t="str">
        <f t="shared" si="24"/>
        <v/>
      </c>
      <c r="J791" s="39" t="str">
        <f>IFERROR(VLOOKUP(B791,'SAÍDA DE VENDAS'!$B$6:$P$500,15,FALSE),"")</f>
        <v/>
      </c>
      <c r="K791" s="34" t="str">
        <f t="shared" ca="1" si="25"/>
        <v/>
      </c>
      <c r="L791" s="34"/>
      <c r="M791" s="34"/>
    </row>
    <row r="792" spans="2:13" ht="15" customHeight="1" x14ac:dyDescent="0.3">
      <c r="B792" s="28" t="str">
        <f>IF(B791="","", IF(VALUE(LEFT(H791,FIND("/",H791)-1)) &lt; VALUE(RIGHT(H791,LEN(H791)-FIND("/",H791))), B791, IFERROR(INDEX('SAÍDA DE VENDAS'!$B$6:$B$500, MATCH(B791,'SAÍDA DE VENDAS'!$B$6:$B$500,0)+COUNTIF('SAÍDA DE VENDAS'!$B$6:$B$500, B791)),"")))</f>
        <v/>
      </c>
      <c r="C792" s="29">
        <f>IFERROR(VLOOKUP(B792,'SAÍDA DE VENDAS'!$B$6:$P$500,3,FALSE),"")</f>
        <v>0</v>
      </c>
      <c r="D792" s="28">
        <f>IFERROR(VLOOKUP(B792,'SAÍDA DE VENDAS'!$B$6:$P$500,4,FALSE),"")</f>
        <v>0</v>
      </c>
      <c r="E792" s="28" t="str">
        <f>IFERROR(VLOOKUP(B792,'SAÍDA DE VENDAS'!$B$6:$P$500,5,FALSE),"")</f>
        <v/>
      </c>
      <c r="F792" s="28" t="str">
        <f>IF(OR(ISBLANK(B792),B792=""), "", IFERROR(INDEX('SAÍDA DE VENDAS'!$H$6:$H$500 &amp; "x " &amp; 'SAÍDA DE VENDAS'!$G$6:$G$500, MATCH(B792, 'SAÍDA DE VENDAS'!$B$6:$B$500, 0)), "")&amp; IF(COUNTIF('SAÍDA DE VENDAS'!$B$6:$B$500, B792)&gt;1, " + " &amp; IFERROR(INDEX('SAÍDA DE VENDAS'!$H$6:$H$500 &amp; "x " &amp; 'SAÍDA DE VENDAS'!$G$6:$G$500, MATCH(B792, 'SAÍDA DE VENDAS'!$B$6:$B$500, 0)+1), ""), "")&amp; IF(COUNTIF('SAÍDA DE VENDAS'!$B$6:$B$500, B792)&gt;2, " + " &amp; IFERROR(INDEX('SAÍDA DE VENDAS'!$H$6:$H$500 &amp; "x " &amp; 'SAÍDA DE VENDAS'!$G$6:$G$500, MATCH(B792, 'SAÍDA DE VENDAS'!$B$6:$B$500, 0)+2), ""), "")&amp; IF(COUNTIF('SAÍDA DE VENDAS'!$B$6:$B$500, B792)&gt;3, " + " &amp; IFERROR(INDEX('SAÍDA DE VENDAS'!$H$6:$H$500 &amp; "x " &amp; 'SAÍDA DE VENDAS'!$G$6:$G$500, MATCH(B792, 'SAÍDA DE VENDAS'!$B$6:$B$500, 0)+3), ""), "")&amp; IF(COUNTIF('SAÍDA DE VENDAS'!$B$6:$B$500, B792)&gt;4, " + " &amp; IFERROR(INDEX('SAÍDA DE VENDAS'!$H$6:$H$500 &amp; "x " &amp; 'SAÍDA DE VENDAS'!$G$6:$G$500, MATCH(B792, 'SAÍDA DE VENDAS'!$B$6:$B$500, 0)+4), ""), "")&amp; IF(COUNTIF('SAÍDA DE VENDAS'!$B$6:$B$500, B792)&gt;5, " + " &amp; IFERROR(INDEX('SAÍDA DE VENDAS'!$H$6:$H$500 &amp; "x " &amp; 'SAÍDA DE VENDAS'!$G$6:$G$500, MATCH(B792, 'SAÍDA DE VENDAS'!$B$6:$B$500, 0)+5), ""), ""))</f>
        <v/>
      </c>
      <c r="G792" s="28">
        <f>IFERROR(VLOOKUP(B792,'SAÍDA DE VENDAS'!$B$6:$P$500,10,FALSE),"")</f>
        <v>0</v>
      </c>
      <c r="H792" s="28" t="str">
        <f>IF(OR(ISBLANK(B792),B792=""), "", IF(B792=B791, (VALUE(LEFT(H791,FIND("/",H791)-1))+1)&amp;"/"&amp;RIGHT(H791,LEN(H791)-FIND("/",H791)), "1/"&amp;IFERROR(VLOOKUP(B792,'SAÍDA DE VENDAS'!$B$6:$P$500,13,FALSE),"1")))</f>
        <v/>
      </c>
      <c r="I792" s="69" t="str">
        <f t="shared" si="24"/>
        <v/>
      </c>
      <c r="J792" s="33" t="str">
        <f>IFERROR(VLOOKUP(B792,'SAÍDA DE VENDAS'!$B$6:$P$500,15,FALSE),"")</f>
        <v/>
      </c>
      <c r="K792" s="28" t="str">
        <f t="shared" ca="1" si="25"/>
        <v/>
      </c>
      <c r="L792" s="28"/>
      <c r="M792" s="28"/>
    </row>
    <row r="793" spans="2:13" ht="15" customHeight="1" x14ac:dyDescent="0.3">
      <c r="B793" s="34" t="str">
        <f>IF(B792="","", IF(VALUE(LEFT(H792,FIND("/",H792)-1)) &lt; VALUE(RIGHT(H792,LEN(H792)-FIND("/",H792))), B792, IFERROR(INDEX('SAÍDA DE VENDAS'!$B$6:$B$500, MATCH(B792,'SAÍDA DE VENDAS'!$B$6:$B$500,0)+COUNTIF('SAÍDA DE VENDAS'!$B$6:$B$500, B792)),"")))</f>
        <v/>
      </c>
      <c r="C793" s="35">
        <f>IFERROR(VLOOKUP(B793,'SAÍDA DE VENDAS'!$B$6:$P$500,3,FALSE),"")</f>
        <v>0</v>
      </c>
      <c r="D793" s="34">
        <f>IFERROR(VLOOKUP(B793,'SAÍDA DE VENDAS'!$B$6:$P$500,4,FALSE),"")</f>
        <v>0</v>
      </c>
      <c r="E793" s="34" t="str">
        <f>IFERROR(VLOOKUP(B793,'SAÍDA DE VENDAS'!$B$6:$P$500,5,FALSE),"")</f>
        <v/>
      </c>
      <c r="F793" s="34" t="str">
        <f>IF(OR(ISBLANK(B793),B793=""), "", IFERROR(INDEX('SAÍDA DE VENDAS'!$H$6:$H$500 &amp; "x " &amp; 'SAÍDA DE VENDAS'!$G$6:$G$500, MATCH(B793, 'SAÍDA DE VENDAS'!$B$6:$B$500, 0)), "")&amp; IF(COUNTIF('SAÍDA DE VENDAS'!$B$6:$B$500, B793)&gt;1, " + " &amp; IFERROR(INDEX('SAÍDA DE VENDAS'!$H$6:$H$500 &amp; "x " &amp; 'SAÍDA DE VENDAS'!$G$6:$G$500, MATCH(B793, 'SAÍDA DE VENDAS'!$B$6:$B$500, 0)+1), ""), "")&amp; IF(COUNTIF('SAÍDA DE VENDAS'!$B$6:$B$500, B793)&gt;2, " + " &amp; IFERROR(INDEX('SAÍDA DE VENDAS'!$H$6:$H$500 &amp; "x " &amp; 'SAÍDA DE VENDAS'!$G$6:$G$500, MATCH(B793, 'SAÍDA DE VENDAS'!$B$6:$B$500, 0)+2), ""), "")&amp; IF(COUNTIF('SAÍDA DE VENDAS'!$B$6:$B$500, B793)&gt;3, " + " &amp; IFERROR(INDEX('SAÍDA DE VENDAS'!$H$6:$H$500 &amp; "x " &amp; 'SAÍDA DE VENDAS'!$G$6:$G$500, MATCH(B793, 'SAÍDA DE VENDAS'!$B$6:$B$500, 0)+3), ""), "")&amp; IF(COUNTIF('SAÍDA DE VENDAS'!$B$6:$B$500, B793)&gt;4, " + " &amp; IFERROR(INDEX('SAÍDA DE VENDAS'!$H$6:$H$500 &amp; "x " &amp; 'SAÍDA DE VENDAS'!$G$6:$G$500, MATCH(B793, 'SAÍDA DE VENDAS'!$B$6:$B$500, 0)+4), ""), "")&amp; IF(COUNTIF('SAÍDA DE VENDAS'!$B$6:$B$500, B793)&gt;5, " + " &amp; IFERROR(INDEX('SAÍDA DE VENDAS'!$H$6:$H$500 &amp; "x " &amp; 'SAÍDA DE VENDAS'!$G$6:$G$500, MATCH(B793, 'SAÍDA DE VENDAS'!$B$6:$B$500, 0)+5), ""), ""))</f>
        <v/>
      </c>
      <c r="G793" s="34">
        <f>IFERROR(VLOOKUP(B793,'SAÍDA DE VENDAS'!$B$6:$P$500,10,FALSE),"")</f>
        <v>0</v>
      </c>
      <c r="H793" s="34" t="str">
        <f>IF(OR(ISBLANK(B793),B793=""), "", IF(B793=B792, (VALUE(LEFT(H792,FIND("/",H792)-1))+1)&amp;"/"&amp;RIGHT(H792,LEN(H792)-FIND("/",H792)), "1/"&amp;IFERROR(VLOOKUP(B793,'SAÍDA DE VENDAS'!$B$6:$P$500,13,FALSE),"1")))</f>
        <v/>
      </c>
      <c r="I793" s="35" t="str">
        <f t="shared" si="24"/>
        <v/>
      </c>
      <c r="J793" s="39" t="str">
        <f>IFERROR(VLOOKUP(B793,'SAÍDA DE VENDAS'!$B$6:$P$500,15,FALSE),"")</f>
        <v/>
      </c>
      <c r="K793" s="34" t="str">
        <f t="shared" ca="1" si="25"/>
        <v/>
      </c>
      <c r="L793" s="34"/>
      <c r="M793" s="34"/>
    </row>
    <row r="794" spans="2:13" ht="15" customHeight="1" x14ac:dyDescent="0.3">
      <c r="B794" s="28" t="str">
        <f>IF(B793="","", IF(VALUE(LEFT(H793,FIND("/",H793)-1)) &lt; VALUE(RIGHT(H793,LEN(H793)-FIND("/",H793))), B793, IFERROR(INDEX('SAÍDA DE VENDAS'!$B$6:$B$500, MATCH(B793,'SAÍDA DE VENDAS'!$B$6:$B$500,0)+COUNTIF('SAÍDA DE VENDAS'!$B$6:$B$500, B793)),"")))</f>
        <v/>
      </c>
      <c r="C794" s="29">
        <f>IFERROR(VLOOKUP(B794,'SAÍDA DE VENDAS'!$B$6:$P$500,3,FALSE),"")</f>
        <v>0</v>
      </c>
      <c r="D794" s="28">
        <f>IFERROR(VLOOKUP(B794,'SAÍDA DE VENDAS'!$B$6:$P$500,4,FALSE),"")</f>
        <v>0</v>
      </c>
      <c r="E794" s="28" t="str">
        <f>IFERROR(VLOOKUP(B794,'SAÍDA DE VENDAS'!$B$6:$P$500,5,FALSE),"")</f>
        <v/>
      </c>
      <c r="F794" s="28" t="str">
        <f>IF(OR(ISBLANK(B794),B794=""), "", IFERROR(INDEX('SAÍDA DE VENDAS'!$H$6:$H$500 &amp; "x " &amp; 'SAÍDA DE VENDAS'!$G$6:$G$500, MATCH(B794, 'SAÍDA DE VENDAS'!$B$6:$B$500, 0)), "")&amp; IF(COUNTIF('SAÍDA DE VENDAS'!$B$6:$B$500, B794)&gt;1, " + " &amp; IFERROR(INDEX('SAÍDA DE VENDAS'!$H$6:$H$500 &amp; "x " &amp; 'SAÍDA DE VENDAS'!$G$6:$G$500, MATCH(B794, 'SAÍDA DE VENDAS'!$B$6:$B$500, 0)+1), ""), "")&amp; IF(COUNTIF('SAÍDA DE VENDAS'!$B$6:$B$500, B794)&gt;2, " + " &amp; IFERROR(INDEX('SAÍDA DE VENDAS'!$H$6:$H$500 &amp; "x " &amp; 'SAÍDA DE VENDAS'!$G$6:$G$500, MATCH(B794, 'SAÍDA DE VENDAS'!$B$6:$B$500, 0)+2), ""), "")&amp; IF(COUNTIF('SAÍDA DE VENDAS'!$B$6:$B$500, B794)&gt;3, " + " &amp; IFERROR(INDEX('SAÍDA DE VENDAS'!$H$6:$H$500 &amp; "x " &amp; 'SAÍDA DE VENDAS'!$G$6:$G$500, MATCH(B794, 'SAÍDA DE VENDAS'!$B$6:$B$500, 0)+3), ""), "")&amp; IF(COUNTIF('SAÍDA DE VENDAS'!$B$6:$B$500, B794)&gt;4, " + " &amp; IFERROR(INDEX('SAÍDA DE VENDAS'!$H$6:$H$500 &amp; "x " &amp; 'SAÍDA DE VENDAS'!$G$6:$G$500, MATCH(B794, 'SAÍDA DE VENDAS'!$B$6:$B$500, 0)+4), ""), "")&amp; IF(COUNTIF('SAÍDA DE VENDAS'!$B$6:$B$500, B794)&gt;5, " + " &amp; IFERROR(INDEX('SAÍDA DE VENDAS'!$H$6:$H$500 &amp; "x " &amp; 'SAÍDA DE VENDAS'!$G$6:$G$500, MATCH(B794, 'SAÍDA DE VENDAS'!$B$6:$B$500, 0)+5), ""), ""))</f>
        <v/>
      </c>
      <c r="G794" s="28">
        <f>IFERROR(VLOOKUP(B794,'SAÍDA DE VENDAS'!$B$6:$P$500,10,FALSE),"")</f>
        <v>0</v>
      </c>
      <c r="H794" s="28" t="str">
        <f>IF(OR(ISBLANK(B794),B794=""), "", IF(B794=B793, (VALUE(LEFT(H793,FIND("/",H793)-1))+1)&amp;"/"&amp;RIGHT(H793,LEN(H793)-FIND("/",H793)), "1/"&amp;IFERROR(VLOOKUP(B794,'SAÍDA DE VENDAS'!$B$6:$P$500,13,FALSE),"1")))</f>
        <v/>
      </c>
      <c r="I794" s="69" t="str">
        <f t="shared" si="24"/>
        <v/>
      </c>
      <c r="J794" s="33" t="str">
        <f>IFERROR(VLOOKUP(B794,'SAÍDA DE VENDAS'!$B$6:$P$500,15,FALSE),"")</f>
        <v/>
      </c>
      <c r="K794" s="28" t="str">
        <f t="shared" ca="1" si="25"/>
        <v/>
      </c>
      <c r="L794" s="28"/>
      <c r="M794" s="28"/>
    </row>
    <row r="795" spans="2:13" ht="15" customHeight="1" x14ac:dyDescent="0.3">
      <c r="B795" s="34" t="str">
        <f>IF(B794="","", IF(VALUE(LEFT(H794,FIND("/",H794)-1)) &lt; VALUE(RIGHT(H794,LEN(H794)-FIND("/",H794))), B794, IFERROR(INDEX('SAÍDA DE VENDAS'!$B$6:$B$500, MATCH(B794,'SAÍDA DE VENDAS'!$B$6:$B$500,0)+COUNTIF('SAÍDA DE VENDAS'!$B$6:$B$500, B794)),"")))</f>
        <v/>
      </c>
      <c r="C795" s="35">
        <f>IFERROR(VLOOKUP(B795,'SAÍDA DE VENDAS'!$B$6:$P$500,3,FALSE),"")</f>
        <v>0</v>
      </c>
      <c r="D795" s="34">
        <f>IFERROR(VLOOKUP(B795,'SAÍDA DE VENDAS'!$B$6:$P$500,4,FALSE),"")</f>
        <v>0</v>
      </c>
      <c r="E795" s="34" t="str">
        <f>IFERROR(VLOOKUP(B795,'SAÍDA DE VENDAS'!$B$6:$P$500,5,FALSE),"")</f>
        <v/>
      </c>
      <c r="F795" s="34" t="str">
        <f>IF(OR(ISBLANK(B795),B795=""), "", IFERROR(INDEX('SAÍDA DE VENDAS'!$H$6:$H$500 &amp; "x " &amp; 'SAÍDA DE VENDAS'!$G$6:$G$500, MATCH(B795, 'SAÍDA DE VENDAS'!$B$6:$B$500, 0)), "")&amp; IF(COUNTIF('SAÍDA DE VENDAS'!$B$6:$B$500, B795)&gt;1, " + " &amp; IFERROR(INDEX('SAÍDA DE VENDAS'!$H$6:$H$500 &amp; "x " &amp; 'SAÍDA DE VENDAS'!$G$6:$G$500, MATCH(B795, 'SAÍDA DE VENDAS'!$B$6:$B$500, 0)+1), ""), "")&amp; IF(COUNTIF('SAÍDA DE VENDAS'!$B$6:$B$500, B795)&gt;2, " + " &amp; IFERROR(INDEX('SAÍDA DE VENDAS'!$H$6:$H$500 &amp; "x " &amp; 'SAÍDA DE VENDAS'!$G$6:$G$500, MATCH(B795, 'SAÍDA DE VENDAS'!$B$6:$B$500, 0)+2), ""), "")&amp; IF(COUNTIF('SAÍDA DE VENDAS'!$B$6:$B$500, B795)&gt;3, " + " &amp; IFERROR(INDEX('SAÍDA DE VENDAS'!$H$6:$H$500 &amp; "x " &amp; 'SAÍDA DE VENDAS'!$G$6:$G$500, MATCH(B795, 'SAÍDA DE VENDAS'!$B$6:$B$500, 0)+3), ""), "")&amp; IF(COUNTIF('SAÍDA DE VENDAS'!$B$6:$B$500, B795)&gt;4, " + " &amp; IFERROR(INDEX('SAÍDA DE VENDAS'!$H$6:$H$500 &amp; "x " &amp; 'SAÍDA DE VENDAS'!$G$6:$G$500, MATCH(B795, 'SAÍDA DE VENDAS'!$B$6:$B$500, 0)+4), ""), "")&amp; IF(COUNTIF('SAÍDA DE VENDAS'!$B$6:$B$500, B795)&gt;5, " + " &amp; IFERROR(INDEX('SAÍDA DE VENDAS'!$H$6:$H$500 &amp; "x " &amp; 'SAÍDA DE VENDAS'!$G$6:$G$500, MATCH(B795, 'SAÍDA DE VENDAS'!$B$6:$B$500, 0)+5), ""), ""))</f>
        <v/>
      </c>
      <c r="G795" s="34">
        <f>IFERROR(VLOOKUP(B795,'SAÍDA DE VENDAS'!$B$6:$P$500,10,FALSE),"")</f>
        <v>0</v>
      </c>
      <c r="H795" s="34" t="str">
        <f>IF(OR(ISBLANK(B795),B795=""), "", IF(B795=B794, (VALUE(LEFT(H794,FIND("/",H794)-1))+1)&amp;"/"&amp;RIGHT(H794,LEN(H794)-FIND("/",H794)), "1/"&amp;IFERROR(VLOOKUP(B795,'SAÍDA DE VENDAS'!$B$6:$P$500,13,FALSE),"1")))</f>
        <v/>
      </c>
      <c r="I795" s="35" t="str">
        <f t="shared" si="24"/>
        <v/>
      </c>
      <c r="J795" s="39" t="str">
        <f>IFERROR(VLOOKUP(B795,'SAÍDA DE VENDAS'!$B$6:$P$500,15,FALSE),"")</f>
        <v/>
      </c>
      <c r="K795" s="34" t="str">
        <f t="shared" ca="1" si="25"/>
        <v/>
      </c>
      <c r="L795" s="34"/>
      <c r="M795" s="34"/>
    </row>
    <row r="796" spans="2:13" ht="15" customHeight="1" x14ac:dyDescent="0.3">
      <c r="B796" s="28" t="str">
        <f>IF(B795="","", IF(VALUE(LEFT(H795,FIND("/",H795)-1)) &lt; VALUE(RIGHT(H795,LEN(H795)-FIND("/",H795))), B795, IFERROR(INDEX('SAÍDA DE VENDAS'!$B$6:$B$500, MATCH(B795,'SAÍDA DE VENDAS'!$B$6:$B$500,0)+COUNTIF('SAÍDA DE VENDAS'!$B$6:$B$500, B795)),"")))</f>
        <v/>
      </c>
      <c r="C796" s="29">
        <f>IFERROR(VLOOKUP(B796,'SAÍDA DE VENDAS'!$B$6:$P$500,3,FALSE),"")</f>
        <v>0</v>
      </c>
      <c r="D796" s="28">
        <f>IFERROR(VLOOKUP(B796,'SAÍDA DE VENDAS'!$B$6:$P$500,4,FALSE),"")</f>
        <v>0</v>
      </c>
      <c r="E796" s="28" t="str">
        <f>IFERROR(VLOOKUP(B796,'SAÍDA DE VENDAS'!$B$6:$P$500,5,FALSE),"")</f>
        <v/>
      </c>
      <c r="F796" s="28" t="str">
        <f>IF(OR(ISBLANK(B796),B796=""), "", IFERROR(INDEX('SAÍDA DE VENDAS'!$H$6:$H$500 &amp; "x " &amp; 'SAÍDA DE VENDAS'!$G$6:$G$500, MATCH(B796, 'SAÍDA DE VENDAS'!$B$6:$B$500, 0)), "")&amp; IF(COUNTIF('SAÍDA DE VENDAS'!$B$6:$B$500, B796)&gt;1, " + " &amp; IFERROR(INDEX('SAÍDA DE VENDAS'!$H$6:$H$500 &amp; "x " &amp; 'SAÍDA DE VENDAS'!$G$6:$G$500, MATCH(B796, 'SAÍDA DE VENDAS'!$B$6:$B$500, 0)+1), ""), "")&amp; IF(COUNTIF('SAÍDA DE VENDAS'!$B$6:$B$500, B796)&gt;2, " + " &amp; IFERROR(INDEX('SAÍDA DE VENDAS'!$H$6:$H$500 &amp; "x " &amp; 'SAÍDA DE VENDAS'!$G$6:$G$500, MATCH(B796, 'SAÍDA DE VENDAS'!$B$6:$B$500, 0)+2), ""), "")&amp; IF(COUNTIF('SAÍDA DE VENDAS'!$B$6:$B$500, B796)&gt;3, " + " &amp; IFERROR(INDEX('SAÍDA DE VENDAS'!$H$6:$H$500 &amp; "x " &amp; 'SAÍDA DE VENDAS'!$G$6:$G$500, MATCH(B796, 'SAÍDA DE VENDAS'!$B$6:$B$500, 0)+3), ""), "")&amp; IF(COUNTIF('SAÍDA DE VENDAS'!$B$6:$B$500, B796)&gt;4, " + " &amp; IFERROR(INDEX('SAÍDA DE VENDAS'!$H$6:$H$500 &amp; "x " &amp; 'SAÍDA DE VENDAS'!$G$6:$G$500, MATCH(B796, 'SAÍDA DE VENDAS'!$B$6:$B$500, 0)+4), ""), "")&amp; IF(COUNTIF('SAÍDA DE VENDAS'!$B$6:$B$500, B796)&gt;5, " + " &amp; IFERROR(INDEX('SAÍDA DE VENDAS'!$H$6:$H$500 &amp; "x " &amp; 'SAÍDA DE VENDAS'!$G$6:$G$500, MATCH(B796, 'SAÍDA DE VENDAS'!$B$6:$B$500, 0)+5), ""), ""))</f>
        <v/>
      </c>
      <c r="G796" s="28">
        <f>IFERROR(VLOOKUP(B796,'SAÍDA DE VENDAS'!$B$6:$P$500,10,FALSE),"")</f>
        <v>0</v>
      </c>
      <c r="H796" s="28" t="str">
        <f>IF(OR(ISBLANK(B796),B796=""), "", IF(B796=B795, (VALUE(LEFT(H795,FIND("/",H795)-1))+1)&amp;"/"&amp;RIGHT(H795,LEN(H795)-FIND("/",H795)), "1/"&amp;IFERROR(VLOOKUP(B796,'SAÍDA DE VENDAS'!$B$6:$P$500,13,FALSE),"1")))</f>
        <v/>
      </c>
      <c r="I796" s="69" t="str">
        <f t="shared" si="24"/>
        <v/>
      </c>
      <c r="J796" s="33" t="str">
        <f>IFERROR(VLOOKUP(B796,'SAÍDA DE VENDAS'!$B$6:$P$500,15,FALSE),"")</f>
        <v/>
      </c>
      <c r="K796" s="28" t="str">
        <f t="shared" ca="1" si="25"/>
        <v/>
      </c>
      <c r="L796" s="28"/>
      <c r="M796" s="28"/>
    </row>
    <row r="797" spans="2:13" ht="15" customHeight="1" x14ac:dyDescent="0.3">
      <c r="B797" s="34" t="str">
        <f>IF(B796="","", IF(VALUE(LEFT(H796,FIND("/",H796)-1)) &lt; VALUE(RIGHT(H796,LEN(H796)-FIND("/",H796))), B796, IFERROR(INDEX('SAÍDA DE VENDAS'!$B$6:$B$500, MATCH(B796,'SAÍDA DE VENDAS'!$B$6:$B$500,0)+COUNTIF('SAÍDA DE VENDAS'!$B$6:$B$500, B796)),"")))</f>
        <v/>
      </c>
      <c r="C797" s="35">
        <f>IFERROR(VLOOKUP(B797,'SAÍDA DE VENDAS'!$B$6:$P$500,3,FALSE),"")</f>
        <v>0</v>
      </c>
      <c r="D797" s="34">
        <f>IFERROR(VLOOKUP(B797,'SAÍDA DE VENDAS'!$B$6:$P$500,4,FALSE),"")</f>
        <v>0</v>
      </c>
      <c r="E797" s="34" t="str">
        <f>IFERROR(VLOOKUP(B797,'SAÍDA DE VENDAS'!$B$6:$P$500,5,FALSE),"")</f>
        <v/>
      </c>
      <c r="F797" s="34" t="str">
        <f>IF(OR(ISBLANK(B797),B797=""), "", IFERROR(INDEX('SAÍDA DE VENDAS'!$H$6:$H$500 &amp; "x " &amp; 'SAÍDA DE VENDAS'!$G$6:$G$500, MATCH(B797, 'SAÍDA DE VENDAS'!$B$6:$B$500, 0)), "")&amp; IF(COUNTIF('SAÍDA DE VENDAS'!$B$6:$B$500, B797)&gt;1, " + " &amp; IFERROR(INDEX('SAÍDA DE VENDAS'!$H$6:$H$500 &amp; "x " &amp; 'SAÍDA DE VENDAS'!$G$6:$G$500, MATCH(B797, 'SAÍDA DE VENDAS'!$B$6:$B$500, 0)+1), ""), "")&amp; IF(COUNTIF('SAÍDA DE VENDAS'!$B$6:$B$500, B797)&gt;2, " + " &amp; IFERROR(INDEX('SAÍDA DE VENDAS'!$H$6:$H$500 &amp; "x " &amp; 'SAÍDA DE VENDAS'!$G$6:$G$500, MATCH(B797, 'SAÍDA DE VENDAS'!$B$6:$B$500, 0)+2), ""), "")&amp; IF(COUNTIF('SAÍDA DE VENDAS'!$B$6:$B$500, B797)&gt;3, " + " &amp; IFERROR(INDEX('SAÍDA DE VENDAS'!$H$6:$H$500 &amp; "x " &amp; 'SAÍDA DE VENDAS'!$G$6:$G$500, MATCH(B797, 'SAÍDA DE VENDAS'!$B$6:$B$500, 0)+3), ""), "")&amp; IF(COUNTIF('SAÍDA DE VENDAS'!$B$6:$B$500, B797)&gt;4, " + " &amp; IFERROR(INDEX('SAÍDA DE VENDAS'!$H$6:$H$500 &amp; "x " &amp; 'SAÍDA DE VENDAS'!$G$6:$G$500, MATCH(B797, 'SAÍDA DE VENDAS'!$B$6:$B$500, 0)+4), ""), "")&amp; IF(COUNTIF('SAÍDA DE VENDAS'!$B$6:$B$500, B797)&gt;5, " + " &amp; IFERROR(INDEX('SAÍDA DE VENDAS'!$H$6:$H$500 &amp; "x " &amp; 'SAÍDA DE VENDAS'!$G$6:$G$500, MATCH(B797, 'SAÍDA DE VENDAS'!$B$6:$B$500, 0)+5), ""), ""))</f>
        <v/>
      </c>
      <c r="G797" s="34">
        <f>IFERROR(VLOOKUP(B797,'SAÍDA DE VENDAS'!$B$6:$P$500,10,FALSE),"")</f>
        <v>0</v>
      </c>
      <c r="H797" s="34" t="str">
        <f>IF(OR(ISBLANK(B797),B797=""), "", IF(B797=B796, (VALUE(LEFT(H796,FIND("/",H796)-1))+1)&amp;"/"&amp;RIGHT(H796,LEN(H796)-FIND("/",H796)), "1/"&amp;IFERROR(VLOOKUP(B797,'SAÍDA DE VENDAS'!$B$6:$P$500,13,FALSE),"1")))</f>
        <v/>
      </c>
      <c r="I797" s="35" t="str">
        <f t="shared" si="24"/>
        <v/>
      </c>
      <c r="J797" s="39" t="str">
        <f>IFERROR(VLOOKUP(B797,'SAÍDA DE VENDAS'!$B$6:$P$500,15,FALSE),"")</f>
        <v/>
      </c>
      <c r="K797" s="34" t="str">
        <f t="shared" ca="1" si="25"/>
        <v/>
      </c>
      <c r="L797" s="34"/>
      <c r="M797" s="34"/>
    </row>
    <row r="798" spans="2:13" ht="15" customHeight="1" x14ac:dyDescent="0.3">
      <c r="B798" s="28" t="str">
        <f>IF(B797="","", IF(VALUE(LEFT(H797,FIND("/",H797)-1)) &lt; VALUE(RIGHT(H797,LEN(H797)-FIND("/",H797))), B797, IFERROR(INDEX('SAÍDA DE VENDAS'!$B$6:$B$500, MATCH(B797,'SAÍDA DE VENDAS'!$B$6:$B$500,0)+COUNTIF('SAÍDA DE VENDAS'!$B$6:$B$500, B797)),"")))</f>
        <v/>
      </c>
      <c r="C798" s="29">
        <f>IFERROR(VLOOKUP(B798,'SAÍDA DE VENDAS'!$B$6:$P$500,3,FALSE),"")</f>
        <v>0</v>
      </c>
      <c r="D798" s="28">
        <f>IFERROR(VLOOKUP(B798,'SAÍDA DE VENDAS'!$B$6:$P$500,4,FALSE),"")</f>
        <v>0</v>
      </c>
      <c r="E798" s="28" t="str">
        <f>IFERROR(VLOOKUP(B798,'SAÍDA DE VENDAS'!$B$6:$P$500,5,FALSE),"")</f>
        <v/>
      </c>
      <c r="F798" s="28" t="str">
        <f>IF(OR(ISBLANK(B798),B798=""), "", IFERROR(INDEX('SAÍDA DE VENDAS'!$H$6:$H$500 &amp; "x " &amp; 'SAÍDA DE VENDAS'!$G$6:$G$500, MATCH(B798, 'SAÍDA DE VENDAS'!$B$6:$B$500, 0)), "")&amp; IF(COUNTIF('SAÍDA DE VENDAS'!$B$6:$B$500, B798)&gt;1, " + " &amp; IFERROR(INDEX('SAÍDA DE VENDAS'!$H$6:$H$500 &amp; "x " &amp; 'SAÍDA DE VENDAS'!$G$6:$G$500, MATCH(B798, 'SAÍDA DE VENDAS'!$B$6:$B$500, 0)+1), ""), "")&amp; IF(COUNTIF('SAÍDA DE VENDAS'!$B$6:$B$500, B798)&gt;2, " + " &amp; IFERROR(INDEX('SAÍDA DE VENDAS'!$H$6:$H$500 &amp; "x " &amp; 'SAÍDA DE VENDAS'!$G$6:$G$500, MATCH(B798, 'SAÍDA DE VENDAS'!$B$6:$B$500, 0)+2), ""), "")&amp; IF(COUNTIF('SAÍDA DE VENDAS'!$B$6:$B$500, B798)&gt;3, " + " &amp; IFERROR(INDEX('SAÍDA DE VENDAS'!$H$6:$H$500 &amp; "x " &amp; 'SAÍDA DE VENDAS'!$G$6:$G$500, MATCH(B798, 'SAÍDA DE VENDAS'!$B$6:$B$500, 0)+3), ""), "")&amp; IF(COUNTIF('SAÍDA DE VENDAS'!$B$6:$B$500, B798)&gt;4, " + " &amp; IFERROR(INDEX('SAÍDA DE VENDAS'!$H$6:$H$500 &amp; "x " &amp; 'SAÍDA DE VENDAS'!$G$6:$G$500, MATCH(B798, 'SAÍDA DE VENDAS'!$B$6:$B$500, 0)+4), ""), "")&amp; IF(COUNTIF('SAÍDA DE VENDAS'!$B$6:$B$500, B798)&gt;5, " + " &amp; IFERROR(INDEX('SAÍDA DE VENDAS'!$H$6:$H$500 &amp; "x " &amp; 'SAÍDA DE VENDAS'!$G$6:$G$500, MATCH(B798, 'SAÍDA DE VENDAS'!$B$6:$B$500, 0)+5), ""), ""))</f>
        <v/>
      </c>
      <c r="G798" s="28">
        <f>IFERROR(VLOOKUP(B798,'SAÍDA DE VENDAS'!$B$6:$P$500,10,FALSE),"")</f>
        <v>0</v>
      </c>
      <c r="H798" s="28" t="str">
        <f>IF(OR(ISBLANK(B798),B798=""), "", IF(B798=B797, (VALUE(LEFT(H797,FIND("/",H797)-1))+1)&amp;"/"&amp;RIGHT(H797,LEN(H797)-FIND("/",H797)), "1/"&amp;IFERROR(VLOOKUP(B798,'SAÍDA DE VENDAS'!$B$6:$P$500,13,FALSE),"1")))</f>
        <v/>
      </c>
      <c r="I798" s="69" t="str">
        <f t="shared" si="24"/>
        <v/>
      </c>
      <c r="J798" s="33" t="str">
        <f>IFERROR(VLOOKUP(B798,'SAÍDA DE VENDAS'!$B$6:$P$500,15,FALSE),"")</f>
        <v/>
      </c>
      <c r="K798" s="28" t="str">
        <f t="shared" ca="1" si="25"/>
        <v/>
      </c>
      <c r="L798" s="28"/>
      <c r="M798" s="28"/>
    </row>
    <row r="799" spans="2:13" ht="15" customHeight="1" x14ac:dyDescent="0.3">
      <c r="B799" s="34" t="str">
        <f>IF(B798="","", IF(VALUE(LEFT(H798,FIND("/",H798)-1)) &lt; VALUE(RIGHT(H798,LEN(H798)-FIND("/",H798))), B798, IFERROR(INDEX('SAÍDA DE VENDAS'!$B$6:$B$500, MATCH(B798,'SAÍDA DE VENDAS'!$B$6:$B$500,0)+COUNTIF('SAÍDA DE VENDAS'!$B$6:$B$500, B798)),"")))</f>
        <v/>
      </c>
      <c r="C799" s="35">
        <f>IFERROR(VLOOKUP(B799,'SAÍDA DE VENDAS'!$B$6:$P$500,3,FALSE),"")</f>
        <v>0</v>
      </c>
      <c r="D799" s="34">
        <f>IFERROR(VLOOKUP(B799,'SAÍDA DE VENDAS'!$B$6:$P$500,4,FALSE),"")</f>
        <v>0</v>
      </c>
      <c r="E799" s="34" t="str">
        <f>IFERROR(VLOOKUP(B799,'SAÍDA DE VENDAS'!$B$6:$P$500,5,FALSE),"")</f>
        <v/>
      </c>
      <c r="F799" s="34" t="str">
        <f>IF(OR(ISBLANK(B799),B799=""), "", IFERROR(INDEX('SAÍDA DE VENDAS'!$H$6:$H$500 &amp; "x " &amp; 'SAÍDA DE VENDAS'!$G$6:$G$500, MATCH(B799, 'SAÍDA DE VENDAS'!$B$6:$B$500, 0)), "")&amp; IF(COUNTIF('SAÍDA DE VENDAS'!$B$6:$B$500, B799)&gt;1, " + " &amp; IFERROR(INDEX('SAÍDA DE VENDAS'!$H$6:$H$500 &amp; "x " &amp; 'SAÍDA DE VENDAS'!$G$6:$G$500, MATCH(B799, 'SAÍDA DE VENDAS'!$B$6:$B$500, 0)+1), ""), "")&amp; IF(COUNTIF('SAÍDA DE VENDAS'!$B$6:$B$500, B799)&gt;2, " + " &amp; IFERROR(INDEX('SAÍDA DE VENDAS'!$H$6:$H$500 &amp; "x " &amp; 'SAÍDA DE VENDAS'!$G$6:$G$500, MATCH(B799, 'SAÍDA DE VENDAS'!$B$6:$B$500, 0)+2), ""), "")&amp; IF(COUNTIF('SAÍDA DE VENDAS'!$B$6:$B$500, B799)&gt;3, " + " &amp; IFERROR(INDEX('SAÍDA DE VENDAS'!$H$6:$H$500 &amp; "x " &amp; 'SAÍDA DE VENDAS'!$G$6:$G$500, MATCH(B799, 'SAÍDA DE VENDAS'!$B$6:$B$500, 0)+3), ""), "")&amp; IF(COUNTIF('SAÍDA DE VENDAS'!$B$6:$B$500, B799)&gt;4, " + " &amp; IFERROR(INDEX('SAÍDA DE VENDAS'!$H$6:$H$500 &amp; "x " &amp; 'SAÍDA DE VENDAS'!$G$6:$G$500, MATCH(B799, 'SAÍDA DE VENDAS'!$B$6:$B$500, 0)+4), ""), "")&amp; IF(COUNTIF('SAÍDA DE VENDAS'!$B$6:$B$500, B799)&gt;5, " + " &amp; IFERROR(INDEX('SAÍDA DE VENDAS'!$H$6:$H$500 &amp; "x " &amp; 'SAÍDA DE VENDAS'!$G$6:$G$500, MATCH(B799, 'SAÍDA DE VENDAS'!$B$6:$B$500, 0)+5), ""), ""))</f>
        <v/>
      </c>
      <c r="G799" s="34">
        <f>IFERROR(VLOOKUP(B799,'SAÍDA DE VENDAS'!$B$6:$P$500,10,FALSE),"")</f>
        <v>0</v>
      </c>
      <c r="H799" s="34" t="str">
        <f>IF(OR(ISBLANK(B799),B799=""), "", IF(B799=B798, (VALUE(LEFT(H798,FIND("/",H798)-1))+1)&amp;"/"&amp;RIGHT(H798,LEN(H798)-FIND("/",H798)), "1/"&amp;IFERROR(VLOOKUP(B799,'SAÍDA DE VENDAS'!$B$6:$P$500,13,FALSE),"1")))</f>
        <v/>
      </c>
      <c r="I799" s="35" t="str">
        <f t="shared" si="24"/>
        <v/>
      </c>
      <c r="J799" s="39" t="str">
        <f>IFERROR(VLOOKUP(B799,'SAÍDA DE VENDAS'!$B$6:$P$500,15,FALSE),"")</f>
        <v/>
      </c>
      <c r="K799" s="34" t="str">
        <f t="shared" ca="1" si="25"/>
        <v/>
      </c>
      <c r="L799" s="34"/>
      <c r="M799" s="34"/>
    </row>
    <row r="800" spans="2:13" ht="15" customHeight="1" x14ac:dyDescent="0.3">
      <c r="B800" s="28" t="str">
        <f>IF(B799="","", IF(VALUE(LEFT(H799,FIND("/",H799)-1)) &lt; VALUE(RIGHT(H799,LEN(H799)-FIND("/",H799))), B799, IFERROR(INDEX('SAÍDA DE VENDAS'!$B$6:$B$500, MATCH(B799,'SAÍDA DE VENDAS'!$B$6:$B$500,0)+COUNTIF('SAÍDA DE VENDAS'!$B$6:$B$500, B799)),"")))</f>
        <v/>
      </c>
      <c r="C800" s="29">
        <f>IFERROR(VLOOKUP(B800,'SAÍDA DE VENDAS'!$B$6:$P$500,3,FALSE),"")</f>
        <v>0</v>
      </c>
      <c r="D800" s="28">
        <f>IFERROR(VLOOKUP(B800,'SAÍDA DE VENDAS'!$B$6:$P$500,4,FALSE),"")</f>
        <v>0</v>
      </c>
      <c r="E800" s="28" t="str">
        <f>IFERROR(VLOOKUP(B800,'SAÍDA DE VENDAS'!$B$6:$P$500,5,FALSE),"")</f>
        <v/>
      </c>
      <c r="F800" s="28" t="str">
        <f>IF(OR(ISBLANK(B800),B800=""), "", IFERROR(INDEX('SAÍDA DE VENDAS'!$H$6:$H$500 &amp; "x " &amp; 'SAÍDA DE VENDAS'!$G$6:$G$500, MATCH(B800, 'SAÍDA DE VENDAS'!$B$6:$B$500, 0)), "")&amp; IF(COUNTIF('SAÍDA DE VENDAS'!$B$6:$B$500, B800)&gt;1, " + " &amp; IFERROR(INDEX('SAÍDA DE VENDAS'!$H$6:$H$500 &amp; "x " &amp; 'SAÍDA DE VENDAS'!$G$6:$G$500, MATCH(B800, 'SAÍDA DE VENDAS'!$B$6:$B$500, 0)+1), ""), "")&amp; IF(COUNTIF('SAÍDA DE VENDAS'!$B$6:$B$500, B800)&gt;2, " + " &amp; IFERROR(INDEX('SAÍDA DE VENDAS'!$H$6:$H$500 &amp; "x " &amp; 'SAÍDA DE VENDAS'!$G$6:$G$500, MATCH(B800, 'SAÍDA DE VENDAS'!$B$6:$B$500, 0)+2), ""), "")&amp; IF(COUNTIF('SAÍDA DE VENDAS'!$B$6:$B$500, B800)&gt;3, " + " &amp; IFERROR(INDEX('SAÍDA DE VENDAS'!$H$6:$H$500 &amp; "x " &amp; 'SAÍDA DE VENDAS'!$G$6:$G$500, MATCH(B800, 'SAÍDA DE VENDAS'!$B$6:$B$500, 0)+3), ""), "")&amp; IF(COUNTIF('SAÍDA DE VENDAS'!$B$6:$B$500, B800)&gt;4, " + " &amp; IFERROR(INDEX('SAÍDA DE VENDAS'!$H$6:$H$500 &amp; "x " &amp; 'SAÍDA DE VENDAS'!$G$6:$G$500, MATCH(B800, 'SAÍDA DE VENDAS'!$B$6:$B$500, 0)+4), ""), "")&amp; IF(COUNTIF('SAÍDA DE VENDAS'!$B$6:$B$500, B800)&gt;5, " + " &amp; IFERROR(INDEX('SAÍDA DE VENDAS'!$H$6:$H$500 &amp; "x " &amp; 'SAÍDA DE VENDAS'!$G$6:$G$500, MATCH(B800, 'SAÍDA DE VENDAS'!$B$6:$B$500, 0)+5), ""), ""))</f>
        <v/>
      </c>
      <c r="G800" s="28">
        <f>IFERROR(VLOOKUP(B800,'SAÍDA DE VENDAS'!$B$6:$P$500,10,FALSE),"")</f>
        <v>0</v>
      </c>
      <c r="H800" s="28" t="str">
        <f>IF(OR(ISBLANK(B800),B800=""), "", IF(B800=B799, (VALUE(LEFT(H799,FIND("/",H799)-1))+1)&amp;"/"&amp;RIGHT(H799,LEN(H799)-FIND("/",H799)), "1/"&amp;IFERROR(VLOOKUP(B800,'SAÍDA DE VENDAS'!$B$6:$P$500,13,FALSE),"1")))</f>
        <v/>
      </c>
      <c r="I800" s="69" t="str">
        <f t="shared" si="24"/>
        <v/>
      </c>
      <c r="J800" s="33" t="str">
        <f>IFERROR(VLOOKUP(B800,'SAÍDA DE VENDAS'!$B$6:$P$500,15,FALSE),"")</f>
        <v/>
      </c>
      <c r="K800" s="28" t="str">
        <f t="shared" ca="1" si="25"/>
        <v/>
      </c>
      <c r="L800" s="28"/>
      <c r="M800" s="28"/>
    </row>
    <row r="801" spans="2:13" ht="15" customHeight="1" x14ac:dyDescent="0.3">
      <c r="B801" s="34" t="str">
        <f>IF(B800="","", IF(VALUE(LEFT(H800,FIND("/",H800)-1)) &lt; VALUE(RIGHT(H800,LEN(H800)-FIND("/",H800))), B800, IFERROR(INDEX('SAÍDA DE VENDAS'!$B$6:$B$500, MATCH(B800,'SAÍDA DE VENDAS'!$B$6:$B$500,0)+COUNTIF('SAÍDA DE VENDAS'!$B$6:$B$500, B800)),"")))</f>
        <v/>
      </c>
      <c r="C801" s="35">
        <f>IFERROR(VLOOKUP(B801,'SAÍDA DE VENDAS'!$B$6:$P$500,3,FALSE),"")</f>
        <v>0</v>
      </c>
      <c r="D801" s="34">
        <f>IFERROR(VLOOKUP(B801,'SAÍDA DE VENDAS'!$B$6:$P$500,4,FALSE),"")</f>
        <v>0</v>
      </c>
      <c r="E801" s="34" t="str">
        <f>IFERROR(VLOOKUP(B801,'SAÍDA DE VENDAS'!$B$6:$P$500,5,FALSE),"")</f>
        <v/>
      </c>
      <c r="F801" s="34" t="str">
        <f>IF(OR(ISBLANK(B801),B801=""), "", IFERROR(INDEX('SAÍDA DE VENDAS'!$H$6:$H$500 &amp; "x " &amp; 'SAÍDA DE VENDAS'!$G$6:$G$500, MATCH(B801, 'SAÍDA DE VENDAS'!$B$6:$B$500, 0)), "")&amp; IF(COUNTIF('SAÍDA DE VENDAS'!$B$6:$B$500, B801)&gt;1, " + " &amp; IFERROR(INDEX('SAÍDA DE VENDAS'!$H$6:$H$500 &amp; "x " &amp; 'SAÍDA DE VENDAS'!$G$6:$G$500, MATCH(B801, 'SAÍDA DE VENDAS'!$B$6:$B$500, 0)+1), ""), "")&amp; IF(COUNTIF('SAÍDA DE VENDAS'!$B$6:$B$500, B801)&gt;2, " + " &amp; IFERROR(INDEX('SAÍDA DE VENDAS'!$H$6:$H$500 &amp; "x " &amp; 'SAÍDA DE VENDAS'!$G$6:$G$500, MATCH(B801, 'SAÍDA DE VENDAS'!$B$6:$B$500, 0)+2), ""), "")&amp; IF(COUNTIF('SAÍDA DE VENDAS'!$B$6:$B$500, B801)&gt;3, " + " &amp; IFERROR(INDEX('SAÍDA DE VENDAS'!$H$6:$H$500 &amp; "x " &amp; 'SAÍDA DE VENDAS'!$G$6:$G$500, MATCH(B801, 'SAÍDA DE VENDAS'!$B$6:$B$500, 0)+3), ""), "")&amp; IF(COUNTIF('SAÍDA DE VENDAS'!$B$6:$B$500, B801)&gt;4, " + " &amp; IFERROR(INDEX('SAÍDA DE VENDAS'!$H$6:$H$500 &amp; "x " &amp; 'SAÍDA DE VENDAS'!$G$6:$G$500, MATCH(B801, 'SAÍDA DE VENDAS'!$B$6:$B$500, 0)+4), ""), "")&amp; IF(COUNTIF('SAÍDA DE VENDAS'!$B$6:$B$500, B801)&gt;5, " + " &amp; IFERROR(INDEX('SAÍDA DE VENDAS'!$H$6:$H$500 &amp; "x " &amp; 'SAÍDA DE VENDAS'!$G$6:$G$500, MATCH(B801, 'SAÍDA DE VENDAS'!$B$6:$B$500, 0)+5), ""), ""))</f>
        <v/>
      </c>
      <c r="G801" s="34">
        <f>IFERROR(VLOOKUP(B801,'SAÍDA DE VENDAS'!$B$6:$P$500,10,FALSE),"")</f>
        <v>0</v>
      </c>
      <c r="H801" s="34" t="str">
        <f>IF(OR(ISBLANK(B801),B801=""), "", IF(B801=B800, (VALUE(LEFT(H800,FIND("/",H800)-1))+1)&amp;"/"&amp;RIGHT(H800,LEN(H800)-FIND("/",H800)), "1/"&amp;IFERROR(VLOOKUP(B801,'SAÍDA DE VENDAS'!$B$6:$P$500,13,FALSE),"1")))</f>
        <v/>
      </c>
      <c r="I801" s="35" t="str">
        <f t="shared" si="24"/>
        <v/>
      </c>
      <c r="J801" s="39" t="str">
        <f>IFERROR(VLOOKUP(B801,'SAÍDA DE VENDAS'!$B$6:$P$500,15,FALSE),"")</f>
        <v/>
      </c>
      <c r="K801" s="34" t="str">
        <f t="shared" ca="1" si="25"/>
        <v/>
      </c>
      <c r="L801" s="34"/>
      <c r="M801" s="34"/>
    </row>
    <row r="802" spans="2:13" ht="15" customHeight="1" x14ac:dyDescent="0.3">
      <c r="B802" s="28" t="str">
        <f>IF(B801="","", IF(VALUE(LEFT(H801,FIND("/",H801)-1)) &lt; VALUE(RIGHT(H801,LEN(H801)-FIND("/",H801))), B801, IFERROR(INDEX('SAÍDA DE VENDAS'!$B$6:$B$500, MATCH(B801,'SAÍDA DE VENDAS'!$B$6:$B$500,0)+COUNTIF('SAÍDA DE VENDAS'!$B$6:$B$500, B801)),"")))</f>
        <v/>
      </c>
      <c r="C802" s="29">
        <f>IFERROR(VLOOKUP(B802,'SAÍDA DE VENDAS'!$B$6:$P$500,3,FALSE),"")</f>
        <v>0</v>
      </c>
      <c r="D802" s="28">
        <f>IFERROR(VLOOKUP(B802,'SAÍDA DE VENDAS'!$B$6:$P$500,4,FALSE),"")</f>
        <v>0</v>
      </c>
      <c r="E802" s="28" t="str">
        <f>IFERROR(VLOOKUP(B802,'SAÍDA DE VENDAS'!$B$6:$P$500,5,FALSE),"")</f>
        <v/>
      </c>
      <c r="F802" s="28" t="str">
        <f>IF(OR(ISBLANK(B802),B802=""), "", IFERROR(INDEX('SAÍDA DE VENDAS'!$H$6:$H$500 &amp; "x " &amp; 'SAÍDA DE VENDAS'!$G$6:$G$500, MATCH(B802, 'SAÍDA DE VENDAS'!$B$6:$B$500, 0)), "")&amp; IF(COUNTIF('SAÍDA DE VENDAS'!$B$6:$B$500, B802)&gt;1, " + " &amp; IFERROR(INDEX('SAÍDA DE VENDAS'!$H$6:$H$500 &amp; "x " &amp; 'SAÍDA DE VENDAS'!$G$6:$G$500, MATCH(B802, 'SAÍDA DE VENDAS'!$B$6:$B$500, 0)+1), ""), "")&amp; IF(COUNTIF('SAÍDA DE VENDAS'!$B$6:$B$500, B802)&gt;2, " + " &amp; IFERROR(INDEX('SAÍDA DE VENDAS'!$H$6:$H$500 &amp; "x " &amp; 'SAÍDA DE VENDAS'!$G$6:$G$500, MATCH(B802, 'SAÍDA DE VENDAS'!$B$6:$B$500, 0)+2), ""), "")&amp; IF(COUNTIF('SAÍDA DE VENDAS'!$B$6:$B$500, B802)&gt;3, " + " &amp; IFERROR(INDEX('SAÍDA DE VENDAS'!$H$6:$H$500 &amp; "x " &amp; 'SAÍDA DE VENDAS'!$G$6:$G$500, MATCH(B802, 'SAÍDA DE VENDAS'!$B$6:$B$500, 0)+3), ""), "")&amp; IF(COUNTIF('SAÍDA DE VENDAS'!$B$6:$B$500, B802)&gt;4, " + " &amp; IFERROR(INDEX('SAÍDA DE VENDAS'!$H$6:$H$500 &amp; "x " &amp; 'SAÍDA DE VENDAS'!$G$6:$G$500, MATCH(B802, 'SAÍDA DE VENDAS'!$B$6:$B$500, 0)+4), ""), "")&amp; IF(COUNTIF('SAÍDA DE VENDAS'!$B$6:$B$500, B802)&gt;5, " + " &amp; IFERROR(INDEX('SAÍDA DE VENDAS'!$H$6:$H$500 &amp; "x " &amp; 'SAÍDA DE VENDAS'!$G$6:$G$500, MATCH(B802, 'SAÍDA DE VENDAS'!$B$6:$B$500, 0)+5), ""), ""))</f>
        <v/>
      </c>
      <c r="G802" s="28">
        <f>IFERROR(VLOOKUP(B802,'SAÍDA DE VENDAS'!$B$6:$P$500,10,FALSE),"")</f>
        <v>0</v>
      </c>
      <c r="H802" s="28" t="str">
        <f>IF(OR(ISBLANK(B802),B802=""), "", IF(B802=B801, (VALUE(LEFT(H801,FIND("/",H801)-1))+1)&amp;"/"&amp;RIGHT(H801,LEN(H801)-FIND("/",H801)), "1/"&amp;IFERROR(VLOOKUP(B802,'SAÍDA DE VENDAS'!$B$6:$P$500,13,FALSE),"1")))</f>
        <v/>
      </c>
      <c r="I802" s="69" t="str">
        <f t="shared" si="24"/>
        <v/>
      </c>
      <c r="J802" s="33" t="str">
        <f>IFERROR(VLOOKUP(B802,'SAÍDA DE VENDAS'!$B$6:$P$500,15,FALSE),"")</f>
        <v/>
      </c>
      <c r="K802" s="28" t="str">
        <f t="shared" ca="1" si="25"/>
        <v/>
      </c>
      <c r="L802" s="28"/>
      <c r="M802" s="28"/>
    </row>
    <row r="803" spans="2:13" ht="15" customHeight="1" x14ac:dyDescent="0.3">
      <c r="B803" s="34" t="str">
        <f>IF(B802="","", IF(VALUE(LEFT(H802,FIND("/",H802)-1)) &lt; VALUE(RIGHT(H802,LEN(H802)-FIND("/",H802))), B802, IFERROR(INDEX('SAÍDA DE VENDAS'!$B$6:$B$500, MATCH(B802,'SAÍDA DE VENDAS'!$B$6:$B$500,0)+COUNTIF('SAÍDA DE VENDAS'!$B$6:$B$500, B802)),"")))</f>
        <v/>
      </c>
      <c r="C803" s="35">
        <f>IFERROR(VLOOKUP(B803,'SAÍDA DE VENDAS'!$B$6:$P$500,3,FALSE),"")</f>
        <v>0</v>
      </c>
      <c r="D803" s="34">
        <f>IFERROR(VLOOKUP(B803,'SAÍDA DE VENDAS'!$B$6:$P$500,4,FALSE),"")</f>
        <v>0</v>
      </c>
      <c r="E803" s="34" t="str">
        <f>IFERROR(VLOOKUP(B803,'SAÍDA DE VENDAS'!$B$6:$P$500,5,FALSE),"")</f>
        <v/>
      </c>
      <c r="F803" s="34" t="str">
        <f>IF(OR(ISBLANK(B803),B803=""), "", IFERROR(INDEX('SAÍDA DE VENDAS'!$H$6:$H$500 &amp; "x " &amp; 'SAÍDA DE VENDAS'!$G$6:$G$500, MATCH(B803, 'SAÍDA DE VENDAS'!$B$6:$B$500, 0)), "")&amp; IF(COUNTIF('SAÍDA DE VENDAS'!$B$6:$B$500, B803)&gt;1, " + " &amp; IFERROR(INDEX('SAÍDA DE VENDAS'!$H$6:$H$500 &amp; "x " &amp; 'SAÍDA DE VENDAS'!$G$6:$G$500, MATCH(B803, 'SAÍDA DE VENDAS'!$B$6:$B$500, 0)+1), ""), "")&amp; IF(COUNTIF('SAÍDA DE VENDAS'!$B$6:$B$500, B803)&gt;2, " + " &amp; IFERROR(INDEX('SAÍDA DE VENDAS'!$H$6:$H$500 &amp; "x " &amp; 'SAÍDA DE VENDAS'!$G$6:$G$500, MATCH(B803, 'SAÍDA DE VENDAS'!$B$6:$B$500, 0)+2), ""), "")&amp; IF(COUNTIF('SAÍDA DE VENDAS'!$B$6:$B$500, B803)&gt;3, " + " &amp; IFERROR(INDEX('SAÍDA DE VENDAS'!$H$6:$H$500 &amp; "x " &amp; 'SAÍDA DE VENDAS'!$G$6:$G$500, MATCH(B803, 'SAÍDA DE VENDAS'!$B$6:$B$500, 0)+3), ""), "")&amp; IF(COUNTIF('SAÍDA DE VENDAS'!$B$6:$B$500, B803)&gt;4, " + " &amp; IFERROR(INDEX('SAÍDA DE VENDAS'!$H$6:$H$500 &amp; "x " &amp; 'SAÍDA DE VENDAS'!$G$6:$G$500, MATCH(B803, 'SAÍDA DE VENDAS'!$B$6:$B$500, 0)+4), ""), "")&amp; IF(COUNTIF('SAÍDA DE VENDAS'!$B$6:$B$500, B803)&gt;5, " + " &amp; IFERROR(INDEX('SAÍDA DE VENDAS'!$H$6:$H$500 &amp; "x " &amp; 'SAÍDA DE VENDAS'!$G$6:$G$500, MATCH(B803, 'SAÍDA DE VENDAS'!$B$6:$B$500, 0)+5), ""), ""))</f>
        <v/>
      </c>
      <c r="G803" s="34">
        <f>IFERROR(VLOOKUP(B803,'SAÍDA DE VENDAS'!$B$6:$P$500,10,FALSE),"")</f>
        <v>0</v>
      </c>
      <c r="H803" s="34" t="str">
        <f>IF(OR(ISBLANK(B803),B803=""), "", IF(B803=B802, (VALUE(LEFT(H802,FIND("/",H802)-1))+1)&amp;"/"&amp;RIGHT(H802,LEN(H802)-FIND("/",H802)), "1/"&amp;IFERROR(VLOOKUP(B803,'SAÍDA DE VENDAS'!$B$6:$P$500,13,FALSE),"1")))</f>
        <v/>
      </c>
      <c r="I803" s="35" t="str">
        <f t="shared" si="24"/>
        <v/>
      </c>
      <c r="J803" s="39" t="str">
        <f>IFERROR(VLOOKUP(B803,'SAÍDA DE VENDAS'!$B$6:$P$500,15,FALSE),"")</f>
        <v/>
      </c>
      <c r="K803" s="34" t="str">
        <f t="shared" ca="1" si="25"/>
        <v/>
      </c>
      <c r="L803" s="34"/>
      <c r="M803" s="34"/>
    </row>
    <row r="804" spans="2:13" ht="15" customHeight="1" x14ac:dyDescent="0.3">
      <c r="B804" s="28" t="str">
        <f>IF(B803="","", IF(VALUE(LEFT(H803,FIND("/",H803)-1)) &lt; VALUE(RIGHT(H803,LEN(H803)-FIND("/",H803))), B803, IFERROR(INDEX('SAÍDA DE VENDAS'!$B$6:$B$500, MATCH(B803,'SAÍDA DE VENDAS'!$B$6:$B$500,0)+COUNTIF('SAÍDA DE VENDAS'!$B$6:$B$500, B803)),"")))</f>
        <v/>
      </c>
      <c r="C804" s="29">
        <f>IFERROR(VLOOKUP(B804,'SAÍDA DE VENDAS'!$B$6:$P$500,3,FALSE),"")</f>
        <v>0</v>
      </c>
      <c r="D804" s="28">
        <f>IFERROR(VLOOKUP(B804,'SAÍDA DE VENDAS'!$B$6:$P$500,4,FALSE),"")</f>
        <v>0</v>
      </c>
      <c r="E804" s="28" t="str">
        <f>IFERROR(VLOOKUP(B804,'SAÍDA DE VENDAS'!$B$6:$P$500,5,FALSE),"")</f>
        <v/>
      </c>
      <c r="F804" s="28" t="str">
        <f>IF(OR(ISBLANK(B804),B804=""), "", IFERROR(INDEX('SAÍDA DE VENDAS'!$H$6:$H$500 &amp; "x " &amp; 'SAÍDA DE VENDAS'!$G$6:$G$500, MATCH(B804, 'SAÍDA DE VENDAS'!$B$6:$B$500, 0)), "")&amp; IF(COUNTIF('SAÍDA DE VENDAS'!$B$6:$B$500, B804)&gt;1, " + " &amp; IFERROR(INDEX('SAÍDA DE VENDAS'!$H$6:$H$500 &amp; "x " &amp; 'SAÍDA DE VENDAS'!$G$6:$G$500, MATCH(B804, 'SAÍDA DE VENDAS'!$B$6:$B$500, 0)+1), ""), "")&amp; IF(COUNTIF('SAÍDA DE VENDAS'!$B$6:$B$500, B804)&gt;2, " + " &amp; IFERROR(INDEX('SAÍDA DE VENDAS'!$H$6:$H$500 &amp; "x " &amp; 'SAÍDA DE VENDAS'!$G$6:$G$500, MATCH(B804, 'SAÍDA DE VENDAS'!$B$6:$B$500, 0)+2), ""), "")&amp; IF(COUNTIF('SAÍDA DE VENDAS'!$B$6:$B$500, B804)&gt;3, " + " &amp; IFERROR(INDEX('SAÍDA DE VENDAS'!$H$6:$H$500 &amp; "x " &amp; 'SAÍDA DE VENDAS'!$G$6:$G$500, MATCH(B804, 'SAÍDA DE VENDAS'!$B$6:$B$500, 0)+3), ""), "")&amp; IF(COUNTIF('SAÍDA DE VENDAS'!$B$6:$B$500, B804)&gt;4, " + " &amp; IFERROR(INDEX('SAÍDA DE VENDAS'!$H$6:$H$500 &amp; "x " &amp; 'SAÍDA DE VENDAS'!$G$6:$G$500, MATCH(B804, 'SAÍDA DE VENDAS'!$B$6:$B$500, 0)+4), ""), "")&amp; IF(COUNTIF('SAÍDA DE VENDAS'!$B$6:$B$500, B804)&gt;5, " + " &amp; IFERROR(INDEX('SAÍDA DE VENDAS'!$H$6:$H$500 &amp; "x " &amp; 'SAÍDA DE VENDAS'!$G$6:$G$500, MATCH(B804, 'SAÍDA DE VENDAS'!$B$6:$B$500, 0)+5), ""), ""))</f>
        <v/>
      </c>
      <c r="G804" s="28">
        <f>IFERROR(VLOOKUP(B804,'SAÍDA DE VENDAS'!$B$6:$P$500,10,FALSE),"")</f>
        <v>0</v>
      </c>
      <c r="H804" s="28" t="str">
        <f>IF(OR(ISBLANK(B804),B804=""), "", IF(B804=B803, (VALUE(LEFT(H803,FIND("/",H803)-1))+1)&amp;"/"&amp;RIGHT(H803,LEN(H803)-FIND("/",H803)), "1/"&amp;IFERROR(VLOOKUP(B804,'SAÍDA DE VENDAS'!$B$6:$P$500,13,FALSE),"1")))</f>
        <v/>
      </c>
      <c r="I804" s="69" t="str">
        <f t="shared" si="24"/>
        <v/>
      </c>
      <c r="J804" s="33" t="str">
        <f>IFERROR(VLOOKUP(B804,'SAÍDA DE VENDAS'!$B$6:$P$500,15,FALSE),"")</f>
        <v/>
      </c>
      <c r="K804" s="28" t="str">
        <f t="shared" ca="1" si="25"/>
        <v/>
      </c>
      <c r="L804" s="28"/>
      <c r="M804" s="28"/>
    </row>
    <row r="805" spans="2:13" ht="15" customHeight="1" x14ac:dyDescent="0.3">
      <c r="B805" s="34" t="str">
        <f>IF(B804="","", IF(VALUE(LEFT(H804,FIND("/",H804)-1)) &lt; VALUE(RIGHT(H804,LEN(H804)-FIND("/",H804))), B804, IFERROR(INDEX('SAÍDA DE VENDAS'!$B$6:$B$500, MATCH(B804,'SAÍDA DE VENDAS'!$B$6:$B$500,0)+COUNTIF('SAÍDA DE VENDAS'!$B$6:$B$500, B804)),"")))</f>
        <v/>
      </c>
      <c r="C805" s="35">
        <f>IFERROR(VLOOKUP(B805,'SAÍDA DE VENDAS'!$B$6:$P$500,3,FALSE),"")</f>
        <v>0</v>
      </c>
      <c r="D805" s="34">
        <f>IFERROR(VLOOKUP(B805,'SAÍDA DE VENDAS'!$B$6:$P$500,4,FALSE),"")</f>
        <v>0</v>
      </c>
      <c r="E805" s="34" t="str">
        <f>IFERROR(VLOOKUP(B805,'SAÍDA DE VENDAS'!$B$6:$P$500,5,FALSE),"")</f>
        <v/>
      </c>
      <c r="F805" s="34" t="str">
        <f>IF(OR(ISBLANK(B805),B805=""), "", IFERROR(INDEX('SAÍDA DE VENDAS'!$H$6:$H$500 &amp; "x " &amp; 'SAÍDA DE VENDAS'!$G$6:$G$500, MATCH(B805, 'SAÍDA DE VENDAS'!$B$6:$B$500, 0)), "")&amp; IF(COUNTIF('SAÍDA DE VENDAS'!$B$6:$B$500, B805)&gt;1, " + " &amp; IFERROR(INDEX('SAÍDA DE VENDAS'!$H$6:$H$500 &amp; "x " &amp; 'SAÍDA DE VENDAS'!$G$6:$G$500, MATCH(B805, 'SAÍDA DE VENDAS'!$B$6:$B$500, 0)+1), ""), "")&amp; IF(COUNTIF('SAÍDA DE VENDAS'!$B$6:$B$500, B805)&gt;2, " + " &amp; IFERROR(INDEX('SAÍDA DE VENDAS'!$H$6:$H$500 &amp; "x " &amp; 'SAÍDA DE VENDAS'!$G$6:$G$500, MATCH(B805, 'SAÍDA DE VENDAS'!$B$6:$B$500, 0)+2), ""), "")&amp; IF(COUNTIF('SAÍDA DE VENDAS'!$B$6:$B$500, B805)&gt;3, " + " &amp; IFERROR(INDEX('SAÍDA DE VENDAS'!$H$6:$H$500 &amp; "x " &amp; 'SAÍDA DE VENDAS'!$G$6:$G$500, MATCH(B805, 'SAÍDA DE VENDAS'!$B$6:$B$500, 0)+3), ""), "")&amp; IF(COUNTIF('SAÍDA DE VENDAS'!$B$6:$B$500, B805)&gt;4, " + " &amp; IFERROR(INDEX('SAÍDA DE VENDAS'!$H$6:$H$500 &amp; "x " &amp; 'SAÍDA DE VENDAS'!$G$6:$G$500, MATCH(B805, 'SAÍDA DE VENDAS'!$B$6:$B$500, 0)+4), ""), "")&amp; IF(COUNTIF('SAÍDA DE VENDAS'!$B$6:$B$500, B805)&gt;5, " + " &amp; IFERROR(INDEX('SAÍDA DE VENDAS'!$H$6:$H$500 &amp; "x " &amp; 'SAÍDA DE VENDAS'!$G$6:$G$500, MATCH(B805, 'SAÍDA DE VENDAS'!$B$6:$B$500, 0)+5), ""), ""))</f>
        <v/>
      </c>
      <c r="G805" s="34">
        <f>IFERROR(VLOOKUP(B805,'SAÍDA DE VENDAS'!$B$6:$P$500,10,FALSE),"")</f>
        <v>0</v>
      </c>
      <c r="H805" s="34" t="str">
        <f>IF(OR(ISBLANK(B805),B805=""), "", IF(B805=B804, (VALUE(LEFT(H804,FIND("/",H804)-1))+1)&amp;"/"&amp;RIGHT(H804,LEN(H804)-FIND("/",H804)), "1/"&amp;IFERROR(VLOOKUP(B805,'SAÍDA DE VENDAS'!$B$6:$P$500,13,FALSE),"1")))</f>
        <v/>
      </c>
      <c r="I805" s="35" t="str">
        <f t="shared" si="24"/>
        <v/>
      </c>
      <c r="J805" s="39" t="str">
        <f>IFERROR(VLOOKUP(B805,'SAÍDA DE VENDAS'!$B$6:$P$500,15,FALSE),"")</f>
        <v/>
      </c>
      <c r="K805" s="34" t="str">
        <f t="shared" ca="1" si="25"/>
        <v/>
      </c>
      <c r="L805" s="34"/>
      <c r="M805" s="34"/>
    </row>
    <row r="806" spans="2:13" ht="15" customHeight="1" x14ac:dyDescent="0.3">
      <c r="B806" s="28" t="str">
        <f>IF(B805="","", IF(VALUE(LEFT(H805,FIND("/",H805)-1)) &lt; VALUE(RIGHT(H805,LEN(H805)-FIND("/",H805))), B805, IFERROR(INDEX('SAÍDA DE VENDAS'!$B$6:$B$500, MATCH(B805,'SAÍDA DE VENDAS'!$B$6:$B$500,0)+COUNTIF('SAÍDA DE VENDAS'!$B$6:$B$500, B805)),"")))</f>
        <v/>
      </c>
      <c r="C806" s="29">
        <f>IFERROR(VLOOKUP(B806,'SAÍDA DE VENDAS'!$B$6:$P$500,3,FALSE),"")</f>
        <v>0</v>
      </c>
      <c r="D806" s="28">
        <f>IFERROR(VLOOKUP(B806,'SAÍDA DE VENDAS'!$B$6:$P$500,4,FALSE),"")</f>
        <v>0</v>
      </c>
      <c r="E806" s="28" t="str">
        <f>IFERROR(VLOOKUP(B806,'SAÍDA DE VENDAS'!$B$6:$P$500,5,FALSE),"")</f>
        <v/>
      </c>
      <c r="F806" s="28" t="str">
        <f>IF(OR(ISBLANK(B806),B806=""), "", IFERROR(INDEX('SAÍDA DE VENDAS'!$H$6:$H$500 &amp; "x " &amp; 'SAÍDA DE VENDAS'!$G$6:$G$500, MATCH(B806, 'SAÍDA DE VENDAS'!$B$6:$B$500, 0)), "")&amp; IF(COUNTIF('SAÍDA DE VENDAS'!$B$6:$B$500, B806)&gt;1, " + " &amp; IFERROR(INDEX('SAÍDA DE VENDAS'!$H$6:$H$500 &amp; "x " &amp; 'SAÍDA DE VENDAS'!$G$6:$G$500, MATCH(B806, 'SAÍDA DE VENDAS'!$B$6:$B$500, 0)+1), ""), "")&amp; IF(COUNTIF('SAÍDA DE VENDAS'!$B$6:$B$500, B806)&gt;2, " + " &amp; IFERROR(INDEX('SAÍDA DE VENDAS'!$H$6:$H$500 &amp; "x " &amp; 'SAÍDA DE VENDAS'!$G$6:$G$500, MATCH(B806, 'SAÍDA DE VENDAS'!$B$6:$B$500, 0)+2), ""), "")&amp; IF(COUNTIF('SAÍDA DE VENDAS'!$B$6:$B$500, B806)&gt;3, " + " &amp; IFERROR(INDEX('SAÍDA DE VENDAS'!$H$6:$H$500 &amp; "x " &amp; 'SAÍDA DE VENDAS'!$G$6:$G$500, MATCH(B806, 'SAÍDA DE VENDAS'!$B$6:$B$500, 0)+3), ""), "")&amp; IF(COUNTIF('SAÍDA DE VENDAS'!$B$6:$B$500, B806)&gt;4, " + " &amp; IFERROR(INDEX('SAÍDA DE VENDAS'!$H$6:$H$500 &amp; "x " &amp; 'SAÍDA DE VENDAS'!$G$6:$G$500, MATCH(B806, 'SAÍDA DE VENDAS'!$B$6:$B$500, 0)+4), ""), "")&amp; IF(COUNTIF('SAÍDA DE VENDAS'!$B$6:$B$500, B806)&gt;5, " + " &amp; IFERROR(INDEX('SAÍDA DE VENDAS'!$H$6:$H$500 &amp; "x " &amp; 'SAÍDA DE VENDAS'!$G$6:$G$500, MATCH(B806, 'SAÍDA DE VENDAS'!$B$6:$B$500, 0)+5), ""), ""))</f>
        <v/>
      </c>
      <c r="G806" s="28">
        <f>IFERROR(VLOOKUP(B806,'SAÍDA DE VENDAS'!$B$6:$P$500,10,FALSE),"")</f>
        <v>0</v>
      </c>
      <c r="H806" s="28" t="str">
        <f>IF(OR(ISBLANK(B806),B806=""), "", IF(B806=B805, (VALUE(LEFT(H805,FIND("/",H805)-1))+1)&amp;"/"&amp;RIGHT(H805,LEN(H805)-FIND("/",H805)), "1/"&amp;IFERROR(VLOOKUP(B806,'SAÍDA DE VENDAS'!$B$6:$P$500,13,FALSE),"1")))</f>
        <v/>
      </c>
      <c r="I806" s="69" t="str">
        <f t="shared" si="24"/>
        <v/>
      </c>
      <c r="J806" s="33" t="str">
        <f>IFERROR(VLOOKUP(B806,'SAÍDA DE VENDAS'!$B$6:$P$500,15,FALSE),"")</f>
        <v/>
      </c>
      <c r="K806" s="28" t="str">
        <f t="shared" ca="1" si="25"/>
        <v/>
      </c>
      <c r="L806" s="28"/>
      <c r="M806" s="28"/>
    </row>
    <row r="807" spans="2:13" ht="15" customHeight="1" x14ac:dyDescent="0.3">
      <c r="B807" s="34" t="str">
        <f>IF(B806="","", IF(VALUE(LEFT(H806,FIND("/",H806)-1)) &lt; VALUE(RIGHT(H806,LEN(H806)-FIND("/",H806))), B806, IFERROR(INDEX('SAÍDA DE VENDAS'!$B$6:$B$500, MATCH(B806,'SAÍDA DE VENDAS'!$B$6:$B$500,0)+COUNTIF('SAÍDA DE VENDAS'!$B$6:$B$500, B806)),"")))</f>
        <v/>
      </c>
      <c r="C807" s="35">
        <f>IFERROR(VLOOKUP(B807,'SAÍDA DE VENDAS'!$B$6:$P$500,3,FALSE),"")</f>
        <v>0</v>
      </c>
      <c r="D807" s="34">
        <f>IFERROR(VLOOKUP(B807,'SAÍDA DE VENDAS'!$B$6:$P$500,4,FALSE),"")</f>
        <v>0</v>
      </c>
      <c r="E807" s="34" t="str">
        <f>IFERROR(VLOOKUP(B807,'SAÍDA DE VENDAS'!$B$6:$P$500,5,FALSE),"")</f>
        <v/>
      </c>
      <c r="F807" s="34" t="str">
        <f>IF(OR(ISBLANK(B807),B807=""), "", IFERROR(INDEX('SAÍDA DE VENDAS'!$H$6:$H$500 &amp; "x " &amp; 'SAÍDA DE VENDAS'!$G$6:$G$500, MATCH(B807, 'SAÍDA DE VENDAS'!$B$6:$B$500, 0)), "")&amp; IF(COUNTIF('SAÍDA DE VENDAS'!$B$6:$B$500, B807)&gt;1, " + " &amp; IFERROR(INDEX('SAÍDA DE VENDAS'!$H$6:$H$500 &amp; "x " &amp; 'SAÍDA DE VENDAS'!$G$6:$G$500, MATCH(B807, 'SAÍDA DE VENDAS'!$B$6:$B$500, 0)+1), ""), "")&amp; IF(COUNTIF('SAÍDA DE VENDAS'!$B$6:$B$500, B807)&gt;2, " + " &amp; IFERROR(INDEX('SAÍDA DE VENDAS'!$H$6:$H$500 &amp; "x " &amp; 'SAÍDA DE VENDAS'!$G$6:$G$500, MATCH(B807, 'SAÍDA DE VENDAS'!$B$6:$B$500, 0)+2), ""), "")&amp; IF(COUNTIF('SAÍDA DE VENDAS'!$B$6:$B$500, B807)&gt;3, " + " &amp; IFERROR(INDEX('SAÍDA DE VENDAS'!$H$6:$H$500 &amp; "x " &amp; 'SAÍDA DE VENDAS'!$G$6:$G$500, MATCH(B807, 'SAÍDA DE VENDAS'!$B$6:$B$500, 0)+3), ""), "")&amp; IF(COUNTIF('SAÍDA DE VENDAS'!$B$6:$B$500, B807)&gt;4, " + " &amp; IFERROR(INDEX('SAÍDA DE VENDAS'!$H$6:$H$500 &amp; "x " &amp; 'SAÍDA DE VENDAS'!$G$6:$G$500, MATCH(B807, 'SAÍDA DE VENDAS'!$B$6:$B$500, 0)+4), ""), "")&amp; IF(COUNTIF('SAÍDA DE VENDAS'!$B$6:$B$500, B807)&gt;5, " + " &amp; IFERROR(INDEX('SAÍDA DE VENDAS'!$H$6:$H$500 &amp; "x " &amp; 'SAÍDA DE VENDAS'!$G$6:$G$500, MATCH(B807, 'SAÍDA DE VENDAS'!$B$6:$B$500, 0)+5), ""), ""))</f>
        <v/>
      </c>
      <c r="G807" s="34">
        <f>IFERROR(VLOOKUP(B807,'SAÍDA DE VENDAS'!$B$6:$P$500,10,FALSE),"")</f>
        <v>0</v>
      </c>
      <c r="H807" s="34" t="str">
        <f>IF(OR(ISBLANK(B807),B807=""), "", IF(B807=B806, (VALUE(LEFT(H806,FIND("/",H806)-1))+1)&amp;"/"&amp;RIGHT(H806,LEN(H806)-FIND("/",H806)), "1/"&amp;IFERROR(VLOOKUP(B807,'SAÍDA DE VENDAS'!$B$6:$P$500,13,FALSE),"1")))</f>
        <v/>
      </c>
      <c r="I807" s="35" t="str">
        <f t="shared" si="24"/>
        <v/>
      </c>
      <c r="J807" s="39" t="str">
        <f>IFERROR(VLOOKUP(B807,'SAÍDA DE VENDAS'!$B$6:$P$500,15,FALSE),"")</f>
        <v/>
      </c>
      <c r="K807" s="34" t="str">
        <f t="shared" ca="1" si="25"/>
        <v/>
      </c>
      <c r="L807" s="34"/>
      <c r="M807" s="34"/>
    </row>
    <row r="808" spans="2:13" ht="15" customHeight="1" x14ac:dyDescent="0.3">
      <c r="B808" s="28" t="str">
        <f>IF(B807="","", IF(VALUE(LEFT(H807,FIND("/",H807)-1)) &lt; VALUE(RIGHT(H807,LEN(H807)-FIND("/",H807))), B807, IFERROR(INDEX('SAÍDA DE VENDAS'!$B$6:$B$500, MATCH(B807,'SAÍDA DE VENDAS'!$B$6:$B$500,0)+COUNTIF('SAÍDA DE VENDAS'!$B$6:$B$500, B807)),"")))</f>
        <v/>
      </c>
      <c r="C808" s="29">
        <f>IFERROR(VLOOKUP(B808,'SAÍDA DE VENDAS'!$B$6:$P$500,3,FALSE),"")</f>
        <v>0</v>
      </c>
      <c r="D808" s="28">
        <f>IFERROR(VLOOKUP(B808,'SAÍDA DE VENDAS'!$B$6:$P$500,4,FALSE),"")</f>
        <v>0</v>
      </c>
      <c r="E808" s="28" t="str">
        <f>IFERROR(VLOOKUP(B808,'SAÍDA DE VENDAS'!$B$6:$P$500,5,FALSE),"")</f>
        <v/>
      </c>
      <c r="F808" s="28" t="str">
        <f>IF(OR(ISBLANK(B808),B808=""), "", IFERROR(INDEX('SAÍDA DE VENDAS'!$H$6:$H$500 &amp; "x " &amp; 'SAÍDA DE VENDAS'!$G$6:$G$500, MATCH(B808, 'SAÍDA DE VENDAS'!$B$6:$B$500, 0)), "")&amp; IF(COUNTIF('SAÍDA DE VENDAS'!$B$6:$B$500, B808)&gt;1, " + " &amp; IFERROR(INDEX('SAÍDA DE VENDAS'!$H$6:$H$500 &amp; "x " &amp; 'SAÍDA DE VENDAS'!$G$6:$G$500, MATCH(B808, 'SAÍDA DE VENDAS'!$B$6:$B$500, 0)+1), ""), "")&amp; IF(COUNTIF('SAÍDA DE VENDAS'!$B$6:$B$500, B808)&gt;2, " + " &amp; IFERROR(INDEX('SAÍDA DE VENDAS'!$H$6:$H$500 &amp; "x " &amp; 'SAÍDA DE VENDAS'!$G$6:$G$500, MATCH(B808, 'SAÍDA DE VENDAS'!$B$6:$B$500, 0)+2), ""), "")&amp; IF(COUNTIF('SAÍDA DE VENDAS'!$B$6:$B$500, B808)&gt;3, " + " &amp; IFERROR(INDEX('SAÍDA DE VENDAS'!$H$6:$H$500 &amp; "x " &amp; 'SAÍDA DE VENDAS'!$G$6:$G$500, MATCH(B808, 'SAÍDA DE VENDAS'!$B$6:$B$500, 0)+3), ""), "")&amp; IF(COUNTIF('SAÍDA DE VENDAS'!$B$6:$B$500, B808)&gt;4, " + " &amp; IFERROR(INDEX('SAÍDA DE VENDAS'!$H$6:$H$500 &amp; "x " &amp; 'SAÍDA DE VENDAS'!$G$6:$G$500, MATCH(B808, 'SAÍDA DE VENDAS'!$B$6:$B$500, 0)+4), ""), "")&amp; IF(COUNTIF('SAÍDA DE VENDAS'!$B$6:$B$500, B808)&gt;5, " + " &amp; IFERROR(INDEX('SAÍDA DE VENDAS'!$H$6:$H$500 &amp; "x " &amp; 'SAÍDA DE VENDAS'!$G$6:$G$500, MATCH(B808, 'SAÍDA DE VENDAS'!$B$6:$B$500, 0)+5), ""), ""))</f>
        <v/>
      </c>
      <c r="G808" s="28">
        <f>IFERROR(VLOOKUP(B808,'SAÍDA DE VENDAS'!$B$6:$P$500,10,FALSE),"")</f>
        <v>0</v>
      </c>
      <c r="H808" s="28" t="str">
        <f>IF(OR(ISBLANK(B808),B808=""), "", IF(B808=B807, (VALUE(LEFT(H807,FIND("/",H807)-1))+1)&amp;"/"&amp;RIGHT(H807,LEN(H807)-FIND("/",H807)), "1/"&amp;IFERROR(VLOOKUP(B808,'SAÍDA DE VENDAS'!$B$6:$P$500,13,FALSE),"1")))</f>
        <v/>
      </c>
      <c r="I808" s="69" t="str">
        <f t="shared" si="24"/>
        <v/>
      </c>
      <c r="J808" s="33" t="str">
        <f>IFERROR(VLOOKUP(B808,'SAÍDA DE VENDAS'!$B$6:$P$500,15,FALSE),"")</f>
        <v/>
      </c>
      <c r="K808" s="28" t="str">
        <f t="shared" ca="1" si="25"/>
        <v/>
      </c>
      <c r="L808" s="28"/>
      <c r="M808" s="28"/>
    </row>
    <row r="809" spans="2:13" ht="15" customHeight="1" x14ac:dyDescent="0.3">
      <c r="B809" s="34" t="str">
        <f>IF(B808="","", IF(VALUE(LEFT(H808,FIND("/",H808)-1)) &lt; VALUE(RIGHT(H808,LEN(H808)-FIND("/",H808))), B808, IFERROR(INDEX('SAÍDA DE VENDAS'!$B$6:$B$500, MATCH(B808,'SAÍDA DE VENDAS'!$B$6:$B$500,0)+COUNTIF('SAÍDA DE VENDAS'!$B$6:$B$500, B808)),"")))</f>
        <v/>
      </c>
      <c r="C809" s="35">
        <f>IFERROR(VLOOKUP(B809,'SAÍDA DE VENDAS'!$B$6:$P$500,3,FALSE),"")</f>
        <v>0</v>
      </c>
      <c r="D809" s="34">
        <f>IFERROR(VLOOKUP(B809,'SAÍDA DE VENDAS'!$B$6:$P$500,4,FALSE),"")</f>
        <v>0</v>
      </c>
      <c r="E809" s="34" t="str">
        <f>IFERROR(VLOOKUP(B809,'SAÍDA DE VENDAS'!$B$6:$P$500,5,FALSE),"")</f>
        <v/>
      </c>
      <c r="F809" s="34" t="str">
        <f>IF(OR(ISBLANK(B809),B809=""), "", IFERROR(INDEX('SAÍDA DE VENDAS'!$H$6:$H$500 &amp; "x " &amp; 'SAÍDA DE VENDAS'!$G$6:$G$500, MATCH(B809, 'SAÍDA DE VENDAS'!$B$6:$B$500, 0)), "")&amp; IF(COUNTIF('SAÍDA DE VENDAS'!$B$6:$B$500, B809)&gt;1, " + " &amp; IFERROR(INDEX('SAÍDA DE VENDAS'!$H$6:$H$500 &amp; "x " &amp; 'SAÍDA DE VENDAS'!$G$6:$G$500, MATCH(B809, 'SAÍDA DE VENDAS'!$B$6:$B$500, 0)+1), ""), "")&amp; IF(COUNTIF('SAÍDA DE VENDAS'!$B$6:$B$500, B809)&gt;2, " + " &amp; IFERROR(INDEX('SAÍDA DE VENDAS'!$H$6:$H$500 &amp; "x " &amp; 'SAÍDA DE VENDAS'!$G$6:$G$500, MATCH(B809, 'SAÍDA DE VENDAS'!$B$6:$B$500, 0)+2), ""), "")&amp; IF(COUNTIF('SAÍDA DE VENDAS'!$B$6:$B$500, B809)&gt;3, " + " &amp; IFERROR(INDEX('SAÍDA DE VENDAS'!$H$6:$H$500 &amp; "x " &amp; 'SAÍDA DE VENDAS'!$G$6:$G$500, MATCH(B809, 'SAÍDA DE VENDAS'!$B$6:$B$500, 0)+3), ""), "")&amp; IF(COUNTIF('SAÍDA DE VENDAS'!$B$6:$B$500, B809)&gt;4, " + " &amp; IFERROR(INDEX('SAÍDA DE VENDAS'!$H$6:$H$500 &amp; "x " &amp; 'SAÍDA DE VENDAS'!$G$6:$G$500, MATCH(B809, 'SAÍDA DE VENDAS'!$B$6:$B$500, 0)+4), ""), "")&amp; IF(COUNTIF('SAÍDA DE VENDAS'!$B$6:$B$500, B809)&gt;5, " + " &amp; IFERROR(INDEX('SAÍDA DE VENDAS'!$H$6:$H$500 &amp; "x " &amp; 'SAÍDA DE VENDAS'!$G$6:$G$500, MATCH(B809, 'SAÍDA DE VENDAS'!$B$6:$B$500, 0)+5), ""), ""))</f>
        <v/>
      </c>
      <c r="G809" s="34">
        <f>IFERROR(VLOOKUP(B809,'SAÍDA DE VENDAS'!$B$6:$P$500,10,FALSE),"")</f>
        <v>0</v>
      </c>
      <c r="H809" s="34" t="str">
        <f>IF(OR(ISBLANK(B809),B809=""), "", IF(B809=B808, (VALUE(LEFT(H808,FIND("/",H808)-1))+1)&amp;"/"&amp;RIGHT(H808,LEN(H808)-FIND("/",H808)), "1/"&amp;IFERROR(VLOOKUP(B809,'SAÍDA DE VENDAS'!$B$6:$P$500,13,FALSE),"1")))</f>
        <v/>
      </c>
      <c r="I809" s="35" t="str">
        <f t="shared" si="24"/>
        <v/>
      </c>
      <c r="J809" s="39" t="str">
        <f>IFERROR(VLOOKUP(B809,'SAÍDA DE VENDAS'!$B$6:$P$500,15,FALSE),"")</f>
        <v/>
      </c>
      <c r="K809" s="34" t="str">
        <f t="shared" ca="1" si="25"/>
        <v/>
      </c>
      <c r="L809" s="34"/>
      <c r="M809" s="34"/>
    </row>
    <row r="810" spans="2:13" ht="15" customHeight="1" x14ac:dyDescent="0.3">
      <c r="B810" s="28" t="str">
        <f>IF(B809="","", IF(VALUE(LEFT(H809,FIND("/",H809)-1)) &lt; VALUE(RIGHT(H809,LEN(H809)-FIND("/",H809))), B809, IFERROR(INDEX('SAÍDA DE VENDAS'!$B$6:$B$500, MATCH(B809,'SAÍDA DE VENDAS'!$B$6:$B$500,0)+COUNTIF('SAÍDA DE VENDAS'!$B$6:$B$500, B809)),"")))</f>
        <v/>
      </c>
      <c r="C810" s="29">
        <f>IFERROR(VLOOKUP(B810,'SAÍDA DE VENDAS'!$B$6:$P$500,3,FALSE),"")</f>
        <v>0</v>
      </c>
      <c r="D810" s="28">
        <f>IFERROR(VLOOKUP(B810,'SAÍDA DE VENDAS'!$B$6:$P$500,4,FALSE),"")</f>
        <v>0</v>
      </c>
      <c r="E810" s="28" t="str">
        <f>IFERROR(VLOOKUP(B810,'SAÍDA DE VENDAS'!$B$6:$P$500,5,FALSE),"")</f>
        <v/>
      </c>
      <c r="F810" s="28" t="str">
        <f>IF(OR(ISBLANK(B810),B810=""), "", IFERROR(INDEX('SAÍDA DE VENDAS'!$H$6:$H$500 &amp; "x " &amp; 'SAÍDA DE VENDAS'!$G$6:$G$500, MATCH(B810, 'SAÍDA DE VENDAS'!$B$6:$B$500, 0)), "")&amp; IF(COUNTIF('SAÍDA DE VENDAS'!$B$6:$B$500, B810)&gt;1, " + " &amp; IFERROR(INDEX('SAÍDA DE VENDAS'!$H$6:$H$500 &amp; "x " &amp; 'SAÍDA DE VENDAS'!$G$6:$G$500, MATCH(B810, 'SAÍDA DE VENDAS'!$B$6:$B$500, 0)+1), ""), "")&amp; IF(COUNTIF('SAÍDA DE VENDAS'!$B$6:$B$500, B810)&gt;2, " + " &amp; IFERROR(INDEX('SAÍDA DE VENDAS'!$H$6:$H$500 &amp; "x " &amp; 'SAÍDA DE VENDAS'!$G$6:$G$500, MATCH(B810, 'SAÍDA DE VENDAS'!$B$6:$B$500, 0)+2), ""), "")&amp; IF(COUNTIF('SAÍDA DE VENDAS'!$B$6:$B$500, B810)&gt;3, " + " &amp; IFERROR(INDEX('SAÍDA DE VENDAS'!$H$6:$H$500 &amp; "x " &amp; 'SAÍDA DE VENDAS'!$G$6:$G$500, MATCH(B810, 'SAÍDA DE VENDAS'!$B$6:$B$500, 0)+3), ""), "")&amp; IF(COUNTIF('SAÍDA DE VENDAS'!$B$6:$B$500, B810)&gt;4, " + " &amp; IFERROR(INDEX('SAÍDA DE VENDAS'!$H$6:$H$500 &amp; "x " &amp; 'SAÍDA DE VENDAS'!$G$6:$G$500, MATCH(B810, 'SAÍDA DE VENDAS'!$B$6:$B$500, 0)+4), ""), "")&amp; IF(COUNTIF('SAÍDA DE VENDAS'!$B$6:$B$500, B810)&gt;5, " + " &amp; IFERROR(INDEX('SAÍDA DE VENDAS'!$H$6:$H$500 &amp; "x " &amp; 'SAÍDA DE VENDAS'!$G$6:$G$500, MATCH(B810, 'SAÍDA DE VENDAS'!$B$6:$B$500, 0)+5), ""), ""))</f>
        <v/>
      </c>
      <c r="G810" s="28">
        <f>IFERROR(VLOOKUP(B810,'SAÍDA DE VENDAS'!$B$6:$P$500,10,FALSE),"")</f>
        <v>0</v>
      </c>
      <c r="H810" s="28" t="str">
        <f>IF(OR(ISBLANK(B810),B810=""), "", IF(B810=B809, (VALUE(LEFT(H809,FIND("/",H809)-1))+1)&amp;"/"&amp;RIGHT(H809,LEN(H809)-FIND("/",H809)), "1/"&amp;IFERROR(VLOOKUP(B810,'SAÍDA DE VENDAS'!$B$6:$P$500,13,FALSE),"1")))</f>
        <v/>
      </c>
      <c r="I810" s="69" t="str">
        <f t="shared" si="24"/>
        <v/>
      </c>
      <c r="J810" s="33" t="str">
        <f>IFERROR(VLOOKUP(B810,'SAÍDA DE VENDAS'!$B$6:$P$500,15,FALSE),"")</f>
        <v/>
      </c>
      <c r="K810" s="28" t="str">
        <f t="shared" ca="1" si="25"/>
        <v/>
      </c>
      <c r="L810" s="28"/>
      <c r="M810" s="28"/>
    </row>
    <row r="811" spans="2:13" ht="15" customHeight="1" x14ac:dyDescent="0.3">
      <c r="B811" s="34" t="str">
        <f>IF(B810="","", IF(VALUE(LEFT(H810,FIND("/",H810)-1)) &lt; VALUE(RIGHT(H810,LEN(H810)-FIND("/",H810))), B810, IFERROR(INDEX('SAÍDA DE VENDAS'!$B$6:$B$500, MATCH(B810,'SAÍDA DE VENDAS'!$B$6:$B$500,0)+COUNTIF('SAÍDA DE VENDAS'!$B$6:$B$500, B810)),"")))</f>
        <v/>
      </c>
      <c r="C811" s="35">
        <f>IFERROR(VLOOKUP(B811,'SAÍDA DE VENDAS'!$B$6:$P$500,3,FALSE),"")</f>
        <v>0</v>
      </c>
      <c r="D811" s="34">
        <f>IFERROR(VLOOKUP(B811,'SAÍDA DE VENDAS'!$B$6:$P$500,4,FALSE),"")</f>
        <v>0</v>
      </c>
      <c r="E811" s="34" t="str">
        <f>IFERROR(VLOOKUP(B811,'SAÍDA DE VENDAS'!$B$6:$P$500,5,FALSE),"")</f>
        <v/>
      </c>
      <c r="F811" s="34" t="str">
        <f>IF(OR(ISBLANK(B811),B811=""), "", IFERROR(INDEX('SAÍDA DE VENDAS'!$H$6:$H$500 &amp; "x " &amp; 'SAÍDA DE VENDAS'!$G$6:$G$500, MATCH(B811, 'SAÍDA DE VENDAS'!$B$6:$B$500, 0)), "")&amp; IF(COUNTIF('SAÍDA DE VENDAS'!$B$6:$B$500, B811)&gt;1, " + " &amp; IFERROR(INDEX('SAÍDA DE VENDAS'!$H$6:$H$500 &amp; "x " &amp; 'SAÍDA DE VENDAS'!$G$6:$G$500, MATCH(B811, 'SAÍDA DE VENDAS'!$B$6:$B$500, 0)+1), ""), "")&amp; IF(COUNTIF('SAÍDA DE VENDAS'!$B$6:$B$500, B811)&gt;2, " + " &amp; IFERROR(INDEX('SAÍDA DE VENDAS'!$H$6:$H$500 &amp; "x " &amp; 'SAÍDA DE VENDAS'!$G$6:$G$500, MATCH(B811, 'SAÍDA DE VENDAS'!$B$6:$B$500, 0)+2), ""), "")&amp; IF(COUNTIF('SAÍDA DE VENDAS'!$B$6:$B$500, B811)&gt;3, " + " &amp; IFERROR(INDEX('SAÍDA DE VENDAS'!$H$6:$H$500 &amp; "x " &amp; 'SAÍDA DE VENDAS'!$G$6:$G$500, MATCH(B811, 'SAÍDA DE VENDAS'!$B$6:$B$500, 0)+3), ""), "")&amp; IF(COUNTIF('SAÍDA DE VENDAS'!$B$6:$B$500, B811)&gt;4, " + " &amp; IFERROR(INDEX('SAÍDA DE VENDAS'!$H$6:$H$500 &amp; "x " &amp; 'SAÍDA DE VENDAS'!$G$6:$G$500, MATCH(B811, 'SAÍDA DE VENDAS'!$B$6:$B$500, 0)+4), ""), "")&amp; IF(COUNTIF('SAÍDA DE VENDAS'!$B$6:$B$500, B811)&gt;5, " + " &amp; IFERROR(INDEX('SAÍDA DE VENDAS'!$H$6:$H$500 &amp; "x " &amp; 'SAÍDA DE VENDAS'!$G$6:$G$500, MATCH(B811, 'SAÍDA DE VENDAS'!$B$6:$B$500, 0)+5), ""), ""))</f>
        <v/>
      </c>
      <c r="G811" s="34">
        <f>IFERROR(VLOOKUP(B811,'SAÍDA DE VENDAS'!$B$6:$P$500,10,FALSE),"")</f>
        <v>0</v>
      </c>
      <c r="H811" s="34" t="str">
        <f>IF(OR(ISBLANK(B811),B811=""), "", IF(B811=B810, (VALUE(LEFT(H810,FIND("/",H810)-1))+1)&amp;"/"&amp;RIGHT(H810,LEN(H810)-FIND("/",H810)), "1/"&amp;IFERROR(VLOOKUP(B811,'SAÍDA DE VENDAS'!$B$6:$P$500,13,FALSE),"1")))</f>
        <v/>
      </c>
      <c r="I811" s="35" t="str">
        <f t="shared" si="24"/>
        <v/>
      </c>
      <c r="J811" s="39" t="str">
        <f>IFERROR(VLOOKUP(B811,'SAÍDA DE VENDAS'!$B$6:$P$500,15,FALSE),"")</f>
        <v/>
      </c>
      <c r="K811" s="34" t="str">
        <f t="shared" ca="1" si="25"/>
        <v/>
      </c>
      <c r="L811" s="34"/>
      <c r="M811" s="34"/>
    </row>
    <row r="812" spans="2:13" ht="15" customHeight="1" x14ac:dyDescent="0.3">
      <c r="B812" s="28" t="str">
        <f>IF(B811="","", IF(VALUE(LEFT(H811,FIND("/",H811)-1)) &lt; VALUE(RIGHT(H811,LEN(H811)-FIND("/",H811))), B811, IFERROR(INDEX('SAÍDA DE VENDAS'!$B$6:$B$500, MATCH(B811,'SAÍDA DE VENDAS'!$B$6:$B$500,0)+COUNTIF('SAÍDA DE VENDAS'!$B$6:$B$500, B811)),"")))</f>
        <v/>
      </c>
      <c r="C812" s="29">
        <f>IFERROR(VLOOKUP(B812,'SAÍDA DE VENDAS'!$B$6:$P$500,3,FALSE),"")</f>
        <v>0</v>
      </c>
      <c r="D812" s="28">
        <f>IFERROR(VLOOKUP(B812,'SAÍDA DE VENDAS'!$B$6:$P$500,4,FALSE),"")</f>
        <v>0</v>
      </c>
      <c r="E812" s="28" t="str">
        <f>IFERROR(VLOOKUP(B812,'SAÍDA DE VENDAS'!$B$6:$P$500,5,FALSE),"")</f>
        <v/>
      </c>
      <c r="F812" s="28" t="str">
        <f>IF(OR(ISBLANK(B812),B812=""), "", IFERROR(INDEX('SAÍDA DE VENDAS'!$H$6:$H$500 &amp; "x " &amp; 'SAÍDA DE VENDAS'!$G$6:$G$500, MATCH(B812, 'SAÍDA DE VENDAS'!$B$6:$B$500, 0)), "")&amp; IF(COUNTIF('SAÍDA DE VENDAS'!$B$6:$B$500, B812)&gt;1, " + " &amp; IFERROR(INDEX('SAÍDA DE VENDAS'!$H$6:$H$500 &amp; "x " &amp; 'SAÍDA DE VENDAS'!$G$6:$G$500, MATCH(B812, 'SAÍDA DE VENDAS'!$B$6:$B$500, 0)+1), ""), "")&amp; IF(COUNTIF('SAÍDA DE VENDAS'!$B$6:$B$500, B812)&gt;2, " + " &amp; IFERROR(INDEX('SAÍDA DE VENDAS'!$H$6:$H$500 &amp; "x " &amp; 'SAÍDA DE VENDAS'!$G$6:$G$500, MATCH(B812, 'SAÍDA DE VENDAS'!$B$6:$B$500, 0)+2), ""), "")&amp; IF(COUNTIF('SAÍDA DE VENDAS'!$B$6:$B$500, B812)&gt;3, " + " &amp; IFERROR(INDEX('SAÍDA DE VENDAS'!$H$6:$H$500 &amp; "x " &amp; 'SAÍDA DE VENDAS'!$G$6:$G$500, MATCH(B812, 'SAÍDA DE VENDAS'!$B$6:$B$500, 0)+3), ""), "")&amp; IF(COUNTIF('SAÍDA DE VENDAS'!$B$6:$B$500, B812)&gt;4, " + " &amp; IFERROR(INDEX('SAÍDA DE VENDAS'!$H$6:$H$500 &amp; "x " &amp; 'SAÍDA DE VENDAS'!$G$6:$G$500, MATCH(B812, 'SAÍDA DE VENDAS'!$B$6:$B$500, 0)+4), ""), "")&amp; IF(COUNTIF('SAÍDA DE VENDAS'!$B$6:$B$500, B812)&gt;5, " + " &amp; IFERROR(INDEX('SAÍDA DE VENDAS'!$H$6:$H$500 &amp; "x " &amp; 'SAÍDA DE VENDAS'!$G$6:$G$500, MATCH(B812, 'SAÍDA DE VENDAS'!$B$6:$B$500, 0)+5), ""), ""))</f>
        <v/>
      </c>
      <c r="G812" s="28">
        <f>IFERROR(VLOOKUP(B812,'SAÍDA DE VENDAS'!$B$6:$P$500,10,FALSE),"")</f>
        <v>0</v>
      </c>
      <c r="H812" s="28" t="str">
        <f>IF(OR(ISBLANK(B812),B812=""), "", IF(B812=B811, (VALUE(LEFT(H811,FIND("/",H811)-1))+1)&amp;"/"&amp;RIGHT(H811,LEN(H811)-FIND("/",H811)), "1/"&amp;IFERROR(VLOOKUP(B812,'SAÍDA DE VENDAS'!$B$6:$P$500,13,FALSE),"1")))</f>
        <v/>
      </c>
      <c r="I812" s="69" t="str">
        <f t="shared" si="24"/>
        <v/>
      </c>
      <c r="J812" s="33" t="str">
        <f>IFERROR(VLOOKUP(B812,'SAÍDA DE VENDAS'!$B$6:$P$500,15,FALSE),"")</f>
        <v/>
      </c>
      <c r="K812" s="28" t="str">
        <f t="shared" ca="1" si="25"/>
        <v/>
      </c>
      <c r="L812" s="28"/>
      <c r="M812" s="28"/>
    </row>
    <row r="813" spans="2:13" ht="15" customHeight="1" x14ac:dyDescent="0.3">
      <c r="B813" s="34" t="str">
        <f>IF(B812="","", IF(VALUE(LEFT(H812,FIND("/",H812)-1)) &lt; VALUE(RIGHT(H812,LEN(H812)-FIND("/",H812))), B812, IFERROR(INDEX('SAÍDA DE VENDAS'!$B$6:$B$500, MATCH(B812,'SAÍDA DE VENDAS'!$B$6:$B$500,0)+COUNTIF('SAÍDA DE VENDAS'!$B$6:$B$500, B812)),"")))</f>
        <v/>
      </c>
      <c r="C813" s="35">
        <f>IFERROR(VLOOKUP(B813,'SAÍDA DE VENDAS'!$B$6:$P$500,3,FALSE),"")</f>
        <v>0</v>
      </c>
      <c r="D813" s="34">
        <f>IFERROR(VLOOKUP(B813,'SAÍDA DE VENDAS'!$B$6:$P$500,4,FALSE),"")</f>
        <v>0</v>
      </c>
      <c r="E813" s="34" t="str">
        <f>IFERROR(VLOOKUP(B813,'SAÍDA DE VENDAS'!$B$6:$P$500,5,FALSE),"")</f>
        <v/>
      </c>
      <c r="F813" s="34" t="str">
        <f>IF(OR(ISBLANK(B813),B813=""), "", IFERROR(INDEX('SAÍDA DE VENDAS'!$H$6:$H$500 &amp; "x " &amp; 'SAÍDA DE VENDAS'!$G$6:$G$500, MATCH(B813, 'SAÍDA DE VENDAS'!$B$6:$B$500, 0)), "")&amp; IF(COUNTIF('SAÍDA DE VENDAS'!$B$6:$B$500, B813)&gt;1, " + " &amp; IFERROR(INDEX('SAÍDA DE VENDAS'!$H$6:$H$500 &amp; "x " &amp; 'SAÍDA DE VENDAS'!$G$6:$G$500, MATCH(B813, 'SAÍDA DE VENDAS'!$B$6:$B$500, 0)+1), ""), "")&amp; IF(COUNTIF('SAÍDA DE VENDAS'!$B$6:$B$500, B813)&gt;2, " + " &amp; IFERROR(INDEX('SAÍDA DE VENDAS'!$H$6:$H$500 &amp; "x " &amp; 'SAÍDA DE VENDAS'!$G$6:$G$500, MATCH(B813, 'SAÍDA DE VENDAS'!$B$6:$B$500, 0)+2), ""), "")&amp; IF(COUNTIF('SAÍDA DE VENDAS'!$B$6:$B$500, B813)&gt;3, " + " &amp; IFERROR(INDEX('SAÍDA DE VENDAS'!$H$6:$H$500 &amp; "x " &amp; 'SAÍDA DE VENDAS'!$G$6:$G$500, MATCH(B813, 'SAÍDA DE VENDAS'!$B$6:$B$500, 0)+3), ""), "")&amp; IF(COUNTIF('SAÍDA DE VENDAS'!$B$6:$B$500, B813)&gt;4, " + " &amp; IFERROR(INDEX('SAÍDA DE VENDAS'!$H$6:$H$500 &amp; "x " &amp; 'SAÍDA DE VENDAS'!$G$6:$G$500, MATCH(B813, 'SAÍDA DE VENDAS'!$B$6:$B$500, 0)+4), ""), "")&amp; IF(COUNTIF('SAÍDA DE VENDAS'!$B$6:$B$500, B813)&gt;5, " + " &amp; IFERROR(INDEX('SAÍDA DE VENDAS'!$H$6:$H$500 &amp; "x " &amp; 'SAÍDA DE VENDAS'!$G$6:$G$500, MATCH(B813, 'SAÍDA DE VENDAS'!$B$6:$B$500, 0)+5), ""), ""))</f>
        <v/>
      </c>
      <c r="G813" s="34">
        <f>IFERROR(VLOOKUP(B813,'SAÍDA DE VENDAS'!$B$6:$P$500,10,FALSE),"")</f>
        <v>0</v>
      </c>
      <c r="H813" s="34" t="str">
        <f>IF(OR(ISBLANK(B813),B813=""), "", IF(B813=B812, (VALUE(LEFT(H812,FIND("/",H812)-1))+1)&amp;"/"&amp;RIGHT(H812,LEN(H812)-FIND("/",H812)), "1/"&amp;IFERROR(VLOOKUP(B813,'SAÍDA DE VENDAS'!$B$6:$P$500,13,FALSE),"1")))</f>
        <v/>
      </c>
      <c r="I813" s="35" t="str">
        <f t="shared" si="24"/>
        <v/>
      </c>
      <c r="J813" s="39" t="str">
        <f>IFERROR(VLOOKUP(B813,'SAÍDA DE VENDAS'!$B$6:$P$500,15,FALSE),"")</f>
        <v/>
      </c>
      <c r="K813" s="34" t="str">
        <f t="shared" ca="1" si="25"/>
        <v/>
      </c>
      <c r="L813" s="34"/>
      <c r="M813" s="34"/>
    </row>
    <row r="814" spans="2:13" ht="15" customHeight="1" x14ac:dyDescent="0.3">
      <c r="B814" s="28" t="str">
        <f>IF(B813="","", IF(VALUE(LEFT(H813,FIND("/",H813)-1)) &lt; VALUE(RIGHT(H813,LEN(H813)-FIND("/",H813))), B813, IFERROR(INDEX('SAÍDA DE VENDAS'!$B$6:$B$500, MATCH(B813,'SAÍDA DE VENDAS'!$B$6:$B$500,0)+COUNTIF('SAÍDA DE VENDAS'!$B$6:$B$500, B813)),"")))</f>
        <v/>
      </c>
      <c r="C814" s="29">
        <f>IFERROR(VLOOKUP(B814,'SAÍDA DE VENDAS'!$B$6:$P$500,3,FALSE),"")</f>
        <v>0</v>
      </c>
      <c r="D814" s="28">
        <f>IFERROR(VLOOKUP(B814,'SAÍDA DE VENDAS'!$B$6:$P$500,4,FALSE),"")</f>
        <v>0</v>
      </c>
      <c r="E814" s="28" t="str">
        <f>IFERROR(VLOOKUP(B814,'SAÍDA DE VENDAS'!$B$6:$P$500,5,FALSE),"")</f>
        <v/>
      </c>
      <c r="F814" s="28" t="str">
        <f>IF(OR(ISBLANK(B814),B814=""), "", IFERROR(INDEX('SAÍDA DE VENDAS'!$H$6:$H$500 &amp; "x " &amp; 'SAÍDA DE VENDAS'!$G$6:$G$500, MATCH(B814, 'SAÍDA DE VENDAS'!$B$6:$B$500, 0)), "")&amp; IF(COUNTIF('SAÍDA DE VENDAS'!$B$6:$B$500, B814)&gt;1, " + " &amp; IFERROR(INDEX('SAÍDA DE VENDAS'!$H$6:$H$500 &amp; "x " &amp; 'SAÍDA DE VENDAS'!$G$6:$G$500, MATCH(B814, 'SAÍDA DE VENDAS'!$B$6:$B$500, 0)+1), ""), "")&amp; IF(COUNTIF('SAÍDA DE VENDAS'!$B$6:$B$500, B814)&gt;2, " + " &amp; IFERROR(INDEX('SAÍDA DE VENDAS'!$H$6:$H$500 &amp; "x " &amp; 'SAÍDA DE VENDAS'!$G$6:$G$500, MATCH(B814, 'SAÍDA DE VENDAS'!$B$6:$B$500, 0)+2), ""), "")&amp; IF(COUNTIF('SAÍDA DE VENDAS'!$B$6:$B$500, B814)&gt;3, " + " &amp; IFERROR(INDEX('SAÍDA DE VENDAS'!$H$6:$H$500 &amp; "x " &amp; 'SAÍDA DE VENDAS'!$G$6:$G$500, MATCH(B814, 'SAÍDA DE VENDAS'!$B$6:$B$500, 0)+3), ""), "")&amp; IF(COUNTIF('SAÍDA DE VENDAS'!$B$6:$B$500, B814)&gt;4, " + " &amp; IFERROR(INDEX('SAÍDA DE VENDAS'!$H$6:$H$500 &amp; "x " &amp; 'SAÍDA DE VENDAS'!$G$6:$G$500, MATCH(B814, 'SAÍDA DE VENDAS'!$B$6:$B$500, 0)+4), ""), "")&amp; IF(COUNTIF('SAÍDA DE VENDAS'!$B$6:$B$500, B814)&gt;5, " + " &amp; IFERROR(INDEX('SAÍDA DE VENDAS'!$H$6:$H$500 &amp; "x " &amp; 'SAÍDA DE VENDAS'!$G$6:$G$500, MATCH(B814, 'SAÍDA DE VENDAS'!$B$6:$B$500, 0)+5), ""), ""))</f>
        <v/>
      </c>
      <c r="G814" s="28">
        <f>IFERROR(VLOOKUP(B814,'SAÍDA DE VENDAS'!$B$6:$P$500,10,FALSE),"")</f>
        <v>0</v>
      </c>
      <c r="H814" s="28" t="str">
        <f>IF(OR(ISBLANK(B814),B814=""), "", IF(B814=B813, (VALUE(LEFT(H813,FIND("/",H813)-1))+1)&amp;"/"&amp;RIGHT(H813,LEN(H813)-FIND("/",H813)), "1/"&amp;IFERROR(VLOOKUP(B814,'SAÍDA DE VENDAS'!$B$6:$P$500,13,FALSE),"1")))</f>
        <v/>
      </c>
      <c r="I814" s="69" t="str">
        <f t="shared" si="24"/>
        <v/>
      </c>
      <c r="J814" s="33" t="str">
        <f>IFERROR(VLOOKUP(B814,'SAÍDA DE VENDAS'!$B$6:$P$500,15,FALSE),"")</f>
        <v/>
      </c>
      <c r="K814" s="28" t="str">
        <f t="shared" ca="1" si="25"/>
        <v/>
      </c>
      <c r="L814" s="28"/>
      <c r="M814" s="28"/>
    </row>
    <row r="815" spans="2:13" ht="15" customHeight="1" x14ac:dyDescent="0.3">
      <c r="B815" s="34" t="str">
        <f>IF(B814="","", IF(VALUE(LEFT(H814,FIND("/",H814)-1)) &lt; VALUE(RIGHT(H814,LEN(H814)-FIND("/",H814))), B814, IFERROR(INDEX('SAÍDA DE VENDAS'!$B$6:$B$500, MATCH(B814,'SAÍDA DE VENDAS'!$B$6:$B$500,0)+COUNTIF('SAÍDA DE VENDAS'!$B$6:$B$500, B814)),"")))</f>
        <v/>
      </c>
      <c r="C815" s="35">
        <f>IFERROR(VLOOKUP(B815,'SAÍDA DE VENDAS'!$B$6:$P$500,3,FALSE),"")</f>
        <v>0</v>
      </c>
      <c r="D815" s="34">
        <f>IFERROR(VLOOKUP(B815,'SAÍDA DE VENDAS'!$B$6:$P$500,4,FALSE),"")</f>
        <v>0</v>
      </c>
      <c r="E815" s="34" t="str">
        <f>IFERROR(VLOOKUP(B815,'SAÍDA DE VENDAS'!$B$6:$P$500,5,FALSE),"")</f>
        <v/>
      </c>
      <c r="F815" s="34" t="str">
        <f>IF(OR(ISBLANK(B815),B815=""), "", IFERROR(INDEX('SAÍDA DE VENDAS'!$H$6:$H$500 &amp; "x " &amp; 'SAÍDA DE VENDAS'!$G$6:$G$500, MATCH(B815, 'SAÍDA DE VENDAS'!$B$6:$B$500, 0)), "")&amp; IF(COUNTIF('SAÍDA DE VENDAS'!$B$6:$B$500, B815)&gt;1, " + " &amp; IFERROR(INDEX('SAÍDA DE VENDAS'!$H$6:$H$500 &amp; "x " &amp; 'SAÍDA DE VENDAS'!$G$6:$G$500, MATCH(B815, 'SAÍDA DE VENDAS'!$B$6:$B$500, 0)+1), ""), "")&amp; IF(COUNTIF('SAÍDA DE VENDAS'!$B$6:$B$500, B815)&gt;2, " + " &amp; IFERROR(INDEX('SAÍDA DE VENDAS'!$H$6:$H$500 &amp; "x " &amp; 'SAÍDA DE VENDAS'!$G$6:$G$500, MATCH(B815, 'SAÍDA DE VENDAS'!$B$6:$B$500, 0)+2), ""), "")&amp; IF(COUNTIF('SAÍDA DE VENDAS'!$B$6:$B$500, B815)&gt;3, " + " &amp; IFERROR(INDEX('SAÍDA DE VENDAS'!$H$6:$H$500 &amp; "x " &amp; 'SAÍDA DE VENDAS'!$G$6:$G$500, MATCH(B815, 'SAÍDA DE VENDAS'!$B$6:$B$500, 0)+3), ""), "")&amp; IF(COUNTIF('SAÍDA DE VENDAS'!$B$6:$B$500, B815)&gt;4, " + " &amp; IFERROR(INDEX('SAÍDA DE VENDAS'!$H$6:$H$500 &amp; "x " &amp; 'SAÍDA DE VENDAS'!$G$6:$G$500, MATCH(B815, 'SAÍDA DE VENDAS'!$B$6:$B$500, 0)+4), ""), "")&amp; IF(COUNTIF('SAÍDA DE VENDAS'!$B$6:$B$500, B815)&gt;5, " + " &amp; IFERROR(INDEX('SAÍDA DE VENDAS'!$H$6:$H$500 &amp; "x " &amp; 'SAÍDA DE VENDAS'!$G$6:$G$500, MATCH(B815, 'SAÍDA DE VENDAS'!$B$6:$B$500, 0)+5), ""), ""))</f>
        <v/>
      </c>
      <c r="G815" s="34">
        <f>IFERROR(VLOOKUP(B815,'SAÍDA DE VENDAS'!$B$6:$P$500,10,FALSE),"")</f>
        <v>0</v>
      </c>
      <c r="H815" s="34" t="str">
        <f>IF(OR(ISBLANK(B815),B815=""), "", IF(B815=B814, (VALUE(LEFT(H814,FIND("/",H814)-1))+1)&amp;"/"&amp;RIGHT(H814,LEN(H814)-FIND("/",H814)), "1/"&amp;IFERROR(VLOOKUP(B815,'SAÍDA DE VENDAS'!$B$6:$P$500,13,FALSE),"1")))</f>
        <v/>
      </c>
      <c r="I815" s="35" t="str">
        <f t="shared" si="24"/>
        <v/>
      </c>
      <c r="J815" s="39" t="str">
        <f>IFERROR(VLOOKUP(B815,'SAÍDA DE VENDAS'!$B$6:$P$500,15,FALSE),"")</f>
        <v/>
      </c>
      <c r="K815" s="34" t="str">
        <f t="shared" ca="1" si="25"/>
        <v/>
      </c>
      <c r="L815" s="34"/>
      <c r="M815" s="34"/>
    </row>
    <row r="816" spans="2:13" ht="15" customHeight="1" x14ac:dyDescent="0.3">
      <c r="B816" s="28" t="str">
        <f>IF(B815="","", IF(VALUE(LEFT(H815,FIND("/",H815)-1)) &lt; VALUE(RIGHT(H815,LEN(H815)-FIND("/",H815))), B815, IFERROR(INDEX('SAÍDA DE VENDAS'!$B$6:$B$500, MATCH(B815,'SAÍDA DE VENDAS'!$B$6:$B$500,0)+COUNTIF('SAÍDA DE VENDAS'!$B$6:$B$500, B815)),"")))</f>
        <v/>
      </c>
      <c r="C816" s="29">
        <f>IFERROR(VLOOKUP(B816,'SAÍDA DE VENDAS'!$B$6:$P$500,3,FALSE),"")</f>
        <v>0</v>
      </c>
      <c r="D816" s="28">
        <f>IFERROR(VLOOKUP(B816,'SAÍDA DE VENDAS'!$B$6:$P$500,4,FALSE),"")</f>
        <v>0</v>
      </c>
      <c r="E816" s="28" t="str">
        <f>IFERROR(VLOOKUP(B816,'SAÍDA DE VENDAS'!$B$6:$P$500,5,FALSE),"")</f>
        <v/>
      </c>
      <c r="F816" s="28" t="str">
        <f>IF(OR(ISBLANK(B816),B816=""), "", IFERROR(INDEX('SAÍDA DE VENDAS'!$H$6:$H$500 &amp; "x " &amp; 'SAÍDA DE VENDAS'!$G$6:$G$500, MATCH(B816, 'SAÍDA DE VENDAS'!$B$6:$B$500, 0)), "")&amp; IF(COUNTIF('SAÍDA DE VENDAS'!$B$6:$B$500, B816)&gt;1, " + " &amp; IFERROR(INDEX('SAÍDA DE VENDAS'!$H$6:$H$500 &amp; "x " &amp; 'SAÍDA DE VENDAS'!$G$6:$G$500, MATCH(B816, 'SAÍDA DE VENDAS'!$B$6:$B$500, 0)+1), ""), "")&amp; IF(COUNTIF('SAÍDA DE VENDAS'!$B$6:$B$500, B816)&gt;2, " + " &amp; IFERROR(INDEX('SAÍDA DE VENDAS'!$H$6:$H$500 &amp; "x " &amp; 'SAÍDA DE VENDAS'!$G$6:$G$500, MATCH(B816, 'SAÍDA DE VENDAS'!$B$6:$B$500, 0)+2), ""), "")&amp; IF(COUNTIF('SAÍDA DE VENDAS'!$B$6:$B$500, B816)&gt;3, " + " &amp; IFERROR(INDEX('SAÍDA DE VENDAS'!$H$6:$H$500 &amp; "x " &amp; 'SAÍDA DE VENDAS'!$G$6:$G$500, MATCH(B816, 'SAÍDA DE VENDAS'!$B$6:$B$500, 0)+3), ""), "")&amp; IF(COUNTIF('SAÍDA DE VENDAS'!$B$6:$B$500, B816)&gt;4, " + " &amp; IFERROR(INDEX('SAÍDA DE VENDAS'!$H$6:$H$500 &amp; "x " &amp; 'SAÍDA DE VENDAS'!$G$6:$G$500, MATCH(B816, 'SAÍDA DE VENDAS'!$B$6:$B$500, 0)+4), ""), "")&amp; IF(COUNTIF('SAÍDA DE VENDAS'!$B$6:$B$500, B816)&gt;5, " + " &amp; IFERROR(INDEX('SAÍDA DE VENDAS'!$H$6:$H$500 &amp; "x " &amp; 'SAÍDA DE VENDAS'!$G$6:$G$500, MATCH(B816, 'SAÍDA DE VENDAS'!$B$6:$B$500, 0)+5), ""), ""))</f>
        <v/>
      </c>
      <c r="G816" s="28">
        <f>IFERROR(VLOOKUP(B816,'SAÍDA DE VENDAS'!$B$6:$P$500,10,FALSE),"")</f>
        <v>0</v>
      </c>
      <c r="H816" s="28" t="str">
        <f>IF(OR(ISBLANK(B816),B816=""), "", IF(B816=B815, (VALUE(LEFT(H815,FIND("/",H815)-1))+1)&amp;"/"&amp;RIGHT(H815,LEN(H815)-FIND("/",H815)), "1/"&amp;IFERROR(VLOOKUP(B816,'SAÍDA DE VENDAS'!$B$6:$P$500,13,FALSE),"1")))</f>
        <v/>
      </c>
      <c r="I816" s="69" t="str">
        <f t="shared" si="24"/>
        <v/>
      </c>
      <c r="J816" s="33" t="str">
        <f>IFERROR(VLOOKUP(B816,'SAÍDA DE VENDAS'!$B$6:$P$500,15,FALSE),"")</f>
        <v/>
      </c>
      <c r="K816" s="28" t="str">
        <f t="shared" ca="1" si="25"/>
        <v/>
      </c>
      <c r="L816" s="28"/>
      <c r="M816" s="28"/>
    </row>
    <row r="817" spans="2:13" ht="15" customHeight="1" x14ac:dyDescent="0.3">
      <c r="B817" s="34" t="str">
        <f>IF(B816="","", IF(VALUE(LEFT(H816,FIND("/",H816)-1)) &lt; VALUE(RIGHT(H816,LEN(H816)-FIND("/",H816))), B816, IFERROR(INDEX('SAÍDA DE VENDAS'!$B$6:$B$500, MATCH(B816,'SAÍDA DE VENDAS'!$B$6:$B$500,0)+COUNTIF('SAÍDA DE VENDAS'!$B$6:$B$500, B816)),"")))</f>
        <v/>
      </c>
      <c r="C817" s="35">
        <f>IFERROR(VLOOKUP(B817,'SAÍDA DE VENDAS'!$B$6:$P$500,3,FALSE),"")</f>
        <v>0</v>
      </c>
      <c r="D817" s="34">
        <f>IFERROR(VLOOKUP(B817,'SAÍDA DE VENDAS'!$B$6:$P$500,4,FALSE),"")</f>
        <v>0</v>
      </c>
      <c r="E817" s="34" t="str">
        <f>IFERROR(VLOOKUP(B817,'SAÍDA DE VENDAS'!$B$6:$P$500,5,FALSE),"")</f>
        <v/>
      </c>
      <c r="F817" s="34" t="str">
        <f>IF(OR(ISBLANK(B817),B817=""), "", IFERROR(INDEX('SAÍDA DE VENDAS'!$H$6:$H$500 &amp; "x " &amp; 'SAÍDA DE VENDAS'!$G$6:$G$500, MATCH(B817, 'SAÍDA DE VENDAS'!$B$6:$B$500, 0)), "")&amp; IF(COUNTIF('SAÍDA DE VENDAS'!$B$6:$B$500, B817)&gt;1, " + " &amp; IFERROR(INDEX('SAÍDA DE VENDAS'!$H$6:$H$500 &amp; "x " &amp; 'SAÍDA DE VENDAS'!$G$6:$G$500, MATCH(B817, 'SAÍDA DE VENDAS'!$B$6:$B$500, 0)+1), ""), "")&amp; IF(COUNTIF('SAÍDA DE VENDAS'!$B$6:$B$500, B817)&gt;2, " + " &amp; IFERROR(INDEX('SAÍDA DE VENDAS'!$H$6:$H$500 &amp; "x " &amp; 'SAÍDA DE VENDAS'!$G$6:$G$500, MATCH(B817, 'SAÍDA DE VENDAS'!$B$6:$B$500, 0)+2), ""), "")&amp; IF(COUNTIF('SAÍDA DE VENDAS'!$B$6:$B$500, B817)&gt;3, " + " &amp; IFERROR(INDEX('SAÍDA DE VENDAS'!$H$6:$H$500 &amp; "x " &amp; 'SAÍDA DE VENDAS'!$G$6:$G$500, MATCH(B817, 'SAÍDA DE VENDAS'!$B$6:$B$500, 0)+3), ""), "")&amp; IF(COUNTIF('SAÍDA DE VENDAS'!$B$6:$B$500, B817)&gt;4, " + " &amp; IFERROR(INDEX('SAÍDA DE VENDAS'!$H$6:$H$500 &amp; "x " &amp; 'SAÍDA DE VENDAS'!$G$6:$G$500, MATCH(B817, 'SAÍDA DE VENDAS'!$B$6:$B$500, 0)+4), ""), "")&amp; IF(COUNTIF('SAÍDA DE VENDAS'!$B$6:$B$500, B817)&gt;5, " + " &amp; IFERROR(INDEX('SAÍDA DE VENDAS'!$H$6:$H$500 &amp; "x " &amp; 'SAÍDA DE VENDAS'!$G$6:$G$500, MATCH(B817, 'SAÍDA DE VENDAS'!$B$6:$B$500, 0)+5), ""), ""))</f>
        <v/>
      </c>
      <c r="G817" s="34">
        <f>IFERROR(VLOOKUP(B817,'SAÍDA DE VENDAS'!$B$6:$P$500,10,FALSE),"")</f>
        <v>0</v>
      </c>
      <c r="H817" s="34" t="str">
        <f>IF(OR(ISBLANK(B817),B817=""), "", IF(B817=B816, (VALUE(LEFT(H816,FIND("/",H816)-1))+1)&amp;"/"&amp;RIGHT(H816,LEN(H816)-FIND("/",H816)), "1/"&amp;IFERROR(VLOOKUP(B817,'SAÍDA DE VENDAS'!$B$6:$P$500,13,FALSE),"1")))</f>
        <v/>
      </c>
      <c r="I817" s="35" t="str">
        <f t="shared" si="24"/>
        <v/>
      </c>
      <c r="J817" s="39" t="str">
        <f>IFERROR(VLOOKUP(B817,'SAÍDA DE VENDAS'!$B$6:$P$500,15,FALSE),"")</f>
        <v/>
      </c>
      <c r="K817" s="34" t="str">
        <f t="shared" ca="1" si="25"/>
        <v/>
      </c>
      <c r="L817" s="34"/>
      <c r="M817" s="34"/>
    </row>
    <row r="818" spans="2:13" ht="15" customHeight="1" x14ac:dyDescent="0.3">
      <c r="B818" s="28" t="str">
        <f>IF(B817="","", IF(VALUE(LEFT(H817,FIND("/",H817)-1)) &lt; VALUE(RIGHT(H817,LEN(H817)-FIND("/",H817))), B817, IFERROR(INDEX('SAÍDA DE VENDAS'!$B$6:$B$500, MATCH(B817,'SAÍDA DE VENDAS'!$B$6:$B$500,0)+COUNTIF('SAÍDA DE VENDAS'!$B$6:$B$500, B817)),"")))</f>
        <v/>
      </c>
      <c r="C818" s="29">
        <f>IFERROR(VLOOKUP(B818,'SAÍDA DE VENDAS'!$B$6:$P$500,3,FALSE),"")</f>
        <v>0</v>
      </c>
      <c r="D818" s="28">
        <f>IFERROR(VLOOKUP(B818,'SAÍDA DE VENDAS'!$B$6:$P$500,4,FALSE),"")</f>
        <v>0</v>
      </c>
      <c r="E818" s="28" t="str">
        <f>IFERROR(VLOOKUP(B818,'SAÍDA DE VENDAS'!$B$6:$P$500,5,FALSE),"")</f>
        <v/>
      </c>
      <c r="F818" s="28" t="str">
        <f>IF(OR(ISBLANK(B818),B818=""), "", IFERROR(INDEX('SAÍDA DE VENDAS'!$H$6:$H$500 &amp; "x " &amp; 'SAÍDA DE VENDAS'!$G$6:$G$500, MATCH(B818, 'SAÍDA DE VENDAS'!$B$6:$B$500, 0)), "")&amp; IF(COUNTIF('SAÍDA DE VENDAS'!$B$6:$B$500, B818)&gt;1, " + " &amp; IFERROR(INDEX('SAÍDA DE VENDAS'!$H$6:$H$500 &amp; "x " &amp; 'SAÍDA DE VENDAS'!$G$6:$G$500, MATCH(B818, 'SAÍDA DE VENDAS'!$B$6:$B$500, 0)+1), ""), "")&amp; IF(COUNTIF('SAÍDA DE VENDAS'!$B$6:$B$500, B818)&gt;2, " + " &amp; IFERROR(INDEX('SAÍDA DE VENDAS'!$H$6:$H$500 &amp; "x " &amp; 'SAÍDA DE VENDAS'!$G$6:$G$500, MATCH(B818, 'SAÍDA DE VENDAS'!$B$6:$B$500, 0)+2), ""), "")&amp; IF(COUNTIF('SAÍDA DE VENDAS'!$B$6:$B$500, B818)&gt;3, " + " &amp; IFERROR(INDEX('SAÍDA DE VENDAS'!$H$6:$H$500 &amp; "x " &amp; 'SAÍDA DE VENDAS'!$G$6:$G$500, MATCH(B818, 'SAÍDA DE VENDAS'!$B$6:$B$500, 0)+3), ""), "")&amp; IF(COUNTIF('SAÍDA DE VENDAS'!$B$6:$B$500, B818)&gt;4, " + " &amp; IFERROR(INDEX('SAÍDA DE VENDAS'!$H$6:$H$500 &amp; "x " &amp; 'SAÍDA DE VENDAS'!$G$6:$G$500, MATCH(B818, 'SAÍDA DE VENDAS'!$B$6:$B$500, 0)+4), ""), "")&amp; IF(COUNTIF('SAÍDA DE VENDAS'!$B$6:$B$500, B818)&gt;5, " + " &amp; IFERROR(INDEX('SAÍDA DE VENDAS'!$H$6:$H$500 &amp; "x " &amp; 'SAÍDA DE VENDAS'!$G$6:$G$500, MATCH(B818, 'SAÍDA DE VENDAS'!$B$6:$B$500, 0)+5), ""), ""))</f>
        <v/>
      </c>
      <c r="G818" s="28">
        <f>IFERROR(VLOOKUP(B818,'SAÍDA DE VENDAS'!$B$6:$P$500,10,FALSE),"")</f>
        <v>0</v>
      </c>
      <c r="H818" s="28" t="str">
        <f>IF(OR(ISBLANK(B818),B818=""), "", IF(B818=B817, (VALUE(LEFT(H817,FIND("/",H817)-1))+1)&amp;"/"&amp;RIGHT(H817,LEN(H817)-FIND("/",H817)), "1/"&amp;IFERROR(VLOOKUP(B818,'SAÍDA DE VENDAS'!$B$6:$P$500,13,FALSE),"1")))</f>
        <v/>
      </c>
      <c r="I818" s="69" t="str">
        <f t="shared" si="24"/>
        <v/>
      </c>
      <c r="J818" s="33" t="str">
        <f>IFERROR(VLOOKUP(B818,'SAÍDA DE VENDAS'!$B$6:$P$500,15,FALSE),"")</f>
        <v/>
      </c>
      <c r="K818" s="28" t="str">
        <f t="shared" ca="1" si="25"/>
        <v/>
      </c>
      <c r="L818" s="28"/>
      <c r="M818" s="28"/>
    </row>
    <row r="819" spans="2:13" ht="15" customHeight="1" x14ac:dyDescent="0.3">
      <c r="B819" s="34" t="str">
        <f>IF(B818="","", IF(VALUE(LEFT(H818,FIND("/",H818)-1)) &lt; VALUE(RIGHT(H818,LEN(H818)-FIND("/",H818))), B818, IFERROR(INDEX('SAÍDA DE VENDAS'!$B$6:$B$500, MATCH(B818,'SAÍDA DE VENDAS'!$B$6:$B$500,0)+COUNTIF('SAÍDA DE VENDAS'!$B$6:$B$500, B818)),"")))</f>
        <v/>
      </c>
      <c r="C819" s="35">
        <f>IFERROR(VLOOKUP(B819,'SAÍDA DE VENDAS'!$B$6:$P$500,3,FALSE),"")</f>
        <v>0</v>
      </c>
      <c r="D819" s="34">
        <f>IFERROR(VLOOKUP(B819,'SAÍDA DE VENDAS'!$B$6:$P$500,4,FALSE),"")</f>
        <v>0</v>
      </c>
      <c r="E819" s="34" t="str">
        <f>IFERROR(VLOOKUP(B819,'SAÍDA DE VENDAS'!$B$6:$P$500,5,FALSE),"")</f>
        <v/>
      </c>
      <c r="F819" s="34" t="str">
        <f>IF(OR(ISBLANK(B819),B819=""), "", IFERROR(INDEX('SAÍDA DE VENDAS'!$H$6:$H$500 &amp; "x " &amp; 'SAÍDA DE VENDAS'!$G$6:$G$500, MATCH(B819, 'SAÍDA DE VENDAS'!$B$6:$B$500, 0)), "")&amp; IF(COUNTIF('SAÍDA DE VENDAS'!$B$6:$B$500, B819)&gt;1, " + " &amp; IFERROR(INDEX('SAÍDA DE VENDAS'!$H$6:$H$500 &amp; "x " &amp; 'SAÍDA DE VENDAS'!$G$6:$G$500, MATCH(B819, 'SAÍDA DE VENDAS'!$B$6:$B$500, 0)+1), ""), "")&amp; IF(COUNTIF('SAÍDA DE VENDAS'!$B$6:$B$500, B819)&gt;2, " + " &amp; IFERROR(INDEX('SAÍDA DE VENDAS'!$H$6:$H$500 &amp; "x " &amp; 'SAÍDA DE VENDAS'!$G$6:$G$500, MATCH(B819, 'SAÍDA DE VENDAS'!$B$6:$B$500, 0)+2), ""), "")&amp; IF(COUNTIF('SAÍDA DE VENDAS'!$B$6:$B$500, B819)&gt;3, " + " &amp; IFERROR(INDEX('SAÍDA DE VENDAS'!$H$6:$H$500 &amp; "x " &amp; 'SAÍDA DE VENDAS'!$G$6:$G$500, MATCH(B819, 'SAÍDA DE VENDAS'!$B$6:$B$500, 0)+3), ""), "")&amp; IF(COUNTIF('SAÍDA DE VENDAS'!$B$6:$B$500, B819)&gt;4, " + " &amp; IFERROR(INDEX('SAÍDA DE VENDAS'!$H$6:$H$500 &amp; "x " &amp; 'SAÍDA DE VENDAS'!$G$6:$G$500, MATCH(B819, 'SAÍDA DE VENDAS'!$B$6:$B$500, 0)+4), ""), "")&amp; IF(COUNTIF('SAÍDA DE VENDAS'!$B$6:$B$500, B819)&gt;5, " + " &amp; IFERROR(INDEX('SAÍDA DE VENDAS'!$H$6:$H$500 &amp; "x " &amp; 'SAÍDA DE VENDAS'!$G$6:$G$500, MATCH(B819, 'SAÍDA DE VENDAS'!$B$6:$B$500, 0)+5), ""), ""))</f>
        <v/>
      </c>
      <c r="G819" s="34">
        <f>IFERROR(VLOOKUP(B819,'SAÍDA DE VENDAS'!$B$6:$P$500,10,FALSE),"")</f>
        <v>0</v>
      </c>
      <c r="H819" s="34" t="str">
        <f>IF(OR(ISBLANK(B819),B819=""), "", IF(B819=B818, (VALUE(LEFT(H818,FIND("/",H818)-1))+1)&amp;"/"&amp;RIGHT(H818,LEN(H818)-FIND("/",H818)), "1/"&amp;IFERROR(VLOOKUP(B819,'SAÍDA DE VENDAS'!$B$6:$P$500,13,FALSE),"1")))</f>
        <v/>
      </c>
      <c r="I819" s="35" t="str">
        <f t="shared" si="24"/>
        <v/>
      </c>
      <c r="J819" s="39" t="str">
        <f>IFERROR(VLOOKUP(B819,'SAÍDA DE VENDAS'!$B$6:$P$500,15,FALSE),"")</f>
        <v/>
      </c>
      <c r="K819" s="34" t="str">
        <f t="shared" ca="1" si="25"/>
        <v/>
      </c>
      <c r="L819" s="34"/>
      <c r="M819" s="34"/>
    </row>
    <row r="820" spans="2:13" ht="15" customHeight="1" x14ac:dyDescent="0.3">
      <c r="B820" s="28" t="str">
        <f>IF(B819="","", IF(VALUE(LEFT(H819,FIND("/",H819)-1)) &lt; VALUE(RIGHT(H819,LEN(H819)-FIND("/",H819))), B819, IFERROR(INDEX('SAÍDA DE VENDAS'!$B$6:$B$500, MATCH(B819,'SAÍDA DE VENDAS'!$B$6:$B$500,0)+COUNTIF('SAÍDA DE VENDAS'!$B$6:$B$500, B819)),"")))</f>
        <v/>
      </c>
      <c r="C820" s="29">
        <f>IFERROR(VLOOKUP(B820,'SAÍDA DE VENDAS'!$B$6:$P$500,3,FALSE),"")</f>
        <v>0</v>
      </c>
      <c r="D820" s="28">
        <f>IFERROR(VLOOKUP(B820,'SAÍDA DE VENDAS'!$B$6:$P$500,4,FALSE),"")</f>
        <v>0</v>
      </c>
      <c r="E820" s="28" t="str">
        <f>IFERROR(VLOOKUP(B820,'SAÍDA DE VENDAS'!$B$6:$P$500,5,FALSE),"")</f>
        <v/>
      </c>
      <c r="F820" s="28" t="str">
        <f>IF(OR(ISBLANK(B820),B820=""), "", IFERROR(INDEX('SAÍDA DE VENDAS'!$H$6:$H$500 &amp; "x " &amp; 'SAÍDA DE VENDAS'!$G$6:$G$500, MATCH(B820, 'SAÍDA DE VENDAS'!$B$6:$B$500, 0)), "")&amp; IF(COUNTIF('SAÍDA DE VENDAS'!$B$6:$B$500, B820)&gt;1, " + " &amp; IFERROR(INDEX('SAÍDA DE VENDAS'!$H$6:$H$500 &amp; "x " &amp; 'SAÍDA DE VENDAS'!$G$6:$G$500, MATCH(B820, 'SAÍDA DE VENDAS'!$B$6:$B$500, 0)+1), ""), "")&amp; IF(COUNTIF('SAÍDA DE VENDAS'!$B$6:$B$500, B820)&gt;2, " + " &amp; IFERROR(INDEX('SAÍDA DE VENDAS'!$H$6:$H$500 &amp; "x " &amp; 'SAÍDA DE VENDAS'!$G$6:$G$500, MATCH(B820, 'SAÍDA DE VENDAS'!$B$6:$B$500, 0)+2), ""), "")&amp; IF(COUNTIF('SAÍDA DE VENDAS'!$B$6:$B$500, B820)&gt;3, " + " &amp; IFERROR(INDEX('SAÍDA DE VENDAS'!$H$6:$H$500 &amp; "x " &amp; 'SAÍDA DE VENDAS'!$G$6:$G$500, MATCH(B820, 'SAÍDA DE VENDAS'!$B$6:$B$500, 0)+3), ""), "")&amp; IF(COUNTIF('SAÍDA DE VENDAS'!$B$6:$B$500, B820)&gt;4, " + " &amp; IFERROR(INDEX('SAÍDA DE VENDAS'!$H$6:$H$500 &amp; "x " &amp; 'SAÍDA DE VENDAS'!$G$6:$G$500, MATCH(B820, 'SAÍDA DE VENDAS'!$B$6:$B$500, 0)+4), ""), "")&amp; IF(COUNTIF('SAÍDA DE VENDAS'!$B$6:$B$500, B820)&gt;5, " + " &amp; IFERROR(INDEX('SAÍDA DE VENDAS'!$H$6:$H$500 &amp; "x " &amp; 'SAÍDA DE VENDAS'!$G$6:$G$500, MATCH(B820, 'SAÍDA DE VENDAS'!$B$6:$B$500, 0)+5), ""), ""))</f>
        <v/>
      </c>
      <c r="G820" s="28">
        <f>IFERROR(VLOOKUP(B820,'SAÍDA DE VENDAS'!$B$6:$P$500,10,FALSE),"")</f>
        <v>0</v>
      </c>
      <c r="H820" s="28" t="str">
        <f>IF(OR(ISBLANK(B820),B820=""), "", IF(B820=B819, (VALUE(LEFT(H819,FIND("/",H819)-1))+1)&amp;"/"&amp;RIGHT(H819,LEN(H819)-FIND("/",H819)), "1/"&amp;IFERROR(VLOOKUP(B820,'SAÍDA DE VENDAS'!$B$6:$P$500,13,FALSE),"1")))</f>
        <v/>
      </c>
      <c r="I820" s="69" t="str">
        <f t="shared" si="24"/>
        <v/>
      </c>
      <c r="J820" s="33" t="str">
        <f>IFERROR(VLOOKUP(B820,'SAÍDA DE VENDAS'!$B$6:$P$500,15,FALSE),"")</f>
        <v/>
      </c>
      <c r="K820" s="28" t="str">
        <f t="shared" ca="1" si="25"/>
        <v/>
      </c>
      <c r="L820" s="28"/>
      <c r="M820" s="28"/>
    </row>
    <row r="821" spans="2:13" ht="15" customHeight="1" x14ac:dyDescent="0.3">
      <c r="B821" s="34" t="str">
        <f>IF(B820="","", IF(VALUE(LEFT(H820,FIND("/",H820)-1)) &lt; VALUE(RIGHT(H820,LEN(H820)-FIND("/",H820))), B820, IFERROR(INDEX('SAÍDA DE VENDAS'!$B$6:$B$500, MATCH(B820,'SAÍDA DE VENDAS'!$B$6:$B$500,0)+COUNTIF('SAÍDA DE VENDAS'!$B$6:$B$500, B820)),"")))</f>
        <v/>
      </c>
      <c r="C821" s="35">
        <f>IFERROR(VLOOKUP(B821,'SAÍDA DE VENDAS'!$B$6:$P$500,3,FALSE),"")</f>
        <v>0</v>
      </c>
      <c r="D821" s="34">
        <f>IFERROR(VLOOKUP(B821,'SAÍDA DE VENDAS'!$B$6:$P$500,4,FALSE),"")</f>
        <v>0</v>
      </c>
      <c r="E821" s="34" t="str">
        <f>IFERROR(VLOOKUP(B821,'SAÍDA DE VENDAS'!$B$6:$P$500,5,FALSE),"")</f>
        <v/>
      </c>
      <c r="F821" s="34" t="str">
        <f>IF(OR(ISBLANK(B821),B821=""), "", IFERROR(INDEX('SAÍDA DE VENDAS'!$H$6:$H$500 &amp; "x " &amp; 'SAÍDA DE VENDAS'!$G$6:$G$500, MATCH(B821, 'SAÍDA DE VENDAS'!$B$6:$B$500, 0)), "")&amp; IF(COUNTIF('SAÍDA DE VENDAS'!$B$6:$B$500, B821)&gt;1, " + " &amp; IFERROR(INDEX('SAÍDA DE VENDAS'!$H$6:$H$500 &amp; "x " &amp; 'SAÍDA DE VENDAS'!$G$6:$G$500, MATCH(B821, 'SAÍDA DE VENDAS'!$B$6:$B$500, 0)+1), ""), "")&amp; IF(COUNTIF('SAÍDA DE VENDAS'!$B$6:$B$500, B821)&gt;2, " + " &amp; IFERROR(INDEX('SAÍDA DE VENDAS'!$H$6:$H$500 &amp; "x " &amp; 'SAÍDA DE VENDAS'!$G$6:$G$500, MATCH(B821, 'SAÍDA DE VENDAS'!$B$6:$B$500, 0)+2), ""), "")&amp; IF(COUNTIF('SAÍDA DE VENDAS'!$B$6:$B$500, B821)&gt;3, " + " &amp; IFERROR(INDEX('SAÍDA DE VENDAS'!$H$6:$H$500 &amp; "x " &amp; 'SAÍDA DE VENDAS'!$G$6:$G$500, MATCH(B821, 'SAÍDA DE VENDAS'!$B$6:$B$500, 0)+3), ""), "")&amp; IF(COUNTIF('SAÍDA DE VENDAS'!$B$6:$B$500, B821)&gt;4, " + " &amp; IFERROR(INDEX('SAÍDA DE VENDAS'!$H$6:$H$500 &amp; "x " &amp; 'SAÍDA DE VENDAS'!$G$6:$G$500, MATCH(B821, 'SAÍDA DE VENDAS'!$B$6:$B$500, 0)+4), ""), "")&amp; IF(COUNTIF('SAÍDA DE VENDAS'!$B$6:$B$500, B821)&gt;5, " + " &amp; IFERROR(INDEX('SAÍDA DE VENDAS'!$H$6:$H$500 &amp; "x " &amp; 'SAÍDA DE VENDAS'!$G$6:$G$500, MATCH(B821, 'SAÍDA DE VENDAS'!$B$6:$B$500, 0)+5), ""), ""))</f>
        <v/>
      </c>
      <c r="G821" s="34">
        <f>IFERROR(VLOOKUP(B821,'SAÍDA DE VENDAS'!$B$6:$P$500,10,FALSE),"")</f>
        <v>0</v>
      </c>
      <c r="H821" s="34" t="str">
        <f>IF(OR(ISBLANK(B821),B821=""), "", IF(B821=B820, (VALUE(LEFT(H820,FIND("/",H820)-1))+1)&amp;"/"&amp;RIGHT(H820,LEN(H820)-FIND("/",H820)), "1/"&amp;IFERROR(VLOOKUP(B821,'SAÍDA DE VENDAS'!$B$6:$P$500,13,FALSE),"1")))</f>
        <v/>
      </c>
      <c r="I821" s="35" t="str">
        <f t="shared" si="24"/>
        <v/>
      </c>
      <c r="J821" s="39" t="str">
        <f>IFERROR(VLOOKUP(B821,'SAÍDA DE VENDAS'!$B$6:$P$500,15,FALSE),"")</f>
        <v/>
      </c>
      <c r="K821" s="34" t="str">
        <f t="shared" ca="1" si="25"/>
        <v/>
      </c>
      <c r="L821" s="34"/>
      <c r="M821" s="34"/>
    </row>
    <row r="822" spans="2:13" ht="15" customHeight="1" x14ac:dyDescent="0.3">
      <c r="B822" s="28" t="str">
        <f>IF(B821="","", IF(VALUE(LEFT(H821,FIND("/",H821)-1)) &lt; VALUE(RIGHT(H821,LEN(H821)-FIND("/",H821))), B821, IFERROR(INDEX('SAÍDA DE VENDAS'!$B$6:$B$500, MATCH(B821,'SAÍDA DE VENDAS'!$B$6:$B$500,0)+COUNTIF('SAÍDA DE VENDAS'!$B$6:$B$500, B821)),"")))</f>
        <v/>
      </c>
      <c r="C822" s="29">
        <f>IFERROR(VLOOKUP(B822,'SAÍDA DE VENDAS'!$B$6:$P$500,3,FALSE),"")</f>
        <v>0</v>
      </c>
      <c r="D822" s="28">
        <f>IFERROR(VLOOKUP(B822,'SAÍDA DE VENDAS'!$B$6:$P$500,4,FALSE),"")</f>
        <v>0</v>
      </c>
      <c r="E822" s="28" t="str">
        <f>IFERROR(VLOOKUP(B822,'SAÍDA DE VENDAS'!$B$6:$P$500,5,FALSE),"")</f>
        <v/>
      </c>
      <c r="F822" s="28" t="str">
        <f>IF(OR(ISBLANK(B822),B822=""), "", IFERROR(INDEX('SAÍDA DE VENDAS'!$H$6:$H$500 &amp; "x " &amp; 'SAÍDA DE VENDAS'!$G$6:$G$500, MATCH(B822, 'SAÍDA DE VENDAS'!$B$6:$B$500, 0)), "")&amp; IF(COUNTIF('SAÍDA DE VENDAS'!$B$6:$B$500, B822)&gt;1, " + " &amp; IFERROR(INDEX('SAÍDA DE VENDAS'!$H$6:$H$500 &amp; "x " &amp; 'SAÍDA DE VENDAS'!$G$6:$G$500, MATCH(B822, 'SAÍDA DE VENDAS'!$B$6:$B$500, 0)+1), ""), "")&amp; IF(COUNTIF('SAÍDA DE VENDAS'!$B$6:$B$500, B822)&gt;2, " + " &amp; IFERROR(INDEX('SAÍDA DE VENDAS'!$H$6:$H$500 &amp; "x " &amp; 'SAÍDA DE VENDAS'!$G$6:$G$500, MATCH(B822, 'SAÍDA DE VENDAS'!$B$6:$B$500, 0)+2), ""), "")&amp; IF(COUNTIF('SAÍDA DE VENDAS'!$B$6:$B$500, B822)&gt;3, " + " &amp; IFERROR(INDEX('SAÍDA DE VENDAS'!$H$6:$H$500 &amp; "x " &amp; 'SAÍDA DE VENDAS'!$G$6:$G$500, MATCH(B822, 'SAÍDA DE VENDAS'!$B$6:$B$500, 0)+3), ""), "")&amp; IF(COUNTIF('SAÍDA DE VENDAS'!$B$6:$B$500, B822)&gt;4, " + " &amp; IFERROR(INDEX('SAÍDA DE VENDAS'!$H$6:$H$500 &amp; "x " &amp; 'SAÍDA DE VENDAS'!$G$6:$G$500, MATCH(B822, 'SAÍDA DE VENDAS'!$B$6:$B$500, 0)+4), ""), "")&amp; IF(COUNTIF('SAÍDA DE VENDAS'!$B$6:$B$500, B822)&gt;5, " + " &amp; IFERROR(INDEX('SAÍDA DE VENDAS'!$H$6:$H$500 &amp; "x " &amp; 'SAÍDA DE VENDAS'!$G$6:$G$500, MATCH(B822, 'SAÍDA DE VENDAS'!$B$6:$B$500, 0)+5), ""), ""))</f>
        <v/>
      </c>
      <c r="G822" s="28">
        <f>IFERROR(VLOOKUP(B822,'SAÍDA DE VENDAS'!$B$6:$P$500,10,FALSE),"")</f>
        <v>0</v>
      </c>
      <c r="H822" s="28" t="str">
        <f>IF(OR(ISBLANK(B822),B822=""), "", IF(B822=B821, (VALUE(LEFT(H821,FIND("/",H821)-1))+1)&amp;"/"&amp;RIGHT(H821,LEN(H821)-FIND("/",H821)), "1/"&amp;IFERROR(VLOOKUP(B822,'SAÍDA DE VENDAS'!$B$6:$P$500,13,FALSE),"1")))</f>
        <v/>
      </c>
      <c r="I822" s="69" t="str">
        <f t="shared" si="24"/>
        <v/>
      </c>
      <c r="J822" s="33" t="str">
        <f>IFERROR(VLOOKUP(B822,'SAÍDA DE VENDAS'!$B$6:$P$500,15,FALSE),"")</f>
        <v/>
      </c>
      <c r="K822" s="28" t="str">
        <f t="shared" ca="1" si="25"/>
        <v/>
      </c>
      <c r="L822" s="28"/>
      <c r="M822" s="28"/>
    </row>
    <row r="823" spans="2:13" ht="15" customHeight="1" x14ac:dyDescent="0.3">
      <c r="B823" s="34" t="str">
        <f>IF(B822="","", IF(VALUE(LEFT(H822,FIND("/",H822)-1)) &lt; VALUE(RIGHT(H822,LEN(H822)-FIND("/",H822))), B822, IFERROR(INDEX('SAÍDA DE VENDAS'!$B$6:$B$500, MATCH(B822,'SAÍDA DE VENDAS'!$B$6:$B$500,0)+COUNTIF('SAÍDA DE VENDAS'!$B$6:$B$500, B822)),"")))</f>
        <v/>
      </c>
      <c r="C823" s="35">
        <f>IFERROR(VLOOKUP(B823,'SAÍDA DE VENDAS'!$B$6:$P$500,3,FALSE),"")</f>
        <v>0</v>
      </c>
      <c r="D823" s="34">
        <f>IFERROR(VLOOKUP(B823,'SAÍDA DE VENDAS'!$B$6:$P$500,4,FALSE),"")</f>
        <v>0</v>
      </c>
      <c r="E823" s="34" t="str">
        <f>IFERROR(VLOOKUP(B823,'SAÍDA DE VENDAS'!$B$6:$P$500,5,FALSE),"")</f>
        <v/>
      </c>
      <c r="F823" s="34" t="str">
        <f>IF(OR(ISBLANK(B823),B823=""), "", IFERROR(INDEX('SAÍDA DE VENDAS'!$H$6:$H$500 &amp; "x " &amp; 'SAÍDA DE VENDAS'!$G$6:$G$500, MATCH(B823, 'SAÍDA DE VENDAS'!$B$6:$B$500, 0)), "")&amp; IF(COUNTIF('SAÍDA DE VENDAS'!$B$6:$B$500, B823)&gt;1, " + " &amp; IFERROR(INDEX('SAÍDA DE VENDAS'!$H$6:$H$500 &amp; "x " &amp; 'SAÍDA DE VENDAS'!$G$6:$G$500, MATCH(B823, 'SAÍDA DE VENDAS'!$B$6:$B$500, 0)+1), ""), "")&amp; IF(COUNTIF('SAÍDA DE VENDAS'!$B$6:$B$500, B823)&gt;2, " + " &amp; IFERROR(INDEX('SAÍDA DE VENDAS'!$H$6:$H$500 &amp; "x " &amp; 'SAÍDA DE VENDAS'!$G$6:$G$500, MATCH(B823, 'SAÍDA DE VENDAS'!$B$6:$B$500, 0)+2), ""), "")&amp; IF(COUNTIF('SAÍDA DE VENDAS'!$B$6:$B$500, B823)&gt;3, " + " &amp; IFERROR(INDEX('SAÍDA DE VENDAS'!$H$6:$H$500 &amp; "x " &amp; 'SAÍDA DE VENDAS'!$G$6:$G$500, MATCH(B823, 'SAÍDA DE VENDAS'!$B$6:$B$500, 0)+3), ""), "")&amp; IF(COUNTIF('SAÍDA DE VENDAS'!$B$6:$B$500, B823)&gt;4, " + " &amp; IFERROR(INDEX('SAÍDA DE VENDAS'!$H$6:$H$500 &amp; "x " &amp; 'SAÍDA DE VENDAS'!$G$6:$G$500, MATCH(B823, 'SAÍDA DE VENDAS'!$B$6:$B$500, 0)+4), ""), "")&amp; IF(COUNTIF('SAÍDA DE VENDAS'!$B$6:$B$500, B823)&gt;5, " + " &amp; IFERROR(INDEX('SAÍDA DE VENDAS'!$H$6:$H$500 &amp; "x " &amp; 'SAÍDA DE VENDAS'!$G$6:$G$500, MATCH(B823, 'SAÍDA DE VENDAS'!$B$6:$B$500, 0)+5), ""), ""))</f>
        <v/>
      </c>
      <c r="G823" s="34">
        <f>IFERROR(VLOOKUP(B823,'SAÍDA DE VENDAS'!$B$6:$P$500,10,FALSE),"")</f>
        <v>0</v>
      </c>
      <c r="H823" s="34" t="str">
        <f>IF(OR(ISBLANK(B823),B823=""), "", IF(B823=B822, (VALUE(LEFT(H822,FIND("/",H822)-1))+1)&amp;"/"&amp;RIGHT(H822,LEN(H822)-FIND("/",H822)), "1/"&amp;IFERROR(VLOOKUP(B823,'SAÍDA DE VENDAS'!$B$6:$P$500,13,FALSE),"1")))</f>
        <v/>
      </c>
      <c r="I823" s="35" t="str">
        <f t="shared" si="24"/>
        <v/>
      </c>
      <c r="J823" s="39" t="str">
        <f>IFERROR(VLOOKUP(B823,'SAÍDA DE VENDAS'!$B$6:$P$500,15,FALSE),"")</f>
        <v/>
      </c>
      <c r="K823" s="34" t="str">
        <f t="shared" ca="1" si="25"/>
        <v/>
      </c>
      <c r="L823" s="34"/>
      <c r="M823" s="34"/>
    </row>
    <row r="824" spans="2:13" ht="15" customHeight="1" x14ac:dyDescent="0.3">
      <c r="B824" s="28" t="str">
        <f>IF(B823="","", IF(VALUE(LEFT(H823,FIND("/",H823)-1)) &lt; VALUE(RIGHT(H823,LEN(H823)-FIND("/",H823))), B823, IFERROR(INDEX('SAÍDA DE VENDAS'!$B$6:$B$500, MATCH(B823,'SAÍDA DE VENDAS'!$B$6:$B$500,0)+COUNTIF('SAÍDA DE VENDAS'!$B$6:$B$500, B823)),"")))</f>
        <v/>
      </c>
      <c r="C824" s="29">
        <f>IFERROR(VLOOKUP(B824,'SAÍDA DE VENDAS'!$B$6:$P$500,3,FALSE),"")</f>
        <v>0</v>
      </c>
      <c r="D824" s="28">
        <f>IFERROR(VLOOKUP(B824,'SAÍDA DE VENDAS'!$B$6:$P$500,4,FALSE),"")</f>
        <v>0</v>
      </c>
      <c r="E824" s="28" t="str">
        <f>IFERROR(VLOOKUP(B824,'SAÍDA DE VENDAS'!$B$6:$P$500,5,FALSE),"")</f>
        <v/>
      </c>
      <c r="F824" s="28" t="str">
        <f>IF(OR(ISBLANK(B824),B824=""), "", IFERROR(INDEX('SAÍDA DE VENDAS'!$H$6:$H$500 &amp; "x " &amp; 'SAÍDA DE VENDAS'!$G$6:$G$500, MATCH(B824, 'SAÍDA DE VENDAS'!$B$6:$B$500, 0)), "")&amp; IF(COUNTIF('SAÍDA DE VENDAS'!$B$6:$B$500, B824)&gt;1, " + " &amp; IFERROR(INDEX('SAÍDA DE VENDAS'!$H$6:$H$500 &amp; "x " &amp; 'SAÍDA DE VENDAS'!$G$6:$G$500, MATCH(B824, 'SAÍDA DE VENDAS'!$B$6:$B$500, 0)+1), ""), "")&amp; IF(COUNTIF('SAÍDA DE VENDAS'!$B$6:$B$500, B824)&gt;2, " + " &amp; IFERROR(INDEX('SAÍDA DE VENDAS'!$H$6:$H$500 &amp; "x " &amp; 'SAÍDA DE VENDAS'!$G$6:$G$500, MATCH(B824, 'SAÍDA DE VENDAS'!$B$6:$B$500, 0)+2), ""), "")&amp; IF(COUNTIF('SAÍDA DE VENDAS'!$B$6:$B$500, B824)&gt;3, " + " &amp; IFERROR(INDEX('SAÍDA DE VENDAS'!$H$6:$H$500 &amp; "x " &amp; 'SAÍDA DE VENDAS'!$G$6:$G$500, MATCH(B824, 'SAÍDA DE VENDAS'!$B$6:$B$500, 0)+3), ""), "")&amp; IF(COUNTIF('SAÍDA DE VENDAS'!$B$6:$B$500, B824)&gt;4, " + " &amp; IFERROR(INDEX('SAÍDA DE VENDAS'!$H$6:$H$500 &amp; "x " &amp; 'SAÍDA DE VENDAS'!$G$6:$G$500, MATCH(B824, 'SAÍDA DE VENDAS'!$B$6:$B$500, 0)+4), ""), "")&amp; IF(COUNTIF('SAÍDA DE VENDAS'!$B$6:$B$500, B824)&gt;5, " + " &amp; IFERROR(INDEX('SAÍDA DE VENDAS'!$H$6:$H$500 &amp; "x " &amp; 'SAÍDA DE VENDAS'!$G$6:$G$500, MATCH(B824, 'SAÍDA DE VENDAS'!$B$6:$B$500, 0)+5), ""), ""))</f>
        <v/>
      </c>
      <c r="G824" s="28">
        <f>IFERROR(VLOOKUP(B824,'SAÍDA DE VENDAS'!$B$6:$P$500,10,FALSE),"")</f>
        <v>0</v>
      </c>
      <c r="H824" s="28" t="str">
        <f>IF(OR(ISBLANK(B824),B824=""), "", IF(B824=B823, (VALUE(LEFT(H823,FIND("/",H823)-1))+1)&amp;"/"&amp;RIGHT(H823,LEN(H823)-FIND("/",H823)), "1/"&amp;IFERROR(VLOOKUP(B824,'SAÍDA DE VENDAS'!$B$6:$P$500,13,FALSE),"1")))</f>
        <v/>
      </c>
      <c r="I824" s="69" t="str">
        <f t="shared" si="24"/>
        <v/>
      </c>
      <c r="J824" s="33" t="str">
        <f>IFERROR(VLOOKUP(B824,'SAÍDA DE VENDAS'!$B$6:$P$500,15,FALSE),"")</f>
        <v/>
      </c>
      <c r="K824" s="28" t="str">
        <f t="shared" ca="1" si="25"/>
        <v/>
      </c>
      <c r="L824" s="28"/>
      <c r="M824" s="28"/>
    </row>
    <row r="825" spans="2:13" ht="15" customHeight="1" x14ac:dyDescent="0.3">
      <c r="B825" s="34" t="str">
        <f>IF(B824="","", IF(VALUE(LEFT(H824,FIND("/",H824)-1)) &lt; VALUE(RIGHT(H824,LEN(H824)-FIND("/",H824))), B824, IFERROR(INDEX('SAÍDA DE VENDAS'!$B$6:$B$500, MATCH(B824,'SAÍDA DE VENDAS'!$B$6:$B$500,0)+COUNTIF('SAÍDA DE VENDAS'!$B$6:$B$500, B824)),"")))</f>
        <v/>
      </c>
      <c r="C825" s="35">
        <f>IFERROR(VLOOKUP(B825,'SAÍDA DE VENDAS'!$B$6:$P$500,3,FALSE),"")</f>
        <v>0</v>
      </c>
      <c r="D825" s="34">
        <f>IFERROR(VLOOKUP(B825,'SAÍDA DE VENDAS'!$B$6:$P$500,4,FALSE),"")</f>
        <v>0</v>
      </c>
      <c r="E825" s="34" t="str">
        <f>IFERROR(VLOOKUP(B825,'SAÍDA DE VENDAS'!$B$6:$P$500,5,FALSE),"")</f>
        <v/>
      </c>
      <c r="F825" s="34" t="str">
        <f>IF(OR(ISBLANK(B825),B825=""), "", IFERROR(INDEX('SAÍDA DE VENDAS'!$H$6:$H$500 &amp; "x " &amp; 'SAÍDA DE VENDAS'!$G$6:$G$500, MATCH(B825, 'SAÍDA DE VENDAS'!$B$6:$B$500, 0)), "")&amp; IF(COUNTIF('SAÍDA DE VENDAS'!$B$6:$B$500, B825)&gt;1, " + " &amp; IFERROR(INDEX('SAÍDA DE VENDAS'!$H$6:$H$500 &amp; "x " &amp; 'SAÍDA DE VENDAS'!$G$6:$G$500, MATCH(B825, 'SAÍDA DE VENDAS'!$B$6:$B$500, 0)+1), ""), "")&amp; IF(COUNTIF('SAÍDA DE VENDAS'!$B$6:$B$500, B825)&gt;2, " + " &amp; IFERROR(INDEX('SAÍDA DE VENDAS'!$H$6:$H$500 &amp; "x " &amp; 'SAÍDA DE VENDAS'!$G$6:$G$500, MATCH(B825, 'SAÍDA DE VENDAS'!$B$6:$B$500, 0)+2), ""), "")&amp; IF(COUNTIF('SAÍDA DE VENDAS'!$B$6:$B$500, B825)&gt;3, " + " &amp; IFERROR(INDEX('SAÍDA DE VENDAS'!$H$6:$H$500 &amp; "x " &amp; 'SAÍDA DE VENDAS'!$G$6:$G$500, MATCH(B825, 'SAÍDA DE VENDAS'!$B$6:$B$500, 0)+3), ""), "")&amp; IF(COUNTIF('SAÍDA DE VENDAS'!$B$6:$B$500, B825)&gt;4, " + " &amp; IFERROR(INDEX('SAÍDA DE VENDAS'!$H$6:$H$500 &amp; "x " &amp; 'SAÍDA DE VENDAS'!$G$6:$G$500, MATCH(B825, 'SAÍDA DE VENDAS'!$B$6:$B$500, 0)+4), ""), "")&amp; IF(COUNTIF('SAÍDA DE VENDAS'!$B$6:$B$500, B825)&gt;5, " + " &amp; IFERROR(INDEX('SAÍDA DE VENDAS'!$H$6:$H$500 &amp; "x " &amp; 'SAÍDA DE VENDAS'!$G$6:$G$500, MATCH(B825, 'SAÍDA DE VENDAS'!$B$6:$B$500, 0)+5), ""), ""))</f>
        <v/>
      </c>
      <c r="G825" s="34">
        <f>IFERROR(VLOOKUP(B825,'SAÍDA DE VENDAS'!$B$6:$P$500,10,FALSE),"")</f>
        <v>0</v>
      </c>
      <c r="H825" s="34" t="str">
        <f>IF(OR(ISBLANK(B825),B825=""), "", IF(B825=B824, (VALUE(LEFT(H824,FIND("/",H824)-1))+1)&amp;"/"&amp;RIGHT(H824,LEN(H824)-FIND("/",H824)), "1/"&amp;IFERROR(VLOOKUP(B825,'SAÍDA DE VENDAS'!$B$6:$P$500,13,FALSE),"1")))</f>
        <v/>
      </c>
      <c r="I825" s="35" t="str">
        <f t="shared" si="24"/>
        <v/>
      </c>
      <c r="J825" s="39" t="str">
        <f>IFERROR(VLOOKUP(B825,'SAÍDA DE VENDAS'!$B$6:$P$500,15,FALSE),"")</f>
        <v/>
      </c>
      <c r="K825" s="34" t="str">
        <f t="shared" ca="1" si="25"/>
        <v/>
      </c>
      <c r="L825" s="34"/>
      <c r="M825" s="34"/>
    </row>
    <row r="826" spans="2:13" ht="15" customHeight="1" x14ac:dyDescent="0.3">
      <c r="B826" s="28" t="str">
        <f>IF(B825="","", IF(VALUE(LEFT(H825,FIND("/",H825)-1)) &lt; VALUE(RIGHT(H825,LEN(H825)-FIND("/",H825))), B825, IFERROR(INDEX('SAÍDA DE VENDAS'!$B$6:$B$500, MATCH(B825,'SAÍDA DE VENDAS'!$B$6:$B$500,0)+COUNTIF('SAÍDA DE VENDAS'!$B$6:$B$500, B825)),"")))</f>
        <v/>
      </c>
      <c r="C826" s="29">
        <f>IFERROR(VLOOKUP(B826,'SAÍDA DE VENDAS'!$B$6:$P$500,3,FALSE),"")</f>
        <v>0</v>
      </c>
      <c r="D826" s="28">
        <f>IFERROR(VLOOKUP(B826,'SAÍDA DE VENDAS'!$B$6:$P$500,4,FALSE),"")</f>
        <v>0</v>
      </c>
      <c r="E826" s="28" t="str">
        <f>IFERROR(VLOOKUP(B826,'SAÍDA DE VENDAS'!$B$6:$P$500,5,FALSE),"")</f>
        <v/>
      </c>
      <c r="F826" s="28" t="str">
        <f>IF(OR(ISBLANK(B826),B826=""), "", IFERROR(INDEX('SAÍDA DE VENDAS'!$H$6:$H$500 &amp; "x " &amp; 'SAÍDA DE VENDAS'!$G$6:$G$500, MATCH(B826, 'SAÍDA DE VENDAS'!$B$6:$B$500, 0)), "")&amp; IF(COUNTIF('SAÍDA DE VENDAS'!$B$6:$B$500, B826)&gt;1, " + " &amp; IFERROR(INDEX('SAÍDA DE VENDAS'!$H$6:$H$500 &amp; "x " &amp; 'SAÍDA DE VENDAS'!$G$6:$G$500, MATCH(B826, 'SAÍDA DE VENDAS'!$B$6:$B$500, 0)+1), ""), "")&amp; IF(COUNTIF('SAÍDA DE VENDAS'!$B$6:$B$500, B826)&gt;2, " + " &amp; IFERROR(INDEX('SAÍDA DE VENDAS'!$H$6:$H$500 &amp; "x " &amp; 'SAÍDA DE VENDAS'!$G$6:$G$500, MATCH(B826, 'SAÍDA DE VENDAS'!$B$6:$B$500, 0)+2), ""), "")&amp; IF(COUNTIF('SAÍDA DE VENDAS'!$B$6:$B$500, B826)&gt;3, " + " &amp; IFERROR(INDEX('SAÍDA DE VENDAS'!$H$6:$H$500 &amp; "x " &amp; 'SAÍDA DE VENDAS'!$G$6:$G$500, MATCH(B826, 'SAÍDA DE VENDAS'!$B$6:$B$500, 0)+3), ""), "")&amp; IF(COUNTIF('SAÍDA DE VENDAS'!$B$6:$B$500, B826)&gt;4, " + " &amp; IFERROR(INDEX('SAÍDA DE VENDAS'!$H$6:$H$500 &amp; "x " &amp; 'SAÍDA DE VENDAS'!$G$6:$G$500, MATCH(B826, 'SAÍDA DE VENDAS'!$B$6:$B$500, 0)+4), ""), "")&amp; IF(COUNTIF('SAÍDA DE VENDAS'!$B$6:$B$500, B826)&gt;5, " + " &amp; IFERROR(INDEX('SAÍDA DE VENDAS'!$H$6:$H$500 &amp; "x " &amp; 'SAÍDA DE VENDAS'!$G$6:$G$500, MATCH(B826, 'SAÍDA DE VENDAS'!$B$6:$B$500, 0)+5), ""), ""))</f>
        <v/>
      </c>
      <c r="G826" s="28">
        <f>IFERROR(VLOOKUP(B826,'SAÍDA DE VENDAS'!$B$6:$P$500,10,FALSE),"")</f>
        <v>0</v>
      </c>
      <c r="H826" s="28" t="str">
        <f>IF(OR(ISBLANK(B826),B826=""), "", IF(B826=B825, (VALUE(LEFT(H825,FIND("/",H825)-1))+1)&amp;"/"&amp;RIGHT(H825,LEN(H825)-FIND("/",H825)), "1/"&amp;IFERROR(VLOOKUP(B826,'SAÍDA DE VENDAS'!$B$6:$P$500,13,FALSE),"1")))</f>
        <v/>
      </c>
      <c r="I826" s="69" t="str">
        <f t="shared" si="24"/>
        <v/>
      </c>
      <c r="J826" s="33" t="str">
        <f>IFERROR(VLOOKUP(B826,'SAÍDA DE VENDAS'!$B$6:$P$500,15,FALSE),"")</f>
        <v/>
      </c>
      <c r="K826" s="28" t="str">
        <f t="shared" ca="1" si="25"/>
        <v/>
      </c>
      <c r="L826" s="28"/>
      <c r="M826" s="28"/>
    </row>
    <row r="827" spans="2:13" ht="15" customHeight="1" x14ac:dyDescent="0.3">
      <c r="B827" s="34" t="str">
        <f>IF(B826="","", IF(VALUE(LEFT(H826,FIND("/",H826)-1)) &lt; VALUE(RIGHT(H826,LEN(H826)-FIND("/",H826))), B826, IFERROR(INDEX('SAÍDA DE VENDAS'!$B$6:$B$500, MATCH(B826,'SAÍDA DE VENDAS'!$B$6:$B$500,0)+COUNTIF('SAÍDA DE VENDAS'!$B$6:$B$500, B826)),"")))</f>
        <v/>
      </c>
      <c r="C827" s="35">
        <f>IFERROR(VLOOKUP(B827,'SAÍDA DE VENDAS'!$B$6:$P$500,3,FALSE),"")</f>
        <v>0</v>
      </c>
      <c r="D827" s="34">
        <f>IFERROR(VLOOKUP(B827,'SAÍDA DE VENDAS'!$B$6:$P$500,4,FALSE),"")</f>
        <v>0</v>
      </c>
      <c r="E827" s="34" t="str">
        <f>IFERROR(VLOOKUP(B827,'SAÍDA DE VENDAS'!$B$6:$P$500,5,FALSE),"")</f>
        <v/>
      </c>
      <c r="F827" s="34" t="str">
        <f>IF(OR(ISBLANK(B827),B827=""), "", IFERROR(INDEX('SAÍDA DE VENDAS'!$H$6:$H$500 &amp; "x " &amp; 'SAÍDA DE VENDAS'!$G$6:$G$500, MATCH(B827, 'SAÍDA DE VENDAS'!$B$6:$B$500, 0)), "")&amp; IF(COUNTIF('SAÍDA DE VENDAS'!$B$6:$B$500, B827)&gt;1, " + " &amp; IFERROR(INDEX('SAÍDA DE VENDAS'!$H$6:$H$500 &amp; "x " &amp; 'SAÍDA DE VENDAS'!$G$6:$G$500, MATCH(B827, 'SAÍDA DE VENDAS'!$B$6:$B$500, 0)+1), ""), "")&amp; IF(COUNTIF('SAÍDA DE VENDAS'!$B$6:$B$500, B827)&gt;2, " + " &amp; IFERROR(INDEX('SAÍDA DE VENDAS'!$H$6:$H$500 &amp; "x " &amp; 'SAÍDA DE VENDAS'!$G$6:$G$500, MATCH(B827, 'SAÍDA DE VENDAS'!$B$6:$B$500, 0)+2), ""), "")&amp; IF(COUNTIF('SAÍDA DE VENDAS'!$B$6:$B$500, B827)&gt;3, " + " &amp; IFERROR(INDEX('SAÍDA DE VENDAS'!$H$6:$H$500 &amp; "x " &amp; 'SAÍDA DE VENDAS'!$G$6:$G$500, MATCH(B827, 'SAÍDA DE VENDAS'!$B$6:$B$500, 0)+3), ""), "")&amp; IF(COUNTIF('SAÍDA DE VENDAS'!$B$6:$B$500, B827)&gt;4, " + " &amp; IFERROR(INDEX('SAÍDA DE VENDAS'!$H$6:$H$500 &amp; "x " &amp; 'SAÍDA DE VENDAS'!$G$6:$G$500, MATCH(B827, 'SAÍDA DE VENDAS'!$B$6:$B$500, 0)+4), ""), "")&amp; IF(COUNTIF('SAÍDA DE VENDAS'!$B$6:$B$500, B827)&gt;5, " + " &amp; IFERROR(INDEX('SAÍDA DE VENDAS'!$H$6:$H$500 &amp; "x " &amp; 'SAÍDA DE VENDAS'!$G$6:$G$500, MATCH(B827, 'SAÍDA DE VENDAS'!$B$6:$B$500, 0)+5), ""), ""))</f>
        <v/>
      </c>
      <c r="G827" s="34">
        <f>IFERROR(VLOOKUP(B827,'SAÍDA DE VENDAS'!$B$6:$P$500,10,FALSE),"")</f>
        <v>0</v>
      </c>
      <c r="H827" s="34" t="str">
        <f>IF(OR(ISBLANK(B827),B827=""), "", IF(B827=B826, (VALUE(LEFT(H826,FIND("/",H826)-1))+1)&amp;"/"&amp;RIGHT(H826,LEN(H826)-FIND("/",H826)), "1/"&amp;IFERROR(VLOOKUP(B827,'SAÍDA DE VENDAS'!$B$6:$P$500,13,FALSE),"1")))</f>
        <v/>
      </c>
      <c r="I827" s="35" t="str">
        <f t="shared" si="24"/>
        <v/>
      </c>
      <c r="J827" s="39" t="str">
        <f>IFERROR(VLOOKUP(B827,'SAÍDA DE VENDAS'!$B$6:$P$500,15,FALSE),"")</f>
        <v/>
      </c>
      <c r="K827" s="34" t="str">
        <f t="shared" ca="1" si="25"/>
        <v/>
      </c>
      <c r="L827" s="34"/>
      <c r="M827" s="34"/>
    </row>
    <row r="828" spans="2:13" ht="15" customHeight="1" x14ac:dyDescent="0.3">
      <c r="B828" s="28" t="str">
        <f>IF(B827="","", IF(VALUE(LEFT(H827,FIND("/",H827)-1)) &lt; VALUE(RIGHT(H827,LEN(H827)-FIND("/",H827))), B827, IFERROR(INDEX('SAÍDA DE VENDAS'!$B$6:$B$500, MATCH(B827,'SAÍDA DE VENDAS'!$B$6:$B$500,0)+COUNTIF('SAÍDA DE VENDAS'!$B$6:$B$500, B827)),"")))</f>
        <v/>
      </c>
      <c r="C828" s="29">
        <f>IFERROR(VLOOKUP(B828,'SAÍDA DE VENDAS'!$B$6:$P$500,3,FALSE),"")</f>
        <v>0</v>
      </c>
      <c r="D828" s="28">
        <f>IFERROR(VLOOKUP(B828,'SAÍDA DE VENDAS'!$B$6:$P$500,4,FALSE),"")</f>
        <v>0</v>
      </c>
      <c r="E828" s="28" t="str">
        <f>IFERROR(VLOOKUP(B828,'SAÍDA DE VENDAS'!$B$6:$P$500,5,FALSE),"")</f>
        <v/>
      </c>
      <c r="F828" s="28" t="str">
        <f>IF(OR(ISBLANK(B828),B828=""), "", IFERROR(INDEX('SAÍDA DE VENDAS'!$H$6:$H$500 &amp; "x " &amp; 'SAÍDA DE VENDAS'!$G$6:$G$500, MATCH(B828, 'SAÍDA DE VENDAS'!$B$6:$B$500, 0)), "")&amp; IF(COUNTIF('SAÍDA DE VENDAS'!$B$6:$B$500, B828)&gt;1, " + " &amp; IFERROR(INDEX('SAÍDA DE VENDAS'!$H$6:$H$500 &amp; "x " &amp; 'SAÍDA DE VENDAS'!$G$6:$G$500, MATCH(B828, 'SAÍDA DE VENDAS'!$B$6:$B$500, 0)+1), ""), "")&amp; IF(COUNTIF('SAÍDA DE VENDAS'!$B$6:$B$500, B828)&gt;2, " + " &amp; IFERROR(INDEX('SAÍDA DE VENDAS'!$H$6:$H$500 &amp; "x " &amp; 'SAÍDA DE VENDAS'!$G$6:$G$500, MATCH(B828, 'SAÍDA DE VENDAS'!$B$6:$B$500, 0)+2), ""), "")&amp; IF(COUNTIF('SAÍDA DE VENDAS'!$B$6:$B$500, B828)&gt;3, " + " &amp; IFERROR(INDEX('SAÍDA DE VENDAS'!$H$6:$H$500 &amp; "x " &amp; 'SAÍDA DE VENDAS'!$G$6:$G$500, MATCH(B828, 'SAÍDA DE VENDAS'!$B$6:$B$500, 0)+3), ""), "")&amp; IF(COUNTIF('SAÍDA DE VENDAS'!$B$6:$B$500, B828)&gt;4, " + " &amp; IFERROR(INDEX('SAÍDA DE VENDAS'!$H$6:$H$500 &amp; "x " &amp; 'SAÍDA DE VENDAS'!$G$6:$G$500, MATCH(B828, 'SAÍDA DE VENDAS'!$B$6:$B$500, 0)+4), ""), "")&amp; IF(COUNTIF('SAÍDA DE VENDAS'!$B$6:$B$500, B828)&gt;5, " + " &amp; IFERROR(INDEX('SAÍDA DE VENDAS'!$H$6:$H$500 &amp; "x " &amp; 'SAÍDA DE VENDAS'!$G$6:$G$500, MATCH(B828, 'SAÍDA DE VENDAS'!$B$6:$B$500, 0)+5), ""), ""))</f>
        <v/>
      </c>
      <c r="G828" s="28">
        <f>IFERROR(VLOOKUP(B828,'SAÍDA DE VENDAS'!$B$6:$P$500,10,FALSE),"")</f>
        <v>0</v>
      </c>
      <c r="H828" s="28" t="str">
        <f>IF(OR(ISBLANK(B828),B828=""), "", IF(B828=B827, (VALUE(LEFT(H827,FIND("/",H827)-1))+1)&amp;"/"&amp;RIGHT(H827,LEN(H827)-FIND("/",H827)), "1/"&amp;IFERROR(VLOOKUP(B828,'SAÍDA DE VENDAS'!$B$6:$P$500,13,FALSE),"1")))</f>
        <v/>
      </c>
      <c r="I828" s="69" t="str">
        <f t="shared" si="24"/>
        <v/>
      </c>
      <c r="J828" s="33" t="str">
        <f>IFERROR(VLOOKUP(B828,'SAÍDA DE VENDAS'!$B$6:$P$500,15,FALSE),"")</f>
        <v/>
      </c>
      <c r="K828" s="28" t="str">
        <f t="shared" ca="1" si="25"/>
        <v/>
      </c>
      <c r="L828" s="28"/>
      <c r="M828" s="28"/>
    </row>
    <row r="829" spans="2:13" ht="15" customHeight="1" x14ac:dyDescent="0.3">
      <c r="B829" s="34" t="str">
        <f>IF(B828="","", IF(VALUE(LEFT(H828,FIND("/",H828)-1)) &lt; VALUE(RIGHT(H828,LEN(H828)-FIND("/",H828))), B828, IFERROR(INDEX('SAÍDA DE VENDAS'!$B$6:$B$500, MATCH(B828,'SAÍDA DE VENDAS'!$B$6:$B$500,0)+COUNTIF('SAÍDA DE VENDAS'!$B$6:$B$500, B828)),"")))</f>
        <v/>
      </c>
      <c r="C829" s="35">
        <f>IFERROR(VLOOKUP(B829,'SAÍDA DE VENDAS'!$B$6:$P$500,3,FALSE),"")</f>
        <v>0</v>
      </c>
      <c r="D829" s="34">
        <f>IFERROR(VLOOKUP(B829,'SAÍDA DE VENDAS'!$B$6:$P$500,4,FALSE),"")</f>
        <v>0</v>
      </c>
      <c r="E829" s="34" t="str">
        <f>IFERROR(VLOOKUP(B829,'SAÍDA DE VENDAS'!$B$6:$P$500,5,FALSE),"")</f>
        <v/>
      </c>
      <c r="F829" s="34" t="str">
        <f>IF(OR(ISBLANK(B829),B829=""), "", IFERROR(INDEX('SAÍDA DE VENDAS'!$H$6:$H$500 &amp; "x " &amp; 'SAÍDA DE VENDAS'!$G$6:$G$500, MATCH(B829, 'SAÍDA DE VENDAS'!$B$6:$B$500, 0)), "")&amp; IF(COUNTIF('SAÍDA DE VENDAS'!$B$6:$B$500, B829)&gt;1, " + " &amp; IFERROR(INDEX('SAÍDA DE VENDAS'!$H$6:$H$500 &amp; "x " &amp; 'SAÍDA DE VENDAS'!$G$6:$G$500, MATCH(B829, 'SAÍDA DE VENDAS'!$B$6:$B$500, 0)+1), ""), "")&amp; IF(COUNTIF('SAÍDA DE VENDAS'!$B$6:$B$500, B829)&gt;2, " + " &amp; IFERROR(INDEX('SAÍDA DE VENDAS'!$H$6:$H$500 &amp; "x " &amp; 'SAÍDA DE VENDAS'!$G$6:$G$500, MATCH(B829, 'SAÍDA DE VENDAS'!$B$6:$B$500, 0)+2), ""), "")&amp; IF(COUNTIF('SAÍDA DE VENDAS'!$B$6:$B$500, B829)&gt;3, " + " &amp; IFERROR(INDEX('SAÍDA DE VENDAS'!$H$6:$H$500 &amp; "x " &amp; 'SAÍDA DE VENDAS'!$G$6:$G$500, MATCH(B829, 'SAÍDA DE VENDAS'!$B$6:$B$500, 0)+3), ""), "")&amp; IF(COUNTIF('SAÍDA DE VENDAS'!$B$6:$B$500, B829)&gt;4, " + " &amp; IFERROR(INDEX('SAÍDA DE VENDAS'!$H$6:$H$500 &amp; "x " &amp; 'SAÍDA DE VENDAS'!$G$6:$G$500, MATCH(B829, 'SAÍDA DE VENDAS'!$B$6:$B$500, 0)+4), ""), "")&amp; IF(COUNTIF('SAÍDA DE VENDAS'!$B$6:$B$500, B829)&gt;5, " + " &amp; IFERROR(INDEX('SAÍDA DE VENDAS'!$H$6:$H$500 &amp; "x " &amp; 'SAÍDA DE VENDAS'!$G$6:$G$500, MATCH(B829, 'SAÍDA DE VENDAS'!$B$6:$B$500, 0)+5), ""), ""))</f>
        <v/>
      </c>
      <c r="G829" s="34">
        <f>IFERROR(VLOOKUP(B829,'SAÍDA DE VENDAS'!$B$6:$P$500,10,FALSE),"")</f>
        <v>0</v>
      </c>
      <c r="H829" s="34" t="str">
        <f>IF(OR(ISBLANK(B829),B829=""), "", IF(B829=B828, (VALUE(LEFT(H828,FIND("/",H828)-1))+1)&amp;"/"&amp;RIGHT(H828,LEN(H828)-FIND("/",H828)), "1/"&amp;IFERROR(VLOOKUP(B829,'SAÍDA DE VENDAS'!$B$6:$P$500,13,FALSE),"1")))</f>
        <v/>
      </c>
      <c r="I829" s="35" t="str">
        <f t="shared" si="24"/>
        <v/>
      </c>
      <c r="J829" s="39" t="str">
        <f>IFERROR(VLOOKUP(B829,'SAÍDA DE VENDAS'!$B$6:$P$500,15,FALSE),"")</f>
        <v/>
      </c>
      <c r="K829" s="34" t="str">
        <f t="shared" ca="1" si="25"/>
        <v/>
      </c>
      <c r="L829" s="34"/>
      <c r="M829" s="34"/>
    </row>
    <row r="830" spans="2:13" ht="15" customHeight="1" x14ac:dyDescent="0.3">
      <c r="B830" s="28" t="str">
        <f>IF(B829="","", IF(VALUE(LEFT(H829,FIND("/",H829)-1)) &lt; VALUE(RIGHT(H829,LEN(H829)-FIND("/",H829))), B829, IFERROR(INDEX('SAÍDA DE VENDAS'!$B$6:$B$500, MATCH(B829,'SAÍDA DE VENDAS'!$B$6:$B$500,0)+COUNTIF('SAÍDA DE VENDAS'!$B$6:$B$500, B829)),"")))</f>
        <v/>
      </c>
      <c r="C830" s="29">
        <f>IFERROR(VLOOKUP(B830,'SAÍDA DE VENDAS'!$B$6:$P$500,3,FALSE),"")</f>
        <v>0</v>
      </c>
      <c r="D830" s="28">
        <f>IFERROR(VLOOKUP(B830,'SAÍDA DE VENDAS'!$B$6:$P$500,4,FALSE),"")</f>
        <v>0</v>
      </c>
      <c r="E830" s="28" t="str">
        <f>IFERROR(VLOOKUP(B830,'SAÍDA DE VENDAS'!$B$6:$P$500,5,FALSE),"")</f>
        <v/>
      </c>
      <c r="F830" s="28" t="str">
        <f>IF(OR(ISBLANK(B830),B830=""), "", IFERROR(INDEX('SAÍDA DE VENDAS'!$H$6:$H$500 &amp; "x " &amp; 'SAÍDA DE VENDAS'!$G$6:$G$500, MATCH(B830, 'SAÍDA DE VENDAS'!$B$6:$B$500, 0)), "")&amp; IF(COUNTIF('SAÍDA DE VENDAS'!$B$6:$B$500, B830)&gt;1, " + " &amp; IFERROR(INDEX('SAÍDA DE VENDAS'!$H$6:$H$500 &amp; "x " &amp; 'SAÍDA DE VENDAS'!$G$6:$G$500, MATCH(B830, 'SAÍDA DE VENDAS'!$B$6:$B$500, 0)+1), ""), "")&amp; IF(COUNTIF('SAÍDA DE VENDAS'!$B$6:$B$500, B830)&gt;2, " + " &amp; IFERROR(INDEX('SAÍDA DE VENDAS'!$H$6:$H$500 &amp; "x " &amp; 'SAÍDA DE VENDAS'!$G$6:$G$500, MATCH(B830, 'SAÍDA DE VENDAS'!$B$6:$B$500, 0)+2), ""), "")&amp; IF(COUNTIF('SAÍDA DE VENDAS'!$B$6:$B$500, B830)&gt;3, " + " &amp; IFERROR(INDEX('SAÍDA DE VENDAS'!$H$6:$H$500 &amp; "x " &amp; 'SAÍDA DE VENDAS'!$G$6:$G$500, MATCH(B830, 'SAÍDA DE VENDAS'!$B$6:$B$500, 0)+3), ""), "")&amp; IF(COUNTIF('SAÍDA DE VENDAS'!$B$6:$B$500, B830)&gt;4, " + " &amp; IFERROR(INDEX('SAÍDA DE VENDAS'!$H$6:$H$500 &amp; "x " &amp; 'SAÍDA DE VENDAS'!$G$6:$G$500, MATCH(B830, 'SAÍDA DE VENDAS'!$B$6:$B$500, 0)+4), ""), "")&amp; IF(COUNTIF('SAÍDA DE VENDAS'!$B$6:$B$500, B830)&gt;5, " + " &amp; IFERROR(INDEX('SAÍDA DE VENDAS'!$H$6:$H$500 &amp; "x " &amp; 'SAÍDA DE VENDAS'!$G$6:$G$500, MATCH(B830, 'SAÍDA DE VENDAS'!$B$6:$B$500, 0)+5), ""), ""))</f>
        <v/>
      </c>
      <c r="G830" s="28">
        <f>IFERROR(VLOOKUP(B830,'SAÍDA DE VENDAS'!$B$6:$P$500,10,FALSE),"")</f>
        <v>0</v>
      </c>
      <c r="H830" s="28" t="str">
        <f>IF(OR(ISBLANK(B830),B830=""), "", IF(B830=B829, (VALUE(LEFT(H829,FIND("/",H829)-1))+1)&amp;"/"&amp;RIGHT(H829,LEN(H829)-FIND("/",H829)), "1/"&amp;IFERROR(VLOOKUP(B830,'SAÍDA DE VENDAS'!$B$6:$P$500,13,FALSE),"1")))</f>
        <v/>
      </c>
      <c r="I830" s="69" t="str">
        <f t="shared" si="24"/>
        <v/>
      </c>
      <c r="J830" s="33" t="str">
        <f>IFERROR(VLOOKUP(B830,'SAÍDA DE VENDAS'!$B$6:$P$500,15,FALSE),"")</f>
        <v/>
      </c>
      <c r="K830" s="28" t="str">
        <f t="shared" ca="1" si="25"/>
        <v/>
      </c>
      <c r="L830" s="28"/>
      <c r="M830" s="28"/>
    </row>
    <row r="831" spans="2:13" ht="15" customHeight="1" x14ac:dyDescent="0.3">
      <c r="B831" s="34" t="str">
        <f>IF(B830="","", IF(VALUE(LEFT(H830,FIND("/",H830)-1)) &lt; VALUE(RIGHT(H830,LEN(H830)-FIND("/",H830))), B830, IFERROR(INDEX('SAÍDA DE VENDAS'!$B$6:$B$500, MATCH(B830,'SAÍDA DE VENDAS'!$B$6:$B$500,0)+COUNTIF('SAÍDA DE VENDAS'!$B$6:$B$500, B830)),"")))</f>
        <v/>
      </c>
      <c r="C831" s="35">
        <f>IFERROR(VLOOKUP(B831,'SAÍDA DE VENDAS'!$B$6:$P$500,3,FALSE),"")</f>
        <v>0</v>
      </c>
      <c r="D831" s="34">
        <f>IFERROR(VLOOKUP(B831,'SAÍDA DE VENDAS'!$B$6:$P$500,4,FALSE),"")</f>
        <v>0</v>
      </c>
      <c r="E831" s="34" t="str">
        <f>IFERROR(VLOOKUP(B831,'SAÍDA DE VENDAS'!$B$6:$P$500,5,FALSE),"")</f>
        <v/>
      </c>
      <c r="F831" s="34" t="str">
        <f>IF(OR(ISBLANK(B831),B831=""), "", IFERROR(INDEX('SAÍDA DE VENDAS'!$H$6:$H$500 &amp; "x " &amp; 'SAÍDA DE VENDAS'!$G$6:$G$500, MATCH(B831, 'SAÍDA DE VENDAS'!$B$6:$B$500, 0)), "")&amp; IF(COUNTIF('SAÍDA DE VENDAS'!$B$6:$B$500, B831)&gt;1, " + " &amp; IFERROR(INDEX('SAÍDA DE VENDAS'!$H$6:$H$500 &amp; "x " &amp; 'SAÍDA DE VENDAS'!$G$6:$G$500, MATCH(B831, 'SAÍDA DE VENDAS'!$B$6:$B$500, 0)+1), ""), "")&amp; IF(COUNTIF('SAÍDA DE VENDAS'!$B$6:$B$500, B831)&gt;2, " + " &amp; IFERROR(INDEX('SAÍDA DE VENDAS'!$H$6:$H$500 &amp; "x " &amp; 'SAÍDA DE VENDAS'!$G$6:$G$500, MATCH(B831, 'SAÍDA DE VENDAS'!$B$6:$B$500, 0)+2), ""), "")&amp; IF(COUNTIF('SAÍDA DE VENDAS'!$B$6:$B$500, B831)&gt;3, " + " &amp; IFERROR(INDEX('SAÍDA DE VENDAS'!$H$6:$H$500 &amp; "x " &amp; 'SAÍDA DE VENDAS'!$G$6:$G$500, MATCH(B831, 'SAÍDA DE VENDAS'!$B$6:$B$500, 0)+3), ""), "")&amp; IF(COUNTIF('SAÍDA DE VENDAS'!$B$6:$B$500, B831)&gt;4, " + " &amp; IFERROR(INDEX('SAÍDA DE VENDAS'!$H$6:$H$500 &amp; "x " &amp; 'SAÍDA DE VENDAS'!$G$6:$G$500, MATCH(B831, 'SAÍDA DE VENDAS'!$B$6:$B$500, 0)+4), ""), "")&amp; IF(COUNTIF('SAÍDA DE VENDAS'!$B$6:$B$500, B831)&gt;5, " + " &amp; IFERROR(INDEX('SAÍDA DE VENDAS'!$H$6:$H$500 &amp; "x " &amp; 'SAÍDA DE VENDAS'!$G$6:$G$500, MATCH(B831, 'SAÍDA DE VENDAS'!$B$6:$B$500, 0)+5), ""), ""))</f>
        <v/>
      </c>
      <c r="G831" s="34">
        <f>IFERROR(VLOOKUP(B831,'SAÍDA DE VENDAS'!$B$6:$P$500,10,FALSE),"")</f>
        <v>0</v>
      </c>
      <c r="H831" s="34" t="str">
        <f>IF(OR(ISBLANK(B831),B831=""), "", IF(B831=B830, (VALUE(LEFT(H830,FIND("/",H830)-1))+1)&amp;"/"&amp;RIGHT(H830,LEN(H830)-FIND("/",H830)), "1/"&amp;IFERROR(VLOOKUP(B831,'SAÍDA DE VENDAS'!$B$6:$P$500,13,FALSE),"1")))</f>
        <v/>
      </c>
      <c r="I831" s="35" t="str">
        <f t="shared" si="24"/>
        <v/>
      </c>
      <c r="J831" s="39" t="str">
        <f>IFERROR(VLOOKUP(B831,'SAÍDA DE VENDAS'!$B$6:$P$500,15,FALSE),"")</f>
        <v/>
      </c>
      <c r="K831" s="34" t="str">
        <f t="shared" ca="1" si="25"/>
        <v/>
      </c>
      <c r="L831" s="34"/>
      <c r="M831" s="34"/>
    </row>
    <row r="832" spans="2:13" ht="15" customHeight="1" x14ac:dyDescent="0.3">
      <c r="B832" s="28" t="str">
        <f>IF(B831="","", IF(VALUE(LEFT(H831,FIND("/",H831)-1)) &lt; VALUE(RIGHT(H831,LEN(H831)-FIND("/",H831))), B831, IFERROR(INDEX('SAÍDA DE VENDAS'!$B$6:$B$500, MATCH(B831,'SAÍDA DE VENDAS'!$B$6:$B$500,0)+COUNTIF('SAÍDA DE VENDAS'!$B$6:$B$500, B831)),"")))</f>
        <v/>
      </c>
      <c r="C832" s="29">
        <f>IFERROR(VLOOKUP(B832,'SAÍDA DE VENDAS'!$B$6:$P$500,3,FALSE),"")</f>
        <v>0</v>
      </c>
      <c r="D832" s="28">
        <f>IFERROR(VLOOKUP(B832,'SAÍDA DE VENDAS'!$B$6:$P$500,4,FALSE),"")</f>
        <v>0</v>
      </c>
      <c r="E832" s="28" t="str">
        <f>IFERROR(VLOOKUP(B832,'SAÍDA DE VENDAS'!$B$6:$P$500,5,FALSE),"")</f>
        <v/>
      </c>
      <c r="F832" s="28" t="str">
        <f>IF(OR(ISBLANK(B832),B832=""), "", IFERROR(INDEX('SAÍDA DE VENDAS'!$H$6:$H$500 &amp; "x " &amp; 'SAÍDA DE VENDAS'!$G$6:$G$500, MATCH(B832, 'SAÍDA DE VENDAS'!$B$6:$B$500, 0)), "")&amp; IF(COUNTIF('SAÍDA DE VENDAS'!$B$6:$B$500, B832)&gt;1, " + " &amp; IFERROR(INDEX('SAÍDA DE VENDAS'!$H$6:$H$500 &amp; "x " &amp; 'SAÍDA DE VENDAS'!$G$6:$G$500, MATCH(B832, 'SAÍDA DE VENDAS'!$B$6:$B$500, 0)+1), ""), "")&amp; IF(COUNTIF('SAÍDA DE VENDAS'!$B$6:$B$500, B832)&gt;2, " + " &amp; IFERROR(INDEX('SAÍDA DE VENDAS'!$H$6:$H$500 &amp; "x " &amp; 'SAÍDA DE VENDAS'!$G$6:$G$500, MATCH(B832, 'SAÍDA DE VENDAS'!$B$6:$B$500, 0)+2), ""), "")&amp; IF(COUNTIF('SAÍDA DE VENDAS'!$B$6:$B$500, B832)&gt;3, " + " &amp; IFERROR(INDEX('SAÍDA DE VENDAS'!$H$6:$H$500 &amp; "x " &amp; 'SAÍDA DE VENDAS'!$G$6:$G$500, MATCH(B832, 'SAÍDA DE VENDAS'!$B$6:$B$500, 0)+3), ""), "")&amp; IF(COUNTIF('SAÍDA DE VENDAS'!$B$6:$B$500, B832)&gt;4, " + " &amp; IFERROR(INDEX('SAÍDA DE VENDAS'!$H$6:$H$500 &amp; "x " &amp; 'SAÍDA DE VENDAS'!$G$6:$G$500, MATCH(B832, 'SAÍDA DE VENDAS'!$B$6:$B$500, 0)+4), ""), "")&amp; IF(COUNTIF('SAÍDA DE VENDAS'!$B$6:$B$500, B832)&gt;5, " + " &amp; IFERROR(INDEX('SAÍDA DE VENDAS'!$H$6:$H$500 &amp; "x " &amp; 'SAÍDA DE VENDAS'!$G$6:$G$500, MATCH(B832, 'SAÍDA DE VENDAS'!$B$6:$B$500, 0)+5), ""), ""))</f>
        <v/>
      </c>
      <c r="G832" s="28">
        <f>IFERROR(VLOOKUP(B832,'SAÍDA DE VENDAS'!$B$6:$P$500,10,FALSE),"")</f>
        <v>0</v>
      </c>
      <c r="H832" s="28" t="str">
        <f>IF(OR(ISBLANK(B832),B832=""), "", IF(B832=B831, (VALUE(LEFT(H831,FIND("/",H831)-1))+1)&amp;"/"&amp;RIGHT(H831,LEN(H831)-FIND("/",H831)), "1/"&amp;IFERROR(VLOOKUP(B832,'SAÍDA DE VENDAS'!$B$6:$P$500,13,FALSE),"1")))</f>
        <v/>
      </c>
      <c r="I832" s="69" t="str">
        <f t="shared" si="24"/>
        <v/>
      </c>
      <c r="J832" s="33" t="str">
        <f>IFERROR(VLOOKUP(B832,'SAÍDA DE VENDAS'!$B$6:$P$500,15,FALSE),"")</f>
        <v/>
      </c>
      <c r="K832" s="28" t="str">
        <f t="shared" ca="1" si="25"/>
        <v/>
      </c>
      <c r="L832" s="28"/>
      <c r="M832" s="28"/>
    </row>
    <row r="833" spans="2:13" ht="15" customHeight="1" x14ac:dyDescent="0.3">
      <c r="B833" s="34" t="str">
        <f>IF(B832="","", IF(VALUE(LEFT(H832,FIND("/",H832)-1)) &lt; VALUE(RIGHT(H832,LEN(H832)-FIND("/",H832))), B832, IFERROR(INDEX('SAÍDA DE VENDAS'!$B$6:$B$500, MATCH(B832,'SAÍDA DE VENDAS'!$B$6:$B$500,0)+COUNTIF('SAÍDA DE VENDAS'!$B$6:$B$500, B832)),"")))</f>
        <v/>
      </c>
      <c r="C833" s="35">
        <f>IFERROR(VLOOKUP(B833,'SAÍDA DE VENDAS'!$B$6:$P$500,3,FALSE),"")</f>
        <v>0</v>
      </c>
      <c r="D833" s="34">
        <f>IFERROR(VLOOKUP(B833,'SAÍDA DE VENDAS'!$B$6:$P$500,4,FALSE),"")</f>
        <v>0</v>
      </c>
      <c r="E833" s="34" t="str">
        <f>IFERROR(VLOOKUP(B833,'SAÍDA DE VENDAS'!$B$6:$P$500,5,FALSE),"")</f>
        <v/>
      </c>
      <c r="F833" s="34" t="str">
        <f>IF(OR(ISBLANK(B833),B833=""), "", IFERROR(INDEX('SAÍDA DE VENDAS'!$H$6:$H$500 &amp; "x " &amp; 'SAÍDA DE VENDAS'!$G$6:$G$500, MATCH(B833, 'SAÍDA DE VENDAS'!$B$6:$B$500, 0)), "")&amp; IF(COUNTIF('SAÍDA DE VENDAS'!$B$6:$B$500, B833)&gt;1, " + " &amp; IFERROR(INDEX('SAÍDA DE VENDAS'!$H$6:$H$500 &amp; "x " &amp; 'SAÍDA DE VENDAS'!$G$6:$G$500, MATCH(B833, 'SAÍDA DE VENDAS'!$B$6:$B$500, 0)+1), ""), "")&amp; IF(COUNTIF('SAÍDA DE VENDAS'!$B$6:$B$500, B833)&gt;2, " + " &amp; IFERROR(INDEX('SAÍDA DE VENDAS'!$H$6:$H$500 &amp; "x " &amp; 'SAÍDA DE VENDAS'!$G$6:$G$500, MATCH(B833, 'SAÍDA DE VENDAS'!$B$6:$B$500, 0)+2), ""), "")&amp; IF(COUNTIF('SAÍDA DE VENDAS'!$B$6:$B$500, B833)&gt;3, " + " &amp; IFERROR(INDEX('SAÍDA DE VENDAS'!$H$6:$H$500 &amp; "x " &amp; 'SAÍDA DE VENDAS'!$G$6:$G$500, MATCH(B833, 'SAÍDA DE VENDAS'!$B$6:$B$500, 0)+3), ""), "")&amp; IF(COUNTIF('SAÍDA DE VENDAS'!$B$6:$B$500, B833)&gt;4, " + " &amp; IFERROR(INDEX('SAÍDA DE VENDAS'!$H$6:$H$500 &amp; "x " &amp; 'SAÍDA DE VENDAS'!$G$6:$G$500, MATCH(B833, 'SAÍDA DE VENDAS'!$B$6:$B$500, 0)+4), ""), "")&amp; IF(COUNTIF('SAÍDA DE VENDAS'!$B$6:$B$500, B833)&gt;5, " + " &amp; IFERROR(INDEX('SAÍDA DE VENDAS'!$H$6:$H$500 &amp; "x " &amp; 'SAÍDA DE VENDAS'!$G$6:$G$500, MATCH(B833, 'SAÍDA DE VENDAS'!$B$6:$B$500, 0)+5), ""), ""))</f>
        <v/>
      </c>
      <c r="G833" s="34">
        <f>IFERROR(VLOOKUP(B833,'SAÍDA DE VENDAS'!$B$6:$P$500,10,FALSE),"")</f>
        <v>0</v>
      </c>
      <c r="H833" s="34" t="str">
        <f>IF(OR(ISBLANK(B833),B833=""), "", IF(B833=B832, (VALUE(LEFT(H832,FIND("/",H832)-1))+1)&amp;"/"&amp;RIGHT(H832,LEN(H832)-FIND("/",H832)), "1/"&amp;IFERROR(VLOOKUP(B833,'SAÍDA DE VENDAS'!$B$6:$P$500,13,FALSE),"1")))</f>
        <v/>
      </c>
      <c r="I833" s="35" t="str">
        <f t="shared" si="24"/>
        <v/>
      </c>
      <c r="J833" s="39" t="str">
        <f>IFERROR(VLOOKUP(B833,'SAÍDA DE VENDAS'!$B$6:$P$500,15,FALSE),"")</f>
        <v/>
      </c>
      <c r="K833" s="34" t="str">
        <f t="shared" ca="1" si="25"/>
        <v/>
      </c>
      <c r="L833" s="34"/>
      <c r="M833" s="34"/>
    </row>
    <row r="834" spans="2:13" ht="15" customHeight="1" x14ac:dyDescent="0.3">
      <c r="B834" s="28" t="str">
        <f>IF(B833="","", IF(VALUE(LEFT(H833,FIND("/",H833)-1)) &lt; VALUE(RIGHT(H833,LEN(H833)-FIND("/",H833))), B833, IFERROR(INDEX('SAÍDA DE VENDAS'!$B$6:$B$500, MATCH(B833,'SAÍDA DE VENDAS'!$B$6:$B$500,0)+COUNTIF('SAÍDA DE VENDAS'!$B$6:$B$500, B833)),"")))</f>
        <v/>
      </c>
      <c r="C834" s="29">
        <f>IFERROR(VLOOKUP(B834,'SAÍDA DE VENDAS'!$B$6:$P$500,3,FALSE),"")</f>
        <v>0</v>
      </c>
      <c r="D834" s="28">
        <f>IFERROR(VLOOKUP(B834,'SAÍDA DE VENDAS'!$B$6:$P$500,4,FALSE),"")</f>
        <v>0</v>
      </c>
      <c r="E834" s="28" t="str">
        <f>IFERROR(VLOOKUP(B834,'SAÍDA DE VENDAS'!$B$6:$P$500,5,FALSE),"")</f>
        <v/>
      </c>
      <c r="F834" s="28" t="str">
        <f>IF(OR(ISBLANK(B834),B834=""), "", IFERROR(INDEX('SAÍDA DE VENDAS'!$H$6:$H$500 &amp; "x " &amp; 'SAÍDA DE VENDAS'!$G$6:$G$500, MATCH(B834, 'SAÍDA DE VENDAS'!$B$6:$B$500, 0)), "")&amp; IF(COUNTIF('SAÍDA DE VENDAS'!$B$6:$B$500, B834)&gt;1, " + " &amp; IFERROR(INDEX('SAÍDA DE VENDAS'!$H$6:$H$500 &amp; "x " &amp; 'SAÍDA DE VENDAS'!$G$6:$G$500, MATCH(B834, 'SAÍDA DE VENDAS'!$B$6:$B$500, 0)+1), ""), "")&amp; IF(COUNTIF('SAÍDA DE VENDAS'!$B$6:$B$500, B834)&gt;2, " + " &amp; IFERROR(INDEX('SAÍDA DE VENDAS'!$H$6:$H$500 &amp; "x " &amp; 'SAÍDA DE VENDAS'!$G$6:$G$500, MATCH(B834, 'SAÍDA DE VENDAS'!$B$6:$B$500, 0)+2), ""), "")&amp; IF(COUNTIF('SAÍDA DE VENDAS'!$B$6:$B$500, B834)&gt;3, " + " &amp; IFERROR(INDEX('SAÍDA DE VENDAS'!$H$6:$H$500 &amp; "x " &amp; 'SAÍDA DE VENDAS'!$G$6:$G$500, MATCH(B834, 'SAÍDA DE VENDAS'!$B$6:$B$500, 0)+3), ""), "")&amp; IF(COUNTIF('SAÍDA DE VENDAS'!$B$6:$B$500, B834)&gt;4, " + " &amp; IFERROR(INDEX('SAÍDA DE VENDAS'!$H$6:$H$500 &amp; "x " &amp; 'SAÍDA DE VENDAS'!$G$6:$G$500, MATCH(B834, 'SAÍDA DE VENDAS'!$B$6:$B$500, 0)+4), ""), "")&amp; IF(COUNTIF('SAÍDA DE VENDAS'!$B$6:$B$500, B834)&gt;5, " + " &amp; IFERROR(INDEX('SAÍDA DE VENDAS'!$H$6:$H$500 &amp; "x " &amp; 'SAÍDA DE VENDAS'!$G$6:$G$500, MATCH(B834, 'SAÍDA DE VENDAS'!$B$6:$B$500, 0)+5), ""), ""))</f>
        <v/>
      </c>
      <c r="G834" s="28">
        <f>IFERROR(VLOOKUP(B834,'SAÍDA DE VENDAS'!$B$6:$P$500,10,FALSE),"")</f>
        <v>0</v>
      </c>
      <c r="H834" s="28" t="str">
        <f>IF(OR(ISBLANK(B834),B834=""), "", IF(B834=B833, (VALUE(LEFT(H833,FIND("/",H833)-1))+1)&amp;"/"&amp;RIGHT(H833,LEN(H833)-FIND("/",H833)), "1/"&amp;IFERROR(VLOOKUP(B834,'SAÍDA DE VENDAS'!$B$6:$P$500,13,FALSE),"1")))</f>
        <v/>
      </c>
      <c r="I834" s="69" t="str">
        <f t="shared" si="24"/>
        <v/>
      </c>
      <c r="J834" s="33" t="str">
        <f>IFERROR(VLOOKUP(B834,'SAÍDA DE VENDAS'!$B$6:$P$500,15,FALSE),"")</f>
        <v/>
      </c>
      <c r="K834" s="28" t="str">
        <f t="shared" ca="1" si="25"/>
        <v/>
      </c>
      <c r="L834" s="28"/>
      <c r="M834" s="28"/>
    </row>
    <row r="835" spans="2:13" ht="15" customHeight="1" x14ac:dyDescent="0.3">
      <c r="B835" s="34" t="str">
        <f>IF(B834="","", IF(VALUE(LEFT(H834,FIND("/",H834)-1)) &lt; VALUE(RIGHT(H834,LEN(H834)-FIND("/",H834))), B834, IFERROR(INDEX('SAÍDA DE VENDAS'!$B$6:$B$500, MATCH(B834,'SAÍDA DE VENDAS'!$B$6:$B$500,0)+COUNTIF('SAÍDA DE VENDAS'!$B$6:$B$500, B834)),"")))</f>
        <v/>
      </c>
      <c r="C835" s="35">
        <f>IFERROR(VLOOKUP(B835,'SAÍDA DE VENDAS'!$B$6:$P$500,3,FALSE),"")</f>
        <v>0</v>
      </c>
      <c r="D835" s="34">
        <f>IFERROR(VLOOKUP(B835,'SAÍDA DE VENDAS'!$B$6:$P$500,4,FALSE),"")</f>
        <v>0</v>
      </c>
      <c r="E835" s="34" t="str">
        <f>IFERROR(VLOOKUP(B835,'SAÍDA DE VENDAS'!$B$6:$P$500,5,FALSE),"")</f>
        <v/>
      </c>
      <c r="F835" s="34" t="str">
        <f>IF(OR(ISBLANK(B835),B835=""), "", IFERROR(INDEX('SAÍDA DE VENDAS'!$H$6:$H$500 &amp; "x " &amp; 'SAÍDA DE VENDAS'!$G$6:$G$500, MATCH(B835, 'SAÍDA DE VENDAS'!$B$6:$B$500, 0)), "")&amp; IF(COUNTIF('SAÍDA DE VENDAS'!$B$6:$B$500, B835)&gt;1, " + " &amp; IFERROR(INDEX('SAÍDA DE VENDAS'!$H$6:$H$500 &amp; "x " &amp; 'SAÍDA DE VENDAS'!$G$6:$G$500, MATCH(B835, 'SAÍDA DE VENDAS'!$B$6:$B$500, 0)+1), ""), "")&amp; IF(COUNTIF('SAÍDA DE VENDAS'!$B$6:$B$500, B835)&gt;2, " + " &amp; IFERROR(INDEX('SAÍDA DE VENDAS'!$H$6:$H$500 &amp; "x " &amp; 'SAÍDA DE VENDAS'!$G$6:$G$500, MATCH(B835, 'SAÍDA DE VENDAS'!$B$6:$B$500, 0)+2), ""), "")&amp; IF(COUNTIF('SAÍDA DE VENDAS'!$B$6:$B$500, B835)&gt;3, " + " &amp; IFERROR(INDEX('SAÍDA DE VENDAS'!$H$6:$H$500 &amp; "x " &amp; 'SAÍDA DE VENDAS'!$G$6:$G$500, MATCH(B835, 'SAÍDA DE VENDAS'!$B$6:$B$500, 0)+3), ""), "")&amp; IF(COUNTIF('SAÍDA DE VENDAS'!$B$6:$B$500, B835)&gt;4, " + " &amp; IFERROR(INDEX('SAÍDA DE VENDAS'!$H$6:$H$500 &amp; "x " &amp; 'SAÍDA DE VENDAS'!$G$6:$G$500, MATCH(B835, 'SAÍDA DE VENDAS'!$B$6:$B$500, 0)+4), ""), "")&amp; IF(COUNTIF('SAÍDA DE VENDAS'!$B$6:$B$500, B835)&gt;5, " + " &amp; IFERROR(INDEX('SAÍDA DE VENDAS'!$H$6:$H$500 &amp; "x " &amp; 'SAÍDA DE VENDAS'!$G$6:$G$500, MATCH(B835, 'SAÍDA DE VENDAS'!$B$6:$B$500, 0)+5), ""), ""))</f>
        <v/>
      </c>
      <c r="G835" s="34">
        <f>IFERROR(VLOOKUP(B835,'SAÍDA DE VENDAS'!$B$6:$P$500,10,FALSE),"")</f>
        <v>0</v>
      </c>
      <c r="H835" s="34" t="str">
        <f>IF(OR(ISBLANK(B835),B835=""), "", IF(B835=B834, (VALUE(LEFT(H834,FIND("/",H834)-1))+1)&amp;"/"&amp;RIGHT(H834,LEN(H834)-FIND("/",H834)), "1/"&amp;IFERROR(VLOOKUP(B835,'SAÍDA DE VENDAS'!$B$6:$P$500,13,FALSE),"1")))</f>
        <v/>
      </c>
      <c r="I835" s="35" t="str">
        <f t="shared" si="24"/>
        <v/>
      </c>
      <c r="J835" s="39" t="str">
        <f>IFERROR(VLOOKUP(B835,'SAÍDA DE VENDAS'!$B$6:$P$500,15,FALSE),"")</f>
        <v/>
      </c>
      <c r="K835" s="34" t="str">
        <f t="shared" ca="1" si="25"/>
        <v/>
      </c>
      <c r="L835" s="34"/>
      <c r="M835" s="34"/>
    </row>
    <row r="836" spans="2:13" ht="15" customHeight="1" x14ac:dyDescent="0.3">
      <c r="B836" s="28" t="str">
        <f>IF(B835="","", IF(VALUE(LEFT(H835,FIND("/",H835)-1)) &lt; VALUE(RIGHT(H835,LEN(H835)-FIND("/",H835))), B835, IFERROR(INDEX('SAÍDA DE VENDAS'!$B$6:$B$500, MATCH(B835,'SAÍDA DE VENDAS'!$B$6:$B$500,0)+COUNTIF('SAÍDA DE VENDAS'!$B$6:$B$500, B835)),"")))</f>
        <v/>
      </c>
      <c r="C836" s="29">
        <f>IFERROR(VLOOKUP(B836,'SAÍDA DE VENDAS'!$B$6:$P$500,3,FALSE),"")</f>
        <v>0</v>
      </c>
      <c r="D836" s="28">
        <f>IFERROR(VLOOKUP(B836,'SAÍDA DE VENDAS'!$B$6:$P$500,4,FALSE),"")</f>
        <v>0</v>
      </c>
      <c r="E836" s="28" t="str">
        <f>IFERROR(VLOOKUP(B836,'SAÍDA DE VENDAS'!$B$6:$P$500,5,FALSE),"")</f>
        <v/>
      </c>
      <c r="F836" s="28" t="str">
        <f>IF(OR(ISBLANK(B836),B836=""), "", IFERROR(INDEX('SAÍDA DE VENDAS'!$H$6:$H$500 &amp; "x " &amp; 'SAÍDA DE VENDAS'!$G$6:$G$500, MATCH(B836, 'SAÍDA DE VENDAS'!$B$6:$B$500, 0)), "")&amp; IF(COUNTIF('SAÍDA DE VENDAS'!$B$6:$B$500, B836)&gt;1, " + " &amp; IFERROR(INDEX('SAÍDA DE VENDAS'!$H$6:$H$500 &amp; "x " &amp; 'SAÍDA DE VENDAS'!$G$6:$G$500, MATCH(B836, 'SAÍDA DE VENDAS'!$B$6:$B$500, 0)+1), ""), "")&amp; IF(COUNTIF('SAÍDA DE VENDAS'!$B$6:$B$500, B836)&gt;2, " + " &amp; IFERROR(INDEX('SAÍDA DE VENDAS'!$H$6:$H$500 &amp; "x " &amp; 'SAÍDA DE VENDAS'!$G$6:$G$500, MATCH(B836, 'SAÍDA DE VENDAS'!$B$6:$B$500, 0)+2), ""), "")&amp; IF(COUNTIF('SAÍDA DE VENDAS'!$B$6:$B$500, B836)&gt;3, " + " &amp; IFERROR(INDEX('SAÍDA DE VENDAS'!$H$6:$H$500 &amp; "x " &amp; 'SAÍDA DE VENDAS'!$G$6:$G$500, MATCH(B836, 'SAÍDA DE VENDAS'!$B$6:$B$500, 0)+3), ""), "")&amp; IF(COUNTIF('SAÍDA DE VENDAS'!$B$6:$B$500, B836)&gt;4, " + " &amp; IFERROR(INDEX('SAÍDA DE VENDAS'!$H$6:$H$500 &amp; "x " &amp; 'SAÍDA DE VENDAS'!$G$6:$G$500, MATCH(B836, 'SAÍDA DE VENDAS'!$B$6:$B$500, 0)+4), ""), "")&amp; IF(COUNTIF('SAÍDA DE VENDAS'!$B$6:$B$500, B836)&gt;5, " + " &amp; IFERROR(INDEX('SAÍDA DE VENDAS'!$H$6:$H$500 &amp; "x " &amp; 'SAÍDA DE VENDAS'!$G$6:$G$500, MATCH(B836, 'SAÍDA DE VENDAS'!$B$6:$B$500, 0)+5), ""), ""))</f>
        <v/>
      </c>
      <c r="G836" s="28">
        <f>IFERROR(VLOOKUP(B836,'SAÍDA DE VENDAS'!$B$6:$P$500,10,FALSE),"")</f>
        <v>0</v>
      </c>
      <c r="H836" s="28" t="str">
        <f>IF(OR(ISBLANK(B836),B836=""), "", IF(B836=B835, (VALUE(LEFT(H835,FIND("/",H835)-1))+1)&amp;"/"&amp;RIGHT(H835,LEN(H835)-FIND("/",H835)), "1/"&amp;IFERROR(VLOOKUP(B836,'SAÍDA DE VENDAS'!$B$6:$P$500,13,FALSE),"1")))</f>
        <v/>
      </c>
      <c r="I836" s="69" t="str">
        <f t="shared" si="24"/>
        <v/>
      </c>
      <c r="J836" s="33" t="str">
        <f>IFERROR(VLOOKUP(B836,'SAÍDA DE VENDAS'!$B$6:$P$500,15,FALSE),"")</f>
        <v/>
      </c>
      <c r="K836" s="28" t="str">
        <f t="shared" ca="1" si="25"/>
        <v/>
      </c>
      <c r="L836" s="28"/>
      <c r="M836" s="28"/>
    </row>
    <row r="837" spans="2:13" ht="15" customHeight="1" x14ac:dyDescent="0.3">
      <c r="B837" s="34" t="str">
        <f>IF(B836="","", IF(VALUE(LEFT(H836,FIND("/",H836)-1)) &lt; VALUE(RIGHT(H836,LEN(H836)-FIND("/",H836))), B836, IFERROR(INDEX('SAÍDA DE VENDAS'!$B$6:$B$500, MATCH(B836,'SAÍDA DE VENDAS'!$B$6:$B$500,0)+COUNTIF('SAÍDA DE VENDAS'!$B$6:$B$500, B836)),"")))</f>
        <v/>
      </c>
      <c r="C837" s="35">
        <f>IFERROR(VLOOKUP(B837,'SAÍDA DE VENDAS'!$B$6:$P$500,3,FALSE),"")</f>
        <v>0</v>
      </c>
      <c r="D837" s="34">
        <f>IFERROR(VLOOKUP(B837,'SAÍDA DE VENDAS'!$B$6:$P$500,4,FALSE),"")</f>
        <v>0</v>
      </c>
      <c r="E837" s="34" t="str">
        <f>IFERROR(VLOOKUP(B837,'SAÍDA DE VENDAS'!$B$6:$P$500,5,FALSE),"")</f>
        <v/>
      </c>
      <c r="F837" s="34" t="str">
        <f>IF(OR(ISBLANK(B837),B837=""), "", IFERROR(INDEX('SAÍDA DE VENDAS'!$H$6:$H$500 &amp; "x " &amp; 'SAÍDA DE VENDAS'!$G$6:$G$500, MATCH(B837, 'SAÍDA DE VENDAS'!$B$6:$B$500, 0)), "")&amp; IF(COUNTIF('SAÍDA DE VENDAS'!$B$6:$B$500, B837)&gt;1, " + " &amp; IFERROR(INDEX('SAÍDA DE VENDAS'!$H$6:$H$500 &amp; "x " &amp; 'SAÍDA DE VENDAS'!$G$6:$G$500, MATCH(B837, 'SAÍDA DE VENDAS'!$B$6:$B$500, 0)+1), ""), "")&amp; IF(COUNTIF('SAÍDA DE VENDAS'!$B$6:$B$500, B837)&gt;2, " + " &amp; IFERROR(INDEX('SAÍDA DE VENDAS'!$H$6:$H$500 &amp; "x " &amp; 'SAÍDA DE VENDAS'!$G$6:$G$500, MATCH(B837, 'SAÍDA DE VENDAS'!$B$6:$B$500, 0)+2), ""), "")&amp; IF(COUNTIF('SAÍDA DE VENDAS'!$B$6:$B$500, B837)&gt;3, " + " &amp; IFERROR(INDEX('SAÍDA DE VENDAS'!$H$6:$H$500 &amp; "x " &amp; 'SAÍDA DE VENDAS'!$G$6:$G$500, MATCH(B837, 'SAÍDA DE VENDAS'!$B$6:$B$500, 0)+3), ""), "")&amp; IF(COUNTIF('SAÍDA DE VENDAS'!$B$6:$B$500, B837)&gt;4, " + " &amp; IFERROR(INDEX('SAÍDA DE VENDAS'!$H$6:$H$500 &amp; "x " &amp; 'SAÍDA DE VENDAS'!$G$6:$G$500, MATCH(B837, 'SAÍDA DE VENDAS'!$B$6:$B$500, 0)+4), ""), "")&amp; IF(COUNTIF('SAÍDA DE VENDAS'!$B$6:$B$500, B837)&gt;5, " + " &amp; IFERROR(INDEX('SAÍDA DE VENDAS'!$H$6:$H$500 &amp; "x " &amp; 'SAÍDA DE VENDAS'!$G$6:$G$500, MATCH(B837, 'SAÍDA DE VENDAS'!$B$6:$B$500, 0)+5), ""), ""))</f>
        <v/>
      </c>
      <c r="G837" s="34">
        <f>IFERROR(VLOOKUP(B837,'SAÍDA DE VENDAS'!$B$6:$P$500,10,FALSE),"")</f>
        <v>0</v>
      </c>
      <c r="H837" s="34" t="str">
        <f>IF(OR(ISBLANK(B837),B837=""), "", IF(B837=B836, (VALUE(LEFT(H836,FIND("/",H836)-1))+1)&amp;"/"&amp;RIGHT(H836,LEN(H836)-FIND("/",H836)), "1/"&amp;IFERROR(VLOOKUP(B837,'SAÍDA DE VENDAS'!$B$6:$P$500,13,FALSE),"1")))</f>
        <v/>
      </c>
      <c r="I837" s="35" t="str">
        <f t="shared" si="24"/>
        <v/>
      </c>
      <c r="J837" s="39" t="str">
        <f>IFERROR(VLOOKUP(B837,'SAÍDA DE VENDAS'!$B$6:$P$500,15,FALSE),"")</f>
        <v/>
      </c>
      <c r="K837" s="34" t="str">
        <f t="shared" ca="1" si="25"/>
        <v/>
      </c>
      <c r="L837" s="34"/>
      <c r="M837" s="34"/>
    </row>
    <row r="838" spans="2:13" ht="15" customHeight="1" x14ac:dyDescent="0.3">
      <c r="B838" s="28" t="str">
        <f>IF(B837="","", IF(VALUE(LEFT(H837,FIND("/",H837)-1)) &lt; VALUE(RIGHT(H837,LEN(H837)-FIND("/",H837))), B837, IFERROR(INDEX('SAÍDA DE VENDAS'!$B$6:$B$500, MATCH(B837,'SAÍDA DE VENDAS'!$B$6:$B$500,0)+COUNTIF('SAÍDA DE VENDAS'!$B$6:$B$500, B837)),"")))</f>
        <v/>
      </c>
      <c r="C838" s="29">
        <f>IFERROR(VLOOKUP(B838,'SAÍDA DE VENDAS'!$B$6:$P$500,3,FALSE),"")</f>
        <v>0</v>
      </c>
      <c r="D838" s="28">
        <f>IFERROR(VLOOKUP(B838,'SAÍDA DE VENDAS'!$B$6:$P$500,4,FALSE),"")</f>
        <v>0</v>
      </c>
      <c r="E838" s="28" t="str">
        <f>IFERROR(VLOOKUP(B838,'SAÍDA DE VENDAS'!$B$6:$P$500,5,FALSE),"")</f>
        <v/>
      </c>
      <c r="F838" s="28" t="str">
        <f>IF(OR(ISBLANK(B838),B838=""), "", IFERROR(INDEX('SAÍDA DE VENDAS'!$H$6:$H$500 &amp; "x " &amp; 'SAÍDA DE VENDAS'!$G$6:$G$500, MATCH(B838, 'SAÍDA DE VENDAS'!$B$6:$B$500, 0)), "")&amp; IF(COUNTIF('SAÍDA DE VENDAS'!$B$6:$B$500, B838)&gt;1, " + " &amp; IFERROR(INDEX('SAÍDA DE VENDAS'!$H$6:$H$500 &amp; "x " &amp; 'SAÍDA DE VENDAS'!$G$6:$G$500, MATCH(B838, 'SAÍDA DE VENDAS'!$B$6:$B$500, 0)+1), ""), "")&amp; IF(COUNTIF('SAÍDA DE VENDAS'!$B$6:$B$500, B838)&gt;2, " + " &amp; IFERROR(INDEX('SAÍDA DE VENDAS'!$H$6:$H$500 &amp; "x " &amp; 'SAÍDA DE VENDAS'!$G$6:$G$500, MATCH(B838, 'SAÍDA DE VENDAS'!$B$6:$B$500, 0)+2), ""), "")&amp; IF(COUNTIF('SAÍDA DE VENDAS'!$B$6:$B$500, B838)&gt;3, " + " &amp; IFERROR(INDEX('SAÍDA DE VENDAS'!$H$6:$H$500 &amp; "x " &amp; 'SAÍDA DE VENDAS'!$G$6:$G$500, MATCH(B838, 'SAÍDA DE VENDAS'!$B$6:$B$500, 0)+3), ""), "")&amp; IF(COUNTIF('SAÍDA DE VENDAS'!$B$6:$B$500, B838)&gt;4, " + " &amp; IFERROR(INDEX('SAÍDA DE VENDAS'!$H$6:$H$500 &amp; "x " &amp; 'SAÍDA DE VENDAS'!$G$6:$G$500, MATCH(B838, 'SAÍDA DE VENDAS'!$B$6:$B$500, 0)+4), ""), "")&amp; IF(COUNTIF('SAÍDA DE VENDAS'!$B$6:$B$500, B838)&gt;5, " + " &amp; IFERROR(INDEX('SAÍDA DE VENDAS'!$H$6:$H$500 &amp; "x " &amp; 'SAÍDA DE VENDAS'!$G$6:$G$500, MATCH(B838, 'SAÍDA DE VENDAS'!$B$6:$B$500, 0)+5), ""), ""))</f>
        <v/>
      </c>
      <c r="G838" s="28">
        <f>IFERROR(VLOOKUP(B838,'SAÍDA DE VENDAS'!$B$6:$P$500,10,FALSE),"")</f>
        <v>0</v>
      </c>
      <c r="H838" s="28" t="str">
        <f>IF(OR(ISBLANK(B838),B838=""), "", IF(B838=B837, (VALUE(LEFT(H837,FIND("/",H837)-1))+1)&amp;"/"&amp;RIGHT(H837,LEN(H837)-FIND("/",H837)), "1/"&amp;IFERROR(VLOOKUP(B838,'SAÍDA DE VENDAS'!$B$6:$P$500,13,FALSE),"1")))</f>
        <v/>
      </c>
      <c r="I838" s="69" t="str">
        <f t="shared" ref="I838:I901" si="26">IF(OR(ISBLANK(B838), B838="", C838=""), "", C838 + (IFERROR(VALUE(LEFT(H838, FIND("/", H838)-1)), 1) * 30))</f>
        <v/>
      </c>
      <c r="J838" s="33" t="str">
        <f>IFERROR(VLOOKUP(B838,'SAÍDA DE VENDAS'!$B$6:$P$500,15,FALSE),"")</f>
        <v/>
      </c>
      <c r="K838" s="28" t="str">
        <f t="shared" ref="K838:K901" ca="1" si="27">IF(B838="","", IF(OR(G838="À Vista", L838&lt;&gt;""), "Pago", IF(AND(I838&lt;&gt;"", I838&lt;TODAY()), "Atrasado", "Pendente")))</f>
        <v/>
      </c>
      <c r="L838" s="28"/>
      <c r="M838" s="28"/>
    </row>
    <row r="839" spans="2:13" ht="15" customHeight="1" x14ac:dyDescent="0.3">
      <c r="B839" s="34" t="str">
        <f>IF(B838="","", IF(VALUE(LEFT(H838,FIND("/",H838)-1)) &lt; VALUE(RIGHT(H838,LEN(H838)-FIND("/",H838))), B838, IFERROR(INDEX('SAÍDA DE VENDAS'!$B$6:$B$500, MATCH(B838,'SAÍDA DE VENDAS'!$B$6:$B$500,0)+COUNTIF('SAÍDA DE VENDAS'!$B$6:$B$500, B838)),"")))</f>
        <v/>
      </c>
      <c r="C839" s="35">
        <f>IFERROR(VLOOKUP(B839,'SAÍDA DE VENDAS'!$B$6:$P$500,3,FALSE),"")</f>
        <v>0</v>
      </c>
      <c r="D839" s="34">
        <f>IFERROR(VLOOKUP(B839,'SAÍDA DE VENDAS'!$B$6:$P$500,4,FALSE),"")</f>
        <v>0</v>
      </c>
      <c r="E839" s="34" t="str">
        <f>IFERROR(VLOOKUP(B839,'SAÍDA DE VENDAS'!$B$6:$P$500,5,FALSE),"")</f>
        <v/>
      </c>
      <c r="F839" s="34" t="str">
        <f>IF(OR(ISBLANK(B839),B839=""), "", IFERROR(INDEX('SAÍDA DE VENDAS'!$H$6:$H$500 &amp; "x " &amp; 'SAÍDA DE VENDAS'!$G$6:$G$500, MATCH(B839, 'SAÍDA DE VENDAS'!$B$6:$B$500, 0)), "")&amp; IF(COUNTIF('SAÍDA DE VENDAS'!$B$6:$B$500, B839)&gt;1, " + " &amp; IFERROR(INDEX('SAÍDA DE VENDAS'!$H$6:$H$500 &amp; "x " &amp; 'SAÍDA DE VENDAS'!$G$6:$G$500, MATCH(B839, 'SAÍDA DE VENDAS'!$B$6:$B$500, 0)+1), ""), "")&amp; IF(COUNTIF('SAÍDA DE VENDAS'!$B$6:$B$500, B839)&gt;2, " + " &amp; IFERROR(INDEX('SAÍDA DE VENDAS'!$H$6:$H$500 &amp; "x " &amp; 'SAÍDA DE VENDAS'!$G$6:$G$500, MATCH(B839, 'SAÍDA DE VENDAS'!$B$6:$B$500, 0)+2), ""), "")&amp; IF(COUNTIF('SAÍDA DE VENDAS'!$B$6:$B$500, B839)&gt;3, " + " &amp; IFERROR(INDEX('SAÍDA DE VENDAS'!$H$6:$H$500 &amp; "x " &amp; 'SAÍDA DE VENDAS'!$G$6:$G$500, MATCH(B839, 'SAÍDA DE VENDAS'!$B$6:$B$500, 0)+3), ""), "")&amp; IF(COUNTIF('SAÍDA DE VENDAS'!$B$6:$B$500, B839)&gt;4, " + " &amp; IFERROR(INDEX('SAÍDA DE VENDAS'!$H$6:$H$500 &amp; "x " &amp; 'SAÍDA DE VENDAS'!$G$6:$G$500, MATCH(B839, 'SAÍDA DE VENDAS'!$B$6:$B$500, 0)+4), ""), "")&amp; IF(COUNTIF('SAÍDA DE VENDAS'!$B$6:$B$500, B839)&gt;5, " + " &amp; IFERROR(INDEX('SAÍDA DE VENDAS'!$H$6:$H$500 &amp; "x " &amp; 'SAÍDA DE VENDAS'!$G$6:$G$500, MATCH(B839, 'SAÍDA DE VENDAS'!$B$6:$B$500, 0)+5), ""), ""))</f>
        <v/>
      </c>
      <c r="G839" s="34">
        <f>IFERROR(VLOOKUP(B839,'SAÍDA DE VENDAS'!$B$6:$P$500,10,FALSE),"")</f>
        <v>0</v>
      </c>
      <c r="H839" s="34" t="str">
        <f>IF(OR(ISBLANK(B839),B839=""), "", IF(B839=B838, (VALUE(LEFT(H838,FIND("/",H838)-1))+1)&amp;"/"&amp;RIGHT(H838,LEN(H838)-FIND("/",H838)), "1/"&amp;IFERROR(VLOOKUP(B839,'SAÍDA DE VENDAS'!$B$6:$P$500,13,FALSE),"1")))</f>
        <v/>
      </c>
      <c r="I839" s="35" t="str">
        <f t="shared" si="26"/>
        <v/>
      </c>
      <c r="J839" s="39" t="str">
        <f>IFERROR(VLOOKUP(B839,'SAÍDA DE VENDAS'!$B$6:$P$500,15,FALSE),"")</f>
        <v/>
      </c>
      <c r="K839" s="34" t="str">
        <f t="shared" ca="1" si="27"/>
        <v/>
      </c>
      <c r="L839" s="34"/>
      <c r="M839" s="34"/>
    </row>
    <row r="840" spans="2:13" ht="15" customHeight="1" x14ac:dyDescent="0.3">
      <c r="B840" s="28" t="str">
        <f>IF(B839="","", IF(VALUE(LEFT(H839,FIND("/",H839)-1)) &lt; VALUE(RIGHT(H839,LEN(H839)-FIND("/",H839))), B839, IFERROR(INDEX('SAÍDA DE VENDAS'!$B$6:$B$500, MATCH(B839,'SAÍDA DE VENDAS'!$B$6:$B$500,0)+COUNTIF('SAÍDA DE VENDAS'!$B$6:$B$500, B839)),"")))</f>
        <v/>
      </c>
      <c r="C840" s="29">
        <f>IFERROR(VLOOKUP(B840,'SAÍDA DE VENDAS'!$B$6:$P$500,3,FALSE),"")</f>
        <v>0</v>
      </c>
      <c r="D840" s="28">
        <f>IFERROR(VLOOKUP(B840,'SAÍDA DE VENDAS'!$B$6:$P$500,4,FALSE),"")</f>
        <v>0</v>
      </c>
      <c r="E840" s="28" t="str">
        <f>IFERROR(VLOOKUP(B840,'SAÍDA DE VENDAS'!$B$6:$P$500,5,FALSE),"")</f>
        <v/>
      </c>
      <c r="F840" s="28" t="str">
        <f>IF(OR(ISBLANK(B840),B840=""), "", IFERROR(INDEX('SAÍDA DE VENDAS'!$H$6:$H$500 &amp; "x " &amp; 'SAÍDA DE VENDAS'!$G$6:$G$500, MATCH(B840, 'SAÍDA DE VENDAS'!$B$6:$B$500, 0)), "")&amp; IF(COUNTIF('SAÍDA DE VENDAS'!$B$6:$B$500, B840)&gt;1, " + " &amp; IFERROR(INDEX('SAÍDA DE VENDAS'!$H$6:$H$500 &amp; "x " &amp; 'SAÍDA DE VENDAS'!$G$6:$G$500, MATCH(B840, 'SAÍDA DE VENDAS'!$B$6:$B$500, 0)+1), ""), "")&amp; IF(COUNTIF('SAÍDA DE VENDAS'!$B$6:$B$500, B840)&gt;2, " + " &amp; IFERROR(INDEX('SAÍDA DE VENDAS'!$H$6:$H$500 &amp; "x " &amp; 'SAÍDA DE VENDAS'!$G$6:$G$500, MATCH(B840, 'SAÍDA DE VENDAS'!$B$6:$B$500, 0)+2), ""), "")&amp; IF(COUNTIF('SAÍDA DE VENDAS'!$B$6:$B$500, B840)&gt;3, " + " &amp; IFERROR(INDEX('SAÍDA DE VENDAS'!$H$6:$H$500 &amp; "x " &amp; 'SAÍDA DE VENDAS'!$G$6:$G$500, MATCH(B840, 'SAÍDA DE VENDAS'!$B$6:$B$500, 0)+3), ""), "")&amp; IF(COUNTIF('SAÍDA DE VENDAS'!$B$6:$B$500, B840)&gt;4, " + " &amp; IFERROR(INDEX('SAÍDA DE VENDAS'!$H$6:$H$500 &amp; "x " &amp; 'SAÍDA DE VENDAS'!$G$6:$G$500, MATCH(B840, 'SAÍDA DE VENDAS'!$B$6:$B$500, 0)+4), ""), "")&amp; IF(COUNTIF('SAÍDA DE VENDAS'!$B$6:$B$500, B840)&gt;5, " + " &amp; IFERROR(INDEX('SAÍDA DE VENDAS'!$H$6:$H$500 &amp; "x " &amp; 'SAÍDA DE VENDAS'!$G$6:$G$500, MATCH(B840, 'SAÍDA DE VENDAS'!$B$6:$B$500, 0)+5), ""), ""))</f>
        <v/>
      </c>
      <c r="G840" s="28">
        <f>IFERROR(VLOOKUP(B840,'SAÍDA DE VENDAS'!$B$6:$P$500,10,FALSE),"")</f>
        <v>0</v>
      </c>
      <c r="H840" s="28" t="str">
        <f>IF(OR(ISBLANK(B840),B840=""), "", IF(B840=B839, (VALUE(LEFT(H839,FIND("/",H839)-1))+1)&amp;"/"&amp;RIGHT(H839,LEN(H839)-FIND("/",H839)), "1/"&amp;IFERROR(VLOOKUP(B840,'SAÍDA DE VENDAS'!$B$6:$P$500,13,FALSE),"1")))</f>
        <v/>
      </c>
      <c r="I840" s="69" t="str">
        <f t="shared" si="26"/>
        <v/>
      </c>
      <c r="J840" s="33" t="str">
        <f>IFERROR(VLOOKUP(B840,'SAÍDA DE VENDAS'!$B$6:$P$500,15,FALSE),"")</f>
        <v/>
      </c>
      <c r="K840" s="28" t="str">
        <f t="shared" ca="1" si="27"/>
        <v/>
      </c>
      <c r="L840" s="28"/>
      <c r="M840" s="28"/>
    </row>
    <row r="841" spans="2:13" ht="15" customHeight="1" x14ac:dyDescent="0.3">
      <c r="B841" s="34" t="str">
        <f>IF(B840="","", IF(VALUE(LEFT(H840,FIND("/",H840)-1)) &lt; VALUE(RIGHT(H840,LEN(H840)-FIND("/",H840))), B840, IFERROR(INDEX('SAÍDA DE VENDAS'!$B$6:$B$500, MATCH(B840,'SAÍDA DE VENDAS'!$B$6:$B$500,0)+COUNTIF('SAÍDA DE VENDAS'!$B$6:$B$500, B840)),"")))</f>
        <v/>
      </c>
      <c r="C841" s="35">
        <f>IFERROR(VLOOKUP(B841,'SAÍDA DE VENDAS'!$B$6:$P$500,3,FALSE),"")</f>
        <v>0</v>
      </c>
      <c r="D841" s="34">
        <f>IFERROR(VLOOKUP(B841,'SAÍDA DE VENDAS'!$B$6:$P$500,4,FALSE),"")</f>
        <v>0</v>
      </c>
      <c r="E841" s="34" t="str">
        <f>IFERROR(VLOOKUP(B841,'SAÍDA DE VENDAS'!$B$6:$P$500,5,FALSE),"")</f>
        <v/>
      </c>
      <c r="F841" s="34" t="str">
        <f>IF(OR(ISBLANK(B841),B841=""), "", IFERROR(INDEX('SAÍDA DE VENDAS'!$H$6:$H$500 &amp; "x " &amp; 'SAÍDA DE VENDAS'!$G$6:$G$500, MATCH(B841, 'SAÍDA DE VENDAS'!$B$6:$B$500, 0)), "")&amp; IF(COUNTIF('SAÍDA DE VENDAS'!$B$6:$B$500, B841)&gt;1, " + " &amp; IFERROR(INDEX('SAÍDA DE VENDAS'!$H$6:$H$500 &amp; "x " &amp; 'SAÍDA DE VENDAS'!$G$6:$G$500, MATCH(B841, 'SAÍDA DE VENDAS'!$B$6:$B$500, 0)+1), ""), "")&amp; IF(COUNTIF('SAÍDA DE VENDAS'!$B$6:$B$500, B841)&gt;2, " + " &amp; IFERROR(INDEX('SAÍDA DE VENDAS'!$H$6:$H$500 &amp; "x " &amp; 'SAÍDA DE VENDAS'!$G$6:$G$500, MATCH(B841, 'SAÍDA DE VENDAS'!$B$6:$B$500, 0)+2), ""), "")&amp; IF(COUNTIF('SAÍDA DE VENDAS'!$B$6:$B$500, B841)&gt;3, " + " &amp; IFERROR(INDEX('SAÍDA DE VENDAS'!$H$6:$H$500 &amp; "x " &amp; 'SAÍDA DE VENDAS'!$G$6:$G$500, MATCH(B841, 'SAÍDA DE VENDAS'!$B$6:$B$500, 0)+3), ""), "")&amp; IF(COUNTIF('SAÍDA DE VENDAS'!$B$6:$B$500, B841)&gt;4, " + " &amp; IFERROR(INDEX('SAÍDA DE VENDAS'!$H$6:$H$500 &amp; "x " &amp; 'SAÍDA DE VENDAS'!$G$6:$G$500, MATCH(B841, 'SAÍDA DE VENDAS'!$B$6:$B$500, 0)+4), ""), "")&amp; IF(COUNTIF('SAÍDA DE VENDAS'!$B$6:$B$500, B841)&gt;5, " + " &amp; IFERROR(INDEX('SAÍDA DE VENDAS'!$H$6:$H$500 &amp; "x " &amp; 'SAÍDA DE VENDAS'!$G$6:$G$500, MATCH(B841, 'SAÍDA DE VENDAS'!$B$6:$B$500, 0)+5), ""), ""))</f>
        <v/>
      </c>
      <c r="G841" s="34">
        <f>IFERROR(VLOOKUP(B841,'SAÍDA DE VENDAS'!$B$6:$P$500,10,FALSE),"")</f>
        <v>0</v>
      </c>
      <c r="H841" s="34" t="str">
        <f>IF(OR(ISBLANK(B841),B841=""), "", IF(B841=B840, (VALUE(LEFT(H840,FIND("/",H840)-1))+1)&amp;"/"&amp;RIGHT(H840,LEN(H840)-FIND("/",H840)), "1/"&amp;IFERROR(VLOOKUP(B841,'SAÍDA DE VENDAS'!$B$6:$P$500,13,FALSE),"1")))</f>
        <v/>
      </c>
      <c r="I841" s="35" t="str">
        <f t="shared" si="26"/>
        <v/>
      </c>
      <c r="J841" s="39" t="str">
        <f>IFERROR(VLOOKUP(B841,'SAÍDA DE VENDAS'!$B$6:$P$500,15,FALSE),"")</f>
        <v/>
      </c>
      <c r="K841" s="34" t="str">
        <f t="shared" ca="1" si="27"/>
        <v/>
      </c>
      <c r="L841" s="34"/>
      <c r="M841" s="34"/>
    </row>
    <row r="842" spans="2:13" ht="15" customHeight="1" x14ac:dyDescent="0.3">
      <c r="B842" s="28" t="str">
        <f>IF(B841="","", IF(VALUE(LEFT(H841,FIND("/",H841)-1)) &lt; VALUE(RIGHT(H841,LEN(H841)-FIND("/",H841))), B841, IFERROR(INDEX('SAÍDA DE VENDAS'!$B$6:$B$500, MATCH(B841,'SAÍDA DE VENDAS'!$B$6:$B$500,0)+COUNTIF('SAÍDA DE VENDAS'!$B$6:$B$500, B841)),"")))</f>
        <v/>
      </c>
      <c r="C842" s="29">
        <f>IFERROR(VLOOKUP(B842,'SAÍDA DE VENDAS'!$B$6:$P$500,3,FALSE),"")</f>
        <v>0</v>
      </c>
      <c r="D842" s="28">
        <f>IFERROR(VLOOKUP(B842,'SAÍDA DE VENDAS'!$B$6:$P$500,4,FALSE),"")</f>
        <v>0</v>
      </c>
      <c r="E842" s="28" t="str">
        <f>IFERROR(VLOOKUP(B842,'SAÍDA DE VENDAS'!$B$6:$P$500,5,FALSE),"")</f>
        <v/>
      </c>
      <c r="F842" s="28" t="str">
        <f>IF(OR(ISBLANK(B842),B842=""), "", IFERROR(INDEX('SAÍDA DE VENDAS'!$H$6:$H$500 &amp; "x " &amp; 'SAÍDA DE VENDAS'!$G$6:$G$500, MATCH(B842, 'SAÍDA DE VENDAS'!$B$6:$B$500, 0)), "")&amp; IF(COUNTIF('SAÍDA DE VENDAS'!$B$6:$B$500, B842)&gt;1, " + " &amp; IFERROR(INDEX('SAÍDA DE VENDAS'!$H$6:$H$500 &amp; "x " &amp; 'SAÍDA DE VENDAS'!$G$6:$G$500, MATCH(B842, 'SAÍDA DE VENDAS'!$B$6:$B$500, 0)+1), ""), "")&amp; IF(COUNTIF('SAÍDA DE VENDAS'!$B$6:$B$500, B842)&gt;2, " + " &amp; IFERROR(INDEX('SAÍDA DE VENDAS'!$H$6:$H$500 &amp; "x " &amp; 'SAÍDA DE VENDAS'!$G$6:$G$500, MATCH(B842, 'SAÍDA DE VENDAS'!$B$6:$B$500, 0)+2), ""), "")&amp; IF(COUNTIF('SAÍDA DE VENDAS'!$B$6:$B$500, B842)&gt;3, " + " &amp; IFERROR(INDEX('SAÍDA DE VENDAS'!$H$6:$H$500 &amp; "x " &amp; 'SAÍDA DE VENDAS'!$G$6:$G$500, MATCH(B842, 'SAÍDA DE VENDAS'!$B$6:$B$500, 0)+3), ""), "")&amp; IF(COUNTIF('SAÍDA DE VENDAS'!$B$6:$B$500, B842)&gt;4, " + " &amp; IFERROR(INDEX('SAÍDA DE VENDAS'!$H$6:$H$500 &amp; "x " &amp; 'SAÍDA DE VENDAS'!$G$6:$G$500, MATCH(B842, 'SAÍDA DE VENDAS'!$B$6:$B$500, 0)+4), ""), "")&amp; IF(COUNTIF('SAÍDA DE VENDAS'!$B$6:$B$500, B842)&gt;5, " + " &amp; IFERROR(INDEX('SAÍDA DE VENDAS'!$H$6:$H$500 &amp; "x " &amp; 'SAÍDA DE VENDAS'!$G$6:$G$500, MATCH(B842, 'SAÍDA DE VENDAS'!$B$6:$B$500, 0)+5), ""), ""))</f>
        <v/>
      </c>
      <c r="G842" s="28">
        <f>IFERROR(VLOOKUP(B842,'SAÍDA DE VENDAS'!$B$6:$P$500,10,FALSE),"")</f>
        <v>0</v>
      </c>
      <c r="H842" s="28" t="str">
        <f>IF(OR(ISBLANK(B842),B842=""), "", IF(B842=B841, (VALUE(LEFT(H841,FIND("/",H841)-1))+1)&amp;"/"&amp;RIGHT(H841,LEN(H841)-FIND("/",H841)), "1/"&amp;IFERROR(VLOOKUP(B842,'SAÍDA DE VENDAS'!$B$6:$P$500,13,FALSE),"1")))</f>
        <v/>
      </c>
      <c r="I842" s="69" t="str">
        <f t="shared" si="26"/>
        <v/>
      </c>
      <c r="J842" s="33" t="str">
        <f>IFERROR(VLOOKUP(B842,'SAÍDA DE VENDAS'!$B$6:$P$500,15,FALSE),"")</f>
        <v/>
      </c>
      <c r="K842" s="28" t="str">
        <f t="shared" ca="1" si="27"/>
        <v/>
      </c>
      <c r="L842" s="28"/>
      <c r="M842" s="28"/>
    </row>
    <row r="843" spans="2:13" ht="15" customHeight="1" x14ac:dyDescent="0.3">
      <c r="B843" s="34" t="str">
        <f>IF(B842="","", IF(VALUE(LEFT(H842,FIND("/",H842)-1)) &lt; VALUE(RIGHT(H842,LEN(H842)-FIND("/",H842))), B842, IFERROR(INDEX('SAÍDA DE VENDAS'!$B$6:$B$500, MATCH(B842,'SAÍDA DE VENDAS'!$B$6:$B$500,0)+COUNTIF('SAÍDA DE VENDAS'!$B$6:$B$500, B842)),"")))</f>
        <v/>
      </c>
      <c r="C843" s="35">
        <f>IFERROR(VLOOKUP(B843,'SAÍDA DE VENDAS'!$B$6:$P$500,3,FALSE),"")</f>
        <v>0</v>
      </c>
      <c r="D843" s="34">
        <f>IFERROR(VLOOKUP(B843,'SAÍDA DE VENDAS'!$B$6:$P$500,4,FALSE),"")</f>
        <v>0</v>
      </c>
      <c r="E843" s="34" t="str">
        <f>IFERROR(VLOOKUP(B843,'SAÍDA DE VENDAS'!$B$6:$P$500,5,FALSE),"")</f>
        <v/>
      </c>
      <c r="F843" s="34" t="str">
        <f>IF(OR(ISBLANK(B843),B843=""), "", IFERROR(INDEX('SAÍDA DE VENDAS'!$H$6:$H$500 &amp; "x " &amp; 'SAÍDA DE VENDAS'!$G$6:$G$500, MATCH(B843, 'SAÍDA DE VENDAS'!$B$6:$B$500, 0)), "")&amp; IF(COUNTIF('SAÍDA DE VENDAS'!$B$6:$B$500, B843)&gt;1, " + " &amp; IFERROR(INDEX('SAÍDA DE VENDAS'!$H$6:$H$500 &amp; "x " &amp; 'SAÍDA DE VENDAS'!$G$6:$G$500, MATCH(B843, 'SAÍDA DE VENDAS'!$B$6:$B$500, 0)+1), ""), "")&amp; IF(COUNTIF('SAÍDA DE VENDAS'!$B$6:$B$500, B843)&gt;2, " + " &amp; IFERROR(INDEX('SAÍDA DE VENDAS'!$H$6:$H$500 &amp; "x " &amp; 'SAÍDA DE VENDAS'!$G$6:$G$500, MATCH(B843, 'SAÍDA DE VENDAS'!$B$6:$B$500, 0)+2), ""), "")&amp; IF(COUNTIF('SAÍDA DE VENDAS'!$B$6:$B$500, B843)&gt;3, " + " &amp; IFERROR(INDEX('SAÍDA DE VENDAS'!$H$6:$H$500 &amp; "x " &amp; 'SAÍDA DE VENDAS'!$G$6:$G$500, MATCH(B843, 'SAÍDA DE VENDAS'!$B$6:$B$500, 0)+3), ""), "")&amp; IF(COUNTIF('SAÍDA DE VENDAS'!$B$6:$B$500, B843)&gt;4, " + " &amp; IFERROR(INDEX('SAÍDA DE VENDAS'!$H$6:$H$500 &amp; "x " &amp; 'SAÍDA DE VENDAS'!$G$6:$G$500, MATCH(B843, 'SAÍDA DE VENDAS'!$B$6:$B$500, 0)+4), ""), "")&amp; IF(COUNTIF('SAÍDA DE VENDAS'!$B$6:$B$500, B843)&gt;5, " + " &amp; IFERROR(INDEX('SAÍDA DE VENDAS'!$H$6:$H$500 &amp; "x " &amp; 'SAÍDA DE VENDAS'!$G$6:$G$500, MATCH(B843, 'SAÍDA DE VENDAS'!$B$6:$B$500, 0)+5), ""), ""))</f>
        <v/>
      </c>
      <c r="G843" s="34">
        <f>IFERROR(VLOOKUP(B843,'SAÍDA DE VENDAS'!$B$6:$P$500,10,FALSE),"")</f>
        <v>0</v>
      </c>
      <c r="H843" s="34" t="str">
        <f>IF(OR(ISBLANK(B843),B843=""), "", IF(B843=B842, (VALUE(LEFT(H842,FIND("/",H842)-1))+1)&amp;"/"&amp;RIGHT(H842,LEN(H842)-FIND("/",H842)), "1/"&amp;IFERROR(VLOOKUP(B843,'SAÍDA DE VENDAS'!$B$6:$P$500,13,FALSE),"1")))</f>
        <v/>
      </c>
      <c r="I843" s="35" t="str">
        <f t="shared" si="26"/>
        <v/>
      </c>
      <c r="J843" s="39" t="str">
        <f>IFERROR(VLOOKUP(B843,'SAÍDA DE VENDAS'!$B$6:$P$500,15,FALSE),"")</f>
        <v/>
      </c>
      <c r="K843" s="34" t="str">
        <f t="shared" ca="1" si="27"/>
        <v/>
      </c>
      <c r="L843" s="34"/>
      <c r="M843" s="34"/>
    </row>
    <row r="844" spans="2:13" ht="15" customHeight="1" x14ac:dyDescent="0.3">
      <c r="B844" s="28" t="str">
        <f>IF(B843="","", IF(VALUE(LEFT(H843,FIND("/",H843)-1)) &lt; VALUE(RIGHT(H843,LEN(H843)-FIND("/",H843))), B843, IFERROR(INDEX('SAÍDA DE VENDAS'!$B$6:$B$500, MATCH(B843,'SAÍDA DE VENDAS'!$B$6:$B$500,0)+COUNTIF('SAÍDA DE VENDAS'!$B$6:$B$500, B843)),"")))</f>
        <v/>
      </c>
      <c r="C844" s="29">
        <f>IFERROR(VLOOKUP(B844,'SAÍDA DE VENDAS'!$B$6:$P$500,3,FALSE),"")</f>
        <v>0</v>
      </c>
      <c r="D844" s="28">
        <f>IFERROR(VLOOKUP(B844,'SAÍDA DE VENDAS'!$B$6:$P$500,4,FALSE),"")</f>
        <v>0</v>
      </c>
      <c r="E844" s="28" t="str">
        <f>IFERROR(VLOOKUP(B844,'SAÍDA DE VENDAS'!$B$6:$P$500,5,FALSE),"")</f>
        <v/>
      </c>
      <c r="F844" s="28" t="str">
        <f>IF(OR(ISBLANK(B844),B844=""), "", IFERROR(INDEX('SAÍDA DE VENDAS'!$H$6:$H$500 &amp; "x " &amp; 'SAÍDA DE VENDAS'!$G$6:$G$500, MATCH(B844, 'SAÍDA DE VENDAS'!$B$6:$B$500, 0)), "")&amp; IF(COUNTIF('SAÍDA DE VENDAS'!$B$6:$B$500, B844)&gt;1, " + " &amp; IFERROR(INDEX('SAÍDA DE VENDAS'!$H$6:$H$500 &amp; "x " &amp; 'SAÍDA DE VENDAS'!$G$6:$G$500, MATCH(B844, 'SAÍDA DE VENDAS'!$B$6:$B$500, 0)+1), ""), "")&amp; IF(COUNTIF('SAÍDA DE VENDAS'!$B$6:$B$500, B844)&gt;2, " + " &amp; IFERROR(INDEX('SAÍDA DE VENDAS'!$H$6:$H$500 &amp; "x " &amp; 'SAÍDA DE VENDAS'!$G$6:$G$500, MATCH(B844, 'SAÍDA DE VENDAS'!$B$6:$B$500, 0)+2), ""), "")&amp; IF(COUNTIF('SAÍDA DE VENDAS'!$B$6:$B$500, B844)&gt;3, " + " &amp; IFERROR(INDEX('SAÍDA DE VENDAS'!$H$6:$H$500 &amp; "x " &amp; 'SAÍDA DE VENDAS'!$G$6:$G$500, MATCH(B844, 'SAÍDA DE VENDAS'!$B$6:$B$500, 0)+3), ""), "")&amp; IF(COUNTIF('SAÍDA DE VENDAS'!$B$6:$B$500, B844)&gt;4, " + " &amp; IFERROR(INDEX('SAÍDA DE VENDAS'!$H$6:$H$500 &amp; "x " &amp; 'SAÍDA DE VENDAS'!$G$6:$G$500, MATCH(B844, 'SAÍDA DE VENDAS'!$B$6:$B$500, 0)+4), ""), "")&amp; IF(COUNTIF('SAÍDA DE VENDAS'!$B$6:$B$500, B844)&gt;5, " + " &amp; IFERROR(INDEX('SAÍDA DE VENDAS'!$H$6:$H$500 &amp; "x " &amp; 'SAÍDA DE VENDAS'!$G$6:$G$500, MATCH(B844, 'SAÍDA DE VENDAS'!$B$6:$B$500, 0)+5), ""), ""))</f>
        <v/>
      </c>
      <c r="G844" s="28">
        <f>IFERROR(VLOOKUP(B844,'SAÍDA DE VENDAS'!$B$6:$P$500,10,FALSE),"")</f>
        <v>0</v>
      </c>
      <c r="H844" s="28" t="str">
        <f>IF(OR(ISBLANK(B844),B844=""), "", IF(B844=B843, (VALUE(LEFT(H843,FIND("/",H843)-1))+1)&amp;"/"&amp;RIGHT(H843,LEN(H843)-FIND("/",H843)), "1/"&amp;IFERROR(VLOOKUP(B844,'SAÍDA DE VENDAS'!$B$6:$P$500,13,FALSE),"1")))</f>
        <v/>
      </c>
      <c r="I844" s="69" t="str">
        <f t="shared" si="26"/>
        <v/>
      </c>
      <c r="J844" s="33" t="str">
        <f>IFERROR(VLOOKUP(B844,'SAÍDA DE VENDAS'!$B$6:$P$500,15,FALSE),"")</f>
        <v/>
      </c>
      <c r="K844" s="28" t="str">
        <f t="shared" ca="1" si="27"/>
        <v/>
      </c>
      <c r="L844" s="28"/>
      <c r="M844" s="28"/>
    </row>
    <row r="845" spans="2:13" ht="15" customHeight="1" x14ac:dyDescent="0.3">
      <c r="B845" s="34" t="str">
        <f>IF(B844="","", IF(VALUE(LEFT(H844,FIND("/",H844)-1)) &lt; VALUE(RIGHT(H844,LEN(H844)-FIND("/",H844))), B844, IFERROR(INDEX('SAÍDA DE VENDAS'!$B$6:$B$500, MATCH(B844,'SAÍDA DE VENDAS'!$B$6:$B$500,0)+COUNTIF('SAÍDA DE VENDAS'!$B$6:$B$500, B844)),"")))</f>
        <v/>
      </c>
      <c r="C845" s="35">
        <f>IFERROR(VLOOKUP(B845,'SAÍDA DE VENDAS'!$B$6:$P$500,3,FALSE),"")</f>
        <v>0</v>
      </c>
      <c r="D845" s="34">
        <f>IFERROR(VLOOKUP(B845,'SAÍDA DE VENDAS'!$B$6:$P$500,4,FALSE),"")</f>
        <v>0</v>
      </c>
      <c r="E845" s="34" t="str">
        <f>IFERROR(VLOOKUP(B845,'SAÍDA DE VENDAS'!$B$6:$P$500,5,FALSE),"")</f>
        <v/>
      </c>
      <c r="F845" s="34" t="str">
        <f>IF(OR(ISBLANK(B845),B845=""), "", IFERROR(INDEX('SAÍDA DE VENDAS'!$H$6:$H$500 &amp; "x " &amp; 'SAÍDA DE VENDAS'!$G$6:$G$500, MATCH(B845, 'SAÍDA DE VENDAS'!$B$6:$B$500, 0)), "")&amp; IF(COUNTIF('SAÍDA DE VENDAS'!$B$6:$B$500, B845)&gt;1, " + " &amp; IFERROR(INDEX('SAÍDA DE VENDAS'!$H$6:$H$500 &amp; "x " &amp; 'SAÍDA DE VENDAS'!$G$6:$G$500, MATCH(B845, 'SAÍDA DE VENDAS'!$B$6:$B$500, 0)+1), ""), "")&amp; IF(COUNTIF('SAÍDA DE VENDAS'!$B$6:$B$500, B845)&gt;2, " + " &amp; IFERROR(INDEX('SAÍDA DE VENDAS'!$H$6:$H$500 &amp; "x " &amp; 'SAÍDA DE VENDAS'!$G$6:$G$500, MATCH(B845, 'SAÍDA DE VENDAS'!$B$6:$B$500, 0)+2), ""), "")&amp; IF(COUNTIF('SAÍDA DE VENDAS'!$B$6:$B$500, B845)&gt;3, " + " &amp; IFERROR(INDEX('SAÍDA DE VENDAS'!$H$6:$H$500 &amp; "x " &amp; 'SAÍDA DE VENDAS'!$G$6:$G$500, MATCH(B845, 'SAÍDA DE VENDAS'!$B$6:$B$500, 0)+3), ""), "")&amp; IF(COUNTIF('SAÍDA DE VENDAS'!$B$6:$B$500, B845)&gt;4, " + " &amp; IFERROR(INDEX('SAÍDA DE VENDAS'!$H$6:$H$500 &amp; "x " &amp; 'SAÍDA DE VENDAS'!$G$6:$G$500, MATCH(B845, 'SAÍDA DE VENDAS'!$B$6:$B$500, 0)+4), ""), "")&amp; IF(COUNTIF('SAÍDA DE VENDAS'!$B$6:$B$500, B845)&gt;5, " + " &amp; IFERROR(INDEX('SAÍDA DE VENDAS'!$H$6:$H$500 &amp; "x " &amp; 'SAÍDA DE VENDAS'!$G$6:$G$500, MATCH(B845, 'SAÍDA DE VENDAS'!$B$6:$B$500, 0)+5), ""), ""))</f>
        <v/>
      </c>
      <c r="G845" s="34">
        <f>IFERROR(VLOOKUP(B845,'SAÍDA DE VENDAS'!$B$6:$P$500,10,FALSE),"")</f>
        <v>0</v>
      </c>
      <c r="H845" s="34" t="str">
        <f>IF(OR(ISBLANK(B845),B845=""), "", IF(B845=B844, (VALUE(LEFT(H844,FIND("/",H844)-1))+1)&amp;"/"&amp;RIGHT(H844,LEN(H844)-FIND("/",H844)), "1/"&amp;IFERROR(VLOOKUP(B845,'SAÍDA DE VENDAS'!$B$6:$P$500,13,FALSE),"1")))</f>
        <v/>
      </c>
      <c r="I845" s="35" t="str">
        <f t="shared" si="26"/>
        <v/>
      </c>
      <c r="J845" s="39" t="str">
        <f>IFERROR(VLOOKUP(B845,'SAÍDA DE VENDAS'!$B$6:$P$500,15,FALSE),"")</f>
        <v/>
      </c>
      <c r="K845" s="34" t="str">
        <f t="shared" ca="1" si="27"/>
        <v/>
      </c>
      <c r="L845" s="34"/>
      <c r="M845" s="34"/>
    </row>
    <row r="846" spans="2:13" ht="15" customHeight="1" x14ac:dyDescent="0.3">
      <c r="B846" s="28" t="str">
        <f>IF(B845="","", IF(VALUE(LEFT(H845,FIND("/",H845)-1)) &lt; VALUE(RIGHT(H845,LEN(H845)-FIND("/",H845))), B845, IFERROR(INDEX('SAÍDA DE VENDAS'!$B$6:$B$500, MATCH(B845,'SAÍDA DE VENDAS'!$B$6:$B$500,0)+COUNTIF('SAÍDA DE VENDAS'!$B$6:$B$500, B845)),"")))</f>
        <v/>
      </c>
      <c r="C846" s="29">
        <f>IFERROR(VLOOKUP(B846,'SAÍDA DE VENDAS'!$B$6:$P$500,3,FALSE),"")</f>
        <v>0</v>
      </c>
      <c r="D846" s="28">
        <f>IFERROR(VLOOKUP(B846,'SAÍDA DE VENDAS'!$B$6:$P$500,4,FALSE),"")</f>
        <v>0</v>
      </c>
      <c r="E846" s="28" t="str">
        <f>IFERROR(VLOOKUP(B846,'SAÍDA DE VENDAS'!$B$6:$P$500,5,FALSE),"")</f>
        <v/>
      </c>
      <c r="F846" s="28" t="str">
        <f>IF(OR(ISBLANK(B846),B846=""), "", IFERROR(INDEX('SAÍDA DE VENDAS'!$H$6:$H$500 &amp; "x " &amp; 'SAÍDA DE VENDAS'!$G$6:$G$500, MATCH(B846, 'SAÍDA DE VENDAS'!$B$6:$B$500, 0)), "")&amp; IF(COUNTIF('SAÍDA DE VENDAS'!$B$6:$B$500, B846)&gt;1, " + " &amp; IFERROR(INDEX('SAÍDA DE VENDAS'!$H$6:$H$500 &amp; "x " &amp; 'SAÍDA DE VENDAS'!$G$6:$G$500, MATCH(B846, 'SAÍDA DE VENDAS'!$B$6:$B$500, 0)+1), ""), "")&amp; IF(COUNTIF('SAÍDA DE VENDAS'!$B$6:$B$500, B846)&gt;2, " + " &amp; IFERROR(INDEX('SAÍDA DE VENDAS'!$H$6:$H$500 &amp; "x " &amp; 'SAÍDA DE VENDAS'!$G$6:$G$500, MATCH(B846, 'SAÍDA DE VENDAS'!$B$6:$B$500, 0)+2), ""), "")&amp; IF(COUNTIF('SAÍDA DE VENDAS'!$B$6:$B$500, B846)&gt;3, " + " &amp; IFERROR(INDEX('SAÍDA DE VENDAS'!$H$6:$H$500 &amp; "x " &amp; 'SAÍDA DE VENDAS'!$G$6:$G$500, MATCH(B846, 'SAÍDA DE VENDAS'!$B$6:$B$500, 0)+3), ""), "")&amp; IF(COUNTIF('SAÍDA DE VENDAS'!$B$6:$B$500, B846)&gt;4, " + " &amp; IFERROR(INDEX('SAÍDA DE VENDAS'!$H$6:$H$500 &amp; "x " &amp; 'SAÍDA DE VENDAS'!$G$6:$G$500, MATCH(B846, 'SAÍDA DE VENDAS'!$B$6:$B$500, 0)+4), ""), "")&amp; IF(COUNTIF('SAÍDA DE VENDAS'!$B$6:$B$500, B846)&gt;5, " + " &amp; IFERROR(INDEX('SAÍDA DE VENDAS'!$H$6:$H$500 &amp; "x " &amp; 'SAÍDA DE VENDAS'!$G$6:$G$500, MATCH(B846, 'SAÍDA DE VENDAS'!$B$6:$B$500, 0)+5), ""), ""))</f>
        <v/>
      </c>
      <c r="G846" s="28">
        <f>IFERROR(VLOOKUP(B846,'SAÍDA DE VENDAS'!$B$6:$P$500,10,FALSE),"")</f>
        <v>0</v>
      </c>
      <c r="H846" s="28" t="str">
        <f>IF(OR(ISBLANK(B846),B846=""), "", IF(B846=B845, (VALUE(LEFT(H845,FIND("/",H845)-1))+1)&amp;"/"&amp;RIGHT(H845,LEN(H845)-FIND("/",H845)), "1/"&amp;IFERROR(VLOOKUP(B846,'SAÍDA DE VENDAS'!$B$6:$P$500,13,FALSE),"1")))</f>
        <v/>
      </c>
      <c r="I846" s="69" t="str">
        <f t="shared" si="26"/>
        <v/>
      </c>
      <c r="J846" s="33" t="str">
        <f>IFERROR(VLOOKUP(B846,'SAÍDA DE VENDAS'!$B$6:$P$500,15,FALSE),"")</f>
        <v/>
      </c>
      <c r="K846" s="28" t="str">
        <f t="shared" ca="1" si="27"/>
        <v/>
      </c>
      <c r="L846" s="28"/>
      <c r="M846" s="28"/>
    </row>
    <row r="847" spans="2:13" ht="15" customHeight="1" x14ac:dyDescent="0.3">
      <c r="B847" s="34" t="str">
        <f>IF(B846="","", IF(VALUE(LEFT(H846,FIND("/",H846)-1)) &lt; VALUE(RIGHT(H846,LEN(H846)-FIND("/",H846))), B846, IFERROR(INDEX('SAÍDA DE VENDAS'!$B$6:$B$500, MATCH(B846,'SAÍDA DE VENDAS'!$B$6:$B$500,0)+COUNTIF('SAÍDA DE VENDAS'!$B$6:$B$500, B846)),"")))</f>
        <v/>
      </c>
      <c r="C847" s="35">
        <f>IFERROR(VLOOKUP(B847,'SAÍDA DE VENDAS'!$B$6:$P$500,3,FALSE),"")</f>
        <v>0</v>
      </c>
      <c r="D847" s="34">
        <f>IFERROR(VLOOKUP(B847,'SAÍDA DE VENDAS'!$B$6:$P$500,4,FALSE),"")</f>
        <v>0</v>
      </c>
      <c r="E847" s="34" t="str">
        <f>IFERROR(VLOOKUP(B847,'SAÍDA DE VENDAS'!$B$6:$P$500,5,FALSE),"")</f>
        <v/>
      </c>
      <c r="F847" s="34" t="str">
        <f>IF(OR(ISBLANK(B847),B847=""), "", IFERROR(INDEX('SAÍDA DE VENDAS'!$H$6:$H$500 &amp; "x " &amp; 'SAÍDA DE VENDAS'!$G$6:$G$500, MATCH(B847, 'SAÍDA DE VENDAS'!$B$6:$B$500, 0)), "")&amp; IF(COUNTIF('SAÍDA DE VENDAS'!$B$6:$B$500, B847)&gt;1, " + " &amp; IFERROR(INDEX('SAÍDA DE VENDAS'!$H$6:$H$500 &amp; "x " &amp; 'SAÍDA DE VENDAS'!$G$6:$G$500, MATCH(B847, 'SAÍDA DE VENDAS'!$B$6:$B$500, 0)+1), ""), "")&amp; IF(COUNTIF('SAÍDA DE VENDAS'!$B$6:$B$500, B847)&gt;2, " + " &amp; IFERROR(INDEX('SAÍDA DE VENDAS'!$H$6:$H$500 &amp; "x " &amp; 'SAÍDA DE VENDAS'!$G$6:$G$500, MATCH(B847, 'SAÍDA DE VENDAS'!$B$6:$B$500, 0)+2), ""), "")&amp; IF(COUNTIF('SAÍDA DE VENDAS'!$B$6:$B$500, B847)&gt;3, " + " &amp; IFERROR(INDEX('SAÍDA DE VENDAS'!$H$6:$H$500 &amp; "x " &amp; 'SAÍDA DE VENDAS'!$G$6:$G$500, MATCH(B847, 'SAÍDA DE VENDAS'!$B$6:$B$500, 0)+3), ""), "")&amp; IF(COUNTIF('SAÍDA DE VENDAS'!$B$6:$B$500, B847)&gt;4, " + " &amp; IFERROR(INDEX('SAÍDA DE VENDAS'!$H$6:$H$500 &amp; "x " &amp; 'SAÍDA DE VENDAS'!$G$6:$G$500, MATCH(B847, 'SAÍDA DE VENDAS'!$B$6:$B$500, 0)+4), ""), "")&amp; IF(COUNTIF('SAÍDA DE VENDAS'!$B$6:$B$500, B847)&gt;5, " + " &amp; IFERROR(INDEX('SAÍDA DE VENDAS'!$H$6:$H$500 &amp; "x " &amp; 'SAÍDA DE VENDAS'!$G$6:$G$500, MATCH(B847, 'SAÍDA DE VENDAS'!$B$6:$B$500, 0)+5), ""), ""))</f>
        <v/>
      </c>
      <c r="G847" s="34">
        <f>IFERROR(VLOOKUP(B847,'SAÍDA DE VENDAS'!$B$6:$P$500,10,FALSE),"")</f>
        <v>0</v>
      </c>
      <c r="H847" s="34" t="str">
        <f>IF(OR(ISBLANK(B847),B847=""), "", IF(B847=B846, (VALUE(LEFT(H846,FIND("/",H846)-1))+1)&amp;"/"&amp;RIGHT(H846,LEN(H846)-FIND("/",H846)), "1/"&amp;IFERROR(VLOOKUP(B847,'SAÍDA DE VENDAS'!$B$6:$P$500,13,FALSE),"1")))</f>
        <v/>
      </c>
      <c r="I847" s="35" t="str">
        <f t="shared" si="26"/>
        <v/>
      </c>
      <c r="J847" s="39" t="str">
        <f>IFERROR(VLOOKUP(B847,'SAÍDA DE VENDAS'!$B$6:$P$500,15,FALSE),"")</f>
        <v/>
      </c>
      <c r="K847" s="34" t="str">
        <f t="shared" ca="1" si="27"/>
        <v/>
      </c>
      <c r="L847" s="34"/>
      <c r="M847" s="34"/>
    </row>
    <row r="848" spans="2:13" ht="15" customHeight="1" x14ac:dyDescent="0.3">
      <c r="B848" s="28" t="str">
        <f>IF(B847="","", IF(VALUE(LEFT(H847,FIND("/",H847)-1)) &lt; VALUE(RIGHT(H847,LEN(H847)-FIND("/",H847))), B847, IFERROR(INDEX('SAÍDA DE VENDAS'!$B$6:$B$500, MATCH(B847,'SAÍDA DE VENDAS'!$B$6:$B$500,0)+COUNTIF('SAÍDA DE VENDAS'!$B$6:$B$500, B847)),"")))</f>
        <v/>
      </c>
      <c r="C848" s="29">
        <f>IFERROR(VLOOKUP(B848,'SAÍDA DE VENDAS'!$B$6:$P$500,3,FALSE),"")</f>
        <v>0</v>
      </c>
      <c r="D848" s="28">
        <f>IFERROR(VLOOKUP(B848,'SAÍDA DE VENDAS'!$B$6:$P$500,4,FALSE),"")</f>
        <v>0</v>
      </c>
      <c r="E848" s="28" t="str">
        <f>IFERROR(VLOOKUP(B848,'SAÍDA DE VENDAS'!$B$6:$P$500,5,FALSE),"")</f>
        <v/>
      </c>
      <c r="F848" s="28" t="str">
        <f>IF(OR(ISBLANK(B848),B848=""), "", IFERROR(INDEX('SAÍDA DE VENDAS'!$H$6:$H$500 &amp; "x " &amp; 'SAÍDA DE VENDAS'!$G$6:$G$500, MATCH(B848, 'SAÍDA DE VENDAS'!$B$6:$B$500, 0)), "")&amp; IF(COUNTIF('SAÍDA DE VENDAS'!$B$6:$B$500, B848)&gt;1, " + " &amp; IFERROR(INDEX('SAÍDA DE VENDAS'!$H$6:$H$500 &amp; "x " &amp; 'SAÍDA DE VENDAS'!$G$6:$G$500, MATCH(B848, 'SAÍDA DE VENDAS'!$B$6:$B$500, 0)+1), ""), "")&amp; IF(COUNTIF('SAÍDA DE VENDAS'!$B$6:$B$500, B848)&gt;2, " + " &amp; IFERROR(INDEX('SAÍDA DE VENDAS'!$H$6:$H$500 &amp; "x " &amp; 'SAÍDA DE VENDAS'!$G$6:$G$500, MATCH(B848, 'SAÍDA DE VENDAS'!$B$6:$B$500, 0)+2), ""), "")&amp; IF(COUNTIF('SAÍDA DE VENDAS'!$B$6:$B$500, B848)&gt;3, " + " &amp; IFERROR(INDEX('SAÍDA DE VENDAS'!$H$6:$H$500 &amp; "x " &amp; 'SAÍDA DE VENDAS'!$G$6:$G$500, MATCH(B848, 'SAÍDA DE VENDAS'!$B$6:$B$500, 0)+3), ""), "")&amp; IF(COUNTIF('SAÍDA DE VENDAS'!$B$6:$B$500, B848)&gt;4, " + " &amp; IFERROR(INDEX('SAÍDA DE VENDAS'!$H$6:$H$500 &amp; "x " &amp; 'SAÍDA DE VENDAS'!$G$6:$G$500, MATCH(B848, 'SAÍDA DE VENDAS'!$B$6:$B$500, 0)+4), ""), "")&amp; IF(COUNTIF('SAÍDA DE VENDAS'!$B$6:$B$500, B848)&gt;5, " + " &amp; IFERROR(INDEX('SAÍDA DE VENDAS'!$H$6:$H$500 &amp; "x " &amp; 'SAÍDA DE VENDAS'!$G$6:$G$500, MATCH(B848, 'SAÍDA DE VENDAS'!$B$6:$B$500, 0)+5), ""), ""))</f>
        <v/>
      </c>
      <c r="G848" s="28">
        <f>IFERROR(VLOOKUP(B848,'SAÍDA DE VENDAS'!$B$6:$P$500,10,FALSE),"")</f>
        <v>0</v>
      </c>
      <c r="H848" s="28" t="str">
        <f>IF(OR(ISBLANK(B848),B848=""), "", IF(B848=B847, (VALUE(LEFT(H847,FIND("/",H847)-1))+1)&amp;"/"&amp;RIGHT(H847,LEN(H847)-FIND("/",H847)), "1/"&amp;IFERROR(VLOOKUP(B848,'SAÍDA DE VENDAS'!$B$6:$P$500,13,FALSE),"1")))</f>
        <v/>
      </c>
      <c r="I848" s="69" t="str">
        <f t="shared" si="26"/>
        <v/>
      </c>
      <c r="J848" s="33" t="str">
        <f>IFERROR(VLOOKUP(B848,'SAÍDA DE VENDAS'!$B$6:$P$500,15,FALSE),"")</f>
        <v/>
      </c>
      <c r="K848" s="28" t="str">
        <f t="shared" ca="1" si="27"/>
        <v/>
      </c>
      <c r="L848" s="28"/>
      <c r="M848" s="28"/>
    </row>
    <row r="849" spans="2:13" ht="15" customHeight="1" x14ac:dyDescent="0.3">
      <c r="B849" s="34" t="str">
        <f>IF(B848="","", IF(VALUE(LEFT(H848,FIND("/",H848)-1)) &lt; VALUE(RIGHT(H848,LEN(H848)-FIND("/",H848))), B848, IFERROR(INDEX('SAÍDA DE VENDAS'!$B$6:$B$500, MATCH(B848,'SAÍDA DE VENDAS'!$B$6:$B$500,0)+COUNTIF('SAÍDA DE VENDAS'!$B$6:$B$500, B848)),"")))</f>
        <v/>
      </c>
      <c r="C849" s="35">
        <f>IFERROR(VLOOKUP(B849,'SAÍDA DE VENDAS'!$B$6:$P$500,3,FALSE),"")</f>
        <v>0</v>
      </c>
      <c r="D849" s="34">
        <f>IFERROR(VLOOKUP(B849,'SAÍDA DE VENDAS'!$B$6:$P$500,4,FALSE),"")</f>
        <v>0</v>
      </c>
      <c r="E849" s="34" t="str">
        <f>IFERROR(VLOOKUP(B849,'SAÍDA DE VENDAS'!$B$6:$P$500,5,FALSE),"")</f>
        <v/>
      </c>
      <c r="F849" s="34" t="str">
        <f>IF(OR(ISBLANK(B849),B849=""), "", IFERROR(INDEX('SAÍDA DE VENDAS'!$H$6:$H$500 &amp; "x " &amp; 'SAÍDA DE VENDAS'!$G$6:$G$500, MATCH(B849, 'SAÍDA DE VENDAS'!$B$6:$B$500, 0)), "")&amp; IF(COUNTIF('SAÍDA DE VENDAS'!$B$6:$B$500, B849)&gt;1, " + " &amp; IFERROR(INDEX('SAÍDA DE VENDAS'!$H$6:$H$500 &amp; "x " &amp; 'SAÍDA DE VENDAS'!$G$6:$G$500, MATCH(B849, 'SAÍDA DE VENDAS'!$B$6:$B$500, 0)+1), ""), "")&amp; IF(COUNTIF('SAÍDA DE VENDAS'!$B$6:$B$500, B849)&gt;2, " + " &amp; IFERROR(INDEX('SAÍDA DE VENDAS'!$H$6:$H$500 &amp; "x " &amp; 'SAÍDA DE VENDAS'!$G$6:$G$500, MATCH(B849, 'SAÍDA DE VENDAS'!$B$6:$B$500, 0)+2), ""), "")&amp; IF(COUNTIF('SAÍDA DE VENDAS'!$B$6:$B$500, B849)&gt;3, " + " &amp; IFERROR(INDEX('SAÍDA DE VENDAS'!$H$6:$H$500 &amp; "x " &amp; 'SAÍDA DE VENDAS'!$G$6:$G$500, MATCH(B849, 'SAÍDA DE VENDAS'!$B$6:$B$500, 0)+3), ""), "")&amp; IF(COUNTIF('SAÍDA DE VENDAS'!$B$6:$B$500, B849)&gt;4, " + " &amp; IFERROR(INDEX('SAÍDA DE VENDAS'!$H$6:$H$500 &amp; "x " &amp; 'SAÍDA DE VENDAS'!$G$6:$G$500, MATCH(B849, 'SAÍDA DE VENDAS'!$B$6:$B$500, 0)+4), ""), "")&amp; IF(COUNTIF('SAÍDA DE VENDAS'!$B$6:$B$500, B849)&gt;5, " + " &amp; IFERROR(INDEX('SAÍDA DE VENDAS'!$H$6:$H$500 &amp; "x " &amp; 'SAÍDA DE VENDAS'!$G$6:$G$500, MATCH(B849, 'SAÍDA DE VENDAS'!$B$6:$B$500, 0)+5), ""), ""))</f>
        <v/>
      </c>
      <c r="G849" s="34">
        <f>IFERROR(VLOOKUP(B849,'SAÍDA DE VENDAS'!$B$6:$P$500,10,FALSE),"")</f>
        <v>0</v>
      </c>
      <c r="H849" s="34" t="str">
        <f>IF(OR(ISBLANK(B849),B849=""), "", IF(B849=B848, (VALUE(LEFT(H848,FIND("/",H848)-1))+1)&amp;"/"&amp;RIGHT(H848,LEN(H848)-FIND("/",H848)), "1/"&amp;IFERROR(VLOOKUP(B849,'SAÍDA DE VENDAS'!$B$6:$P$500,13,FALSE),"1")))</f>
        <v/>
      </c>
      <c r="I849" s="35" t="str">
        <f t="shared" si="26"/>
        <v/>
      </c>
      <c r="J849" s="39" t="str">
        <f>IFERROR(VLOOKUP(B849,'SAÍDA DE VENDAS'!$B$6:$P$500,15,FALSE),"")</f>
        <v/>
      </c>
      <c r="K849" s="34" t="str">
        <f t="shared" ca="1" si="27"/>
        <v/>
      </c>
      <c r="L849" s="34"/>
      <c r="M849" s="34"/>
    </row>
    <row r="850" spans="2:13" ht="15" customHeight="1" x14ac:dyDescent="0.3">
      <c r="B850" s="28" t="str">
        <f>IF(B849="","", IF(VALUE(LEFT(H849,FIND("/",H849)-1)) &lt; VALUE(RIGHT(H849,LEN(H849)-FIND("/",H849))), B849, IFERROR(INDEX('SAÍDA DE VENDAS'!$B$6:$B$500, MATCH(B849,'SAÍDA DE VENDAS'!$B$6:$B$500,0)+COUNTIF('SAÍDA DE VENDAS'!$B$6:$B$500, B849)),"")))</f>
        <v/>
      </c>
      <c r="C850" s="29">
        <f>IFERROR(VLOOKUP(B850,'SAÍDA DE VENDAS'!$B$6:$P$500,3,FALSE),"")</f>
        <v>0</v>
      </c>
      <c r="D850" s="28">
        <f>IFERROR(VLOOKUP(B850,'SAÍDA DE VENDAS'!$B$6:$P$500,4,FALSE),"")</f>
        <v>0</v>
      </c>
      <c r="E850" s="28" t="str">
        <f>IFERROR(VLOOKUP(B850,'SAÍDA DE VENDAS'!$B$6:$P$500,5,FALSE),"")</f>
        <v/>
      </c>
      <c r="F850" s="28" t="str">
        <f>IF(OR(ISBLANK(B850),B850=""), "", IFERROR(INDEX('SAÍDA DE VENDAS'!$H$6:$H$500 &amp; "x " &amp; 'SAÍDA DE VENDAS'!$G$6:$G$500, MATCH(B850, 'SAÍDA DE VENDAS'!$B$6:$B$500, 0)), "")&amp; IF(COUNTIF('SAÍDA DE VENDAS'!$B$6:$B$500, B850)&gt;1, " + " &amp; IFERROR(INDEX('SAÍDA DE VENDAS'!$H$6:$H$500 &amp; "x " &amp; 'SAÍDA DE VENDAS'!$G$6:$G$500, MATCH(B850, 'SAÍDA DE VENDAS'!$B$6:$B$500, 0)+1), ""), "")&amp; IF(COUNTIF('SAÍDA DE VENDAS'!$B$6:$B$500, B850)&gt;2, " + " &amp; IFERROR(INDEX('SAÍDA DE VENDAS'!$H$6:$H$500 &amp; "x " &amp; 'SAÍDA DE VENDAS'!$G$6:$G$500, MATCH(B850, 'SAÍDA DE VENDAS'!$B$6:$B$500, 0)+2), ""), "")&amp; IF(COUNTIF('SAÍDA DE VENDAS'!$B$6:$B$500, B850)&gt;3, " + " &amp; IFERROR(INDEX('SAÍDA DE VENDAS'!$H$6:$H$500 &amp; "x " &amp; 'SAÍDA DE VENDAS'!$G$6:$G$500, MATCH(B850, 'SAÍDA DE VENDAS'!$B$6:$B$500, 0)+3), ""), "")&amp; IF(COUNTIF('SAÍDA DE VENDAS'!$B$6:$B$500, B850)&gt;4, " + " &amp; IFERROR(INDEX('SAÍDA DE VENDAS'!$H$6:$H$500 &amp; "x " &amp; 'SAÍDA DE VENDAS'!$G$6:$G$500, MATCH(B850, 'SAÍDA DE VENDAS'!$B$6:$B$500, 0)+4), ""), "")&amp; IF(COUNTIF('SAÍDA DE VENDAS'!$B$6:$B$500, B850)&gt;5, " + " &amp; IFERROR(INDEX('SAÍDA DE VENDAS'!$H$6:$H$500 &amp; "x " &amp; 'SAÍDA DE VENDAS'!$G$6:$G$500, MATCH(B850, 'SAÍDA DE VENDAS'!$B$6:$B$500, 0)+5), ""), ""))</f>
        <v/>
      </c>
      <c r="G850" s="28">
        <f>IFERROR(VLOOKUP(B850,'SAÍDA DE VENDAS'!$B$6:$P$500,10,FALSE),"")</f>
        <v>0</v>
      </c>
      <c r="H850" s="28" t="str">
        <f>IF(OR(ISBLANK(B850),B850=""), "", IF(B850=B849, (VALUE(LEFT(H849,FIND("/",H849)-1))+1)&amp;"/"&amp;RIGHT(H849,LEN(H849)-FIND("/",H849)), "1/"&amp;IFERROR(VLOOKUP(B850,'SAÍDA DE VENDAS'!$B$6:$P$500,13,FALSE),"1")))</f>
        <v/>
      </c>
      <c r="I850" s="69" t="str">
        <f t="shared" si="26"/>
        <v/>
      </c>
      <c r="J850" s="33" t="str">
        <f>IFERROR(VLOOKUP(B850,'SAÍDA DE VENDAS'!$B$6:$P$500,15,FALSE),"")</f>
        <v/>
      </c>
      <c r="K850" s="28" t="str">
        <f t="shared" ca="1" si="27"/>
        <v/>
      </c>
      <c r="L850" s="28"/>
      <c r="M850" s="28"/>
    </row>
    <row r="851" spans="2:13" ht="15" customHeight="1" x14ac:dyDescent="0.3">
      <c r="B851" s="34" t="str">
        <f>IF(B850="","", IF(VALUE(LEFT(H850,FIND("/",H850)-1)) &lt; VALUE(RIGHT(H850,LEN(H850)-FIND("/",H850))), B850, IFERROR(INDEX('SAÍDA DE VENDAS'!$B$6:$B$500, MATCH(B850,'SAÍDA DE VENDAS'!$B$6:$B$500,0)+COUNTIF('SAÍDA DE VENDAS'!$B$6:$B$500, B850)),"")))</f>
        <v/>
      </c>
      <c r="C851" s="35">
        <f>IFERROR(VLOOKUP(B851,'SAÍDA DE VENDAS'!$B$6:$P$500,3,FALSE),"")</f>
        <v>0</v>
      </c>
      <c r="D851" s="34">
        <f>IFERROR(VLOOKUP(B851,'SAÍDA DE VENDAS'!$B$6:$P$500,4,FALSE),"")</f>
        <v>0</v>
      </c>
      <c r="E851" s="34" t="str">
        <f>IFERROR(VLOOKUP(B851,'SAÍDA DE VENDAS'!$B$6:$P$500,5,FALSE),"")</f>
        <v/>
      </c>
      <c r="F851" s="34" t="str">
        <f>IF(OR(ISBLANK(B851),B851=""), "", IFERROR(INDEX('SAÍDA DE VENDAS'!$H$6:$H$500 &amp; "x " &amp; 'SAÍDA DE VENDAS'!$G$6:$G$500, MATCH(B851, 'SAÍDA DE VENDAS'!$B$6:$B$500, 0)), "")&amp; IF(COUNTIF('SAÍDA DE VENDAS'!$B$6:$B$500, B851)&gt;1, " + " &amp; IFERROR(INDEX('SAÍDA DE VENDAS'!$H$6:$H$500 &amp; "x " &amp; 'SAÍDA DE VENDAS'!$G$6:$G$500, MATCH(B851, 'SAÍDA DE VENDAS'!$B$6:$B$500, 0)+1), ""), "")&amp; IF(COUNTIF('SAÍDA DE VENDAS'!$B$6:$B$500, B851)&gt;2, " + " &amp; IFERROR(INDEX('SAÍDA DE VENDAS'!$H$6:$H$500 &amp; "x " &amp; 'SAÍDA DE VENDAS'!$G$6:$G$500, MATCH(B851, 'SAÍDA DE VENDAS'!$B$6:$B$500, 0)+2), ""), "")&amp; IF(COUNTIF('SAÍDA DE VENDAS'!$B$6:$B$500, B851)&gt;3, " + " &amp; IFERROR(INDEX('SAÍDA DE VENDAS'!$H$6:$H$500 &amp; "x " &amp; 'SAÍDA DE VENDAS'!$G$6:$G$500, MATCH(B851, 'SAÍDA DE VENDAS'!$B$6:$B$500, 0)+3), ""), "")&amp; IF(COUNTIF('SAÍDA DE VENDAS'!$B$6:$B$500, B851)&gt;4, " + " &amp; IFERROR(INDEX('SAÍDA DE VENDAS'!$H$6:$H$500 &amp; "x " &amp; 'SAÍDA DE VENDAS'!$G$6:$G$500, MATCH(B851, 'SAÍDA DE VENDAS'!$B$6:$B$500, 0)+4), ""), "")&amp; IF(COUNTIF('SAÍDA DE VENDAS'!$B$6:$B$500, B851)&gt;5, " + " &amp; IFERROR(INDEX('SAÍDA DE VENDAS'!$H$6:$H$500 &amp; "x " &amp; 'SAÍDA DE VENDAS'!$G$6:$G$500, MATCH(B851, 'SAÍDA DE VENDAS'!$B$6:$B$500, 0)+5), ""), ""))</f>
        <v/>
      </c>
      <c r="G851" s="34">
        <f>IFERROR(VLOOKUP(B851,'SAÍDA DE VENDAS'!$B$6:$P$500,10,FALSE),"")</f>
        <v>0</v>
      </c>
      <c r="H851" s="34" t="str">
        <f>IF(OR(ISBLANK(B851),B851=""), "", IF(B851=B850, (VALUE(LEFT(H850,FIND("/",H850)-1))+1)&amp;"/"&amp;RIGHT(H850,LEN(H850)-FIND("/",H850)), "1/"&amp;IFERROR(VLOOKUP(B851,'SAÍDA DE VENDAS'!$B$6:$P$500,13,FALSE),"1")))</f>
        <v/>
      </c>
      <c r="I851" s="35" t="str">
        <f t="shared" si="26"/>
        <v/>
      </c>
      <c r="J851" s="39" t="str">
        <f>IFERROR(VLOOKUP(B851,'SAÍDA DE VENDAS'!$B$6:$P$500,15,FALSE),"")</f>
        <v/>
      </c>
      <c r="K851" s="34" t="str">
        <f t="shared" ca="1" si="27"/>
        <v/>
      </c>
      <c r="L851" s="34"/>
      <c r="M851" s="34"/>
    </row>
    <row r="852" spans="2:13" ht="15" customHeight="1" x14ac:dyDescent="0.3">
      <c r="B852" s="28" t="str">
        <f>IF(B851="","", IF(VALUE(LEFT(H851,FIND("/",H851)-1)) &lt; VALUE(RIGHT(H851,LEN(H851)-FIND("/",H851))), B851, IFERROR(INDEX('SAÍDA DE VENDAS'!$B$6:$B$500, MATCH(B851,'SAÍDA DE VENDAS'!$B$6:$B$500,0)+COUNTIF('SAÍDA DE VENDAS'!$B$6:$B$500, B851)),"")))</f>
        <v/>
      </c>
      <c r="C852" s="29">
        <f>IFERROR(VLOOKUP(B852,'SAÍDA DE VENDAS'!$B$6:$P$500,3,FALSE),"")</f>
        <v>0</v>
      </c>
      <c r="D852" s="28">
        <f>IFERROR(VLOOKUP(B852,'SAÍDA DE VENDAS'!$B$6:$P$500,4,FALSE),"")</f>
        <v>0</v>
      </c>
      <c r="E852" s="28" t="str">
        <f>IFERROR(VLOOKUP(B852,'SAÍDA DE VENDAS'!$B$6:$P$500,5,FALSE),"")</f>
        <v/>
      </c>
      <c r="F852" s="28" t="str">
        <f>IF(OR(ISBLANK(B852),B852=""), "", IFERROR(INDEX('SAÍDA DE VENDAS'!$H$6:$H$500 &amp; "x " &amp; 'SAÍDA DE VENDAS'!$G$6:$G$500, MATCH(B852, 'SAÍDA DE VENDAS'!$B$6:$B$500, 0)), "")&amp; IF(COUNTIF('SAÍDA DE VENDAS'!$B$6:$B$500, B852)&gt;1, " + " &amp; IFERROR(INDEX('SAÍDA DE VENDAS'!$H$6:$H$500 &amp; "x " &amp; 'SAÍDA DE VENDAS'!$G$6:$G$500, MATCH(B852, 'SAÍDA DE VENDAS'!$B$6:$B$500, 0)+1), ""), "")&amp; IF(COUNTIF('SAÍDA DE VENDAS'!$B$6:$B$500, B852)&gt;2, " + " &amp; IFERROR(INDEX('SAÍDA DE VENDAS'!$H$6:$H$500 &amp; "x " &amp; 'SAÍDA DE VENDAS'!$G$6:$G$500, MATCH(B852, 'SAÍDA DE VENDAS'!$B$6:$B$500, 0)+2), ""), "")&amp; IF(COUNTIF('SAÍDA DE VENDAS'!$B$6:$B$500, B852)&gt;3, " + " &amp; IFERROR(INDEX('SAÍDA DE VENDAS'!$H$6:$H$500 &amp; "x " &amp; 'SAÍDA DE VENDAS'!$G$6:$G$500, MATCH(B852, 'SAÍDA DE VENDAS'!$B$6:$B$500, 0)+3), ""), "")&amp; IF(COUNTIF('SAÍDA DE VENDAS'!$B$6:$B$500, B852)&gt;4, " + " &amp; IFERROR(INDEX('SAÍDA DE VENDAS'!$H$6:$H$500 &amp; "x " &amp; 'SAÍDA DE VENDAS'!$G$6:$G$500, MATCH(B852, 'SAÍDA DE VENDAS'!$B$6:$B$500, 0)+4), ""), "")&amp; IF(COUNTIF('SAÍDA DE VENDAS'!$B$6:$B$500, B852)&gt;5, " + " &amp; IFERROR(INDEX('SAÍDA DE VENDAS'!$H$6:$H$500 &amp; "x " &amp; 'SAÍDA DE VENDAS'!$G$6:$G$500, MATCH(B852, 'SAÍDA DE VENDAS'!$B$6:$B$500, 0)+5), ""), ""))</f>
        <v/>
      </c>
      <c r="G852" s="28">
        <f>IFERROR(VLOOKUP(B852,'SAÍDA DE VENDAS'!$B$6:$P$500,10,FALSE),"")</f>
        <v>0</v>
      </c>
      <c r="H852" s="28" t="str">
        <f>IF(OR(ISBLANK(B852),B852=""), "", IF(B852=B851, (VALUE(LEFT(H851,FIND("/",H851)-1))+1)&amp;"/"&amp;RIGHT(H851,LEN(H851)-FIND("/",H851)), "1/"&amp;IFERROR(VLOOKUP(B852,'SAÍDA DE VENDAS'!$B$6:$P$500,13,FALSE),"1")))</f>
        <v/>
      </c>
      <c r="I852" s="69" t="str">
        <f t="shared" si="26"/>
        <v/>
      </c>
      <c r="J852" s="33" t="str">
        <f>IFERROR(VLOOKUP(B852,'SAÍDA DE VENDAS'!$B$6:$P$500,15,FALSE),"")</f>
        <v/>
      </c>
      <c r="K852" s="28" t="str">
        <f t="shared" ca="1" si="27"/>
        <v/>
      </c>
      <c r="L852" s="28"/>
      <c r="M852" s="28"/>
    </row>
    <row r="853" spans="2:13" ht="15" customHeight="1" x14ac:dyDescent="0.3">
      <c r="B853" s="34" t="str">
        <f>IF(B852="","", IF(VALUE(LEFT(H852,FIND("/",H852)-1)) &lt; VALUE(RIGHT(H852,LEN(H852)-FIND("/",H852))), B852, IFERROR(INDEX('SAÍDA DE VENDAS'!$B$6:$B$500, MATCH(B852,'SAÍDA DE VENDAS'!$B$6:$B$500,0)+COUNTIF('SAÍDA DE VENDAS'!$B$6:$B$500, B852)),"")))</f>
        <v/>
      </c>
      <c r="C853" s="35">
        <f>IFERROR(VLOOKUP(B853,'SAÍDA DE VENDAS'!$B$6:$P$500,3,FALSE),"")</f>
        <v>0</v>
      </c>
      <c r="D853" s="34">
        <f>IFERROR(VLOOKUP(B853,'SAÍDA DE VENDAS'!$B$6:$P$500,4,FALSE),"")</f>
        <v>0</v>
      </c>
      <c r="E853" s="34" t="str">
        <f>IFERROR(VLOOKUP(B853,'SAÍDA DE VENDAS'!$B$6:$P$500,5,FALSE),"")</f>
        <v/>
      </c>
      <c r="F853" s="34" t="str">
        <f>IF(OR(ISBLANK(B853),B853=""), "", IFERROR(INDEX('SAÍDA DE VENDAS'!$H$6:$H$500 &amp; "x " &amp; 'SAÍDA DE VENDAS'!$G$6:$G$500, MATCH(B853, 'SAÍDA DE VENDAS'!$B$6:$B$500, 0)), "")&amp; IF(COUNTIF('SAÍDA DE VENDAS'!$B$6:$B$500, B853)&gt;1, " + " &amp; IFERROR(INDEX('SAÍDA DE VENDAS'!$H$6:$H$500 &amp; "x " &amp; 'SAÍDA DE VENDAS'!$G$6:$G$500, MATCH(B853, 'SAÍDA DE VENDAS'!$B$6:$B$500, 0)+1), ""), "")&amp; IF(COUNTIF('SAÍDA DE VENDAS'!$B$6:$B$500, B853)&gt;2, " + " &amp; IFERROR(INDEX('SAÍDA DE VENDAS'!$H$6:$H$500 &amp; "x " &amp; 'SAÍDA DE VENDAS'!$G$6:$G$500, MATCH(B853, 'SAÍDA DE VENDAS'!$B$6:$B$500, 0)+2), ""), "")&amp; IF(COUNTIF('SAÍDA DE VENDAS'!$B$6:$B$500, B853)&gt;3, " + " &amp; IFERROR(INDEX('SAÍDA DE VENDAS'!$H$6:$H$500 &amp; "x " &amp; 'SAÍDA DE VENDAS'!$G$6:$G$500, MATCH(B853, 'SAÍDA DE VENDAS'!$B$6:$B$500, 0)+3), ""), "")&amp; IF(COUNTIF('SAÍDA DE VENDAS'!$B$6:$B$500, B853)&gt;4, " + " &amp; IFERROR(INDEX('SAÍDA DE VENDAS'!$H$6:$H$500 &amp; "x " &amp; 'SAÍDA DE VENDAS'!$G$6:$G$500, MATCH(B853, 'SAÍDA DE VENDAS'!$B$6:$B$500, 0)+4), ""), "")&amp; IF(COUNTIF('SAÍDA DE VENDAS'!$B$6:$B$500, B853)&gt;5, " + " &amp; IFERROR(INDEX('SAÍDA DE VENDAS'!$H$6:$H$500 &amp; "x " &amp; 'SAÍDA DE VENDAS'!$G$6:$G$500, MATCH(B853, 'SAÍDA DE VENDAS'!$B$6:$B$500, 0)+5), ""), ""))</f>
        <v/>
      </c>
      <c r="G853" s="34">
        <f>IFERROR(VLOOKUP(B853,'SAÍDA DE VENDAS'!$B$6:$P$500,10,FALSE),"")</f>
        <v>0</v>
      </c>
      <c r="H853" s="34" t="str">
        <f>IF(OR(ISBLANK(B853),B853=""), "", IF(B853=B852, (VALUE(LEFT(H852,FIND("/",H852)-1))+1)&amp;"/"&amp;RIGHT(H852,LEN(H852)-FIND("/",H852)), "1/"&amp;IFERROR(VLOOKUP(B853,'SAÍDA DE VENDAS'!$B$6:$P$500,13,FALSE),"1")))</f>
        <v/>
      </c>
      <c r="I853" s="35" t="str">
        <f t="shared" si="26"/>
        <v/>
      </c>
      <c r="J853" s="39" t="str">
        <f>IFERROR(VLOOKUP(B853,'SAÍDA DE VENDAS'!$B$6:$P$500,15,FALSE),"")</f>
        <v/>
      </c>
      <c r="K853" s="34" t="str">
        <f t="shared" ca="1" si="27"/>
        <v/>
      </c>
      <c r="L853" s="34"/>
      <c r="M853" s="34"/>
    </row>
    <row r="854" spans="2:13" ht="15" customHeight="1" x14ac:dyDescent="0.3">
      <c r="B854" s="28" t="str">
        <f>IF(B853="","", IF(VALUE(LEFT(H853,FIND("/",H853)-1)) &lt; VALUE(RIGHT(H853,LEN(H853)-FIND("/",H853))), B853, IFERROR(INDEX('SAÍDA DE VENDAS'!$B$6:$B$500, MATCH(B853,'SAÍDA DE VENDAS'!$B$6:$B$500,0)+COUNTIF('SAÍDA DE VENDAS'!$B$6:$B$500, B853)),"")))</f>
        <v/>
      </c>
      <c r="C854" s="29">
        <f>IFERROR(VLOOKUP(B854,'SAÍDA DE VENDAS'!$B$6:$P$500,3,FALSE),"")</f>
        <v>0</v>
      </c>
      <c r="D854" s="28">
        <f>IFERROR(VLOOKUP(B854,'SAÍDA DE VENDAS'!$B$6:$P$500,4,FALSE),"")</f>
        <v>0</v>
      </c>
      <c r="E854" s="28" t="str">
        <f>IFERROR(VLOOKUP(B854,'SAÍDA DE VENDAS'!$B$6:$P$500,5,FALSE),"")</f>
        <v/>
      </c>
      <c r="F854" s="28" t="str">
        <f>IF(OR(ISBLANK(B854),B854=""), "", IFERROR(INDEX('SAÍDA DE VENDAS'!$H$6:$H$500 &amp; "x " &amp; 'SAÍDA DE VENDAS'!$G$6:$G$500, MATCH(B854, 'SAÍDA DE VENDAS'!$B$6:$B$500, 0)), "")&amp; IF(COUNTIF('SAÍDA DE VENDAS'!$B$6:$B$500, B854)&gt;1, " + " &amp; IFERROR(INDEX('SAÍDA DE VENDAS'!$H$6:$H$500 &amp; "x " &amp; 'SAÍDA DE VENDAS'!$G$6:$G$500, MATCH(B854, 'SAÍDA DE VENDAS'!$B$6:$B$500, 0)+1), ""), "")&amp; IF(COUNTIF('SAÍDA DE VENDAS'!$B$6:$B$500, B854)&gt;2, " + " &amp; IFERROR(INDEX('SAÍDA DE VENDAS'!$H$6:$H$500 &amp; "x " &amp; 'SAÍDA DE VENDAS'!$G$6:$G$500, MATCH(B854, 'SAÍDA DE VENDAS'!$B$6:$B$500, 0)+2), ""), "")&amp; IF(COUNTIF('SAÍDA DE VENDAS'!$B$6:$B$500, B854)&gt;3, " + " &amp; IFERROR(INDEX('SAÍDA DE VENDAS'!$H$6:$H$500 &amp; "x " &amp; 'SAÍDA DE VENDAS'!$G$6:$G$500, MATCH(B854, 'SAÍDA DE VENDAS'!$B$6:$B$500, 0)+3), ""), "")&amp; IF(COUNTIF('SAÍDA DE VENDAS'!$B$6:$B$500, B854)&gt;4, " + " &amp; IFERROR(INDEX('SAÍDA DE VENDAS'!$H$6:$H$500 &amp; "x " &amp; 'SAÍDA DE VENDAS'!$G$6:$G$500, MATCH(B854, 'SAÍDA DE VENDAS'!$B$6:$B$500, 0)+4), ""), "")&amp; IF(COUNTIF('SAÍDA DE VENDAS'!$B$6:$B$500, B854)&gt;5, " + " &amp; IFERROR(INDEX('SAÍDA DE VENDAS'!$H$6:$H$500 &amp; "x " &amp; 'SAÍDA DE VENDAS'!$G$6:$G$500, MATCH(B854, 'SAÍDA DE VENDAS'!$B$6:$B$500, 0)+5), ""), ""))</f>
        <v/>
      </c>
      <c r="G854" s="28">
        <f>IFERROR(VLOOKUP(B854,'SAÍDA DE VENDAS'!$B$6:$P$500,10,FALSE),"")</f>
        <v>0</v>
      </c>
      <c r="H854" s="28" t="str">
        <f>IF(OR(ISBLANK(B854),B854=""), "", IF(B854=B853, (VALUE(LEFT(H853,FIND("/",H853)-1))+1)&amp;"/"&amp;RIGHT(H853,LEN(H853)-FIND("/",H853)), "1/"&amp;IFERROR(VLOOKUP(B854,'SAÍDA DE VENDAS'!$B$6:$P$500,13,FALSE),"1")))</f>
        <v/>
      </c>
      <c r="I854" s="69" t="str">
        <f t="shared" si="26"/>
        <v/>
      </c>
      <c r="J854" s="33" t="str">
        <f>IFERROR(VLOOKUP(B854,'SAÍDA DE VENDAS'!$B$6:$P$500,15,FALSE),"")</f>
        <v/>
      </c>
      <c r="K854" s="28" t="str">
        <f t="shared" ca="1" si="27"/>
        <v/>
      </c>
      <c r="L854" s="28"/>
      <c r="M854" s="28"/>
    </row>
    <row r="855" spans="2:13" ht="15" customHeight="1" x14ac:dyDescent="0.3">
      <c r="B855" s="34" t="str">
        <f>IF(B854="","", IF(VALUE(LEFT(H854,FIND("/",H854)-1)) &lt; VALUE(RIGHT(H854,LEN(H854)-FIND("/",H854))), B854, IFERROR(INDEX('SAÍDA DE VENDAS'!$B$6:$B$500, MATCH(B854,'SAÍDA DE VENDAS'!$B$6:$B$500,0)+COUNTIF('SAÍDA DE VENDAS'!$B$6:$B$500, B854)),"")))</f>
        <v/>
      </c>
      <c r="C855" s="35">
        <f>IFERROR(VLOOKUP(B855,'SAÍDA DE VENDAS'!$B$6:$P$500,3,FALSE),"")</f>
        <v>0</v>
      </c>
      <c r="D855" s="34">
        <f>IFERROR(VLOOKUP(B855,'SAÍDA DE VENDAS'!$B$6:$P$500,4,FALSE),"")</f>
        <v>0</v>
      </c>
      <c r="E855" s="34" t="str">
        <f>IFERROR(VLOOKUP(B855,'SAÍDA DE VENDAS'!$B$6:$P$500,5,FALSE),"")</f>
        <v/>
      </c>
      <c r="F855" s="34" t="str">
        <f>IF(OR(ISBLANK(B855),B855=""), "", IFERROR(INDEX('SAÍDA DE VENDAS'!$H$6:$H$500 &amp; "x " &amp; 'SAÍDA DE VENDAS'!$G$6:$G$500, MATCH(B855, 'SAÍDA DE VENDAS'!$B$6:$B$500, 0)), "")&amp; IF(COUNTIF('SAÍDA DE VENDAS'!$B$6:$B$500, B855)&gt;1, " + " &amp; IFERROR(INDEX('SAÍDA DE VENDAS'!$H$6:$H$500 &amp; "x " &amp; 'SAÍDA DE VENDAS'!$G$6:$G$500, MATCH(B855, 'SAÍDA DE VENDAS'!$B$6:$B$500, 0)+1), ""), "")&amp; IF(COUNTIF('SAÍDA DE VENDAS'!$B$6:$B$500, B855)&gt;2, " + " &amp; IFERROR(INDEX('SAÍDA DE VENDAS'!$H$6:$H$500 &amp; "x " &amp; 'SAÍDA DE VENDAS'!$G$6:$G$500, MATCH(B855, 'SAÍDA DE VENDAS'!$B$6:$B$500, 0)+2), ""), "")&amp; IF(COUNTIF('SAÍDA DE VENDAS'!$B$6:$B$500, B855)&gt;3, " + " &amp; IFERROR(INDEX('SAÍDA DE VENDAS'!$H$6:$H$500 &amp; "x " &amp; 'SAÍDA DE VENDAS'!$G$6:$G$500, MATCH(B855, 'SAÍDA DE VENDAS'!$B$6:$B$500, 0)+3), ""), "")&amp; IF(COUNTIF('SAÍDA DE VENDAS'!$B$6:$B$500, B855)&gt;4, " + " &amp; IFERROR(INDEX('SAÍDA DE VENDAS'!$H$6:$H$500 &amp; "x " &amp; 'SAÍDA DE VENDAS'!$G$6:$G$500, MATCH(B855, 'SAÍDA DE VENDAS'!$B$6:$B$500, 0)+4), ""), "")&amp; IF(COUNTIF('SAÍDA DE VENDAS'!$B$6:$B$500, B855)&gt;5, " + " &amp; IFERROR(INDEX('SAÍDA DE VENDAS'!$H$6:$H$500 &amp; "x " &amp; 'SAÍDA DE VENDAS'!$G$6:$G$500, MATCH(B855, 'SAÍDA DE VENDAS'!$B$6:$B$500, 0)+5), ""), ""))</f>
        <v/>
      </c>
      <c r="G855" s="34">
        <f>IFERROR(VLOOKUP(B855,'SAÍDA DE VENDAS'!$B$6:$P$500,10,FALSE),"")</f>
        <v>0</v>
      </c>
      <c r="H855" s="34" t="str">
        <f>IF(OR(ISBLANK(B855),B855=""), "", IF(B855=B854, (VALUE(LEFT(H854,FIND("/",H854)-1))+1)&amp;"/"&amp;RIGHT(H854,LEN(H854)-FIND("/",H854)), "1/"&amp;IFERROR(VLOOKUP(B855,'SAÍDA DE VENDAS'!$B$6:$P$500,13,FALSE),"1")))</f>
        <v/>
      </c>
      <c r="I855" s="35" t="str">
        <f t="shared" si="26"/>
        <v/>
      </c>
      <c r="J855" s="39" t="str">
        <f>IFERROR(VLOOKUP(B855,'SAÍDA DE VENDAS'!$B$6:$P$500,15,FALSE),"")</f>
        <v/>
      </c>
      <c r="K855" s="34" t="str">
        <f t="shared" ca="1" si="27"/>
        <v/>
      </c>
      <c r="L855" s="34"/>
      <c r="M855" s="34"/>
    </row>
    <row r="856" spans="2:13" ht="15" customHeight="1" x14ac:dyDescent="0.3">
      <c r="B856" s="28" t="str">
        <f>IF(B855="","", IF(VALUE(LEFT(H855,FIND("/",H855)-1)) &lt; VALUE(RIGHT(H855,LEN(H855)-FIND("/",H855))), B855, IFERROR(INDEX('SAÍDA DE VENDAS'!$B$6:$B$500, MATCH(B855,'SAÍDA DE VENDAS'!$B$6:$B$500,0)+COUNTIF('SAÍDA DE VENDAS'!$B$6:$B$500, B855)),"")))</f>
        <v/>
      </c>
      <c r="C856" s="29">
        <f>IFERROR(VLOOKUP(B856,'SAÍDA DE VENDAS'!$B$6:$P$500,3,FALSE),"")</f>
        <v>0</v>
      </c>
      <c r="D856" s="28">
        <f>IFERROR(VLOOKUP(B856,'SAÍDA DE VENDAS'!$B$6:$P$500,4,FALSE),"")</f>
        <v>0</v>
      </c>
      <c r="E856" s="28" t="str">
        <f>IFERROR(VLOOKUP(B856,'SAÍDA DE VENDAS'!$B$6:$P$500,5,FALSE),"")</f>
        <v/>
      </c>
      <c r="F856" s="28" t="str">
        <f>IF(OR(ISBLANK(B856),B856=""), "", IFERROR(INDEX('SAÍDA DE VENDAS'!$H$6:$H$500 &amp; "x " &amp; 'SAÍDA DE VENDAS'!$G$6:$G$500, MATCH(B856, 'SAÍDA DE VENDAS'!$B$6:$B$500, 0)), "")&amp; IF(COUNTIF('SAÍDA DE VENDAS'!$B$6:$B$500, B856)&gt;1, " + " &amp; IFERROR(INDEX('SAÍDA DE VENDAS'!$H$6:$H$500 &amp; "x " &amp; 'SAÍDA DE VENDAS'!$G$6:$G$500, MATCH(B856, 'SAÍDA DE VENDAS'!$B$6:$B$500, 0)+1), ""), "")&amp; IF(COUNTIF('SAÍDA DE VENDAS'!$B$6:$B$500, B856)&gt;2, " + " &amp; IFERROR(INDEX('SAÍDA DE VENDAS'!$H$6:$H$500 &amp; "x " &amp; 'SAÍDA DE VENDAS'!$G$6:$G$500, MATCH(B856, 'SAÍDA DE VENDAS'!$B$6:$B$500, 0)+2), ""), "")&amp; IF(COUNTIF('SAÍDA DE VENDAS'!$B$6:$B$500, B856)&gt;3, " + " &amp; IFERROR(INDEX('SAÍDA DE VENDAS'!$H$6:$H$500 &amp; "x " &amp; 'SAÍDA DE VENDAS'!$G$6:$G$500, MATCH(B856, 'SAÍDA DE VENDAS'!$B$6:$B$500, 0)+3), ""), "")&amp; IF(COUNTIF('SAÍDA DE VENDAS'!$B$6:$B$500, B856)&gt;4, " + " &amp; IFERROR(INDEX('SAÍDA DE VENDAS'!$H$6:$H$500 &amp; "x " &amp; 'SAÍDA DE VENDAS'!$G$6:$G$500, MATCH(B856, 'SAÍDA DE VENDAS'!$B$6:$B$500, 0)+4), ""), "")&amp; IF(COUNTIF('SAÍDA DE VENDAS'!$B$6:$B$500, B856)&gt;5, " + " &amp; IFERROR(INDEX('SAÍDA DE VENDAS'!$H$6:$H$500 &amp; "x " &amp; 'SAÍDA DE VENDAS'!$G$6:$G$500, MATCH(B856, 'SAÍDA DE VENDAS'!$B$6:$B$500, 0)+5), ""), ""))</f>
        <v/>
      </c>
      <c r="G856" s="28">
        <f>IFERROR(VLOOKUP(B856,'SAÍDA DE VENDAS'!$B$6:$P$500,10,FALSE),"")</f>
        <v>0</v>
      </c>
      <c r="H856" s="28" t="str">
        <f>IF(OR(ISBLANK(B856),B856=""), "", IF(B856=B855, (VALUE(LEFT(H855,FIND("/",H855)-1))+1)&amp;"/"&amp;RIGHT(H855,LEN(H855)-FIND("/",H855)), "1/"&amp;IFERROR(VLOOKUP(B856,'SAÍDA DE VENDAS'!$B$6:$P$500,13,FALSE),"1")))</f>
        <v/>
      </c>
      <c r="I856" s="69" t="str">
        <f t="shared" si="26"/>
        <v/>
      </c>
      <c r="J856" s="33" t="str">
        <f>IFERROR(VLOOKUP(B856,'SAÍDA DE VENDAS'!$B$6:$P$500,15,FALSE),"")</f>
        <v/>
      </c>
      <c r="K856" s="28" t="str">
        <f t="shared" ca="1" si="27"/>
        <v/>
      </c>
      <c r="L856" s="28"/>
      <c r="M856" s="28"/>
    </row>
    <row r="857" spans="2:13" ht="15" customHeight="1" x14ac:dyDescent="0.3">
      <c r="B857" s="34" t="str">
        <f>IF(B856="","", IF(VALUE(LEFT(H856,FIND("/",H856)-1)) &lt; VALUE(RIGHT(H856,LEN(H856)-FIND("/",H856))), B856, IFERROR(INDEX('SAÍDA DE VENDAS'!$B$6:$B$500, MATCH(B856,'SAÍDA DE VENDAS'!$B$6:$B$500,0)+COUNTIF('SAÍDA DE VENDAS'!$B$6:$B$500, B856)),"")))</f>
        <v/>
      </c>
      <c r="C857" s="35">
        <f>IFERROR(VLOOKUP(B857,'SAÍDA DE VENDAS'!$B$6:$P$500,3,FALSE),"")</f>
        <v>0</v>
      </c>
      <c r="D857" s="34">
        <f>IFERROR(VLOOKUP(B857,'SAÍDA DE VENDAS'!$B$6:$P$500,4,FALSE),"")</f>
        <v>0</v>
      </c>
      <c r="E857" s="34" t="str">
        <f>IFERROR(VLOOKUP(B857,'SAÍDA DE VENDAS'!$B$6:$P$500,5,FALSE),"")</f>
        <v/>
      </c>
      <c r="F857" s="34" t="str">
        <f>IF(OR(ISBLANK(B857),B857=""), "", IFERROR(INDEX('SAÍDA DE VENDAS'!$H$6:$H$500 &amp; "x " &amp; 'SAÍDA DE VENDAS'!$G$6:$G$500, MATCH(B857, 'SAÍDA DE VENDAS'!$B$6:$B$500, 0)), "")&amp; IF(COUNTIF('SAÍDA DE VENDAS'!$B$6:$B$500, B857)&gt;1, " + " &amp; IFERROR(INDEX('SAÍDA DE VENDAS'!$H$6:$H$500 &amp; "x " &amp; 'SAÍDA DE VENDAS'!$G$6:$G$500, MATCH(B857, 'SAÍDA DE VENDAS'!$B$6:$B$500, 0)+1), ""), "")&amp; IF(COUNTIF('SAÍDA DE VENDAS'!$B$6:$B$500, B857)&gt;2, " + " &amp; IFERROR(INDEX('SAÍDA DE VENDAS'!$H$6:$H$500 &amp; "x " &amp; 'SAÍDA DE VENDAS'!$G$6:$G$500, MATCH(B857, 'SAÍDA DE VENDAS'!$B$6:$B$500, 0)+2), ""), "")&amp; IF(COUNTIF('SAÍDA DE VENDAS'!$B$6:$B$500, B857)&gt;3, " + " &amp; IFERROR(INDEX('SAÍDA DE VENDAS'!$H$6:$H$500 &amp; "x " &amp; 'SAÍDA DE VENDAS'!$G$6:$G$500, MATCH(B857, 'SAÍDA DE VENDAS'!$B$6:$B$500, 0)+3), ""), "")&amp; IF(COUNTIF('SAÍDA DE VENDAS'!$B$6:$B$500, B857)&gt;4, " + " &amp; IFERROR(INDEX('SAÍDA DE VENDAS'!$H$6:$H$500 &amp; "x " &amp; 'SAÍDA DE VENDAS'!$G$6:$G$500, MATCH(B857, 'SAÍDA DE VENDAS'!$B$6:$B$500, 0)+4), ""), "")&amp; IF(COUNTIF('SAÍDA DE VENDAS'!$B$6:$B$500, B857)&gt;5, " + " &amp; IFERROR(INDEX('SAÍDA DE VENDAS'!$H$6:$H$500 &amp; "x " &amp; 'SAÍDA DE VENDAS'!$G$6:$G$500, MATCH(B857, 'SAÍDA DE VENDAS'!$B$6:$B$500, 0)+5), ""), ""))</f>
        <v/>
      </c>
      <c r="G857" s="34">
        <f>IFERROR(VLOOKUP(B857,'SAÍDA DE VENDAS'!$B$6:$P$500,10,FALSE),"")</f>
        <v>0</v>
      </c>
      <c r="H857" s="34" t="str">
        <f>IF(OR(ISBLANK(B857),B857=""), "", IF(B857=B856, (VALUE(LEFT(H856,FIND("/",H856)-1))+1)&amp;"/"&amp;RIGHT(H856,LEN(H856)-FIND("/",H856)), "1/"&amp;IFERROR(VLOOKUP(B857,'SAÍDA DE VENDAS'!$B$6:$P$500,13,FALSE),"1")))</f>
        <v/>
      </c>
      <c r="I857" s="35" t="str">
        <f t="shared" si="26"/>
        <v/>
      </c>
      <c r="J857" s="39" t="str">
        <f>IFERROR(VLOOKUP(B857,'SAÍDA DE VENDAS'!$B$6:$P$500,15,FALSE),"")</f>
        <v/>
      </c>
      <c r="K857" s="34" t="str">
        <f t="shared" ca="1" si="27"/>
        <v/>
      </c>
      <c r="L857" s="34"/>
      <c r="M857" s="34"/>
    </row>
    <row r="858" spans="2:13" ht="15" customHeight="1" x14ac:dyDescent="0.3">
      <c r="B858" s="28" t="str">
        <f>IF(B857="","", IF(VALUE(LEFT(H857,FIND("/",H857)-1)) &lt; VALUE(RIGHT(H857,LEN(H857)-FIND("/",H857))), B857, IFERROR(INDEX('SAÍDA DE VENDAS'!$B$6:$B$500, MATCH(B857,'SAÍDA DE VENDAS'!$B$6:$B$500,0)+COUNTIF('SAÍDA DE VENDAS'!$B$6:$B$500, B857)),"")))</f>
        <v/>
      </c>
      <c r="C858" s="29">
        <f>IFERROR(VLOOKUP(B858,'SAÍDA DE VENDAS'!$B$6:$P$500,3,FALSE),"")</f>
        <v>0</v>
      </c>
      <c r="D858" s="28">
        <f>IFERROR(VLOOKUP(B858,'SAÍDA DE VENDAS'!$B$6:$P$500,4,FALSE),"")</f>
        <v>0</v>
      </c>
      <c r="E858" s="28" t="str">
        <f>IFERROR(VLOOKUP(B858,'SAÍDA DE VENDAS'!$B$6:$P$500,5,FALSE),"")</f>
        <v/>
      </c>
      <c r="F858" s="28" t="str">
        <f>IF(OR(ISBLANK(B858),B858=""), "", IFERROR(INDEX('SAÍDA DE VENDAS'!$H$6:$H$500 &amp; "x " &amp; 'SAÍDA DE VENDAS'!$G$6:$G$500, MATCH(B858, 'SAÍDA DE VENDAS'!$B$6:$B$500, 0)), "")&amp; IF(COUNTIF('SAÍDA DE VENDAS'!$B$6:$B$500, B858)&gt;1, " + " &amp; IFERROR(INDEX('SAÍDA DE VENDAS'!$H$6:$H$500 &amp; "x " &amp; 'SAÍDA DE VENDAS'!$G$6:$G$500, MATCH(B858, 'SAÍDA DE VENDAS'!$B$6:$B$500, 0)+1), ""), "")&amp; IF(COUNTIF('SAÍDA DE VENDAS'!$B$6:$B$500, B858)&gt;2, " + " &amp; IFERROR(INDEX('SAÍDA DE VENDAS'!$H$6:$H$500 &amp; "x " &amp; 'SAÍDA DE VENDAS'!$G$6:$G$500, MATCH(B858, 'SAÍDA DE VENDAS'!$B$6:$B$500, 0)+2), ""), "")&amp; IF(COUNTIF('SAÍDA DE VENDAS'!$B$6:$B$500, B858)&gt;3, " + " &amp; IFERROR(INDEX('SAÍDA DE VENDAS'!$H$6:$H$500 &amp; "x " &amp; 'SAÍDA DE VENDAS'!$G$6:$G$500, MATCH(B858, 'SAÍDA DE VENDAS'!$B$6:$B$500, 0)+3), ""), "")&amp; IF(COUNTIF('SAÍDA DE VENDAS'!$B$6:$B$500, B858)&gt;4, " + " &amp; IFERROR(INDEX('SAÍDA DE VENDAS'!$H$6:$H$500 &amp; "x " &amp; 'SAÍDA DE VENDAS'!$G$6:$G$500, MATCH(B858, 'SAÍDA DE VENDAS'!$B$6:$B$500, 0)+4), ""), "")&amp; IF(COUNTIF('SAÍDA DE VENDAS'!$B$6:$B$500, B858)&gt;5, " + " &amp; IFERROR(INDEX('SAÍDA DE VENDAS'!$H$6:$H$500 &amp; "x " &amp; 'SAÍDA DE VENDAS'!$G$6:$G$500, MATCH(B858, 'SAÍDA DE VENDAS'!$B$6:$B$500, 0)+5), ""), ""))</f>
        <v/>
      </c>
      <c r="G858" s="28">
        <f>IFERROR(VLOOKUP(B858,'SAÍDA DE VENDAS'!$B$6:$P$500,10,FALSE),"")</f>
        <v>0</v>
      </c>
      <c r="H858" s="28" t="str">
        <f>IF(OR(ISBLANK(B858),B858=""), "", IF(B858=B857, (VALUE(LEFT(H857,FIND("/",H857)-1))+1)&amp;"/"&amp;RIGHT(H857,LEN(H857)-FIND("/",H857)), "1/"&amp;IFERROR(VLOOKUP(B858,'SAÍDA DE VENDAS'!$B$6:$P$500,13,FALSE),"1")))</f>
        <v/>
      </c>
      <c r="I858" s="69" t="str">
        <f t="shared" si="26"/>
        <v/>
      </c>
      <c r="J858" s="33" t="str">
        <f>IFERROR(VLOOKUP(B858,'SAÍDA DE VENDAS'!$B$6:$P$500,15,FALSE),"")</f>
        <v/>
      </c>
      <c r="K858" s="28" t="str">
        <f t="shared" ca="1" si="27"/>
        <v/>
      </c>
      <c r="L858" s="28"/>
      <c r="M858" s="28"/>
    </row>
    <row r="859" spans="2:13" ht="15" customHeight="1" x14ac:dyDescent="0.3">
      <c r="B859" s="34" t="str">
        <f>IF(B858="","", IF(VALUE(LEFT(H858,FIND("/",H858)-1)) &lt; VALUE(RIGHT(H858,LEN(H858)-FIND("/",H858))), B858, IFERROR(INDEX('SAÍDA DE VENDAS'!$B$6:$B$500, MATCH(B858,'SAÍDA DE VENDAS'!$B$6:$B$500,0)+COUNTIF('SAÍDA DE VENDAS'!$B$6:$B$500, B858)),"")))</f>
        <v/>
      </c>
      <c r="C859" s="35">
        <f>IFERROR(VLOOKUP(B859,'SAÍDA DE VENDAS'!$B$6:$P$500,3,FALSE),"")</f>
        <v>0</v>
      </c>
      <c r="D859" s="34">
        <f>IFERROR(VLOOKUP(B859,'SAÍDA DE VENDAS'!$B$6:$P$500,4,FALSE),"")</f>
        <v>0</v>
      </c>
      <c r="E859" s="34" t="str">
        <f>IFERROR(VLOOKUP(B859,'SAÍDA DE VENDAS'!$B$6:$P$500,5,FALSE),"")</f>
        <v/>
      </c>
      <c r="F859" s="34" t="str">
        <f>IF(OR(ISBLANK(B859),B859=""), "", IFERROR(INDEX('SAÍDA DE VENDAS'!$H$6:$H$500 &amp; "x " &amp; 'SAÍDA DE VENDAS'!$G$6:$G$500, MATCH(B859, 'SAÍDA DE VENDAS'!$B$6:$B$500, 0)), "")&amp; IF(COUNTIF('SAÍDA DE VENDAS'!$B$6:$B$500, B859)&gt;1, " + " &amp; IFERROR(INDEX('SAÍDA DE VENDAS'!$H$6:$H$500 &amp; "x " &amp; 'SAÍDA DE VENDAS'!$G$6:$G$500, MATCH(B859, 'SAÍDA DE VENDAS'!$B$6:$B$500, 0)+1), ""), "")&amp; IF(COUNTIF('SAÍDA DE VENDAS'!$B$6:$B$500, B859)&gt;2, " + " &amp; IFERROR(INDEX('SAÍDA DE VENDAS'!$H$6:$H$500 &amp; "x " &amp; 'SAÍDA DE VENDAS'!$G$6:$G$500, MATCH(B859, 'SAÍDA DE VENDAS'!$B$6:$B$500, 0)+2), ""), "")&amp; IF(COUNTIF('SAÍDA DE VENDAS'!$B$6:$B$500, B859)&gt;3, " + " &amp; IFERROR(INDEX('SAÍDA DE VENDAS'!$H$6:$H$500 &amp; "x " &amp; 'SAÍDA DE VENDAS'!$G$6:$G$500, MATCH(B859, 'SAÍDA DE VENDAS'!$B$6:$B$500, 0)+3), ""), "")&amp; IF(COUNTIF('SAÍDA DE VENDAS'!$B$6:$B$500, B859)&gt;4, " + " &amp; IFERROR(INDEX('SAÍDA DE VENDAS'!$H$6:$H$500 &amp; "x " &amp; 'SAÍDA DE VENDAS'!$G$6:$G$500, MATCH(B859, 'SAÍDA DE VENDAS'!$B$6:$B$500, 0)+4), ""), "")&amp; IF(COUNTIF('SAÍDA DE VENDAS'!$B$6:$B$500, B859)&gt;5, " + " &amp; IFERROR(INDEX('SAÍDA DE VENDAS'!$H$6:$H$500 &amp; "x " &amp; 'SAÍDA DE VENDAS'!$G$6:$G$500, MATCH(B859, 'SAÍDA DE VENDAS'!$B$6:$B$500, 0)+5), ""), ""))</f>
        <v/>
      </c>
      <c r="G859" s="34">
        <f>IFERROR(VLOOKUP(B859,'SAÍDA DE VENDAS'!$B$6:$P$500,10,FALSE),"")</f>
        <v>0</v>
      </c>
      <c r="H859" s="34" t="str">
        <f>IF(OR(ISBLANK(B859),B859=""), "", IF(B859=B858, (VALUE(LEFT(H858,FIND("/",H858)-1))+1)&amp;"/"&amp;RIGHT(H858,LEN(H858)-FIND("/",H858)), "1/"&amp;IFERROR(VLOOKUP(B859,'SAÍDA DE VENDAS'!$B$6:$P$500,13,FALSE),"1")))</f>
        <v/>
      </c>
      <c r="I859" s="35" t="str">
        <f t="shared" si="26"/>
        <v/>
      </c>
      <c r="J859" s="39" t="str">
        <f>IFERROR(VLOOKUP(B859,'SAÍDA DE VENDAS'!$B$6:$P$500,15,FALSE),"")</f>
        <v/>
      </c>
      <c r="K859" s="34" t="str">
        <f t="shared" ca="1" si="27"/>
        <v/>
      </c>
      <c r="L859" s="34"/>
      <c r="M859" s="34"/>
    </row>
    <row r="860" spans="2:13" ht="15" customHeight="1" x14ac:dyDescent="0.3">
      <c r="B860" s="28" t="str">
        <f>IF(B859="","", IF(VALUE(LEFT(H859,FIND("/",H859)-1)) &lt; VALUE(RIGHT(H859,LEN(H859)-FIND("/",H859))), B859, IFERROR(INDEX('SAÍDA DE VENDAS'!$B$6:$B$500, MATCH(B859,'SAÍDA DE VENDAS'!$B$6:$B$500,0)+COUNTIF('SAÍDA DE VENDAS'!$B$6:$B$500, B859)),"")))</f>
        <v/>
      </c>
      <c r="C860" s="29">
        <f>IFERROR(VLOOKUP(B860,'SAÍDA DE VENDAS'!$B$6:$P$500,3,FALSE),"")</f>
        <v>0</v>
      </c>
      <c r="D860" s="28">
        <f>IFERROR(VLOOKUP(B860,'SAÍDA DE VENDAS'!$B$6:$P$500,4,FALSE),"")</f>
        <v>0</v>
      </c>
      <c r="E860" s="28" t="str">
        <f>IFERROR(VLOOKUP(B860,'SAÍDA DE VENDAS'!$B$6:$P$500,5,FALSE),"")</f>
        <v/>
      </c>
      <c r="F860" s="28" t="str">
        <f>IF(OR(ISBLANK(B860),B860=""), "", IFERROR(INDEX('SAÍDA DE VENDAS'!$H$6:$H$500 &amp; "x " &amp; 'SAÍDA DE VENDAS'!$G$6:$G$500, MATCH(B860, 'SAÍDA DE VENDAS'!$B$6:$B$500, 0)), "")&amp; IF(COUNTIF('SAÍDA DE VENDAS'!$B$6:$B$500, B860)&gt;1, " + " &amp; IFERROR(INDEX('SAÍDA DE VENDAS'!$H$6:$H$500 &amp; "x " &amp; 'SAÍDA DE VENDAS'!$G$6:$G$500, MATCH(B860, 'SAÍDA DE VENDAS'!$B$6:$B$500, 0)+1), ""), "")&amp; IF(COUNTIF('SAÍDA DE VENDAS'!$B$6:$B$500, B860)&gt;2, " + " &amp; IFERROR(INDEX('SAÍDA DE VENDAS'!$H$6:$H$500 &amp; "x " &amp; 'SAÍDA DE VENDAS'!$G$6:$G$500, MATCH(B860, 'SAÍDA DE VENDAS'!$B$6:$B$500, 0)+2), ""), "")&amp; IF(COUNTIF('SAÍDA DE VENDAS'!$B$6:$B$500, B860)&gt;3, " + " &amp; IFERROR(INDEX('SAÍDA DE VENDAS'!$H$6:$H$500 &amp; "x " &amp; 'SAÍDA DE VENDAS'!$G$6:$G$500, MATCH(B860, 'SAÍDA DE VENDAS'!$B$6:$B$500, 0)+3), ""), "")&amp; IF(COUNTIF('SAÍDA DE VENDAS'!$B$6:$B$500, B860)&gt;4, " + " &amp; IFERROR(INDEX('SAÍDA DE VENDAS'!$H$6:$H$500 &amp; "x " &amp; 'SAÍDA DE VENDAS'!$G$6:$G$500, MATCH(B860, 'SAÍDA DE VENDAS'!$B$6:$B$500, 0)+4), ""), "")&amp; IF(COUNTIF('SAÍDA DE VENDAS'!$B$6:$B$500, B860)&gt;5, " + " &amp; IFERROR(INDEX('SAÍDA DE VENDAS'!$H$6:$H$500 &amp; "x " &amp; 'SAÍDA DE VENDAS'!$G$6:$G$500, MATCH(B860, 'SAÍDA DE VENDAS'!$B$6:$B$500, 0)+5), ""), ""))</f>
        <v/>
      </c>
      <c r="G860" s="28">
        <f>IFERROR(VLOOKUP(B860,'SAÍDA DE VENDAS'!$B$6:$P$500,10,FALSE),"")</f>
        <v>0</v>
      </c>
      <c r="H860" s="28" t="str">
        <f>IF(OR(ISBLANK(B860),B860=""), "", IF(B860=B859, (VALUE(LEFT(H859,FIND("/",H859)-1))+1)&amp;"/"&amp;RIGHT(H859,LEN(H859)-FIND("/",H859)), "1/"&amp;IFERROR(VLOOKUP(B860,'SAÍDA DE VENDAS'!$B$6:$P$500,13,FALSE),"1")))</f>
        <v/>
      </c>
      <c r="I860" s="69" t="str">
        <f t="shared" si="26"/>
        <v/>
      </c>
      <c r="J860" s="33" t="str">
        <f>IFERROR(VLOOKUP(B860,'SAÍDA DE VENDAS'!$B$6:$P$500,15,FALSE),"")</f>
        <v/>
      </c>
      <c r="K860" s="28" t="str">
        <f t="shared" ca="1" si="27"/>
        <v/>
      </c>
      <c r="L860" s="28"/>
      <c r="M860" s="28"/>
    </row>
    <row r="861" spans="2:13" ht="15" customHeight="1" x14ac:dyDescent="0.3">
      <c r="B861" s="34" t="str">
        <f>IF(B860="","", IF(VALUE(LEFT(H860,FIND("/",H860)-1)) &lt; VALUE(RIGHT(H860,LEN(H860)-FIND("/",H860))), B860, IFERROR(INDEX('SAÍDA DE VENDAS'!$B$6:$B$500, MATCH(B860,'SAÍDA DE VENDAS'!$B$6:$B$500,0)+COUNTIF('SAÍDA DE VENDAS'!$B$6:$B$500, B860)),"")))</f>
        <v/>
      </c>
      <c r="C861" s="35">
        <f>IFERROR(VLOOKUP(B861,'SAÍDA DE VENDAS'!$B$6:$P$500,3,FALSE),"")</f>
        <v>0</v>
      </c>
      <c r="D861" s="34">
        <f>IFERROR(VLOOKUP(B861,'SAÍDA DE VENDAS'!$B$6:$P$500,4,FALSE),"")</f>
        <v>0</v>
      </c>
      <c r="E861" s="34" t="str">
        <f>IFERROR(VLOOKUP(B861,'SAÍDA DE VENDAS'!$B$6:$P$500,5,FALSE),"")</f>
        <v/>
      </c>
      <c r="F861" s="34" t="str">
        <f>IF(OR(ISBLANK(B861),B861=""), "", IFERROR(INDEX('SAÍDA DE VENDAS'!$H$6:$H$500 &amp; "x " &amp; 'SAÍDA DE VENDAS'!$G$6:$G$500, MATCH(B861, 'SAÍDA DE VENDAS'!$B$6:$B$500, 0)), "")&amp; IF(COUNTIF('SAÍDA DE VENDAS'!$B$6:$B$500, B861)&gt;1, " + " &amp; IFERROR(INDEX('SAÍDA DE VENDAS'!$H$6:$H$500 &amp; "x " &amp; 'SAÍDA DE VENDAS'!$G$6:$G$500, MATCH(B861, 'SAÍDA DE VENDAS'!$B$6:$B$500, 0)+1), ""), "")&amp; IF(COUNTIF('SAÍDA DE VENDAS'!$B$6:$B$500, B861)&gt;2, " + " &amp; IFERROR(INDEX('SAÍDA DE VENDAS'!$H$6:$H$500 &amp; "x " &amp; 'SAÍDA DE VENDAS'!$G$6:$G$500, MATCH(B861, 'SAÍDA DE VENDAS'!$B$6:$B$500, 0)+2), ""), "")&amp; IF(COUNTIF('SAÍDA DE VENDAS'!$B$6:$B$500, B861)&gt;3, " + " &amp; IFERROR(INDEX('SAÍDA DE VENDAS'!$H$6:$H$500 &amp; "x " &amp; 'SAÍDA DE VENDAS'!$G$6:$G$500, MATCH(B861, 'SAÍDA DE VENDAS'!$B$6:$B$500, 0)+3), ""), "")&amp; IF(COUNTIF('SAÍDA DE VENDAS'!$B$6:$B$500, B861)&gt;4, " + " &amp; IFERROR(INDEX('SAÍDA DE VENDAS'!$H$6:$H$500 &amp; "x " &amp; 'SAÍDA DE VENDAS'!$G$6:$G$500, MATCH(B861, 'SAÍDA DE VENDAS'!$B$6:$B$500, 0)+4), ""), "")&amp; IF(COUNTIF('SAÍDA DE VENDAS'!$B$6:$B$500, B861)&gt;5, " + " &amp; IFERROR(INDEX('SAÍDA DE VENDAS'!$H$6:$H$500 &amp; "x " &amp; 'SAÍDA DE VENDAS'!$G$6:$G$500, MATCH(B861, 'SAÍDA DE VENDAS'!$B$6:$B$500, 0)+5), ""), ""))</f>
        <v/>
      </c>
      <c r="G861" s="34">
        <f>IFERROR(VLOOKUP(B861,'SAÍDA DE VENDAS'!$B$6:$P$500,10,FALSE),"")</f>
        <v>0</v>
      </c>
      <c r="H861" s="34" t="str">
        <f>IF(OR(ISBLANK(B861),B861=""), "", IF(B861=B860, (VALUE(LEFT(H860,FIND("/",H860)-1))+1)&amp;"/"&amp;RIGHT(H860,LEN(H860)-FIND("/",H860)), "1/"&amp;IFERROR(VLOOKUP(B861,'SAÍDA DE VENDAS'!$B$6:$P$500,13,FALSE),"1")))</f>
        <v/>
      </c>
      <c r="I861" s="35" t="str">
        <f t="shared" si="26"/>
        <v/>
      </c>
      <c r="J861" s="39" t="str">
        <f>IFERROR(VLOOKUP(B861,'SAÍDA DE VENDAS'!$B$6:$P$500,15,FALSE),"")</f>
        <v/>
      </c>
      <c r="K861" s="34" t="str">
        <f t="shared" ca="1" si="27"/>
        <v/>
      </c>
      <c r="L861" s="34"/>
      <c r="M861" s="34"/>
    </row>
    <row r="862" spans="2:13" ht="15" customHeight="1" x14ac:dyDescent="0.3">
      <c r="B862" s="28" t="str">
        <f>IF(B861="","", IF(VALUE(LEFT(H861,FIND("/",H861)-1)) &lt; VALUE(RIGHT(H861,LEN(H861)-FIND("/",H861))), B861, IFERROR(INDEX('SAÍDA DE VENDAS'!$B$6:$B$500, MATCH(B861,'SAÍDA DE VENDAS'!$B$6:$B$500,0)+COUNTIF('SAÍDA DE VENDAS'!$B$6:$B$500, B861)),"")))</f>
        <v/>
      </c>
      <c r="C862" s="29">
        <f>IFERROR(VLOOKUP(B862,'SAÍDA DE VENDAS'!$B$6:$P$500,3,FALSE),"")</f>
        <v>0</v>
      </c>
      <c r="D862" s="28">
        <f>IFERROR(VLOOKUP(B862,'SAÍDA DE VENDAS'!$B$6:$P$500,4,FALSE),"")</f>
        <v>0</v>
      </c>
      <c r="E862" s="28" t="str">
        <f>IFERROR(VLOOKUP(B862,'SAÍDA DE VENDAS'!$B$6:$P$500,5,FALSE),"")</f>
        <v/>
      </c>
      <c r="F862" s="28" t="str">
        <f>IF(OR(ISBLANK(B862),B862=""), "", IFERROR(INDEX('SAÍDA DE VENDAS'!$H$6:$H$500 &amp; "x " &amp; 'SAÍDA DE VENDAS'!$G$6:$G$500, MATCH(B862, 'SAÍDA DE VENDAS'!$B$6:$B$500, 0)), "")&amp; IF(COUNTIF('SAÍDA DE VENDAS'!$B$6:$B$500, B862)&gt;1, " + " &amp; IFERROR(INDEX('SAÍDA DE VENDAS'!$H$6:$H$500 &amp; "x " &amp; 'SAÍDA DE VENDAS'!$G$6:$G$500, MATCH(B862, 'SAÍDA DE VENDAS'!$B$6:$B$500, 0)+1), ""), "")&amp; IF(COUNTIF('SAÍDA DE VENDAS'!$B$6:$B$500, B862)&gt;2, " + " &amp; IFERROR(INDEX('SAÍDA DE VENDAS'!$H$6:$H$500 &amp; "x " &amp; 'SAÍDA DE VENDAS'!$G$6:$G$500, MATCH(B862, 'SAÍDA DE VENDAS'!$B$6:$B$500, 0)+2), ""), "")&amp; IF(COUNTIF('SAÍDA DE VENDAS'!$B$6:$B$500, B862)&gt;3, " + " &amp; IFERROR(INDEX('SAÍDA DE VENDAS'!$H$6:$H$500 &amp; "x " &amp; 'SAÍDA DE VENDAS'!$G$6:$G$500, MATCH(B862, 'SAÍDA DE VENDAS'!$B$6:$B$500, 0)+3), ""), "")&amp; IF(COUNTIF('SAÍDA DE VENDAS'!$B$6:$B$500, B862)&gt;4, " + " &amp; IFERROR(INDEX('SAÍDA DE VENDAS'!$H$6:$H$500 &amp; "x " &amp; 'SAÍDA DE VENDAS'!$G$6:$G$500, MATCH(B862, 'SAÍDA DE VENDAS'!$B$6:$B$500, 0)+4), ""), "")&amp; IF(COUNTIF('SAÍDA DE VENDAS'!$B$6:$B$500, B862)&gt;5, " + " &amp; IFERROR(INDEX('SAÍDA DE VENDAS'!$H$6:$H$500 &amp; "x " &amp; 'SAÍDA DE VENDAS'!$G$6:$G$500, MATCH(B862, 'SAÍDA DE VENDAS'!$B$6:$B$500, 0)+5), ""), ""))</f>
        <v/>
      </c>
      <c r="G862" s="28">
        <f>IFERROR(VLOOKUP(B862,'SAÍDA DE VENDAS'!$B$6:$P$500,10,FALSE),"")</f>
        <v>0</v>
      </c>
      <c r="H862" s="28" t="str">
        <f>IF(OR(ISBLANK(B862),B862=""), "", IF(B862=B861, (VALUE(LEFT(H861,FIND("/",H861)-1))+1)&amp;"/"&amp;RIGHT(H861,LEN(H861)-FIND("/",H861)), "1/"&amp;IFERROR(VLOOKUP(B862,'SAÍDA DE VENDAS'!$B$6:$P$500,13,FALSE),"1")))</f>
        <v/>
      </c>
      <c r="I862" s="69" t="str">
        <f t="shared" si="26"/>
        <v/>
      </c>
      <c r="J862" s="33" t="str">
        <f>IFERROR(VLOOKUP(B862,'SAÍDA DE VENDAS'!$B$6:$P$500,15,FALSE),"")</f>
        <v/>
      </c>
      <c r="K862" s="28" t="str">
        <f t="shared" ca="1" si="27"/>
        <v/>
      </c>
      <c r="L862" s="28"/>
      <c r="M862" s="28"/>
    </row>
    <row r="863" spans="2:13" ht="15" customHeight="1" x14ac:dyDescent="0.3">
      <c r="B863" s="34" t="str">
        <f>IF(B862="","", IF(VALUE(LEFT(H862,FIND("/",H862)-1)) &lt; VALUE(RIGHT(H862,LEN(H862)-FIND("/",H862))), B862, IFERROR(INDEX('SAÍDA DE VENDAS'!$B$6:$B$500, MATCH(B862,'SAÍDA DE VENDAS'!$B$6:$B$500,0)+COUNTIF('SAÍDA DE VENDAS'!$B$6:$B$500, B862)),"")))</f>
        <v/>
      </c>
      <c r="C863" s="35">
        <f>IFERROR(VLOOKUP(B863,'SAÍDA DE VENDAS'!$B$6:$P$500,3,FALSE),"")</f>
        <v>0</v>
      </c>
      <c r="D863" s="34">
        <f>IFERROR(VLOOKUP(B863,'SAÍDA DE VENDAS'!$B$6:$P$500,4,FALSE),"")</f>
        <v>0</v>
      </c>
      <c r="E863" s="34" t="str">
        <f>IFERROR(VLOOKUP(B863,'SAÍDA DE VENDAS'!$B$6:$P$500,5,FALSE),"")</f>
        <v/>
      </c>
      <c r="F863" s="34" t="str">
        <f>IF(OR(ISBLANK(B863),B863=""), "", IFERROR(INDEX('SAÍDA DE VENDAS'!$H$6:$H$500 &amp; "x " &amp; 'SAÍDA DE VENDAS'!$G$6:$G$500, MATCH(B863, 'SAÍDA DE VENDAS'!$B$6:$B$500, 0)), "")&amp; IF(COUNTIF('SAÍDA DE VENDAS'!$B$6:$B$500, B863)&gt;1, " + " &amp; IFERROR(INDEX('SAÍDA DE VENDAS'!$H$6:$H$500 &amp; "x " &amp; 'SAÍDA DE VENDAS'!$G$6:$G$500, MATCH(B863, 'SAÍDA DE VENDAS'!$B$6:$B$500, 0)+1), ""), "")&amp; IF(COUNTIF('SAÍDA DE VENDAS'!$B$6:$B$500, B863)&gt;2, " + " &amp; IFERROR(INDEX('SAÍDA DE VENDAS'!$H$6:$H$500 &amp; "x " &amp; 'SAÍDA DE VENDAS'!$G$6:$G$500, MATCH(B863, 'SAÍDA DE VENDAS'!$B$6:$B$500, 0)+2), ""), "")&amp; IF(COUNTIF('SAÍDA DE VENDAS'!$B$6:$B$500, B863)&gt;3, " + " &amp; IFERROR(INDEX('SAÍDA DE VENDAS'!$H$6:$H$500 &amp; "x " &amp; 'SAÍDA DE VENDAS'!$G$6:$G$500, MATCH(B863, 'SAÍDA DE VENDAS'!$B$6:$B$500, 0)+3), ""), "")&amp; IF(COUNTIF('SAÍDA DE VENDAS'!$B$6:$B$500, B863)&gt;4, " + " &amp; IFERROR(INDEX('SAÍDA DE VENDAS'!$H$6:$H$500 &amp; "x " &amp; 'SAÍDA DE VENDAS'!$G$6:$G$500, MATCH(B863, 'SAÍDA DE VENDAS'!$B$6:$B$500, 0)+4), ""), "")&amp; IF(COUNTIF('SAÍDA DE VENDAS'!$B$6:$B$500, B863)&gt;5, " + " &amp; IFERROR(INDEX('SAÍDA DE VENDAS'!$H$6:$H$500 &amp; "x " &amp; 'SAÍDA DE VENDAS'!$G$6:$G$500, MATCH(B863, 'SAÍDA DE VENDAS'!$B$6:$B$500, 0)+5), ""), ""))</f>
        <v/>
      </c>
      <c r="G863" s="34">
        <f>IFERROR(VLOOKUP(B863,'SAÍDA DE VENDAS'!$B$6:$P$500,10,FALSE),"")</f>
        <v>0</v>
      </c>
      <c r="H863" s="34" t="str">
        <f>IF(OR(ISBLANK(B863),B863=""), "", IF(B863=B862, (VALUE(LEFT(H862,FIND("/",H862)-1))+1)&amp;"/"&amp;RIGHT(H862,LEN(H862)-FIND("/",H862)), "1/"&amp;IFERROR(VLOOKUP(B863,'SAÍDA DE VENDAS'!$B$6:$P$500,13,FALSE),"1")))</f>
        <v/>
      </c>
      <c r="I863" s="35" t="str">
        <f t="shared" si="26"/>
        <v/>
      </c>
      <c r="J863" s="39" t="str">
        <f>IFERROR(VLOOKUP(B863,'SAÍDA DE VENDAS'!$B$6:$P$500,15,FALSE),"")</f>
        <v/>
      </c>
      <c r="K863" s="34" t="str">
        <f t="shared" ca="1" si="27"/>
        <v/>
      </c>
      <c r="L863" s="34"/>
      <c r="M863" s="34"/>
    </row>
    <row r="864" spans="2:13" ht="15" customHeight="1" x14ac:dyDescent="0.3">
      <c r="B864" s="28" t="str">
        <f>IF(B863="","", IF(VALUE(LEFT(H863,FIND("/",H863)-1)) &lt; VALUE(RIGHT(H863,LEN(H863)-FIND("/",H863))), B863, IFERROR(INDEX('SAÍDA DE VENDAS'!$B$6:$B$500, MATCH(B863,'SAÍDA DE VENDAS'!$B$6:$B$500,0)+COUNTIF('SAÍDA DE VENDAS'!$B$6:$B$500, B863)),"")))</f>
        <v/>
      </c>
      <c r="C864" s="29">
        <f>IFERROR(VLOOKUP(B864,'SAÍDA DE VENDAS'!$B$6:$P$500,3,FALSE),"")</f>
        <v>0</v>
      </c>
      <c r="D864" s="28">
        <f>IFERROR(VLOOKUP(B864,'SAÍDA DE VENDAS'!$B$6:$P$500,4,FALSE),"")</f>
        <v>0</v>
      </c>
      <c r="E864" s="28" t="str">
        <f>IFERROR(VLOOKUP(B864,'SAÍDA DE VENDAS'!$B$6:$P$500,5,FALSE),"")</f>
        <v/>
      </c>
      <c r="F864" s="28" t="str">
        <f>IF(OR(ISBLANK(B864),B864=""), "", IFERROR(INDEX('SAÍDA DE VENDAS'!$H$6:$H$500 &amp; "x " &amp; 'SAÍDA DE VENDAS'!$G$6:$G$500, MATCH(B864, 'SAÍDA DE VENDAS'!$B$6:$B$500, 0)), "")&amp; IF(COUNTIF('SAÍDA DE VENDAS'!$B$6:$B$500, B864)&gt;1, " + " &amp; IFERROR(INDEX('SAÍDA DE VENDAS'!$H$6:$H$500 &amp; "x " &amp; 'SAÍDA DE VENDAS'!$G$6:$G$500, MATCH(B864, 'SAÍDA DE VENDAS'!$B$6:$B$500, 0)+1), ""), "")&amp; IF(COUNTIF('SAÍDA DE VENDAS'!$B$6:$B$500, B864)&gt;2, " + " &amp; IFERROR(INDEX('SAÍDA DE VENDAS'!$H$6:$H$500 &amp; "x " &amp; 'SAÍDA DE VENDAS'!$G$6:$G$500, MATCH(B864, 'SAÍDA DE VENDAS'!$B$6:$B$500, 0)+2), ""), "")&amp; IF(COUNTIF('SAÍDA DE VENDAS'!$B$6:$B$500, B864)&gt;3, " + " &amp; IFERROR(INDEX('SAÍDA DE VENDAS'!$H$6:$H$500 &amp; "x " &amp; 'SAÍDA DE VENDAS'!$G$6:$G$500, MATCH(B864, 'SAÍDA DE VENDAS'!$B$6:$B$500, 0)+3), ""), "")&amp; IF(COUNTIF('SAÍDA DE VENDAS'!$B$6:$B$500, B864)&gt;4, " + " &amp; IFERROR(INDEX('SAÍDA DE VENDAS'!$H$6:$H$500 &amp; "x " &amp; 'SAÍDA DE VENDAS'!$G$6:$G$500, MATCH(B864, 'SAÍDA DE VENDAS'!$B$6:$B$500, 0)+4), ""), "")&amp; IF(COUNTIF('SAÍDA DE VENDAS'!$B$6:$B$500, B864)&gt;5, " + " &amp; IFERROR(INDEX('SAÍDA DE VENDAS'!$H$6:$H$500 &amp; "x " &amp; 'SAÍDA DE VENDAS'!$G$6:$G$500, MATCH(B864, 'SAÍDA DE VENDAS'!$B$6:$B$500, 0)+5), ""), ""))</f>
        <v/>
      </c>
      <c r="G864" s="28">
        <f>IFERROR(VLOOKUP(B864,'SAÍDA DE VENDAS'!$B$6:$P$500,10,FALSE),"")</f>
        <v>0</v>
      </c>
      <c r="H864" s="28" t="str">
        <f>IF(OR(ISBLANK(B864),B864=""), "", IF(B864=B863, (VALUE(LEFT(H863,FIND("/",H863)-1))+1)&amp;"/"&amp;RIGHT(H863,LEN(H863)-FIND("/",H863)), "1/"&amp;IFERROR(VLOOKUP(B864,'SAÍDA DE VENDAS'!$B$6:$P$500,13,FALSE),"1")))</f>
        <v/>
      </c>
      <c r="I864" s="69" t="str">
        <f t="shared" si="26"/>
        <v/>
      </c>
      <c r="J864" s="33" t="str">
        <f>IFERROR(VLOOKUP(B864,'SAÍDA DE VENDAS'!$B$6:$P$500,15,FALSE),"")</f>
        <v/>
      </c>
      <c r="K864" s="28" t="str">
        <f t="shared" ca="1" si="27"/>
        <v/>
      </c>
      <c r="L864" s="28"/>
      <c r="M864" s="28"/>
    </row>
    <row r="865" spans="2:13" ht="15" customHeight="1" x14ac:dyDescent="0.3">
      <c r="B865" s="34" t="str">
        <f>IF(B864="","", IF(VALUE(LEFT(H864,FIND("/",H864)-1)) &lt; VALUE(RIGHT(H864,LEN(H864)-FIND("/",H864))), B864, IFERROR(INDEX('SAÍDA DE VENDAS'!$B$6:$B$500, MATCH(B864,'SAÍDA DE VENDAS'!$B$6:$B$500,0)+COUNTIF('SAÍDA DE VENDAS'!$B$6:$B$500, B864)),"")))</f>
        <v/>
      </c>
      <c r="C865" s="35">
        <f>IFERROR(VLOOKUP(B865,'SAÍDA DE VENDAS'!$B$6:$P$500,3,FALSE),"")</f>
        <v>0</v>
      </c>
      <c r="D865" s="34">
        <f>IFERROR(VLOOKUP(B865,'SAÍDA DE VENDAS'!$B$6:$P$500,4,FALSE),"")</f>
        <v>0</v>
      </c>
      <c r="E865" s="34" t="str">
        <f>IFERROR(VLOOKUP(B865,'SAÍDA DE VENDAS'!$B$6:$P$500,5,FALSE),"")</f>
        <v/>
      </c>
      <c r="F865" s="34" t="str">
        <f>IF(OR(ISBLANK(B865),B865=""), "", IFERROR(INDEX('SAÍDA DE VENDAS'!$H$6:$H$500 &amp; "x " &amp; 'SAÍDA DE VENDAS'!$G$6:$G$500, MATCH(B865, 'SAÍDA DE VENDAS'!$B$6:$B$500, 0)), "")&amp; IF(COUNTIF('SAÍDA DE VENDAS'!$B$6:$B$500, B865)&gt;1, " + " &amp; IFERROR(INDEX('SAÍDA DE VENDAS'!$H$6:$H$500 &amp; "x " &amp; 'SAÍDA DE VENDAS'!$G$6:$G$500, MATCH(B865, 'SAÍDA DE VENDAS'!$B$6:$B$500, 0)+1), ""), "")&amp; IF(COUNTIF('SAÍDA DE VENDAS'!$B$6:$B$500, B865)&gt;2, " + " &amp; IFERROR(INDEX('SAÍDA DE VENDAS'!$H$6:$H$500 &amp; "x " &amp; 'SAÍDA DE VENDAS'!$G$6:$G$500, MATCH(B865, 'SAÍDA DE VENDAS'!$B$6:$B$500, 0)+2), ""), "")&amp; IF(COUNTIF('SAÍDA DE VENDAS'!$B$6:$B$500, B865)&gt;3, " + " &amp; IFERROR(INDEX('SAÍDA DE VENDAS'!$H$6:$H$500 &amp; "x " &amp; 'SAÍDA DE VENDAS'!$G$6:$G$500, MATCH(B865, 'SAÍDA DE VENDAS'!$B$6:$B$500, 0)+3), ""), "")&amp; IF(COUNTIF('SAÍDA DE VENDAS'!$B$6:$B$500, B865)&gt;4, " + " &amp; IFERROR(INDEX('SAÍDA DE VENDAS'!$H$6:$H$500 &amp; "x " &amp; 'SAÍDA DE VENDAS'!$G$6:$G$500, MATCH(B865, 'SAÍDA DE VENDAS'!$B$6:$B$500, 0)+4), ""), "")&amp; IF(COUNTIF('SAÍDA DE VENDAS'!$B$6:$B$500, B865)&gt;5, " + " &amp; IFERROR(INDEX('SAÍDA DE VENDAS'!$H$6:$H$500 &amp; "x " &amp; 'SAÍDA DE VENDAS'!$G$6:$G$500, MATCH(B865, 'SAÍDA DE VENDAS'!$B$6:$B$500, 0)+5), ""), ""))</f>
        <v/>
      </c>
      <c r="G865" s="34">
        <f>IFERROR(VLOOKUP(B865,'SAÍDA DE VENDAS'!$B$6:$P$500,10,FALSE),"")</f>
        <v>0</v>
      </c>
      <c r="H865" s="34" t="str">
        <f>IF(OR(ISBLANK(B865),B865=""), "", IF(B865=B864, (VALUE(LEFT(H864,FIND("/",H864)-1))+1)&amp;"/"&amp;RIGHT(H864,LEN(H864)-FIND("/",H864)), "1/"&amp;IFERROR(VLOOKUP(B865,'SAÍDA DE VENDAS'!$B$6:$P$500,13,FALSE),"1")))</f>
        <v/>
      </c>
      <c r="I865" s="35" t="str">
        <f t="shared" si="26"/>
        <v/>
      </c>
      <c r="J865" s="39" t="str">
        <f>IFERROR(VLOOKUP(B865,'SAÍDA DE VENDAS'!$B$6:$P$500,15,FALSE),"")</f>
        <v/>
      </c>
      <c r="K865" s="34" t="str">
        <f t="shared" ca="1" si="27"/>
        <v/>
      </c>
      <c r="L865" s="34"/>
      <c r="M865" s="34"/>
    </row>
    <row r="866" spans="2:13" ht="15" customHeight="1" x14ac:dyDescent="0.3">
      <c r="B866" s="28" t="str">
        <f>IF(B865="","", IF(VALUE(LEFT(H865,FIND("/",H865)-1)) &lt; VALUE(RIGHT(H865,LEN(H865)-FIND("/",H865))), B865, IFERROR(INDEX('SAÍDA DE VENDAS'!$B$6:$B$500, MATCH(B865,'SAÍDA DE VENDAS'!$B$6:$B$500,0)+COUNTIF('SAÍDA DE VENDAS'!$B$6:$B$500, B865)),"")))</f>
        <v/>
      </c>
      <c r="C866" s="29">
        <f>IFERROR(VLOOKUP(B866,'SAÍDA DE VENDAS'!$B$6:$P$500,3,FALSE),"")</f>
        <v>0</v>
      </c>
      <c r="D866" s="28">
        <f>IFERROR(VLOOKUP(B866,'SAÍDA DE VENDAS'!$B$6:$P$500,4,FALSE),"")</f>
        <v>0</v>
      </c>
      <c r="E866" s="28" t="str">
        <f>IFERROR(VLOOKUP(B866,'SAÍDA DE VENDAS'!$B$6:$P$500,5,FALSE),"")</f>
        <v/>
      </c>
      <c r="F866" s="28" t="str">
        <f>IF(OR(ISBLANK(B866),B866=""), "", IFERROR(INDEX('SAÍDA DE VENDAS'!$H$6:$H$500 &amp; "x " &amp; 'SAÍDA DE VENDAS'!$G$6:$G$500, MATCH(B866, 'SAÍDA DE VENDAS'!$B$6:$B$500, 0)), "")&amp; IF(COUNTIF('SAÍDA DE VENDAS'!$B$6:$B$500, B866)&gt;1, " + " &amp; IFERROR(INDEX('SAÍDA DE VENDAS'!$H$6:$H$500 &amp; "x " &amp; 'SAÍDA DE VENDAS'!$G$6:$G$500, MATCH(B866, 'SAÍDA DE VENDAS'!$B$6:$B$500, 0)+1), ""), "")&amp; IF(COUNTIF('SAÍDA DE VENDAS'!$B$6:$B$500, B866)&gt;2, " + " &amp; IFERROR(INDEX('SAÍDA DE VENDAS'!$H$6:$H$500 &amp; "x " &amp; 'SAÍDA DE VENDAS'!$G$6:$G$500, MATCH(B866, 'SAÍDA DE VENDAS'!$B$6:$B$500, 0)+2), ""), "")&amp; IF(COUNTIF('SAÍDA DE VENDAS'!$B$6:$B$500, B866)&gt;3, " + " &amp; IFERROR(INDEX('SAÍDA DE VENDAS'!$H$6:$H$500 &amp; "x " &amp; 'SAÍDA DE VENDAS'!$G$6:$G$500, MATCH(B866, 'SAÍDA DE VENDAS'!$B$6:$B$500, 0)+3), ""), "")&amp; IF(COUNTIF('SAÍDA DE VENDAS'!$B$6:$B$500, B866)&gt;4, " + " &amp; IFERROR(INDEX('SAÍDA DE VENDAS'!$H$6:$H$500 &amp; "x " &amp; 'SAÍDA DE VENDAS'!$G$6:$G$500, MATCH(B866, 'SAÍDA DE VENDAS'!$B$6:$B$500, 0)+4), ""), "")&amp; IF(COUNTIF('SAÍDA DE VENDAS'!$B$6:$B$500, B866)&gt;5, " + " &amp; IFERROR(INDEX('SAÍDA DE VENDAS'!$H$6:$H$500 &amp; "x " &amp; 'SAÍDA DE VENDAS'!$G$6:$G$500, MATCH(B866, 'SAÍDA DE VENDAS'!$B$6:$B$500, 0)+5), ""), ""))</f>
        <v/>
      </c>
      <c r="G866" s="28">
        <f>IFERROR(VLOOKUP(B866,'SAÍDA DE VENDAS'!$B$6:$P$500,10,FALSE),"")</f>
        <v>0</v>
      </c>
      <c r="H866" s="28" t="str">
        <f>IF(OR(ISBLANK(B866),B866=""), "", IF(B866=B865, (VALUE(LEFT(H865,FIND("/",H865)-1))+1)&amp;"/"&amp;RIGHT(H865,LEN(H865)-FIND("/",H865)), "1/"&amp;IFERROR(VLOOKUP(B866,'SAÍDA DE VENDAS'!$B$6:$P$500,13,FALSE),"1")))</f>
        <v/>
      </c>
      <c r="I866" s="69" t="str">
        <f t="shared" si="26"/>
        <v/>
      </c>
      <c r="J866" s="33" t="str">
        <f>IFERROR(VLOOKUP(B866,'SAÍDA DE VENDAS'!$B$6:$P$500,15,FALSE),"")</f>
        <v/>
      </c>
      <c r="K866" s="28" t="str">
        <f t="shared" ca="1" si="27"/>
        <v/>
      </c>
      <c r="L866" s="28"/>
      <c r="M866" s="28"/>
    </row>
    <row r="867" spans="2:13" ht="15" customHeight="1" x14ac:dyDescent="0.3">
      <c r="B867" s="34" t="str">
        <f>IF(B866="","", IF(VALUE(LEFT(H866,FIND("/",H866)-1)) &lt; VALUE(RIGHT(H866,LEN(H866)-FIND("/",H866))), B866, IFERROR(INDEX('SAÍDA DE VENDAS'!$B$6:$B$500, MATCH(B866,'SAÍDA DE VENDAS'!$B$6:$B$500,0)+COUNTIF('SAÍDA DE VENDAS'!$B$6:$B$500, B866)),"")))</f>
        <v/>
      </c>
      <c r="C867" s="35">
        <f>IFERROR(VLOOKUP(B867,'SAÍDA DE VENDAS'!$B$6:$P$500,3,FALSE),"")</f>
        <v>0</v>
      </c>
      <c r="D867" s="34">
        <f>IFERROR(VLOOKUP(B867,'SAÍDA DE VENDAS'!$B$6:$P$500,4,FALSE),"")</f>
        <v>0</v>
      </c>
      <c r="E867" s="34" t="str">
        <f>IFERROR(VLOOKUP(B867,'SAÍDA DE VENDAS'!$B$6:$P$500,5,FALSE),"")</f>
        <v/>
      </c>
      <c r="F867" s="34" t="str">
        <f>IF(OR(ISBLANK(B867),B867=""), "", IFERROR(INDEX('SAÍDA DE VENDAS'!$H$6:$H$500 &amp; "x " &amp; 'SAÍDA DE VENDAS'!$G$6:$G$500, MATCH(B867, 'SAÍDA DE VENDAS'!$B$6:$B$500, 0)), "")&amp; IF(COUNTIF('SAÍDA DE VENDAS'!$B$6:$B$500, B867)&gt;1, " + " &amp; IFERROR(INDEX('SAÍDA DE VENDAS'!$H$6:$H$500 &amp; "x " &amp; 'SAÍDA DE VENDAS'!$G$6:$G$500, MATCH(B867, 'SAÍDA DE VENDAS'!$B$6:$B$500, 0)+1), ""), "")&amp; IF(COUNTIF('SAÍDA DE VENDAS'!$B$6:$B$500, B867)&gt;2, " + " &amp; IFERROR(INDEX('SAÍDA DE VENDAS'!$H$6:$H$500 &amp; "x " &amp; 'SAÍDA DE VENDAS'!$G$6:$G$500, MATCH(B867, 'SAÍDA DE VENDAS'!$B$6:$B$500, 0)+2), ""), "")&amp; IF(COUNTIF('SAÍDA DE VENDAS'!$B$6:$B$500, B867)&gt;3, " + " &amp; IFERROR(INDEX('SAÍDA DE VENDAS'!$H$6:$H$500 &amp; "x " &amp; 'SAÍDA DE VENDAS'!$G$6:$G$500, MATCH(B867, 'SAÍDA DE VENDAS'!$B$6:$B$500, 0)+3), ""), "")&amp; IF(COUNTIF('SAÍDA DE VENDAS'!$B$6:$B$500, B867)&gt;4, " + " &amp; IFERROR(INDEX('SAÍDA DE VENDAS'!$H$6:$H$500 &amp; "x " &amp; 'SAÍDA DE VENDAS'!$G$6:$G$500, MATCH(B867, 'SAÍDA DE VENDAS'!$B$6:$B$500, 0)+4), ""), "")&amp; IF(COUNTIF('SAÍDA DE VENDAS'!$B$6:$B$500, B867)&gt;5, " + " &amp; IFERROR(INDEX('SAÍDA DE VENDAS'!$H$6:$H$500 &amp; "x " &amp; 'SAÍDA DE VENDAS'!$G$6:$G$500, MATCH(B867, 'SAÍDA DE VENDAS'!$B$6:$B$500, 0)+5), ""), ""))</f>
        <v/>
      </c>
      <c r="G867" s="34">
        <f>IFERROR(VLOOKUP(B867,'SAÍDA DE VENDAS'!$B$6:$P$500,10,FALSE),"")</f>
        <v>0</v>
      </c>
      <c r="H867" s="34" t="str">
        <f>IF(OR(ISBLANK(B867),B867=""), "", IF(B867=B866, (VALUE(LEFT(H866,FIND("/",H866)-1))+1)&amp;"/"&amp;RIGHT(H866,LEN(H866)-FIND("/",H866)), "1/"&amp;IFERROR(VLOOKUP(B867,'SAÍDA DE VENDAS'!$B$6:$P$500,13,FALSE),"1")))</f>
        <v/>
      </c>
      <c r="I867" s="35" t="str">
        <f t="shared" si="26"/>
        <v/>
      </c>
      <c r="J867" s="39" t="str">
        <f>IFERROR(VLOOKUP(B867,'SAÍDA DE VENDAS'!$B$6:$P$500,15,FALSE),"")</f>
        <v/>
      </c>
      <c r="K867" s="34" t="str">
        <f t="shared" ca="1" si="27"/>
        <v/>
      </c>
      <c r="L867" s="34"/>
      <c r="M867" s="34"/>
    </row>
    <row r="868" spans="2:13" ht="15" customHeight="1" x14ac:dyDescent="0.3">
      <c r="B868" s="28" t="str">
        <f>IF(B867="","", IF(VALUE(LEFT(H867,FIND("/",H867)-1)) &lt; VALUE(RIGHT(H867,LEN(H867)-FIND("/",H867))), B867, IFERROR(INDEX('SAÍDA DE VENDAS'!$B$6:$B$500, MATCH(B867,'SAÍDA DE VENDAS'!$B$6:$B$500,0)+COUNTIF('SAÍDA DE VENDAS'!$B$6:$B$500, B867)),"")))</f>
        <v/>
      </c>
      <c r="C868" s="29">
        <f>IFERROR(VLOOKUP(B868,'SAÍDA DE VENDAS'!$B$6:$P$500,3,FALSE),"")</f>
        <v>0</v>
      </c>
      <c r="D868" s="28">
        <f>IFERROR(VLOOKUP(B868,'SAÍDA DE VENDAS'!$B$6:$P$500,4,FALSE),"")</f>
        <v>0</v>
      </c>
      <c r="E868" s="28" t="str">
        <f>IFERROR(VLOOKUP(B868,'SAÍDA DE VENDAS'!$B$6:$P$500,5,FALSE),"")</f>
        <v/>
      </c>
      <c r="F868" s="28" t="str">
        <f>IF(OR(ISBLANK(B868),B868=""), "", IFERROR(INDEX('SAÍDA DE VENDAS'!$H$6:$H$500 &amp; "x " &amp; 'SAÍDA DE VENDAS'!$G$6:$G$500, MATCH(B868, 'SAÍDA DE VENDAS'!$B$6:$B$500, 0)), "")&amp; IF(COUNTIF('SAÍDA DE VENDAS'!$B$6:$B$500, B868)&gt;1, " + " &amp; IFERROR(INDEX('SAÍDA DE VENDAS'!$H$6:$H$500 &amp; "x " &amp; 'SAÍDA DE VENDAS'!$G$6:$G$500, MATCH(B868, 'SAÍDA DE VENDAS'!$B$6:$B$500, 0)+1), ""), "")&amp; IF(COUNTIF('SAÍDA DE VENDAS'!$B$6:$B$500, B868)&gt;2, " + " &amp; IFERROR(INDEX('SAÍDA DE VENDAS'!$H$6:$H$500 &amp; "x " &amp; 'SAÍDA DE VENDAS'!$G$6:$G$500, MATCH(B868, 'SAÍDA DE VENDAS'!$B$6:$B$500, 0)+2), ""), "")&amp; IF(COUNTIF('SAÍDA DE VENDAS'!$B$6:$B$500, B868)&gt;3, " + " &amp; IFERROR(INDEX('SAÍDA DE VENDAS'!$H$6:$H$500 &amp; "x " &amp; 'SAÍDA DE VENDAS'!$G$6:$G$500, MATCH(B868, 'SAÍDA DE VENDAS'!$B$6:$B$500, 0)+3), ""), "")&amp; IF(COUNTIF('SAÍDA DE VENDAS'!$B$6:$B$500, B868)&gt;4, " + " &amp; IFERROR(INDEX('SAÍDA DE VENDAS'!$H$6:$H$500 &amp; "x " &amp; 'SAÍDA DE VENDAS'!$G$6:$G$500, MATCH(B868, 'SAÍDA DE VENDAS'!$B$6:$B$500, 0)+4), ""), "")&amp; IF(COUNTIF('SAÍDA DE VENDAS'!$B$6:$B$500, B868)&gt;5, " + " &amp; IFERROR(INDEX('SAÍDA DE VENDAS'!$H$6:$H$500 &amp; "x " &amp; 'SAÍDA DE VENDAS'!$G$6:$G$500, MATCH(B868, 'SAÍDA DE VENDAS'!$B$6:$B$500, 0)+5), ""), ""))</f>
        <v/>
      </c>
      <c r="G868" s="28">
        <f>IFERROR(VLOOKUP(B868,'SAÍDA DE VENDAS'!$B$6:$P$500,10,FALSE),"")</f>
        <v>0</v>
      </c>
      <c r="H868" s="28" t="str">
        <f>IF(OR(ISBLANK(B868),B868=""), "", IF(B868=B867, (VALUE(LEFT(H867,FIND("/",H867)-1))+1)&amp;"/"&amp;RIGHT(H867,LEN(H867)-FIND("/",H867)), "1/"&amp;IFERROR(VLOOKUP(B868,'SAÍDA DE VENDAS'!$B$6:$P$500,13,FALSE),"1")))</f>
        <v/>
      </c>
      <c r="I868" s="69" t="str">
        <f t="shared" si="26"/>
        <v/>
      </c>
      <c r="J868" s="33" t="str">
        <f>IFERROR(VLOOKUP(B868,'SAÍDA DE VENDAS'!$B$6:$P$500,15,FALSE),"")</f>
        <v/>
      </c>
      <c r="K868" s="28" t="str">
        <f t="shared" ca="1" si="27"/>
        <v/>
      </c>
      <c r="L868" s="28"/>
      <c r="M868" s="28"/>
    </row>
    <row r="869" spans="2:13" ht="15" customHeight="1" x14ac:dyDescent="0.3">
      <c r="B869" s="34" t="str">
        <f>IF(B868="","", IF(VALUE(LEFT(H868,FIND("/",H868)-1)) &lt; VALUE(RIGHT(H868,LEN(H868)-FIND("/",H868))), B868, IFERROR(INDEX('SAÍDA DE VENDAS'!$B$6:$B$500, MATCH(B868,'SAÍDA DE VENDAS'!$B$6:$B$500,0)+COUNTIF('SAÍDA DE VENDAS'!$B$6:$B$500, B868)),"")))</f>
        <v/>
      </c>
      <c r="C869" s="35">
        <f>IFERROR(VLOOKUP(B869,'SAÍDA DE VENDAS'!$B$6:$P$500,3,FALSE),"")</f>
        <v>0</v>
      </c>
      <c r="D869" s="34">
        <f>IFERROR(VLOOKUP(B869,'SAÍDA DE VENDAS'!$B$6:$P$500,4,FALSE),"")</f>
        <v>0</v>
      </c>
      <c r="E869" s="34" t="str">
        <f>IFERROR(VLOOKUP(B869,'SAÍDA DE VENDAS'!$B$6:$P$500,5,FALSE),"")</f>
        <v/>
      </c>
      <c r="F869" s="34" t="str">
        <f>IF(OR(ISBLANK(B869),B869=""), "", IFERROR(INDEX('SAÍDA DE VENDAS'!$H$6:$H$500 &amp; "x " &amp; 'SAÍDA DE VENDAS'!$G$6:$G$500, MATCH(B869, 'SAÍDA DE VENDAS'!$B$6:$B$500, 0)), "")&amp; IF(COUNTIF('SAÍDA DE VENDAS'!$B$6:$B$500, B869)&gt;1, " + " &amp; IFERROR(INDEX('SAÍDA DE VENDAS'!$H$6:$H$500 &amp; "x " &amp; 'SAÍDA DE VENDAS'!$G$6:$G$500, MATCH(B869, 'SAÍDA DE VENDAS'!$B$6:$B$500, 0)+1), ""), "")&amp; IF(COUNTIF('SAÍDA DE VENDAS'!$B$6:$B$500, B869)&gt;2, " + " &amp; IFERROR(INDEX('SAÍDA DE VENDAS'!$H$6:$H$500 &amp; "x " &amp; 'SAÍDA DE VENDAS'!$G$6:$G$500, MATCH(B869, 'SAÍDA DE VENDAS'!$B$6:$B$500, 0)+2), ""), "")&amp; IF(COUNTIF('SAÍDA DE VENDAS'!$B$6:$B$500, B869)&gt;3, " + " &amp; IFERROR(INDEX('SAÍDA DE VENDAS'!$H$6:$H$500 &amp; "x " &amp; 'SAÍDA DE VENDAS'!$G$6:$G$500, MATCH(B869, 'SAÍDA DE VENDAS'!$B$6:$B$500, 0)+3), ""), "")&amp; IF(COUNTIF('SAÍDA DE VENDAS'!$B$6:$B$500, B869)&gt;4, " + " &amp; IFERROR(INDEX('SAÍDA DE VENDAS'!$H$6:$H$500 &amp; "x " &amp; 'SAÍDA DE VENDAS'!$G$6:$G$500, MATCH(B869, 'SAÍDA DE VENDAS'!$B$6:$B$500, 0)+4), ""), "")&amp; IF(COUNTIF('SAÍDA DE VENDAS'!$B$6:$B$500, B869)&gt;5, " + " &amp; IFERROR(INDEX('SAÍDA DE VENDAS'!$H$6:$H$500 &amp; "x " &amp; 'SAÍDA DE VENDAS'!$G$6:$G$500, MATCH(B869, 'SAÍDA DE VENDAS'!$B$6:$B$500, 0)+5), ""), ""))</f>
        <v/>
      </c>
      <c r="G869" s="34">
        <f>IFERROR(VLOOKUP(B869,'SAÍDA DE VENDAS'!$B$6:$P$500,10,FALSE),"")</f>
        <v>0</v>
      </c>
      <c r="H869" s="34" t="str">
        <f>IF(OR(ISBLANK(B869),B869=""), "", IF(B869=B868, (VALUE(LEFT(H868,FIND("/",H868)-1))+1)&amp;"/"&amp;RIGHT(H868,LEN(H868)-FIND("/",H868)), "1/"&amp;IFERROR(VLOOKUP(B869,'SAÍDA DE VENDAS'!$B$6:$P$500,13,FALSE),"1")))</f>
        <v/>
      </c>
      <c r="I869" s="35" t="str">
        <f t="shared" si="26"/>
        <v/>
      </c>
      <c r="J869" s="39" t="str">
        <f>IFERROR(VLOOKUP(B869,'SAÍDA DE VENDAS'!$B$6:$P$500,15,FALSE),"")</f>
        <v/>
      </c>
      <c r="K869" s="34" t="str">
        <f t="shared" ca="1" si="27"/>
        <v/>
      </c>
      <c r="L869" s="34"/>
      <c r="M869" s="34"/>
    </row>
    <row r="870" spans="2:13" ht="15" customHeight="1" x14ac:dyDescent="0.3">
      <c r="B870" s="28" t="str">
        <f>IF(B869="","", IF(VALUE(LEFT(H869,FIND("/",H869)-1)) &lt; VALUE(RIGHT(H869,LEN(H869)-FIND("/",H869))), B869, IFERROR(INDEX('SAÍDA DE VENDAS'!$B$6:$B$500, MATCH(B869,'SAÍDA DE VENDAS'!$B$6:$B$500,0)+COUNTIF('SAÍDA DE VENDAS'!$B$6:$B$500, B869)),"")))</f>
        <v/>
      </c>
      <c r="C870" s="29">
        <f>IFERROR(VLOOKUP(B870,'SAÍDA DE VENDAS'!$B$6:$P$500,3,FALSE),"")</f>
        <v>0</v>
      </c>
      <c r="D870" s="28">
        <f>IFERROR(VLOOKUP(B870,'SAÍDA DE VENDAS'!$B$6:$P$500,4,FALSE),"")</f>
        <v>0</v>
      </c>
      <c r="E870" s="28" t="str">
        <f>IFERROR(VLOOKUP(B870,'SAÍDA DE VENDAS'!$B$6:$P$500,5,FALSE),"")</f>
        <v/>
      </c>
      <c r="F870" s="28" t="str">
        <f>IF(OR(ISBLANK(B870),B870=""), "", IFERROR(INDEX('SAÍDA DE VENDAS'!$H$6:$H$500 &amp; "x " &amp; 'SAÍDA DE VENDAS'!$G$6:$G$500, MATCH(B870, 'SAÍDA DE VENDAS'!$B$6:$B$500, 0)), "")&amp; IF(COUNTIF('SAÍDA DE VENDAS'!$B$6:$B$500, B870)&gt;1, " + " &amp; IFERROR(INDEX('SAÍDA DE VENDAS'!$H$6:$H$500 &amp; "x " &amp; 'SAÍDA DE VENDAS'!$G$6:$G$500, MATCH(B870, 'SAÍDA DE VENDAS'!$B$6:$B$500, 0)+1), ""), "")&amp; IF(COUNTIF('SAÍDA DE VENDAS'!$B$6:$B$500, B870)&gt;2, " + " &amp; IFERROR(INDEX('SAÍDA DE VENDAS'!$H$6:$H$500 &amp; "x " &amp; 'SAÍDA DE VENDAS'!$G$6:$G$500, MATCH(B870, 'SAÍDA DE VENDAS'!$B$6:$B$500, 0)+2), ""), "")&amp; IF(COUNTIF('SAÍDA DE VENDAS'!$B$6:$B$500, B870)&gt;3, " + " &amp; IFERROR(INDEX('SAÍDA DE VENDAS'!$H$6:$H$500 &amp; "x " &amp; 'SAÍDA DE VENDAS'!$G$6:$G$500, MATCH(B870, 'SAÍDA DE VENDAS'!$B$6:$B$500, 0)+3), ""), "")&amp; IF(COUNTIF('SAÍDA DE VENDAS'!$B$6:$B$500, B870)&gt;4, " + " &amp; IFERROR(INDEX('SAÍDA DE VENDAS'!$H$6:$H$500 &amp; "x " &amp; 'SAÍDA DE VENDAS'!$G$6:$G$500, MATCH(B870, 'SAÍDA DE VENDAS'!$B$6:$B$500, 0)+4), ""), "")&amp; IF(COUNTIF('SAÍDA DE VENDAS'!$B$6:$B$500, B870)&gt;5, " + " &amp; IFERROR(INDEX('SAÍDA DE VENDAS'!$H$6:$H$500 &amp; "x " &amp; 'SAÍDA DE VENDAS'!$G$6:$G$500, MATCH(B870, 'SAÍDA DE VENDAS'!$B$6:$B$500, 0)+5), ""), ""))</f>
        <v/>
      </c>
      <c r="G870" s="28">
        <f>IFERROR(VLOOKUP(B870,'SAÍDA DE VENDAS'!$B$6:$P$500,10,FALSE),"")</f>
        <v>0</v>
      </c>
      <c r="H870" s="28" t="str">
        <f>IF(OR(ISBLANK(B870),B870=""), "", IF(B870=B869, (VALUE(LEFT(H869,FIND("/",H869)-1))+1)&amp;"/"&amp;RIGHT(H869,LEN(H869)-FIND("/",H869)), "1/"&amp;IFERROR(VLOOKUP(B870,'SAÍDA DE VENDAS'!$B$6:$P$500,13,FALSE),"1")))</f>
        <v/>
      </c>
      <c r="I870" s="69" t="str">
        <f t="shared" si="26"/>
        <v/>
      </c>
      <c r="J870" s="33" t="str">
        <f>IFERROR(VLOOKUP(B870,'SAÍDA DE VENDAS'!$B$6:$P$500,15,FALSE),"")</f>
        <v/>
      </c>
      <c r="K870" s="28" t="str">
        <f t="shared" ca="1" si="27"/>
        <v/>
      </c>
      <c r="L870" s="28"/>
      <c r="M870" s="28"/>
    </row>
    <row r="871" spans="2:13" ht="15" customHeight="1" x14ac:dyDescent="0.3">
      <c r="B871" s="34" t="str">
        <f>IF(B870="","", IF(VALUE(LEFT(H870,FIND("/",H870)-1)) &lt; VALUE(RIGHT(H870,LEN(H870)-FIND("/",H870))), B870, IFERROR(INDEX('SAÍDA DE VENDAS'!$B$6:$B$500, MATCH(B870,'SAÍDA DE VENDAS'!$B$6:$B$500,0)+COUNTIF('SAÍDA DE VENDAS'!$B$6:$B$500, B870)),"")))</f>
        <v/>
      </c>
      <c r="C871" s="35">
        <f>IFERROR(VLOOKUP(B871,'SAÍDA DE VENDAS'!$B$6:$P$500,3,FALSE),"")</f>
        <v>0</v>
      </c>
      <c r="D871" s="34">
        <f>IFERROR(VLOOKUP(B871,'SAÍDA DE VENDAS'!$B$6:$P$500,4,FALSE),"")</f>
        <v>0</v>
      </c>
      <c r="E871" s="34" t="str">
        <f>IFERROR(VLOOKUP(B871,'SAÍDA DE VENDAS'!$B$6:$P$500,5,FALSE),"")</f>
        <v/>
      </c>
      <c r="F871" s="34" t="str">
        <f>IF(OR(ISBLANK(B871),B871=""), "", IFERROR(INDEX('SAÍDA DE VENDAS'!$H$6:$H$500 &amp; "x " &amp; 'SAÍDA DE VENDAS'!$G$6:$G$500, MATCH(B871, 'SAÍDA DE VENDAS'!$B$6:$B$500, 0)), "")&amp; IF(COUNTIF('SAÍDA DE VENDAS'!$B$6:$B$500, B871)&gt;1, " + " &amp; IFERROR(INDEX('SAÍDA DE VENDAS'!$H$6:$H$500 &amp; "x " &amp; 'SAÍDA DE VENDAS'!$G$6:$G$500, MATCH(B871, 'SAÍDA DE VENDAS'!$B$6:$B$500, 0)+1), ""), "")&amp; IF(COUNTIF('SAÍDA DE VENDAS'!$B$6:$B$500, B871)&gt;2, " + " &amp; IFERROR(INDEX('SAÍDA DE VENDAS'!$H$6:$H$500 &amp; "x " &amp; 'SAÍDA DE VENDAS'!$G$6:$G$500, MATCH(B871, 'SAÍDA DE VENDAS'!$B$6:$B$500, 0)+2), ""), "")&amp; IF(COUNTIF('SAÍDA DE VENDAS'!$B$6:$B$500, B871)&gt;3, " + " &amp; IFERROR(INDEX('SAÍDA DE VENDAS'!$H$6:$H$500 &amp; "x " &amp; 'SAÍDA DE VENDAS'!$G$6:$G$500, MATCH(B871, 'SAÍDA DE VENDAS'!$B$6:$B$500, 0)+3), ""), "")&amp; IF(COUNTIF('SAÍDA DE VENDAS'!$B$6:$B$500, B871)&gt;4, " + " &amp; IFERROR(INDEX('SAÍDA DE VENDAS'!$H$6:$H$500 &amp; "x " &amp; 'SAÍDA DE VENDAS'!$G$6:$G$500, MATCH(B871, 'SAÍDA DE VENDAS'!$B$6:$B$500, 0)+4), ""), "")&amp; IF(COUNTIF('SAÍDA DE VENDAS'!$B$6:$B$500, B871)&gt;5, " + " &amp; IFERROR(INDEX('SAÍDA DE VENDAS'!$H$6:$H$500 &amp; "x " &amp; 'SAÍDA DE VENDAS'!$G$6:$G$500, MATCH(B871, 'SAÍDA DE VENDAS'!$B$6:$B$500, 0)+5), ""), ""))</f>
        <v/>
      </c>
      <c r="G871" s="34">
        <f>IFERROR(VLOOKUP(B871,'SAÍDA DE VENDAS'!$B$6:$P$500,10,FALSE),"")</f>
        <v>0</v>
      </c>
      <c r="H871" s="34" t="str">
        <f>IF(OR(ISBLANK(B871),B871=""), "", IF(B871=B870, (VALUE(LEFT(H870,FIND("/",H870)-1))+1)&amp;"/"&amp;RIGHT(H870,LEN(H870)-FIND("/",H870)), "1/"&amp;IFERROR(VLOOKUP(B871,'SAÍDA DE VENDAS'!$B$6:$P$500,13,FALSE),"1")))</f>
        <v/>
      </c>
      <c r="I871" s="35" t="str">
        <f t="shared" si="26"/>
        <v/>
      </c>
      <c r="J871" s="39" t="str">
        <f>IFERROR(VLOOKUP(B871,'SAÍDA DE VENDAS'!$B$6:$P$500,15,FALSE),"")</f>
        <v/>
      </c>
      <c r="K871" s="34" t="str">
        <f t="shared" ca="1" si="27"/>
        <v/>
      </c>
      <c r="L871" s="34"/>
      <c r="M871" s="34"/>
    </row>
    <row r="872" spans="2:13" ht="15" customHeight="1" x14ac:dyDescent="0.3">
      <c r="B872" s="28" t="str">
        <f>IF(B871="","", IF(VALUE(LEFT(H871,FIND("/",H871)-1)) &lt; VALUE(RIGHT(H871,LEN(H871)-FIND("/",H871))), B871, IFERROR(INDEX('SAÍDA DE VENDAS'!$B$6:$B$500, MATCH(B871,'SAÍDA DE VENDAS'!$B$6:$B$500,0)+COUNTIF('SAÍDA DE VENDAS'!$B$6:$B$500, B871)),"")))</f>
        <v/>
      </c>
      <c r="C872" s="29">
        <f>IFERROR(VLOOKUP(B872,'SAÍDA DE VENDAS'!$B$6:$P$500,3,FALSE),"")</f>
        <v>0</v>
      </c>
      <c r="D872" s="28">
        <f>IFERROR(VLOOKUP(B872,'SAÍDA DE VENDAS'!$B$6:$P$500,4,FALSE),"")</f>
        <v>0</v>
      </c>
      <c r="E872" s="28" t="str">
        <f>IFERROR(VLOOKUP(B872,'SAÍDA DE VENDAS'!$B$6:$P$500,5,FALSE),"")</f>
        <v/>
      </c>
      <c r="F872" s="28" t="str">
        <f>IF(OR(ISBLANK(B872),B872=""), "", IFERROR(INDEX('SAÍDA DE VENDAS'!$H$6:$H$500 &amp; "x " &amp; 'SAÍDA DE VENDAS'!$G$6:$G$500, MATCH(B872, 'SAÍDA DE VENDAS'!$B$6:$B$500, 0)), "")&amp; IF(COUNTIF('SAÍDA DE VENDAS'!$B$6:$B$500, B872)&gt;1, " + " &amp; IFERROR(INDEX('SAÍDA DE VENDAS'!$H$6:$H$500 &amp; "x " &amp; 'SAÍDA DE VENDAS'!$G$6:$G$500, MATCH(B872, 'SAÍDA DE VENDAS'!$B$6:$B$500, 0)+1), ""), "")&amp; IF(COUNTIF('SAÍDA DE VENDAS'!$B$6:$B$500, B872)&gt;2, " + " &amp; IFERROR(INDEX('SAÍDA DE VENDAS'!$H$6:$H$500 &amp; "x " &amp; 'SAÍDA DE VENDAS'!$G$6:$G$500, MATCH(B872, 'SAÍDA DE VENDAS'!$B$6:$B$500, 0)+2), ""), "")&amp; IF(COUNTIF('SAÍDA DE VENDAS'!$B$6:$B$500, B872)&gt;3, " + " &amp; IFERROR(INDEX('SAÍDA DE VENDAS'!$H$6:$H$500 &amp; "x " &amp; 'SAÍDA DE VENDAS'!$G$6:$G$500, MATCH(B872, 'SAÍDA DE VENDAS'!$B$6:$B$500, 0)+3), ""), "")&amp; IF(COUNTIF('SAÍDA DE VENDAS'!$B$6:$B$500, B872)&gt;4, " + " &amp; IFERROR(INDEX('SAÍDA DE VENDAS'!$H$6:$H$500 &amp; "x " &amp; 'SAÍDA DE VENDAS'!$G$6:$G$500, MATCH(B872, 'SAÍDA DE VENDAS'!$B$6:$B$500, 0)+4), ""), "")&amp; IF(COUNTIF('SAÍDA DE VENDAS'!$B$6:$B$500, B872)&gt;5, " + " &amp; IFERROR(INDEX('SAÍDA DE VENDAS'!$H$6:$H$500 &amp; "x " &amp; 'SAÍDA DE VENDAS'!$G$6:$G$500, MATCH(B872, 'SAÍDA DE VENDAS'!$B$6:$B$500, 0)+5), ""), ""))</f>
        <v/>
      </c>
      <c r="G872" s="28">
        <f>IFERROR(VLOOKUP(B872,'SAÍDA DE VENDAS'!$B$6:$P$500,10,FALSE),"")</f>
        <v>0</v>
      </c>
      <c r="H872" s="28" t="str">
        <f>IF(OR(ISBLANK(B872),B872=""), "", IF(B872=B871, (VALUE(LEFT(H871,FIND("/",H871)-1))+1)&amp;"/"&amp;RIGHT(H871,LEN(H871)-FIND("/",H871)), "1/"&amp;IFERROR(VLOOKUP(B872,'SAÍDA DE VENDAS'!$B$6:$P$500,13,FALSE),"1")))</f>
        <v/>
      </c>
      <c r="I872" s="69" t="str">
        <f t="shared" si="26"/>
        <v/>
      </c>
      <c r="J872" s="33" t="str">
        <f>IFERROR(VLOOKUP(B872,'SAÍDA DE VENDAS'!$B$6:$P$500,15,FALSE),"")</f>
        <v/>
      </c>
      <c r="K872" s="28" t="str">
        <f t="shared" ca="1" si="27"/>
        <v/>
      </c>
      <c r="L872" s="28"/>
      <c r="M872" s="28"/>
    </row>
    <row r="873" spans="2:13" ht="15" customHeight="1" x14ac:dyDescent="0.3">
      <c r="B873" s="34" t="str">
        <f>IF(B872="","", IF(VALUE(LEFT(H872,FIND("/",H872)-1)) &lt; VALUE(RIGHT(H872,LEN(H872)-FIND("/",H872))), B872, IFERROR(INDEX('SAÍDA DE VENDAS'!$B$6:$B$500, MATCH(B872,'SAÍDA DE VENDAS'!$B$6:$B$500,0)+COUNTIF('SAÍDA DE VENDAS'!$B$6:$B$500, B872)),"")))</f>
        <v/>
      </c>
      <c r="C873" s="35">
        <f>IFERROR(VLOOKUP(B873,'SAÍDA DE VENDAS'!$B$6:$P$500,3,FALSE),"")</f>
        <v>0</v>
      </c>
      <c r="D873" s="34">
        <f>IFERROR(VLOOKUP(B873,'SAÍDA DE VENDAS'!$B$6:$P$500,4,FALSE),"")</f>
        <v>0</v>
      </c>
      <c r="E873" s="34" t="str">
        <f>IFERROR(VLOOKUP(B873,'SAÍDA DE VENDAS'!$B$6:$P$500,5,FALSE),"")</f>
        <v/>
      </c>
      <c r="F873" s="34" t="str">
        <f>IF(OR(ISBLANK(B873),B873=""), "", IFERROR(INDEX('SAÍDA DE VENDAS'!$H$6:$H$500 &amp; "x " &amp; 'SAÍDA DE VENDAS'!$G$6:$G$500, MATCH(B873, 'SAÍDA DE VENDAS'!$B$6:$B$500, 0)), "")&amp; IF(COUNTIF('SAÍDA DE VENDAS'!$B$6:$B$500, B873)&gt;1, " + " &amp; IFERROR(INDEX('SAÍDA DE VENDAS'!$H$6:$H$500 &amp; "x " &amp; 'SAÍDA DE VENDAS'!$G$6:$G$500, MATCH(B873, 'SAÍDA DE VENDAS'!$B$6:$B$500, 0)+1), ""), "")&amp; IF(COUNTIF('SAÍDA DE VENDAS'!$B$6:$B$500, B873)&gt;2, " + " &amp; IFERROR(INDEX('SAÍDA DE VENDAS'!$H$6:$H$500 &amp; "x " &amp; 'SAÍDA DE VENDAS'!$G$6:$G$500, MATCH(B873, 'SAÍDA DE VENDAS'!$B$6:$B$500, 0)+2), ""), "")&amp; IF(COUNTIF('SAÍDA DE VENDAS'!$B$6:$B$500, B873)&gt;3, " + " &amp; IFERROR(INDEX('SAÍDA DE VENDAS'!$H$6:$H$500 &amp; "x " &amp; 'SAÍDA DE VENDAS'!$G$6:$G$500, MATCH(B873, 'SAÍDA DE VENDAS'!$B$6:$B$500, 0)+3), ""), "")&amp; IF(COUNTIF('SAÍDA DE VENDAS'!$B$6:$B$500, B873)&gt;4, " + " &amp; IFERROR(INDEX('SAÍDA DE VENDAS'!$H$6:$H$500 &amp; "x " &amp; 'SAÍDA DE VENDAS'!$G$6:$G$500, MATCH(B873, 'SAÍDA DE VENDAS'!$B$6:$B$500, 0)+4), ""), "")&amp; IF(COUNTIF('SAÍDA DE VENDAS'!$B$6:$B$500, B873)&gt;5, " + " &amp; IFERROR(INDEX('SAÍDA DE VENDAS'!$H$6:$H$500 &amp; "x " &amp; 'SAÍDA DE VENDAS'!$G$6:$G$500, MATCH(B873, 'SAÍDA DE VENDAS'!$B$6:$B$500, 0)+5), ""), ""))</f>
        <v/>
      </c>
      <c r="G873" s="34">
        <f>IFERROR(VLOOKUP(B873,'SAÍDA DE VENDAS'!$B$6:$P$500,10,FALSE),"")</f>
        <v>0</v>
      </c>
      <c r="H873" s="34" t="str">
        <f>IF(OR(ISBLANK(B873),B873=""), "", IF(B873=B872, (VALUE(LEFT(H872,FIND("/",H872)-1))+1)&amp;"/"&amp;RIGHT(H872,LEN(H872)-FIND("/",H872)), "1/"&amp;IFERROR(VLOOKUP(B873,'SAÍDA DE VENDAS'!$B$6:$P$500,13,FALSE),"1")))</f>
        <v/>
      </c>
      <c r="I873" s="35" t="str">
        <f t="shared" si="26"/>
        <v/>
      </c>
      <c r="J873" s="39" t="str">
        <f>IFERROR(VLOOKUP(B873,'SAÍDA DE VENDAS'!$B$6:$P$500,15,FALSE),"")</f>
        <v/>
      </c>
      <c r="K873" s="34" t="str">
        <f t="shared" ca="1" si="27"/>
        <v/>
      </c>
      <c r="L873" s="34"/>
      <c r="M873" s="34"/>
    </row>
    <row r="874" spans="2:13" ht="15" customHeight="1" x14ac:dyDescent="0.3">
      <c r="B874" s="28" t="str">
        <f>IF(B873="","", IF(VALUE(LEFT(H873,FIND("/",H873)-1)) &lt; VALUE(RIGHT(H873,LEN(H873)-FIND("/",H873))), B873, IFERROR(INDEX('SAÍDA DE VENDAS'!$B$6:$B$500, MATCH(B873,'SAÍDA DE VENDAS'!$B$6:$B$500,0)+COUNTIF('SAÍDA DE VENDAS'!$B$6:$B$500, B873)),"")))</f>
        <v/>
      </c>
      <c r="C874" s="29">
        <f>IFERROR(VLOOKUP(B874,'SAÍDA DE VENDAS'!$B$6:$P$500,3,FALSE),"")</f>
        <v>0</v>
      </c>
      <c r="D874" s="28">
        <f>IFERROR(VLOOKUP(B874,'SAÍDA DE VENDAS'!$B$6:$P$500,4,FALSE),"")</f>
        <v>0</v>
      </c>
      <c r="E874" s="28" t="str">
        <f>IFERROR(VLOOKUP(B874,'SAÍDA DE VENDAS'!$B$6:$P$500,5,FALSE),"")</f>
        <v/>
      </c>
      <c r="F874" s="28" t="str">
        <f>IF(OR(ISBLANK(B874),B874=""), "", IFERROR(INDEX('SAÍDA DE VENDAS'!$H$6:$H$500 &amp; "x " &amp; 'SAÍDA DE VENDAS'!$G$6:$G$500, MATCH(B874, 'SAÍDA DE VENDAS'!$B$6:$B$500, 0)), "")&amp; IF(COUNTIF('SAÍDA DE VENDAS'!$B$6:$B$500, B874)&gt;1, " + " &amp; IFERROR(INDEX('SAÍDA DE VENDAS'!$H$6:$H$500 &amp; "x " &amp; 'SAÍDA DE VENDAS'!$G$6:$G$500, MATCH(B874, 'SAÍDA DE VENDAS'!$B$6:$B$500, 0)+1), ""), "")&amp; IF(COUNTIF('SAÍDA DE VENDAS'!$B$6:$B$500, B874)&gt;2, " + " &amp; IFERROR(INDEX('SAÍDA DE VENDAS'!$H$6:$H$500 &amp; "x " &amp; 'SAÍDA DE VENDAS'!$G$6:$G$500, MATCH(B874, 'SAÍDA DE VENDAS'!$B$6:$B$500, 0)+2), ""), "")&amp; IF(COUNTIF('SAÍDA DE VENDAS'!$B$6:$B$500, B874)&gt;3, " + " &amp; IFERROR(INDEX('SAÍDA DE VENDAS'!$H$6:$H$500 &amp; "x " &amp; 'SAÍDA DE VENDAS'!$G$6:$G$500, MATCH(B874, 'SAÍDA DE VENDAS'!$B$6:$B$500, 0)+3), ""), "")&amp; IF(COUNTIF('SAÍDA DE VENDAS'!$B$6:$B$500, B874)&gt;4, " + " &amp; IFERROR(INDEX('SAÍDA DE VENDAS'!$H$6:$H$500 &amp; "x " &amp; 'SAÍDA DE VENDAS'!$G$6:$G$500, MATCH(B874, 'SAÍDA DE VENDAS'!$B$6:$B$500, 0)+4), ""), "")&amp; IF(COUNTIF('SAÍDA DE VENDAS'!$B$6:$B$500, B874)&gt;5, " + " &amp; IFERROR(INDEX('SAÍDA DE VENDAS'!$H$6:$H$500 &amp; "x " &amp; 'SAÍDA DE VENDAS'!$G$6:$G$500, MATCH(B874, 'SAÍDA DE VENDAS'!$B$6:$B$500, 0)+5), ""), ""))</f>
        <v/>
      </c>
      <c r="G874" s="28">
        <f>IFERROR(VLOOKUP(B874,'SAÍDA DE VENDAS'!$B$6:$P$500,10,FALSE),"")</f>
        <v>0</v>
      </c>
      <c r="H874" s="28" t="str">
        <f>IF(OR(ISBLANK(B874),B874=""), "", IF(B874=B873, (VALUE(LEFT(H873,FIND("/",H873)-1))+1)&amp;"/"&amp;RIGHT(H873,LEN(H873)-FIND("/",H873)), "1/"&amp;IFERROR(VLOOKUP(B874,'SAÍDA DE VENDAS'!$B$6:$P$500,13,FALSE),"1")))</f>
        <v/>
      </c>
      <c r="I874" s="69" t="str">
        <f t="shared" si="26"/>
        <v/>
      </c>
      <c r="J874" s="33" t="str">
        <f>IFERROR(VLOOKUP(B874,'SAÍDA DE VENDAS'!$B$6:$P$500,15,FALSE),"")</f>
        <v/>
      </c>
      <c r="K874" s="28" t="str">
        <f t="shared" ca="1" si="27"/>
        <v/>
      </c>
      <c r="L874" s="28"/>
      <c r="M874" s="28"/>
    </row>
    <row r="875" spans="2:13" ht="15" customHeight="1" x14ac:dyDescent="0.3">
      <c r="B875" s="34" t="str">
        <f>IF(B874="","", IF(VALUE(LEFT(H874,FIND("/",H874)-1)) &lt; VALUE(RIGHT(H874,LEN(H874)-FIND("/",H874))), B874, IFERROR(INDEX('SAÍDA DE VENDAS'!$B$6:$B$500, MATCH(B874,'SAÍDA DE VENDAS'!$B$6:$B$500,0)+COUNTIF('SAÍDA DE VENDAS'!$B$6:$B$500, B874)),"")))</f>
        <v/>
      </c>
      <c r="C875" s="35">
        <f>IFERROR(VLOOKUP(B875,'SAÍDA DE VENDAS'!$B$6:$P$500,3,FALSE),"")</f>
        <v>0</v>
      </c>
      <c r="D875" s="34">
        <f>IFERROR(VLOOKUP(B875,'SAÍDA DE VENDAS'!$B$6:$P$500,4,FALSE),"")</f>
        <v>0</v>
      </c>
      <c r="E875" s="34" t="str">
        <f>IFERROR(VLOOKUP(B875,'SAÍDA DE VENDAS'!$B$6:$P$500,5,FALSE),"")</f>
        <v/>
      </c>
      <c r="F875" s="34" t="str">
        <f>IF(OR(ISBLANK(B875),B875=""), "", IFERROR(INDEX('SAÍDA DE VENDAS'!$H$6:$H$500 &amp; "x " &amp; 'SAÍDA DE VENDAS'!$G$6:$G$500, MATCH(B875, 'SAÍDA DE VENDAS'!$B$6:$B$500, 0)), "")&amp; IF(COUNTIF('SAÍDA DE VENDAS'!$B$6:$B$500, B875)&gt;1, " + " &amp; IFERROR(INDEX('SAÍDA DE VENDAS'!$H$6:$H$500 &amp; "x " &amp; 'SAÍDA DE VENDAS'!$G$6:$G$500, MATCH(B875, 'SAÍDA DE VENDAS'!$B$6:$B$500, 0)+1), ""), "")&amp; IF(COUNTIF('SAÍDA DE VENDAS'!$B$6:$B$500, B875)&gt;2, " + " &amp; IFERROR(INDEX('SAÍDA DE VENDAS'!$H$6:$H$500 &amp; "x " &amp; 'SAÍDA DE VENDAS'!$G$6:$G$500, MATCH(B875, 'SAÍDA DE VENDAS'!$B$6:$B$500, 0)+2), ""), "")&amp; IF(COUNTIF('SAÍDA DE VENDAS'!$B$6:$B$500, B875)&gt;3, " + " &amp; IFERROR(INDEX('SAÍDA DE VENDAS'!$H$6:$H$500 &amp; "x " &amp; 'SAÍDA DE VENDAS'!$G$6:$G$500, MATCH(B875, 'SAÍDA DE VENDAS'!$B$6:$B$500, 0)+3), ""), "")&amp; IF(COUNTIF('SAÍDA DE VENDAS'!$B$6:$B$500, B875)&gt;4, " + " &amp; IFERROR(INDEX('SAÍDA DE VENDAS'!$H$6:$H$500 &amp; "x " &amp; 'SAÍDA DE VENDAS'!$G$6:$G$500, MATCH(B875, 'SAÍDA DE VENDAS'!$B$6:$B$500, 0)+4), ""), "")&amp; IF(COUNTIF('SAÍDA DE VENDAS'!$B$6:$B$500, B875)&gt;5, " + " &amp; IFERROR(INDEX('SAÍDA DE VENDAS'!$H$6:$H$500 &amp; "x " &amp; 'SAÍDA DE VENDAS'!$G$6:$G$500, MATCH(B875, 'SAÍDA DE VENDAS'!$B$6:$B$500, 0)+5), ""), ""))</f>
        <v/>
      </c>
      <c r="G875" s="34">
        <f>IFERROR(VLOOKUP(B875,'SAÍDA DE VENDAS'!$B$6:$P$500,10,FALSE),"")</f>
        <v>0</v>
      </c>
      <c r="H875" s="34" t="str">
        <f>IF(OR(ISBLANK(B875),B875=""), "", IF(B875=B874, (VALUE(LEFT(H874,FIND("/",H874)-1))+1)&amp;"/"&amp;RIGHT(H874,LEN(H874)-FIND("/",H874)), "1/"&amp;IFERROR(VLOOKUP(B875,'SAÍDA DE VENDAS'!$B$6:$P$500,13,FALSE),"1")))</f>
        <v/>
      </c>
      <c r="I875" s="35" t="str">
        <f t="shared" si="26"/>
        <v/>
      </c>
      <c r="J875" s="39" t="str">
        <f>IFERROR(VLOOKUP(B875,'SAÍDA DE VENDAS'!$B$6:$P$500,15,FALSE),"")</f>
        <v/>
      </c>
      <c r="K875" s="34" t="str">
        <f t="shared" ca="1" si="27"/>
        <v/>
      </c>
      <c r="L875" s="34"/>
      <c r="M875" s="34"/>
    </row>
    <row r="876" spans="2:13" ht="15" customHeight="1" x14ac:dyDescent="0.3">
      <c r="B876" s="28" t="str">
        <f>IF(B875="","", IF(VALUE(LEFT(H875,FIND("/",H875)-1)) &lt; VALUE(RIGHT(H875,LEN(H875)-FIND("/",H875))), B875, IFERROR(INDEX('SAÍDA DE VENDAS'!$B$6:$B$500, MATCH(B875,'SAÍDA DE VENDAS'!$B$6:$B$500,0)+COUNTIF('SAÍDA DE VENDAS'!$B$6:$B$500, B875)),"")))</f>
        <v/>
      </c>
      <c r="C876" s="29">
        <f>IFERROR(VLOOKUP(B876,'SAÍDA DE VENDAS'!$B$6:$P$500,3,FALSE),"")</f>
        <v>0</v>
      </c>
      <c r="D876" s="28">
        <f>IFERROR(VLOOKUP(B876,'SAÍDA DE VENDAS'!$B$6:$P$500,4,FALSE),"")</f>
        <v>0</v>
      </c>
      <c r="E876" s="28" t="str">
        <f>IFERROR(VLOOKUP(B876,'SAÍDA DE VENDAS'!$B$6:$P$500,5,FALSE),"")</f>
        <v/>
      </c>
      <c r="F876" s="28" t="str">
        <f>IF(OR(ISBLANK(B876),B876=""), "", IFERROR(INDEX('SAÍDA DE VENDAS'!$H$6:$H$500 &amp; "x " &amp; 'SAÍDA DE VENDAS'!$G$6:$G$500, MATCH(B876, 'SAÍDA DE VENDAS'!$B$6:$B$500, 0)), "")&amp; IF(COUNTIF('SAÍDA DE VENDAS'!$B$6:$B$500, B876)&gt;1, " + " &amp; IFERROR(INDEX('SAÍDA DE VENDAS'!$H$6:$H$500 &amp; "x " &amp; 'SAÍDA DE VENDAS'!$G$6:$G$500, MATCH(B876, 'SAÍDA DE VENDAS'!$B$6:$B$500, 0)+1), ""), "")&amp; IF(COUNTIF('SAÍDA DE VENDAS'!$B$6:$B$500, B876)&gt;2, " + " &amp; IFERROR(INDEX('SAÍDA DE VENDAS'!$H$6:$H$500 &amp; "x " &amp; 'SAÍDA DE VENDAS'!$G$6:$G$500, MATCH(B876, 'SAÍDA DE VENDAS'!$B$6:$B$500, 0)+2), ""), "")&amp; IF(COUNTIF('SAÍDA DE VENDAS'!$B$6:$B$500, B876)&gt;3, " + " &amp; IFERROR(INDEX('SAÍDA DE VENDAS'!$H$6:$H$500 &amp; "x " &amp; 'SAÍDA DE VENDAS'!$G$6:$G$500, MATCH(B876, 'SAÍDA DE VENDAS'!$B$6:$B$500, 0)+3), ""), "")&amp; IF(COUNTIF('SAÍDA DE VENDAS'!$B$6:$B$500, B876)&gt;4, " + " &amp; IFERROR(INDEX('SAÍDA DE VENDAS'!$H$6:$H$500 &amp; "x " &amp; 'SAÍDA DE VENDAS'!$G$6:$G$500, MATCH(B876, 'SAÍDA DE VENDAS'!$B$6:$B$500, 0)+4), ""), "")&amp; IF(COUNTIF('SAÍDA DE VENDAS'!$B$6:$B$500, B876)&gt;5, " + " &amp; IFERROR(INDEX('SAÍDA DE VENDAS'!$H$6:$H$500 &amp; "x " &amp; 'SAÍDA DE VENDAS'!$G$6:$G$500, MATCH(B876, 'SAÍDA DE VENDAS'!$B$6:$B$500, 0)+5), ""), ""))</f>
        <v/>
      </c>
      <c r="G876" s="28">
        <f>IFERROR(VLOOKUP(B876,'SAÍDA DE VENDAS'!$B$6:$P$500,10,FALSE),"")</f>
        <v>0</v>
      </c>
      <c r="H876" s="28" t="str">
        <f>IF(OR(ISBLANK(B876),B876=""), "", IF(B876=B875, (VALUE(LEFT(H875,FIND("/",H875)-1))+1)&amp;"/"&amp;RIGHT(H875,LEN(H875)-FIND("/",H875)), "1/"&amp;IFERROR(VLOOKUP(B876,'SAÍDA DE VENDAS'!$B$6:$P$500,13,FALSE),"1")))</f>
        <v/>
      </c>
      <c r="I876" s="69" t="str">
        <f t="shared" si="26"/>
        <v/>
      </c>
      <c r="J876" s="33" t="str">
        <f>IFERROR(VLOOKUP(B876,'SAÍDA DE VENDAS'!$B$6:$P$500,15,FALSE),"")</f>
        <v/>
      </c>
      <c r="K876" s="28" t="str">
        <f t="shared" ca="1" si="27"/>
        <v/>
      </c>
      <c r="L876" s="28"/>
      <c r="M876" s="28"/>
    </row>
    <row r="877" spans="2:13" ht="15" customHeight="1" x14ac:dyDescent="0.3">
      <c r="B877" s="34" t="str">
        <f>IF(B876="","", IF(VALUE(LEFT(H876,FIND("/",H876)-1)) &lt; VALUE(RIGHT(H876,LEN(H876)-FIND("/",H876))), B876, IFERROR(INDEX('SAÍDA DE VENDAS'!$B$6:$B$500, MATCH(B876,'SAÍDA DE VENDAS'!$B$6:$B$500,0)+COUNTIF('SAÍDA DE VENDAS'!$B$6:$B$500, B876)),"")))</f>
        <v/>
      </c>
      <c r="C877" s="35">
        <f>IFERROR(VLOOKUP(B877,'SAÍDA DE VENDAS'!$B$6:$P$500,3,FALSE),"")</f>
        <v>0</v>
      </c>
      <c r="D877" s="34">
        <f>IFERROR(VLOOKUP(B877,'SAÍDA DE VENDAS'!$B$6:$P$500,4,FALSE),"")</f>
        <v>0</v>
      </c>
      <c r="E877" s="34" t="str">
        <f>IFERROR(VLOOKUP(B877,'SAÍDA DE VENDAS'!$B$6:$P$500,5,FALSE),"")</f>
        <v/>
      </c>
      <c r="F877" s="34" t="str">
        <f>IF(OR(ISBLANK(B877),B877=""), "", IFERROR(INDEX('SAÍDA DE VENDAS'!$H$6:$H$500 &amp; "x " &amp; 'SAÍDA DE VENDAS'!$G$6:$G$500, MATCH(B877, 'SAÍDA DE VENDAS'!$B$6:$B$500, 0)), "")&amp; IF(COUNTIF('SAÍDA DE VENDAS'!$B$6:$B$500, B877)&gt;1, " + " &amp; IFERROR(INDEX('SAÍDA DE VENDAS'!$H$6:$H$500 &amp; "x " &amp; 'SAÍDA DE VENDAS'!$G$6:$G$500, MATCH(B877, 'SAÍDA DE VENDAS'!$B$6:$B$500, 0)+1), ""), "")&amp; IF(COUNTIF('SAÍDA DE VENDAS'!$B$6:$B$500, B877)&gt;2, " + " &amp; IFERROR(INDEX('SAÍDA DE VENDAS'!$H$6:$H$500 &amp; "x " &amp; 'SAÍDA DE VENDAS'!$G$6:$G$500, MATCH(B877, 'SAÍDA DE VENDAS'!$B$6:$B$500, 0)+2), ""), "")&amp; IF(COUNTIF('SAÍDA DE VENDAS'!$B$6:$B$500, B877)&gt;3, " + " &amp; IFERROR(INDEX('SAÍDA DE VENDAS'!$H$6:$H$500 &amp; "x " &amp; 'SAÍDA DE VENDAS'!$G$6:$G$500, MATCH(B877, 'SAÍDA DE VENDAS'!$B$6:$B$500, 0)+3), ""), "")&amp; IF(COUNTIF('SAÍDA DE VENDAS'!$B$6:$B$500, B877)&gt;4, " + " &amp; IFERROR(INDEX('SAÍDA DE VENDAS'!$H$6:$H$500 &amp; "x " &amp; 'SAÍDA DE VENDAS'!$G$6:$G$500, MATCH(B877, 'SAÍDA DE VENDAS'!$B$6:$B$500, 0)+4), ""), "")&amp; IF(COUNTIF('SAÍDA DE VENDAS'!$B$6:$B$500, B877)&gt;5, " + " &amp; IFERROR(INDEX('SAÍDA DE VENDAS'!$H$6:$H$500 &amp; "x " &amp; 'SAÍDA DE VENDAS'!$G$6:$G$500, MATCH(B877, 'SAÍDA DE VENDAS'!$B$6:$B$500, 0)+5), ""), ""))</f>
        <v/>
      </c>
      <c r="G877" s="34">
        <f>IFERROR(VLOOKUP(B877,'SAÍDA DE VENDAS'!$B$6:$P$500,10,FALSE),"")</f>
        <v>0</v>
      </c>
      <c r="H877" s="34" t="str">
        <f>IF(OR(ISBLANK(B877),B877=""), "", IF(B877=B876, (VALUE(LEFT(H876,FIND("/",H876)-1))+1)&amp;"/"&amp;RIGHT(H876,LEN(H876)-FIND("/",H876)), "1/"&amp;IFERROR(VLOOKUP(B877,'SAÍDA DE VENDAS'!$B$6:$P$500,13,FALSE),"1")))</f>
        <v/>
      </c>
      <c r="I877" s="35" t="str">
        <f t="shared" si="26"/>
        <v/>
      </c>
      <c r="J877" s="39" t="str">
        <f>IFERROR(VLOOKUP(B877,'SAÍDA DE VENDAS'!$B$6:$P$500,15,FALSE),"")</f>
        <v/>
      </c>
      <c r="K877" s="34" t="str">
        <f t="shared" ca="1" si="27"/>
        <v/>
      </c>
      <c r="L877" s="34"/>
      <c r="M877" s="34"/>
    </row>
    <row r="878" spans="2:13" ht="15" customHeight="1" x14ac:dyDescent="0.3">
      <c r="B878" s="28" t="str">
        <f>IF(B877="","", IF(VALUE(LEFT(H877,FIND("/",H877)-1)) &lt; VALUE(RIGHT(H877,LEN(H877)-FIND("/",H877))), B877, IFERROR(INDEX('SAÍDA DE VENDAS'!$B$6:$B$500, MATCH(B877,'SAÍDA DE VENDAS'!$B$6:$B$500,0)+COUNTIF('SAÍDA DE VENDAS'!$B$6:$B$500, B877)),"")))</f>
        <v/>
      </c>
      <c r="C878" s="29">
        <f>IFERROR(VLOOKUP(B878,'SAÍDA DE VENDAS'!$B$6:$P$500,3,FALSE),"")</f>
        <v>0</v>
      </c>
      <c r="D878" s="28">
        <f>IFERROR(VLOOKUP(B878,'SAÍDA DE VENDAS'!$B$6:$P$500,4,FALSE),"")</f>
        <v>0</v>
      </c>
      <c r="E878" s="28" t="str">
        <f>IFERROR(VLOOKUP(B878,'SAÍDA DE VENDAS'!$B$6:$P$500,5,FALSE),"")</f>
        <v/>
      </c>
      <c r="F878" s="28" t="str">
        <f>IF(OR(ISBLANK(B878),B878=""), "", IFERROR(INDEX('SAÍDA DE VENDAS'!$H$6:$H$500 &amp; "x " &amp; 'SAÍDA DE VENDAS'!$G$6:$G$500, MATCH(B878, 'SAÍDA DE VENDAS'!$B$6:$B$500, 0)), "")&amp; IF(COUNTIF('SAÍDA DE VENDAS'!$B$6:$B$500, B878)&gt;1, " + " &amp; IFERROR(INDEX('SAÍDA DE VENDAS'!$H$6:$H$500 &amp; "x " &amp; 'SAÍDA DE VENDAS'!$G$6:$G$500, MATCH(B878, 'SAÍDA DE VENDAS'!$B$6:$B$500, 0)+1), ""), "")&amp; IF(COUNTIF('SAÍDA DE VENDAS'!$B$6:$B$500, B878)&gt;2, " + " &amp; IFERROR(INDEX('SAÍDA DE VENDAS'!$H$6:$H$500 &amp; "x " &amp; 'SAÍDA DE VENDAS'!$G$6:$G$500, MATCH(B878, 'SAÍDA DE VENDAS'!$B$6:$B$500, 0)+2), ""), "")&amp; IF(COUNTIF('SAÍDA DE VENDAS'!$B$6:$B$500, B878)&gt;3, " + " &amp; IFERROR(INDEX('SAÍDA DE VENDAS'!$H$6:$H$500 &amp; "x " &amp; 'SAÍDA DE VENDAS'!$G$6:$G$500, MATCH(B878, 'SAÍDA DE VENDAS'!$B$6:$B$500, 0)+3), ""), "")&amp; IF(COUNTIF('SAÍDA DE VENDAS'!$B$6:$B$500, B878)&gt;4, " + " &amp; IFERROR(INDEX('SAÍDA DE VENDAS'!$H$6:$H$500 &amp; "x " &amp; 'SAÍDA DE VENDAS'!$G$6:$G$500, MATCH(B878, 'SAÍDA DE VENDAS'!$B$6:$B$500, 0)+4), ""), "")&amp; IF(COUNTIF('SAÍDA DE VENDAS'!$B$6:$B$500, B878)&gt;5, " + " &amp; IFERROR(INDEX('SAÍDA DE VENDAS'!$H$6:$H$500 &amp; "x " &amp; 'SAÍDA DE VENDAS'!$G$6:$G$500, MATCH(B878, 'SAÍDA DE VENDAS'!$B$6:$B$500, 0)+5), ""), ""))</f>
        <v/>
      </c>
      <c r="G878" s="28">
        <f>IFERROR(VLOOKUP(B878,'SAÍDA DE VENDAS'!$B$6:$P$500,10,FALSE),"")</f>
        <v>0</v>
      </c>
      <c r="H878" s="28" t="str">
        <f>IF(OR(ISBLANK(B878),B878=""), "", IF(B878=B877, (VALUE(LEFT(H877,FIND("/",H877)-1))+1)&amp;"/"&amp;RIGHT(H877,LEN(H877)-FIND("/",H877)), "1/"&amp;IFERROR(VLOOKUP(B878,'SAÍDA DE VENDAS'!$B$6:$P$500,13,FALSE),"1")))</f>
        <v/>
      </c>
      <c r="I878" s="69" t="str">
        <f t="shared" si="26"/>
        <v/>
      </c>
      <c r="J878" s="33" t="str">
        <f>IFERROR(VLOOKUP(B878,'SAÍDA DE VENDAS'!$B$6:$P$500,15,FALSE),"")</f>
        <v/>
      </c>
      <c r="K878" s="28" t="str">
        <f t="shared" ca="1" si="27"/>
        <v/>
      </c>
      <c r="L878" s="28"/>
      <c r="M878" s="28"/>
    </row>
    <row r="879" spans="2:13" ht="15" customHeight="1" x14ac:dyDescent="0.3">
      <c r="B879" s="34" t="str">
        <f>IF(B878="","", IF(VALUE(LEFT(H878,FIND("/",H878)-1)) &lt; VALUE(RIGHT(H878,LEN(H878)-FIND("/",H878))), B878, IFERROR(INDEX('SAÍDA DE VENDAS'!$B$6:$B$500, MATCH(B878,'SAÍDA DE VENDAS'!$B$6:$B$500,0)+COUNTIF('SAÍDA DE VENDAS'!$B$6:$B$500, B878)),"")))</f>
        <v/>
      </c>
      <c r="C879" s="35">
        <f>IFERROR(VLOOKUP(B879,'SAÍDA DE VENDAS'!$B$6:$P$500,3,FALSE),"")</f>
        <v>0</v>
      </c>
      <c r="D879" s="34">
        <f>IFERROR(VLOOKUP(B879,'SAÍDA DE VENDAS'!$B$6:$P$500,4,FALSE),"")</f>
        <v>0</v>
      </c>
      <c r="E879" s="34" t="str">
        <f>IFERROR(VLOOKUP(B879,'SAÍDA DE VENDAS'!$B$6:$P$500,5,FALSE),"")</f>
        <v/>
      </c>
      <c r="F879" s="34" t="str">
        <f>IF(OR(ISBLANK(B879),B879=""), "", IFERROR(INDEX('SAÍDA DE VENDAS'!$H$6:$H$500 &amp; "x " &amp; 'SAÍDA DE VENDAS'!$G$6:$G$500, MATCH(B879, 'SAÍDA DE VENDAS'!$B$6:$B$500, 0)), "")&amp; IF(COUNTIF('SAÍDA DE VENDAS'!$B$6:$B$500, B879)&gt;1, " + " &amp; IFERROR(INDEX('SAÍDA DE VENDAS'!$H$6:$H$500 &amp; "x " &amp; 'SAÍDA DE VENDAS'!$G$6:$G$500, MATCH(B879, 'SAÍDA DE VENDAS'!$B$6:$B$500, 0)+1), ""), "")&amp; IF(COUNTIF('SAÍDA DE VENDAS'!$B$6:$B$500, B879)&gt;2, " + " &amp; IFERROR(INDEX('SAÍDA DE VENDAS'!$H$6:$H$500 &amp; "x " &amp; 'SAÍDA DE VENDAS'!$G$6:$G$500, MATCH(B879, 'SAÍDA DE VENDAS'!$B$6:$B$500, 0)+2), ""), "")&amp; IF(COUNTIF('SAÍDA DE VENDAS'!$B$6:$B$500, B879)&gt;3, " + " &amp; IFERROR(INDEX('SAÍDA DE VENDAS'!$H$6:$H$500 &amp; "x " &amp; 'SAÍDA DE VENDAS'!$G$6:$G$500, MATCH(B879, 'SAÍDA DE VENDAS'!$B$6:$B$500, 0)+3), ""), "")&amp; IF(COUNTIF('SAÍDA DE VENDAS'!$B$6:$B$500, B879)&gt;4, " + " &amp; IFERROR(INDEX('SAÍDA DE VENDAS'!$H$6:$H$500 &amp; "x " &amp; 'SAÍDA DE VENDAS'!$G$6:$G$500, MATCH(B879, 'SAÍDA DE VENDAS'!$B$6:$B$500, 0)+4), ""), "")&amp; IF(COUNTIF('SAÍDA DE VENDAS'!$B$6:$B$500, B879)&gt;5, " + " &amp; IFERROR(INDEX('SAÍDA DE VENDAS'!$H$6:$H$500 &amp; "x " &amp; 'SAÍDA DE VENDAS'!$G$6:$G$500, MATCH(B879, 'SAÍDA DE VENDAS'!$B$6:$B$500, 0)+5), ""), ""))</f>
        <v/>
      </c>
      <c r="G879" s="34">
        <f>IFERROR(VLOOKUP(B879,'SAÍDA DE VENDAS'!$B$6:$P$500,10,FALSE),"")</f>
        <v>0</v>
      </c>
      <c r="H879" s="34" t="str">
        <f>IF(OR(ISBLANK(B879),B879=""), "", IF(B879=B878, (VALUE(LEFT(H878,FIND("/",H878)-1))+1)&amp;"/"&amp;RIGHT(H878,LEN(H878)-FIND("/",H878)), "1/"&amp;IFERROR(VLOOKUP(B879,'SAÍDA DE VENDAS'!$B$6:$P$500,13,FALSE),"1")))</f>
        <v/>
      </c>
      <c r="I879" s="35" t="str">
        <f t="shared" si="26"/>
        <v/>
      </c>
      <c r="J879" s="39" t="str">
        <f>IFERROR(VLOOKUP(B879,'SAÍDA DE VENDAS'!$B$6:$P$500,15,FALSE),"")</f>
        <v/>
      </c>
      <c r="K879" s="34" t="str">
        <f t="shared" ca="1" si="27"/>
        <v/>
      </c>
      <c r="L879" s="34"/>
      <c r="M879" s="34"/>
    </row>
    <row r="880" spans="2:13" ht="15" customHeight="1" x14ac:dyDescent="0.3">
      <c r="B880" s="28" t="str">
        <f>IF(B879="","", IF(VALUE(LEFT(H879,FIND("/",H879)-1)) &lt; VALUE(RIGHT(H879,LEN(H879)-FIND("/",H879))), B879, IFERROR(INDEX('SAÍDA DE VENDAS'!$B$6:$B$500, MATCH(B879,'SAÍDA DE VENDAS'!$B$6:$B$500,0)+COUNTIF('SAÍDA DE VENDAS'!$B$6:$B$500, B879)),"")))</f>
        <v/>
      </c>
      <c r="C880" s="29">
        <f>IFERROR(VLOOKUP(B880,'SAÍDA DE VENDAS'!$B$6:$P$500,3,FALSE),"")</f>
        <v>0</v>
      </c>
      <c r="D880" s="28">
        <f>IFERROR(VLOOKUP(B880,'SAÍDA DE VENDAS'!$B$6:$P$500,4,FALSE),"")</f>
        <v>0</v>
      </c>
      <c r="E880" s="28" t="str">
        <f>IFERROR(VLOOKUP(B880,'SAÍDA DE VENDAS'!$B$6:$P$500,5,FALSE),"")</f>
        <v/>
      </c>
      <c r="F880" s="28" t="str">
        <f>IF(OR(ISBLANK(B880),B880=""), "", IFERROR(INDEX('SAÍDA DE VENDAS'!$H$6:$H$500 &amp; "x " &amp; 'SAÍDA DE VENDAS'!$G$6:$G$500, MATCH(B880, 'SAÍDA DE VENDAS'!$B$6:$B$500, 0)), "")&amp; IF(COUNTIF('SAÍDA DE VENDAS'!$B$6:$B$500, B880)&gt;1, " + " &amp; IFERROR(INDEX('SAÍDA DE VENDAS'!$H$6:$H$500 &amp; "x " &amp; 'SAÍDA DE VENDAS'!$G$6:$G$500, MATCH(B880, 'SAÍDA DE VENDAS'!$B$6:$B$500, 0)+1), ""), "")&amp; IF(COUNTIF('SAÍDA DE VENDAS'!$B$6:$B$500, B880)&gt;2, " + " &amp; IFERROR(INDEX('SAÍDA DE VENDAS'!$H$6:$H$500 &amp; "x " &amp; 'SAÍDA DE VENDAS'!$G$6:$G$500, MATCH(B880, 'SAÍDA DE VENDAS'!$B$6:$B$500, 0)+2), ""), "")&amp; IF(COUNTIF('SAÍDA DE VENDAS'!$B$6:$B$500, B880)&gt;3, " + " &amp; IFERROR(INDEX('SAÍDA DE VENDAS'!$H$6:$H$500 &amp; "x " &amp; 'SAÍDA DE VENDAS'!$G$6:$G$500, MATCH(B880, 'SAÍDA DE VENDAS'!$B$6:$B$500, 0)+3), ""), "")&amp; IF(COUNTIF('SAÍDA DE VENDAS'!$B$6:$B$500, B880)&gt;4, " + " &amp; IFERROR(INDEX('SAÍDA DE VENDAS'!$H$6:$H$500 &amp; "x " &amp; 'SAÍDA DE VENDAS'!$G$6:$G$500, MATCH(B880, 'SAÍDA DE VENDAS'!$B$6:$B$500, 0)+4), ""), "")&amp; IF(COUNTIF('SAÍDA DE VENDAS'!$B$6:$B$500, B880)&gt;5, " + " &amp; IFERROR(INDEX('SAÍDA DE VENDAS'!$H$6:$H$500 &amp; "x " &amp; 'SAÍDA DE VENDAS'!$G$6:$G$500, MATCH(B880, 'SAÍDA DE VENDAS'!$B$6:$B$500, 0)+5), ""), ""))</f>
        <v/>
      </c>
      <c r="G880" s="28">
        <f>IFERROR(VLOOKUP(B880,'SAÍDA DE VENDAS'!$B$6:$P$500,10,FALSE),"")</f>
        <v>0</v>
      </c>
      <c r="H880" s="28" t="str">
        <f>IF(OR(ISBLANK(B880),B880=""), "", IF(B880=B879, (VALUE(LEFT(H879,FIND("/",H879)-1))+1)&amp;"/"&amp;RIGHT(H879,LEN(H879)-FIND("/",H879)), "1/"&amp;IFERROR(VLOOKUP(B880,'SAÍDA DE VENDAS'!$B$6:$P$500,13,FALSE),"1")))</f>
        <v/>
      </c>
      <c r="I880" s="69" t="str">
        <f t="shared" si="26"/>
        <v/>
      </c>
      <c r="J880" s="33" t="str">
        <f>IFERROR(VLOOKUP(B880,'SAÍDA DE VENDAS'!$B$6:$P$500,15,FALSE),"")</f>
        <v/>
      </c>
      <c r="K880" s="28" t="str">
        <f t="shared" ca="1" si="27"/>
        <v/>
      </c>
      <c r="L880" s="28"/>
      <c r="M880" s="28"/>
    </row>
    <row r="881" spans="2:13" ht="15" customHeight="1" x14ac:dyDescent="0.3">
      <c r="B881" s="34" t="str">
        <f>IF(B880="","", IF(VALUE(LEFT(H880,FIND("/",H880)-1)) &lt; VALUE(RIGHT(H880,LEN(H880)-FIND("/",H880))), B880, IFERROR(INDEX('SAÍDA DE VENDAS'!$B$6:$B$500, MATCH(B880,'SAÍDA DE VENDAS'!$B$6:$B$500,0)+COUNTIF('SAÍDA DE VENDAS'!$B$6:$B$500, B880)),"")))</f>
        <v/>
      </c>
      <c r="C881" s="35">
        <f>IFERROR(VLOOKUP(B881,'SAÍDA DE VENDAS'!$B$6:$P$500,3,FALSE),"")</f>
        <v>0</v>
      </c>
      <c r="D881" s="34">
        <f>IFERROR(VLOOKUP(B881,'SAÍDA DE VENDAS'!$B$6:$P$500,4,FALSE),"")</f>
        <v>0</v>
      </c>
      <c r="E881" s="34" t="str">
        <f>IFERROR(VLOOKUP(B881,'SAÍDA DE VENDAS'!$B$6:$P$500,5,FALSE),"")</f>
        <v/>
      </c>
      <c r="F881" s="34" t="str">
        <f>IF(OR(ISBLANK(B881),B881=""), "", IFERROR(INDEX('SAÍDA DE VENDAS'!$H$6:$H$500 &amp; "x " &amp; 'SAÍDA DE VENDAS'!$G$6:$G$500, MATCH(B881, 'SAÍDA DE VENDAS'!$B$6:$B$500, 0)), "")&amp; IF(COUNTIF('SAÍDA DE VENDAS'!$B$6:$B$500, B881)&gt;1, " + " &amp; IFERROR(INDEX('SAÍDA DE VENDAS'!$H$6:$H$500 &amp; "x " &amp; 'SAÍDA DE VENDAS'!$G$6:$G$500, MATCH(B881, 'SAÍDA DE VENDAS'!$B$6:$B$500, 0)+1), ""), "")&amp; IF(COUNTIF('SAÍDA DE VENDAS'!$B$6:$B$500, B881)&gt;2, " + " &amp; IFERROR(INDEX('SAÍDA DE VENDAS'!$H$6:$H$500 &amp; "x " &amp; 'SAÍDA DE VENDAS'!$G$6:$G$500, MATCH(B881, 'SAÍDA DE VENDAS'!$B$6:$B$500, 0)+2), ""), "")&amp; IF(COUNTIF('SAÍDA DE VENDAS'!$B$6:$B$500, B881)&gt;3, " + " &amp; IFERROR(INDEX('SAÍDA DE VENDAS'!$H$6:$H$500 &amp; "x " &amp; 'SAÍDA DE VENDAS'!$G$6:$G$500, MATCH(B881, 'SAÍDA DE VENDAS'!$B$6:$B$500, 0)+3), ""), "")&amp; IF(COUNTIF('SAÍDA DE VENDAS'!$B$6:$B$500, B881)&gt;4, " + " &amp; IFERROR(INDEX('SAÍDA DE VENDAS'!$H$6:$H$500 &amp; "x " &amp; 'SAÍDA DE VENDAS'!$G$6:$G$500, MATCH(B881, 'SAÍDA DE VENDAS'!$B$6:$B$500, 0)+4), ""), "")&amp; IF(COUNTIF('SAÍDA DE VENDAS'!$B$6:$B$500, B881)&gt;5, " + " &amp; IFERROR(INDEX('SAÍDA DE VENDAS'!$H$6:$H$500 &amp; "x " &amp; 'SAÍDA DE VENDAS'!$G$6:$G$500, MATCH(B881, 'SAÍDA DE VENDAS'!$B$6:$B$500, 0)+5), ""), ""))</f>
        <v/>
      </c>
      <c r="G881" s="34">
        <f>IFERROR(VLOOKUP(B881,'SAÍDA DE VENDAS'!$B$6:$P$500,10,FALSE),"")</f>
        <v>0</v>
      </c>
      <c r="H881" s="34" t="str">
        <f>IF(OR(ISBLANK(B881),B881=""), "", IF(B881=B880, (VALUE(LEFT(H880,FIND("/",H880)-1))+1)&amp;"/"&amp;RIGHT(H880,LEN(H880)-FIND("/",H880)), "1/"&amp;IFERROR(VLOOKUP(B881,'SAÍDA DE VENDAS'!$B$6:$P$500,13,FALSE),"1")))</f>
        <v/>
      </c>
      <c r="I881" s="35" t="str">
        <f t="shared" si="26"/>
        <v/>
      </c>
      <c r="J881" s="39" t="str">
        <f>IFERROR(VLOOKUP(B881,'SAÍDA DE VENDAS'!$B$6:$P$500,15,FALSE),"")</f>
        <v/>
      </c>
      <c r="K881" s="34" t="str">
        <f t="shared" ca="1" si="27"/>
        <v/>
      </c>
      <c r="L881" s="34"/>
      <c r="M881" s="34"/>
    </row>
    <row r="882" spans="2:13" ht="15" customHeight="1" x14ac:dyDescent="0.3">
      <c r="B882" s="28" t="str">
        <f>IF(B881="","", IF(VALUE(LEFT(H881,FIND("/",H881)-1)) &lt; VALUE(RIGHT(H881,LEN(H881)-FIND("/",H881))), B881, IFERROR(INDEX('SAÍDA DE VENDAS'!$B$6:$B$500, MATCH(B881,'SAÍDA DE VENDAS'!$B$6:$B$500,0)+COUNTIF('SAÍDA DE VENDAS'!$B$6:$B$500, B881)),"")))</f>
        <v/>
      </c>
      <c r="C882" s="29">
        <f>IFERROR(VLOOKUP(B882,'SAÍDA DE VENDAS'!$B$6:$P$500,3,FALSE),"")</f>
        <v>0</v>
      </c>
      <c r="D882" s="28">
        <f>IFERROR(VLOOKUP(B882,'SAÍDA DE VENDAS'!$B$6:$P$500,4,FALSE),"")</f>
        <v>0</v>
      </c>
      <c r="E882" s="28" t="str">
        <f>IFERROR(VLOOKUP(B882,'SAÍDA DE VENDAS'!$B$6:$P$500,5,FALSE),"")</f>
        <v/>
      </c>
      <c r="F882" s="28" t="str">
        <f>IF(OR(ISBLANK(B882),B882=""), "", IFERROR(INDEX('SAÍDA DE VENDAS'!$H$6:$H$500 &amp; "x " &amp; 'SAÍDA DE VENDAS'!$G$6:$G$500, MATCH(B882, 'SAÍDA DE VENDAS'!$B$6:$B$500, 0)), "")&amp; IF(COUNTIF('SAÍDA DE VENDAS'!$B$6:$B$500, B882)&gt;1, " + " &amp; IFERROR(INDEX('SAÍDA DE VENDAS'!$H$6:$H$500 &amp; "x " &amp; 'SAÍDA DE VENDAS'!$G$6:$G$500, MATCH(B882, 'SAÍDA DE VENDAS'!$B$6:$B$500, 0)+1), ""), "")&amp; IF(COUNTIF('SAÍDA DE VENDAS'!$B$6:$B$500, B882)&gt;2, " + " &amp; IFERROR(INDEX('SAÍDA DE VENDAS'!$H$6:$H$500 &amp; "x " &amp; 'SAÍDA DE VENDAS'!$G$6:$G$500, MATCH(B882, 'SAÍDA DE VENDAS'!$B$6:$B$500, 0)+2), ""), "")&amp; IF(COUNTIF('SAÍDA DE VENDAS'!$B$6:$B$500, B882)&gt;3, " + " &amp; IFERROR(INDEX('SAÍDA DE VENDAS'!$H$6:$H$500 &amp; "x " &amp; 'SAÍDA DE VENDAS'!$G$6:$G$500, MATCH(B882, 'SAÍDA DE VENDAS'!$B$6:$B$500, 0)+3), ""), "")&amp; IF(COUNTIF('SAÍDA DE VENDAS'!$B$6:$B$500, B882)&gt;4, " + " &amp; IFERROR(INDEX('SAÍDA DE VENDAS'!$H$6:$H$500 &amp; "x " &amp; 'SAÍDA DE VENDAS'!$G$6:$G$500, MATCH(B882, 'SAÍDA DE VENDAS'!$B$6:$B$500, 0)+4), ""), "")&amp; IF(COUNTIF('SAÍDA DE VENDAS'!$B$6:$B$500, B882)&gt;5, " + " &amp; IFERROR(INDEX('SAÍDA DE VENDAS'!$H$6:$H$500 &amp; "x " &amp; 'SAÍDA DE VENDAS'!$G$6:$G$500, MATCH(B882, 'SAÍDA DE VENDAS'!$B$6:$B$500, 0)+5), ""), ""))</f>
        <v/>
      </c>
      <c r="G882" s="28">
        <f>IFERROR(VLOOKUP(B882,'SAÍDA DE VENDAS'!$B$6:$P$500,10,FALSE),"")</f>
        <v>0</v>
      </c>
      <c r="H882" s="28" t="str">
        <f>IF(OR(ISBLANK(B882),B882=""), "", IF(B882=B881, (VALUE(LEFT(H881,FIND("/",H881)-1))+1)&amp;"/"&amp;RIGHT(H881,LEN(H881)-FIND("/",H881)), "1/"&amp;IFERROR(VLOOKUP(B882,'SAÍDA DE VENDAS'!$B$6:$P$500,13,FALSE),"1")))</f>
        <v/>
      </c>
      <c r="I882" s="69" t="str">
        <f t="shared" si="26"/>
        <v/>
      </c>
      <c r="J882" s="33" t="str">
        <f>IFERROR(VLOOKUP(B882,'SAÍDA DE VENDAS'!$B$6:$P$500,15,FALSE),"")</f>
        <v/>
      </c>
      <c r="K882" s="28" t="str">
        <f t="shared" ca="1" si="27"/>
        <v/>
      </c>
      <c r="L882" s="28"/>
      <c r="M882" s="28"/>
    </row>
    <row r="883" spans="2:13" ht="15" customHeight="1" x14ac:dyDescent="0.3">
      <c r="B883" s="34" t="str">
        <f>IF(B882="","", IF(VALUE(LEFT(H882,FIND("/",H882)-1)) &lt; VALUE(RIGHT(H882,LEN(H882)-FIND("/",H882))), B882, IFERROR(INDEX('SAÍDA DE VENDAS'!$B$6:$B$500, MATCH(B882,'SAÍDA DE VENDAS'!$B$6:$B$500,0)+COUNTIF('SAÍDA DE VENDAS'!$B$6:$B$500, B882)),"")))</f>
        <v/>
      </c>
      <c r="C883" s="35">
        <f>IFERROR(VLOOKUP(B883,'SAÍDA DE VENDAS'!$B$6:$P$500,3,FALSE),"")</f>
        <v>0</v>
      </c>
      <c r="D883" s="34">
        <f>IFERROR(VLOOKUP(B883,'SAÍDA DE VENDAS'!$B$6:$P$500,4,FALSE),"")</f>
        <v>0</v>
      </c>
      <c r="E883" s="34" t="str">
        <f>IFERROR(VLOOKUP(B883,'SAÍDA DE VENDAS'!$B$6:$P$500,5,FALSE),"")</f>
        <v/>
      </c>
      <c r="F883" s="34" t="str">
        <f>IF(OR(ISBLANK(B883),B883=""), "", IFERROR(INDEX('SAÍDA DE VENDAS'!$H$6:$H$500 &amp; "x " &amp; 'SAÍDA DE VENDAS'!$G$6:$G$500, MATCH(B883, 'SAÍDA DE VENDAS'!$B$6:$B$500, 0)), "")&amp; IF(COUNTIF('SAÍDA DE VENDAS'!$B$6:$B$500, B883)&gt;1, " + " &amp; IFERROR(INDEX('SAÍDA DE VENDAS'!$H$6:$H$500 &amp; "x " &amp; 'SAÍDA DE VENDAS'!$G$6:$G$500, MATCH(B883, 'SAÍDA DE VENDAS'!$B$6:$B$500, 0)+1), ""), "")&amp; IF(COUNTIF('SAÍDA DE VENDAS'!$B$6:$B$500, B883)&gt;2, " + " &amp; IFERROR(INDEX('SAÍDA DE VENDAS'!$H$6:$H$500 &amp; "x " &amp; 'SAÍDA DE VENDAS'!$G$6:$G$500, MATCH(B883, 'SAÍDA DE VENDAS'!$B$6:$B$500, 0)+2), ""), "")&amp; IF(COUNTIF('SAÍDA DE VENDAS'!$B$6:$B$500, B883)&gt;3, " + " &amp; IFERROR(INDEX('SAÍDA DE VENDAS'!$H$6:$H$500 &amp; "x " &amp; 'SAÍDA DE VENDAS'!$G$6:$G$500, MATCH(B883, 'SAÍDA DE VENDAS'!$B$6:$B$500, 0)+3), ""), "")&amp; IF(COUNTIF('SAÍDA DE VENDAS'!$B$6:$B$500, B883)&gt;4, " + " &amp; IFERROR(INDEX('SAÍDA DE VENDAS'!$H$6:$H$500 &amp; "x " &amp; 'SAÍDA DE VENDAS'!$G$6:$G$500, MATCH(B883, 'SAÍDA DE VENDAS'!$B$6:$B$500, 0)+4), ""), "")&amp; IF(COUNTIF('SAÍDA DE VENDAS'!$B$6:$B$500, B883)&gt;5, " + " &amp; IFERROR(INDEX('SAÍDA DE VENDAS'!$H$6:$H$500 &amp; "x " &amp; 'SAÍDA DE VENDAS'!$G$6:$G$500, MATCH(B883, 'SAÍDA DE VENDAS'!$B$6:$B$500, 0)+5), ""), ""))</f>
        <v/>
      </c>
      <c r="G883" s="34">
        <f>IFERROR(VLOOKUP(B883,'SAÍDA DE VENDAS'!$B$6:$P$500,10,FALSE),"")</f>
        <v>0</v>
      </c>
      <c r="H883" s="34" t="str">
        <f>IF(OR(ISBLANK(B883),B883=""), "", IF(B883=B882, (VALUE(LEFT(H882,FIND("/",H882)-1))+1)&amp;"/"&amp;RIGHT(H882,LEN(H882)-FIND("/",H882)), "1/"&amp;IFERROR(VLOOKUP(B883,'SAÍDA DE VENDAS'!$B$6:$P$500,13,FALSE),"1")))</f>
        <v/>
      </c>
      <c r="I883" s="35" t="str">
        <f t="shared" si="26"/>
        <v/>
      </c>
      <c r="J883" s="39" t="str">
        <f>IFERROR(VLOOKUP(B883,'SAÍDA DE VENDAS'!$B$6:$P$500,15,FALSE),"")</f>
        <v/>
      </c>
      <c r="K883" s="34" t="str">
        <f t="shared" ca="1" si="27"/>
        <v/>
      </c>
      <c r="L883" s="34"/>
      <c r="M883" s="34"/>
    </row>
    <row r="884" spans="2:13" ht="15" customHeight="1" x14ac:dyDescent="0.3">
      <c r="B884" s="28" t="str">
        <f>IF(B883="","", IF(VALUE(LEFT(H883,FIND("/",H883)-1)) &lt; VALUE(RIGHT(H883,LEN(H883)-FIND("/",H883))), B883, IFERROR(INDEX('SAÍDA DE VENDAS'!$B$6:$B$500, MATCH(B883,'SAÍDA DE VENDAS'!$B$6:$B$500,0)+COUNTIF('SAÍDA DE VENDAS'!$B$6:$B$500, B883)),"")))</f>
        <v/>
      </c>
      <c r="C884" s="29">
        <f>IFERROR(VLOOKUP(B884,'SAÍDA DE VENDAS'!$B$6:$P$500,3,FALSE),"")</f>
        <v>0</v>
      </c>
      <c r="D884" s="28">
        <f>IFERROR(VLOOKUP(B884,'SAÍDA DE VENDAS'!$B$6:$P$500,4,FALSE),"")</f>
        <v>0</v>
      </c>
      <c r="E884" s="28" t="str">
        <f>IFERROR(VLOOKUP(B884,'SAÍDA DE VENDAS'!$B$6:$P$500,5,FALSE),"")</f>
        <v/>
      </c>
      <c r="F884" s="28" t="str">
        <f>IF(OR(ISBLANK(B884),B884=""), "", IFERROR(INDEX('SAÍDA DE VENDAS'!$H$6:$H$500 &amp; "x " &amp; 'SAÍDA DE VENDAS'!$G$6:$G$500, MATCH(B884, 'SAÍDA DE VENDAS'!$B$6:$B$500, 0)), "")&amp; IF(COUNTIF('SAÍDA DE VENDAS'!$B$6:$B$500, B884)&gt;1, " + " &amp; IFERROR(INDEX('SAÍDA DE VENDAS'!$H$6:$H$500 &amp; "x " &amp; 'SAÍDA DE VENDAS'!$G$6:$G$500, MATCH(B884, 'SAÍDA DE VENDAS'!$B$6:$B$500, 0)+1), ""), "")&amp; IF(COUNTIF('SAÍDA DE VENDAS'!$B$6:$B$500, B884)&gt;2, " + " &amp; IFERROR(INDEX('SAÍDA DE VENDAS'!$H$6:$H$500 &amp; "x " &amp; 'SAÍDA DE VENDAS'!$G$6:$G$500, MATCH(B884, 'SAÍDA DE VENDAS'!$B$6:$B$500, 0)+2), ""), "")&amp; IF(COUNTIF('SAÍDA DE VENDAS'!$B$6:$B$500, B884)&gt;3, " + " &amp; IFERROR(INDEX('SAÍDA DE VENDAS'!$H$6:$H$500 &amp; "x " &amp; 'SAÍDA DE VENDAS'!$G$6:$G$500, MATCH(B884, 'SAÍDA DE VENDAS'!$B$6:$B$500, 0)+3), ""), "")&amp; IF(COUNTIF('SAÍDA DE VENDAS'!$B$6:$B$500, B884)&gt;4, " + " &amp; IFERROR(INDEX('SAÍDA DE VENDAS'!$H$6:$H$500 &amp; "x " &amp; 'SAÍDA DE VENDAS'!$G$6:$G$500, MATCH(B884, 'SAÍDA DE VENDAS'!$B$6:$B$500, 0)+4), ""), "")&amp; IF(COUNTIF('SAÍDA DE VENDAS'!$B$6:$B$500, B884)&gt;5, " + " &amp; IFERROR(INDEX('SAÍDA DE VENDAS'!$H$6:$H$500 &amp; "x " &amp; 'SAÍDA DE VENDAS'!$G$6:$G$500, MATCH(B884, 'SAÍDA DE VENDAS'!$B$6:$B$500, 0)+5), ""), ""))</f>
        <v/>
      </c>
      <c r="G884" s="28">
        <f>IFERROR(VLOOKUP(B884,'SAÍDA DE VENDAS'!$B$6:$P$500,10,FALSE),"")</f>
        <v>0</v>
      </c>
      <c r="H884" s="28" t="str">
        <f>IF(OR(ISBLANK(B884),B884=""), "", IF(B884=B883, (VALUE(LEFT(H883,FIND("/",H883)-1))+1)&amp;"/"&amp;RIGHT(H883,LEN(H883)-FIND("/",H883)), "1/"&amp;IFERROR(VLOOKUP(B884,'SAÍDA DE VENDAS'!$B$6:$P$500,13,FALSE),"1")))</f>
        <v/>
      </c>
      <c r="I884" s="69" t="str">
        <f t="shared" si="26"/>
        <v/>
      </c>
      <c r="J884" s="33" t="str">
        <f>IFERROR(VLOOKUP(B884,'SAÍDA DE VENDAS'!$B$6:$P$500,15,FALSE),"")</f>
        <v/>
      </c>
      <c r="K884" s="28" t="str">
        <f t="shared" ca="1" si="27"/>
        <v/>
      </c>
      <c r="L884" s="28"/>
      <c r="M884" s="28"/>
    </row>
    <row r="885" spans="2:13" ht="15" customHeight="1" x14ac:dyDescent="0.3">
      <c r="B885" s="34" t="str">
        <f>IF(B884="","", IF(VALUE(LEFT(H884,FIND("/",H884)-1)) &lt; VALUE(RIGHT(H884,LEN(H884)-FIND("/",H884))), B884, IFERROR(INDEX('SAÍDA DE VENDAS'!$B$6:$B$500, MATCH(B884,'SAÍDA DE VENDAS'!$B$6:$B$500,0)+COUNTIF('SAÍDA DE VENDAS'!$B$6:$B$500, B884)),"")))</f>
        <v/>
      </c>
      <c r="C885" s="35">
        <f>IFERROR(VLOOKUP(B885,'SAÍDA DE VENDAS'!$B$6:$P$500,3,FALSE),"")</f>
        <v>0</v>
      </c>
      <c r="D885" s="34">
        <f>IFERROR(VLOOKUP(B885,'SAÍDA DE VENDAS'!$B$6:$P$500,4,FALSE),"")</f>
        <v>0</v>
      </c>
      <c r="E885" s="34" t="str">
        <f>IFERROR(VLOOKUP(B885,'SAÍDA DE VENDAS'!$B$6:$P$500,5,FALSE),"")</f>
        <v/>
      </c>
      <c r="F885" s="34" t="str">
        <f>IF(OR(ISBLANK(B885),B885=""), "", IFERROR(INDEX('SAÍDA DE VENDAS'!$H$6:$H$500 &amp; "x " &amp; 'SAÍDA DE VENDAS'!$G$6:$G$500, MATCH(B885, 'SAÍDA DE VENDAS'!$B$6:$B$500, 0)), "")&amp; IF(COUNTIF('SAÍDA DE VENDAS'!$B$6:$B$500, B885)&gt;1, " + " &amp; IFERROR(INDEX('SAÍDA DE VENDAS'!$H$6:$H$500 &amp; "x " &amp; 'SAÍDA DE VENDAS'!$G$6:$G$500, MATCH(B885, 'SAÍDA DE VENDAS'!$B$6:$B$500, 0)+1), ""), "")&amp; IF(COUNTIF('SAÍDA DE VENDAS'!$B$6:$B$500, B885)&gt;2, " + " &amp; IFERROR(INDEX('SAÍDA DE VENDAS'!$H$6:$H$500 &amp; "x " &amp; 'SAÍDA DE VENDAS'!$G$6:$G$500, MATCH(B885, 'SAÍDA DE VENDAS'!$B$6:$B$500, 0)+2), ""), "")&amp; IF(COUNTIF('SAÍDA DE VENDAS'!$B$6:$B$500, B885)&gt;3, " + " &amp; IFERROR(INDEX('SAÍDA DE VENDAS'!$H$6:$H$500 &amp; "x " &amp; 'SAÍDA DE VENDAS'!$G$6:$G$500, MATCH(B885, 'SAÍDA DE VENDAS'!$B$6:$B$500, 0)+3), ""), "")&amp; IF(COUNTIF('SAÍDA DE VENDAS'!$B$6:$B$500, B885)&gt;4, " + " &amp; IFERROR(INDEX('SAÍDA DE VENDAS'!$H$6:$H$500 &amp; "x " &amp; 'SAÍDA DE VENDAS'!$G$6:$G$500, MATCH(B885, 'SAÍDA DE VENDAS'!$B$6:$B$500, 0)+4), ""), "")&amp; IF(COUNTIF('SAÍDA DE VENDAS'!$B$6:$B$500, B885)&gt;5, " + " &amp; IFERROR(INDEX('SAÍDA DE VENDAS'!$H$6:$H$500 &amp; "x " &amp; 'SAÍDA DE VENDAS'!$G$6:$G$500, MATCH(B885, 'SAÍDA DE VENDAS'!$B$6:$B$500, 0)+5), ""), ""))</f>
        <v/>
      </c>
      <c r="G885" s="34">
        <f>IFERROR(VLOOKUP(B885,'SAÍDA DE VENDAS'!$B$6:$P$500,10,FALSE),"")</f>
        <v>0</v>
      </c>
      <c r="H885" s="34" t="str">
        <f>IF(OR(ISBLANK(B885),B885=""), "", IF(B885=B884, (VALUE(LEFT(H884,FIND("/",H884)-1))+1)&amp;"/"&amp;RIGHT(H884,LEN(H884)-FIND("/",H884)), "1/"&amp;IFERROR(VLOOKUP(B885,'SAÍDA DE VENDAS'!$B$6:$P$500,13,FALSE),"1")))</f>
        <v/>
      </c>
      <c r="I885" s="35" t="str">
        <f t="shared" si="26"/>
        <v/>
      </c>
      <c r="J885" s="39" t="str">
        <f>IFERROR(VLOOKUP(B885,'SAÍDA DE VENDAS'!$B$6:$P$500,15,FALSE),"")</f>
        <v/>
      </c>
      <c r="K885" s="34" t="str">
        <f t="shared" ca="1" si="27"/>
        <v/>
      </c>
      <c r="L885" s="34"/>
      <c r="M885" s="34"/>
    </row>
    <row r="886" spans="2:13" ht="15" customHeight="1" x14ac:dyDescent="0.3">
      <c r="B886" s="28" t="str">
        <f>IF(B885="","", IF(VALUE(LEFT(H885,FIND("/",H885)-1)) &lt; VALUE(RIGHT(H885,LEN(H885)-FIND("/",H885))), B885, IFERROR(INDEX('SAÍDA DE VENDAS'!$B$6:$B$500, MATCH(B885,'SAÍDA DE VENDAS'!$B$6:$B$500,0)+COUNTIF('SAÍDA DE VENDAS'!$B$6:$B$500, B885)),"")))</f>
        <v/>
      </c>
      <c r="C886" s="29">
        <f>IFERROR(VLOOKUP(B886,'SAÍDA DE VENDAS'!$B$6:$P$500,3,FALSE),"")</f>
        <v>0</v>
      </c>
      <c r="D886" s="28">
        <f>IFERROR(VLOOKUP(B886,'SAÍDA DE VENDAS'!$B$6:$P$500,4,FALSE),"")</f>
        <v>0</v>
      </c>
      <c r="E886" s="28" t="str">
        <f>IFERROR(VLOOKUP(B886,'SAÍDA DE VENDAS'!$B$6:$P$500,5,FALSE),"")</f>
        <v/>
      </c>
      <c r="F886" s="28" t="str">
        <f>IF(OR(ISBLANK(B886),B886=""), "", IFERROR(INDEX('SAÍDA DE VENDAS'!$H$6:$H$500 &amp; "x " &amp; 'SAÍDA DE VENDAS'!$G$6:$G$500, MATCH(B886, 'SAÍDA DE VENDAS'!$B$6:$B$500, 0)), "")&amp; IF(COUNTIF('SAÍDA DE VENDAS'!$B$6:$B$500, B886)&gt;1, " + " &amp; IFERROR(INDEX('SAÍDA DE VENDAS'!$H$6:$H$500 &amp; "x " &amp; 'SAÍDA DE VENDAS'!$G$6:$G$500, MATCH(B886, 'SAÍDA DE VENDAS'!$B$6:$B$500, 0)+1), ""), "")&amp; IF(COUNTIF('SAÍDA DE VENDAS'!$B$6:$B$500, B886)&gt;2, " + " &amp; IFERROR(INDEX('SAÍDA DE VENDAS'!$H$6:$H$500 &amp; "x " &amp; 'SAÍDA DE VENDAS'!$G$6:$G$500, MATCH(B886, 'SAÍDA DE VENDAS'!$B$6:$B$500, 0)+2), ""), "")&amp; IF(COUNTIF('SAÍDA DE VENDAS'!$B$6:$B$500, B886)&gt;3, " + " &amp; IFERROR(INDEX('SAÍDA DE VENDAS'!$H$6:$H$500 &amp; "x " &amp; 'SAÍDA DE VENDAS'!$G$6:$G$500, MATCH(B886, 'SAÍDA DE VENDAS'!$B$6:$B$500, 0)+3), ""), "")&amp; IF(COUNTIF('SAÍDA DE VENDAS'!$B$6:$B$500, B886)&gt;4, " + " &amp; IFERROR(INDEX('SAÍDA DE VENDAS'!$H$6:$H$500 &amp; "x " &amp; 'SAÍDA DE VENDAS'!$G$6:$G$500, MATCH(B886, 'SAÍDA DE VENDAS'!$B$6:$B$500, 0)+4), ""), "")&amp; IF(COUNTIF('SAÍDA DE VENDAS'!$B$6:$B$500, B886)&gt;5, " + " &amp; IFERROR(INDEX('SAÍDA DE VENDAS'!$H$6:$H$500 &amp; "x " &amp; 'SAÍDA DE VENDAS'!$G$6:$G$500, MATCH(B886, 'SAÍDA DE VENDAS'!$B$6:$B$500, 0)+5), ""), ""))</f>
        <v/>
      </c>
      <c r="G886" s="28">
        <f>IFERROR(VLOOKUP(B886,'SAÍDA DE VENDAS'!$B$6:$P$500,10,FALSE),"")</f>
        <v>0</v>
      </c>
      <c r="H886" s="28" t="str">
        <f>IF(OR(ISBLANK(B886),B886=""), "", IF(B886=B885, (VALUE(LEFT(H885,FIND("/",H885)-1))+1)&amp;"/"&amp;RIGHT(H885,LEN(H885)-FIND("/",H885)), "1/"&amp;IFERROR(VLOOKUP(B886,'SAÍDA DE VENDAS'!$B$6:$P$500,13,FALSE),"1")))</f>
        <v/>
      </c>
      <c r="I886" s="69" t="str">
        <f t="shared" si="26"/>
        <v/>
      </c>
      <c r="J886" s="33" t="str">
        <f>IFERROR(VLOOKUP(B886,'SAÍDA DE VENDAS'!$B$6:$P$500,15,FALSE),"")</f>
        <v/>
      </c>
      <c r="K886" s="28" t="str">
        <f t="shared" ca="1" si="27"/>
        <v/>
      </c>
      <c r="L886" s="28"/>
      <c r="M886" s="28"/>
    </row>
    <row r="887" spans="2:13" ht="15" customHeight="1" x14ac:dyDescent="0.3">
      <c r="B887" s="34" t="str">
        <f>IF(B886="","", IF(VALUE(LEFT(H886,FIND("/",H886)-1)) &lt; VALUE(RIGHT(H886,LEN(H886)-FIND("/",H886))), B886, IFERROR(INDEX('SAÍDA DE VENDAS'!$B$6:$B$500, MATCH(B886,'SAÍDA DE VENDAS'!$B$6:$B$500,0)+COUNTIF('SAÍDA DE VENDAS'!$B$6:$B$500, B886)),"")))</f>
        <v/>
      </c>
      <c r="C887" s="35">
        <f>IFERROR(VLOOKUP(B887,'SAÍDA DE VENDAS'!$B$6:$P$500,3,FALSE),"")</f>
        <v>0</v>
      </c>
      <c r="D887" s="34">
        <f>IFERROR(VLOOKUP(B887,'SAÍDA DE VENDAS'!$B$6:$P$500,4,FALSE),"")</f>
        <v>0</v>
      </c>
      <c r="E887" s="34" t="str">
        <f>IFERROR(VLOOKUP(B887,'SAÍDA DE VENDAS'!$B$6:$P$500,5,FALSE),"")</f>
        <v/>
      </c>
      <c r="F887" s="34" t="str">
        <f>IF(OR(ISBLANK(B887),B887=""), "", IFERROR(INDEX('SAÍDA DE VENDAS'!$H$6:$H$500 &amp; "x " &amp; 'SAÍDA DE VENDAS'!$G$6:$G$500, MATCH(B887, 'SAÍDA DE VENDAS'!$B$6:$B$500, 0)), "")&amp; IF(COUNTIF('SAÍDA DE VENDAS'!$B$6:$B$500, B887)&gt;1, " + " &amp; IFERROR(INDEX('SAÍDA DE VENDAS'!$H$6:$H$500 &amp; "x " &amp; 'SAÍDA DE VENDAS'!$G$6:$G$500, MATCH(B887, 'SAÍDA DE VENDAS'!$B$6:$B$500, 0)+1), ""), "")&amp; IF(COUNTIF('SAÍDA DE VENDAS'!$B$6:$B$500, B887)&gt;2, " + " &amp; IFERROR(INDEX('SAÍDA DE VENDAS'!$H$6:$H$500 &amp; "x " &amp; 'SAÍDA DE VENDAS'!$G$6:$G$500, MATCH(B887, 'SAÍDA DE VENDAS'!$B$6:$B$500, 0)+2), ""), "")&amp; IF(COUNTIF('SAÍDA DE VENDAS'!$B$6:$B$500, B887)&gt;3, " + " &amp; IFERROR(INDEX('SAÍDA DE VENDAS'!$H$6:$H$500 &amp; "x " &amp; 'SAÍDA DE VENDAS'!$G$6:$G$500, MATCH(B887, 'SAÍDA DE VENDAS'!$B$6:$B$500, 0)+3), ""), "")&amp; IF(COUNTIF('SAÍDA DE VENDAS'!$B$6:$B$500, B887)&gt;4, " + " &amp; IFERROR(INDEX('SAÍDA DE VENDAS'!$H$6:$H$500 &amp; "x " &amp; 'SAÍDA DE VENDAS'!$G$6:$G$500, MATCH(B887, 'SAÍDA DE VENDAS'!$B$6:$B$500, 0)+4), ""), "")&amp; IF(COUNTIF('SAÍDA DE VENDAS'!$B$6:$B$500, B887)&gt;5, " + " &amp; IFERROR(INDEX('SAÍDA DE VENDAS'!$H$6:$H$500 &amp; "x " &amp; 'SAÍDA DE VENDAS'!$G$6:$G$500, MATCH(B887, 'SAÍDA DE VENDAS'!$B$6:$B$500, 0)+5), ""), ""))</f>
        <v/>
      </c>
      <c r="G887" s="34">
        <f>IFERROR(VLOOKUP(B887,'SAÍDA DE VENDAS'!$B$6:$P$500,10,FALSE),"")</f>
        <v>0</v>
      </c>
      <c r="H887" s="34" t="str">
        <f>IF(OR(ISBLANK(B887),B887=""), "", IF(B887=B886, (VALUE(LEFT(H886,FIND("/",H886)-1))+1)&amp;"/"&amp;RIGHT(H886,LEN(H886)-FIND("/",H886)), "1/"&amp;IFERROR(VLOOKUP(B887,'SAÍDA DE VENDAS'!$B$6:$P$500,13,FALSE),"1")))</f>
        <v/>
      </c>
      <c r="I887" s="35" t="str">
        <f t="shared" si="26"/>
        <v/>
      </c>
      <c r="J887" s="39" t="str">
        <f>IFERROR(VLOOKUP(B887,'SAÍDA DE VENDAS'!$B$6:$P$500,15,FALSE),"")</f>
        <v/>
      </c>
      <c r="K887" s="34" t="str">
        <f t="shared" ca="1" si="27"/>
        <v/>
      </c>
      <c r="L887" s="34"/>
      <c r="M887" s="34"/>
    </row>
    <row r="888" spans="2:13" ht="15" customHeight="1" x14ac:dyDescent="0.3">
      <c r="B888" s="28" t="str">
        <f>IF(B887="","", IF(VALUE(LEFT(H887,FIND("/",H887)-1)) &lt; VALUE(RIGHT(H887,LEN(H887)-FIND("/",H887))), B887, IFERROR(INDEX('SAÍDA DE VENDAS'!$B$6:$B$500, MATCH(B887,'SAÍDA DE VENDAS'!$B$6:$B$500,0)+COUNTIF('SAÍDA DE VENDAS'!$B$6:$B$500, B887)),"")))</f>
        <v/>
      </c>
      <c r="C888" s="29">
        <f>IFERROR(VLOOKUP(B888,'SAÍDA DE VENDAS'!$B$6:$P$500,3,FALSE),"")</f>
        <v>0</v>
      </c>
      <c r="D888" s="28">
        <f>IFERROR(VLOOKUP(B888,'SAÍDA DE VENDAS'!$B$6:$P$500,4,FALSE),"")</f>
        <v>0</v>
      </c>
      <c r="E888" s="28" t="str">
        <f>IFERROR(VLOOKUP(B888,'SAÍDA DE VENDAS'!$B$6:$P$500,5,FALSE),"")</f>
        <v/>
      </c>
      <c r="F888" s="28" t="str">
        <f>IF(OR(ISBLANK(B888),B888=""), "", IFERROR(INDEX('SAÍDA DE VENDAS'!$H$6:$H$500 &amp; "x " &amp; 'SAÍDA DE VENDAS'!$G$6:$G$500, MATCH(B888, 'SAÍDA DE VENDAS'!$B$6:$B$500, 0)), "")&amp; IF(COUNTIF('SAÍDA DE VENDAS'!$B$6:$B$500, B888)&gt;1, " + " &amp; IFERROR(INDEX('SAÍDA DE VENDAS'!$H$6:$H$500 &amp; "x " &amp; 'SAÍDA DE VENDAS'!$G$6:$G$500, MATCH(B888, 'SAÍDA DE VENDAS'!$B$6:$B$500, 0)+1), ""), "")&amp; IF(COUNTIF('SAÍDA DE VENDAS'!$B$6:$B$500, B888)&gt;2, " + " &amp; IFERROR(INDEX('SAÍDA DE VENDAS'!$H$6:$H$500 &amp; "x " &amp; 'SAÍDA DE VENDAS'!$G$6:$G$500, MATCH(B888, 'SAÍDA DE VENDAS'!$B$6:$B$500, 0)+2), ""), "")&amp; IF(COUNTIF('SAÍDA DE VENDAS'!$B$6:$B$500, B888)&gt;3, " + " &amp; IFERROR(INDEX('SAÍDA DE VENDAS'!$H$6:$H$500 &amp; "x " &amp; 'SAÍDA DE VENDAS'!$G$6:$G$500, MATCH(B888, 'SAÍDA DE VENDAS'!$B$6:$B$500, 0)+3), ""), "")&amp; IF(COUNTIF('SAÍDA DE VENDAS'!$B$6:$B$500, B888)&gt;4, " + " &amp; IFERROR(INDEX('SAÍDA DE VENDAS'!$H$6:$H$500 &amp; "x " &amp; 'SAÍDA DE VENDAS'!$G$6:$G$500, MATCH(B888, 'SAÍDA DE VENDAS'!$B$6:$B$500, 0)+4), ""), "")&amp; IF(COUNTIF('SAÍDA DE VENDAS'!$B$6:$B$500, B888)&gt;5, " + " &amp; IFERROR(INDEX('SAÍDA DE VENDAS'!$H$6:$H$500 &amp; "x " &amp; 'SAÍDA DE VENDAS'!$G$6:$G$500, MATCH(B888, 'SAÍDA DE VENDAS'!$B$6:$B$500, 0)+5), ""), ""))</f>
        <v/>
      </c>
      <c r="G888" s="28">
        <f>IFERROR(VLOOKUP(B888,'SAÍDA DE VENDAS'!$B$6:$P$500,10,FALSE),"")</f>
        <v>0</v>
      </c>
      <c r="H888" s="28" t="str">
        <f>IF(OR(ISBLANK(B888),B888=""), "", IF(B888=B887, (VALUE(LEFT(H887,FIND("/",H887)-1))+1)&amp;"/"&amp;RIGHT(H887,LEN(H887)-FIND("/",H887)), "1/"&amp;IFERROR(VLOOKUP(B888,'SAÍDA DE VENDAS'!$B$6:$P$500,13,FALSE),"1")))</f>
        <v/>
      </c>
      <c r="I888" s="69" t="str">
        <f t="shared" si="26"/>
        <v/>
      </c>
      <c r="J888" s="33" t="str">
        <f>IFERROR(VLOOKUP(B888,'SAÍDA DE VENDAS'!$B$6:$P$500,15,FALSE),"")</f>
        <v/>
      </c>
      <c r="K888" s="28" t="str">
        <f t="shared" ca="1" si="27"/>
        <v/>
      </c>
      <c r="L888" s="28"/>
      <c r="M888" s="28"/>
    </row>
    <row r="889" spans="2:13" ht="15" customHeight="1" x14ac:dyDescent="0.3">
      <c r="B889" s="34" t="str">
        <f>IF(B888="","", IF(VALUE(LEFT(H888,FIND("/",H888)-1)) &lt; VALUE(RIGHT(H888,LEN(H888)-FIND("/",H888))), B888, IFERROR(INDEX('SAÍDA DE VENDAS'!$B$6:$B$500, MATCH(B888,'SAÍDA DE VENDAS'!$B$6:$B$500,0)+COUNTIF('SAÍDA DE VENDAS'!$B$6:$B$500, B888)),"")))</f>
        <v/>
      </c>
      <c r="C889" s="35">
        <f>IFERROR(VLOOKUP(B889,'SAÍDA DE VENDAS'!$B$6:$P$500,3,FALSE),"")</f>
        <v>0</v>
      </c>
      <c r="D889" s="34">
        <f>IFERROR(VLOOKUP(B889,'SAÍDA DE VENDAS'!$B$6:$P$500,4,FALSE),"")</f>
        <v>0</v>
      </c>
      <c r="E889" s="34" t="str">
        <f>IFERROR(VLOOKUP(B889,'SAÍDA DE VENDAS'!$B$6:$P$500,5,FALSE),"")</f>
        <v/>
      </c>
      <c r="F889" s="34" t="str">
        <f>IF(OR(ISBLANK(B889),B889=""), "", IFERROR(INDEX('SAÍDA DE VENDAS'!$H$6:$H$500 &amp; "x " &amp; 'SAÍDA DE VENDAS'!$G$6:$G$500, MATCH(B889, 'SAÍDA DE VENDAS'!$B$6:$B$500, 0)), "")&amp; IF(COUNTIF('SAÍDA DE VENDAS'!$B$6:$B$500, B889)&gt;1, " + " &amp; IFERROR(INDEX('SAÍDA DE VENDAS'!$H$6:$H$500 &amp; "x " &amp; 'SAÍDA DE VENDAS'!$G$6:$G$500, MATCH(B889, 'SAÍDA DE VENDAS'!$B$6:$B$500, 0)+1), ""), "")&amp; IF(COUNTIF('SAÍDA DE VENDAS'!$B$6:$B$500, B889)&gt;2, " + " &amp; IFERROR(INDEX('SAÍDA DE VENDAS'!$H$6:$H$500 &amp; "x " &amp; 'SAÍDA DE VENDAS'!$G$6:$G$500, MATCH(B889, 'SAÍDA DE VENDAS'!$B$6:$B$500, 0)+2), ""), "")&amp; IF(COUNTIF('SAÍDA DE VENDAS'!$B$6:$B$500, B889)&gt;3, " + " &amp; IFERROR(INDEX('SAÍDA DE VENDAS'!$H$6:$H$500 &amp; "x " &amp; 'SAÍDA DE VENDAS'!$G$6:$G$500, MATCH(B889, 'SAÍDA DE VENDAS'!$B$6:$B$500, 0)+3), ""), "")&amp; IF(COUNTIF('SAÍDA DE VENDAS'!$B$6:$B$500, B889)&gt;4, " + " &amp; IFERROR(INDEX('SAÍDA DE VENDAS'!$H$6:$H$500 &amp; "x " &amp; 'SAÍDA DE VENDAS'!$G$6:$G$500, MATCH(B889, 'SAÍDA DE VENDAS'!$B$6:$B$500, 0)+4), ""), "")&amp; IF(COUNTIF('SAÍDA DE VENDAS'!$B$6:$B$500, B889)&gt;5, " + " &amp; IFERROR(INDEX('SAÍDA DE VENDAS'!$H$6:$H$500 &amp; "x " &amp; 'SAÍDA DE VENDAS'!$G$6:$G$500, MATCH(B889, 'SAÍDA DE VENDAS'!$B$6:$B$500, 0)+5), ""), ""))</f>
        <v/>
      </c>
      <c r="G889" s="34">
        <f>IFERROR(VLOOKUP(B889,'SAÍDA DE VENDAS'!$B$6:$P$500,10,FALSE),"")</f>
        <v>0</v>
      </c>
      <c r="H889" s="34" t="str">
        <f>IF(OR(ISBLANK(B889),B889=""), "", IF(B889=B888, (VALUE(LEFT(H888,FIND("/",H888)-1))+1)&amp;"/"&amp;RIGHT(H888,LEN(H888)-FIND("/",H888)), "1/"&amp;IFERROR(VLOOKUP(B889,'SAÍDA DE VENDAS'!$B$6:$P$500,13,FALSE),"1")))</f>
        <v/>
      </c>
      <c r="I889" s="35" t="str">
        <f t="shared" si="26"/>
        <v/>
      </c>
      <c r="J889" s="39" t="str">
        <f>IFERROR(VLOOKUP(B889,'SAÍDA DE VENDAS'!$B$6:$P$500,15,FALSE),"")</f>
        <v/>
      </c>
      <c r="K889" s="34" t="str">
        <f t="shared" ca="1" si="27"/>
        <v/>
      </c>
      <c r="L889" s="34"/>
      <c r="M889" s="34"/>
    </row>
    <row r="890" spans="2:13" ht="15" customHeight="1" x14ac:dyDescent="0.3">
      <c r="B890" s="28" t="str">
        <f>IF(B889="","", IF(VALUE(LEFT(H889,FIND("/",H889)-1)) &lt; VALUE(RIGHT(H889,LEN(H889)-FIND("/",H889))), B889, IFERROR(INDEX('SAÍDA DE VENDAS'!$B$6:$B$500, MATCH(B889,'SAÍDA DE VENDAS'!$B$6:$B$500,0)+COUNTIF('SAÍDA DE VENDAS'!$B$6:$B$500, B889)),"")))</f>
        <v/>
      </c>
      <c r="C890" s="29">
        <f>IFERROR(VLOOKUP(B890,'SAÍDA DE VENDAS'!$B$6:$P$500,3,FALSE),"")</f>
        <v>0</v>
      </c>
      <c r="D890" s="28">
        <f>IFERROR(VLOOKUP(B890,'SAÍDA DE VENDAS'!$B$6:$P$500,4,FALSE),"")</f>
        <v>0</v>
      </c>
      <c r="E890" s="28" t="str">
        <f>IFERROR(VLOOKUP(B890,'SAÍDA DE VENDAS'!$B$6:$P$500,5,FALSE),"")</f>
        <v/>
      </c>
      <c r="F890" s="28" t="str">
        <f>IF(OR(ISBLANK(B890),B890=""), "", IFERROR(INDEX('SAÍDA DE VENDAS'!$H$6:$H$500 &amp; "x " &amp; 'SAÍDA DE VENDAS'!$G$6:$G$500, MATCH(B890, 'SAÍDA DE VENDAS'!$B$6:$B$500, 0)), "")&amp; IF(COUNTIF('SAÍDA DE VENDAS'!$B$6:$B$500, B890)&gt;1, " + " &amp; IFERROR(INDEX('SAÍDA DE VENDAS'!$H$6:$H$500 &amp; "x " &amp; 'SAÍDA DE VENDAS'!$G$6:$G$500, MATCH(B890, 'SAÍDA DE VENDAS'!$B$6:$B$500, 0)+1), ""), "")&amp; IF(COUNTIF('SAÍDA DE VENDAS'!$B$6:$B$500, B890)&gt;2, " + " &amp; IFERROR(INDEX('SAÍDA DE VENDAS'!$H$6:$H$500 &amp; "x " &amp; 'SAÍDA DE VENDAS'!$G$6:$G$500, MATCH(B890, 'SAÍDA DE VENDAS'!$B$6:$B$500, 0)+2), ""), "")&amp; IF(COUNTIF('SAÍDA DE VENDAS'!$B$6:$B$500, B890)&gt;3, " + " &amp; IFERROR(INDEX('SAÍDA DE VENDAS'!$H$6:$H$500 &amp; "x " &amp; 'SAÍDA DE VENDAS'!$G$6:$G$500, MATCH(B890, 'SAÍDA DE VENDAS'!$B$6:$B$500, 0)+3), ""), "")&amp; IF(COUNTIF('SAÍDA DE VENDAS'!$B$6:$B$500, B890)&gt;4, " + " &amp; IFERROR(INDEX('SAÍDA DE VENDAS'!$H$6:$H$500 &amp; "x " &amp; 'SAÍDA DE VENDAS'!$G$6:$G$500, MATCH(B890, 'SAÍDA DE VENDAS'!$B$6:$B$500, 0)+4), ""), "")&amp; IF(COUNTIF('SAÍDA DE VENDAS'!$B$6:$B$500, B890)&gt;5, " + " &amp; IFERROR(INDEX('SAÍDA DE VENDAS'!$H$6:$H$500 &amp; "x " &amp; 'SAÍDA DE VENDAS'!$G$6:$G$500, MATCH(B890, 'SAÍDA DE VENDAS'!$B$6:$B$500, 0)+5), ""), ""))</f>
        <v/>
      </c>
      <c r="G890" s="28">
        <f>IFERROR(VLOOKUP(B890,'SAÍDA DE VENDAS'!$B$6:$P$500,10,FALSE),"")</f>
        <v>0</v>
      </c>
      <c r="H890" s="28" t="str">
        <f>IF(OR(ISBLANK(B890),B890=""), "", IF(B890=B889, (VALUE(LEFT(H889,FIND("/",H889)-1))+1)&amp;"/"&amp;RIGHT(H889,LEN(H889)-FIND("/",H889)), "1/"&amp;IFERROR(VLOOKUP(B890,'SAÍDA DE VENDAS'!$B$6:$P$500,13,FALSE),"1")))</f>
        <v/>
      </c>
      <c r="I890" s="69" t="str">
        <f t="shared" si="26"/>
        <v/>
      </c>
      <c r="J890" s="33" t="str">
        <f>IFERROR(VLOOKUP(B890,'SAÍDA DE VENDAS'!$B$6:$P$500,15,FALSE),"")</f>
        <v/>
      </c>
      <c r="K890" s="28" t="str">
        <f t="shared" ca="1" si="27"/>
        <v/>
      </c>
      <c r="L890" s="28"/>
      <c r="M890" s="28"/>
    </row>
    <row r="891" spans="2:13" ht="15" customHeight="1" x14ac:dyDescent="0.3">
      <c r="B891" s="34" t="str">
        <f>IF(B890="","", IF(VALUE(LEFT(H890,FIND("/",H890)-1)) &lt; VALUE(RIGHT(H890,LEN(H890)-FIND("/",H890))), B890, IFERROR(INDEX('SAÍDA DE VENDAS'!$B$6:$B$500, MATCH(B890,'SAÍDA DE VENDAS'!$B$6:$B$500,0)+COUNTIF('SAÍDA DE VENDAS'!$B$6:$B$500, B890)),"")))</f>
        <v/>
      </c>
      <c r="C891" s="35">
        <f>IFERROR(VLOOKUP(B891,'SAÍDA DE VENDAS'!$B$6:$P$500,3,FALSE),"")</f>
        <v>0</v>
      </c>
      <c r="D891" s="34">
        <f>IFERROR(VLOOKUP(B891,'SAÍDA DE VENDAS'!$B$6:$P$500,4,FALSE),"")</f>
        <v>0</v>
      </c>
      <c r="E891" s="34" t="str">
        <f>IFERROR(VLOOKUP(B891,'SAÍDA DE VENDAS'!$B$6:$P$500,5,FALSE),"")</f>
        <v/>
      </c>
      <c r="F891" s="34" t="str">
        <f>IF(OR(ISBLANK(B891),B891=""), "", IFERROR(INDEX('SAÍDA DE VENDAS'!$H$6:$H$500 &amp; "x " &amp; 'SAÍDA DE VENDAS'!$G$6:$G$500, MATCH(B891, 'SAÍDA DE VENDAS'!$B$6:$B$500, 0)), "")&amp; IF(COUNTIF('SAÍDA DE VENDAS'!$B$6:$B$500, B891)&gt;1, " + " &amp; IFERROR(INDEX('SAÍDA DE VENDAS'!$H$6:$H$500 &amp; "x " &amp; 'SAÍDA DE VENDAS'!$G$6:$G$500, MATCH(B891, 'SAÍDA DE VENDAS'!$B$6:$B$500, 0)+1), ""), "")&amp; IF(COUNTIF('SAÍDA DE VENDAS'!$B$6:$B$500, B891)&gt;2, " + " &amp; IFERROR(INDEX('SAÍDA DE VENDAS'!$H$6:$H$500 &amp; "x " &amp; 'SAÍDA DE VENDAS'!$G$6:$G$500, MATCH(B891, 'SAÍDA DE VENDAS'!$B$6:$B$500, 0)+2), ""), "")&amp; IF(COUNTIF('SAÍDA DE VENDAS'!$B$6:$B$500, B891)&gt;3, " + " &amp; IFERROR(INDEX('SAÍDA DE VENDAS'!$H$6:$H$500 &amp; "x " &amp; 'SAÍDA DE VENDAS'!$G$6:$G$500, MATCH(B891, 'SAÍDA DE VENDAS'!$B$6:$B$500, 0)+3), ""), "")&amp; IF(COUNTIF('SAÍDA DE VENDAS'!$B$6:$B$500, B891)&gt;4, " + " &amp; IFERROR(INDEX('SAÍDA DE VENDAS'!$H$6:$H$500 &amp; "x " &amp; 'SAÍDA DE VENDAS'!$G$6:$G$500, MATCH(B891, 'SAÍDA DE VENDAS'!$B$6:$B$500, 0)+4), ""), "")&amp; IF(COUNTIF('SAÍDA DE VENDAS'!$B$6:$B$500, B891)&gt;5, " + " &amp; IFERROR(INDEX('SAÍDA DE VENDAS'!$H$6:$H$500 &amp; "x " &amp; 'SAÍDA DE VENDAS'!$G$6:$G$500, MATCH(B891, 'SAÍDA DE VENDAS'!$B$6:$B$500, 0)+5), ""), ""))</f>
        <v/>
      </c>
      <c r="G891" s="34">
        <f>IFERROR(VLOOKUP(B891,'SAÍDA DE VENDAS'!$B$6:$P$500,10,FALSE),"")</f>
        <v>0</v>
      </c>
      <c r="H891" s="34" t="str">
        <f>IF(OR(ISBLANK(B891),B891=""), "", IF(B891=B890, (VALUE(LEFT(H890,FIND("/",H890)-1))+1)&amp;"/"&amp;RIGHT(H890,LEN(H890)-FIND("/",H890)), "1/"&amp;IFERROR(VLOOKUP(B891,'SAÍDA DE VENDAS'!$B$6:$P$500,13,FALSE),"1")))</f>
        <v/>
      </c>
      <c r="I891" s="35" t="str">
        <f t="shared" si="26"/>
        <v/>
      </c>
      <c r="J891" s="39" t="str">
        <f>IFERROR(VLOOKUP(B891,'SAÍDA DE VENDAS'!$B$6:$P$500,15,FALSE),"")</f>
        <v/>
      </c>
      <c r="K891" s="34" t="str">
        <f t="shared" ca="1" si="27"/>
        <v/>
      </c>
      <c r="L891" s="34"/>
      <c r="M891" s="34"/>
    </row>
    <row r="892" spans="2:13" ht="15" customHeight="1" x14ac:dyDescent="0.3">
      <c r="B892" s="28" t="str">
        <f>IF(B891="","", IF(VALUE(LEFT(H891,FIND("/",H891)-1)) &lt; VALUE(RIGHT(H891,LEN(H891)-FIND("/",H891))), B891, IFERROR(INDEX('SAÍDA DE VENDAS'!$B$6:$B$500, MATCH(B891,'SAÍDA DE VENDAS'!$B$6:$B$500,0)+COUNTIF('SAÍDA DE VENDAS'!$B$6:$B$500, B891)),"")))</f>
        <v/>
      </c>
      <c r="C892" s="29">
        <f>IFERROR(VLOOKUP(B892,'SAÍDA DE VENDAS'!$B$6:$P$500,3,FALSE),"")</f>
        <v>0</v>
      </c>
      <c r="D892" s="28">
        <f>IFERROR(VLOOKUP(B892,'SAÍDA DE VENDAS'!$B$6:$P$500,4,FALSE),"")</f>
        <v>0</v>
      </c>
      <c r="E892" s="28" t="str">
        <f>IFERROR(VLOOKUP(B892,'SAÍDA DE VENDAS'!$B$6:$P$500,5,FALSE),"")</f>
        <v/>
      </c>
      <c r="F892" s="28" t="str">
        <f>IF(OR(ISBLANK(B892),B892=""), "", IFERROR(INDEX('SAÍDA DE VENDAS'!$H$6:$H$500 &amp; "x " &amp; 'SAÍDA DE VENDAS'!$G$6:$G$500, MATCH(B892, 'SAÍDA DE VENDAS'!$B$6:$B$500, 0)), "")&amp; IF(COUNTIF('SAÍDA DE VENDAS'!$B$6:$B$500, B892)&gt;1, " + " &amp; IFERROR(INDEX('SAÍDA DE VENDAS'!$H$6:$H$500 &amp; "x " &amp; 'SAÍDA DE VENDAS'!$G$6:$G$500, MATCH(B892, 'SAÍDA DE VENDAS'!$B$6:$B$500, 0)+1), ""), "")&amp; IF(COUNTIF('SAÍDA DE VENDAS'!$B$6:$B$500, B892)&gt;2, " + " &amp; IFERROR(INDEX('SAÍDA DE VENDAS'!$H$6:$H$500 &amp; "x " &amp; 'SAÍDA DE VENDAS'!$G$6:$G$500, MATCH(B892, 'SAÍDA DE VENDAS'!$B$6:$B$500, 0)+2), ""), "")&amp; IF(COUNTIF('SAÍDA DE VENDAS'!$B$6:$B$500, B892)&gt;3, " + " &amp; IFERROR(INDEX('SAÍDA DE VENDAS'!$H$6:$H$500 &amp; "x " &amp; 'SAÍDA DE VENDAS'!$G$6:$G$500, MATCH(B892, 'SAÍDA DE VENDAS'!$B$6:$B$500, 0)+3), ""), "")&amp; IF(COUNTIF('SAÍDA DE VENDAS'!$B$6:$B$500, B892)&gt;4, " + " &amp; IFERROR(INDEX('SAÍDA DE VENDAS'!$H$6:$H$500 &amp; "x " &amp; 'SAÍDA DE VENDAS'!$G$6:$G$500, MATCH(B892, 'SAÍDA DE VENDAS'!$B$6:$B$500, 0)+4), ""), "")&amp; IF(COUNTIF('SAÍDA DE VENDAS'!$B$6:$B$500, B892)&gt;5, " + " &amp; IFERROR(INDEX('SAÍDA DE VENDAS'!$H$6:$H$500 &amp; "x " &amp; 'SAÍDA DE VENDAS'!$G$6:$G$500, MATCH(B892, 'SAÍDA DE VENDAS'!$B$6:$B$500, 0)+5), ""), ""))</f>
        <v/>
      </c>
      <c r="G892" s="28">
        <f>IFERROR(VLOOKUP(B892,'SAÍDA DE VENDAS'!$B$6:$P$500,10,FALSE),"")</f>
        <v>0</v>
      </c>
      <c r="H892" s="28" t="str">
        <f>IF(OR(ISBLANK(B892),B892=""), "", IF(B892=B891, (VALUE(LEFT(H891,FIND("/",H891)-1))+1)&amp;"/"&amp;RIGHT(H891,LEN(H891)-FIND("/",H891)), "1/"&amp;IFERROR(VLOOKUP(B892,'SAÍDA DE VENDAS'!$B$6:$P$500,13,FALSE),"1")))</f>
        <v/>
      </c>
      <c r="I892" s="69" t="str">
        <f t="shared" si="26"/>
        <v/>
      </c>
      <c r="J892" s="33" t="str">
        <f>IFERROR(VLOOKUP(B892,'SAÍDA DE VENDAS'!$B$6:$P$500,15,FALSE),"")</f>
        <v/>
      </c>
      <c r="K892" s="28" t="str">
        <f t="shared" ca="1" si="27"/>
        <v/>
      </c>
      <c r="L892" s="28"/>
      <c r="M892" s="28"/>
    </row>
    <row r="893" spans="2:13" ht="15" customHeight="1" x14ac:dyDescent="0.3">
      <c r="B893" s="34" t="str">
        <f>IF(B892="","", IF(VALUE(LEFT(H892,FIND("/",H892)-1)) &lt; VALUE(RIGHT(H892,LEN(H892)-FIND("/",H892))), B892, IFERROR(INDEX('SAÍDA DE VENDAS'!$B$6:$B$500, MATCH(B892,'SAÍDA DE VENDAS'!$B$6:$B$500,0)+COUNTIF('SAÍDA DE VENDAS'!$B$6:$B$500, B892)),"")))</f>
        <v/>
      </c>
      <c r="C893" s="35">
        <f>IFERROR(VLOOKUP(B893,'SAÍDA DE VENDAS'!$B$6:$P$500,3,FALSE),"")</f>
        <v>0</v>
      </c>
      <c r="D893" s="34">
        <f>IFERROR(VLOOKUP(B893,'SAÍDA DE VENDAS'!$B$6:$P$500,4,FALSE),"")</f>
        <v>0</v>
      </c>
      <c r="E893" s="34" t="str">
        <f>IFERROR(VLOOKUP(B893,'SAÍDA DE VENDAS'!$B$6:$P$500,5,FALSE),"")</f>
        <v/>
      </c>
      <c r="F893" s="34" t="str">
        <f>IF(OR(ISBLANK(B893),B893=""), "", IFERROR(INDEX('SAÍDA DE VENDAS'!$H$6:$H$500 &amp; "x " &amp; 'SAÍDA DE VENDAS'!$G$6:$G$500, MATCH(B893, 'SAÍDA DE VENDAS'!$B$6:$B$500, 0)), "")&amp; IF(COUNTIF('SAÍDA DE VENDAS'!$B$6:$B$500, B893)&gt;1, " + " &amp; IFERROR(INDEX('SAÍDA DE VENDAS'!$H$6:$H$500 &amp; "x " &amp; 'SAÍDA DE VENDAS'!$G$6:$G$500, MATCH(B893, 'SAÍDA DE VENDAS'!$B$6:$B$500, 0)+1), ""), "")&amp; IF(COUNTIF('SAÍDA DE VENDAS'!$B$6:$B$500, B893)&gt;2, " + " &amp; IFERROR(INDEX('SAÍDA DE VENDAS'!$H$6:$H$500 &amp; "x " &amp; 'SAÍDA DE VENDAS'!$G$6:$G$500, MATCH(B893, 'SAÍDA DE VENDAS'!$B$6:$B$500, 0)+2), ""), "")&amp; IF(COUNTIF('SAÍDA DE VENDAS'!$B$6:$B$500, B893)&gt;3, " + " &amp; IFERROR(INDEX('SAÍDA DE VENDAS'!$H$6:$H$500 &amp; "x " &amp; 'SAÍDA DE VENDAS'!$G$6:$G$500, MATCH(B893, 'SAÍDA DE VENDAS'!$B$6:$B$500, 0)+3), ""), "")&amp; IF(COUNTIF('SAÍDA DE VENDAS'!$B$6:$B$500, B893)&gt;4, " + " &amp; IFERROR(INDEX('SAÍDA DE VENDAS'!$H$6:$H$500 &amp; "x " &amp; 'SAÍDA DE VENDAS'!$G$6:$G$500, MATCH(B893, 'SAÍDA DE VENDAS'!$B$6:$B$500, 0)+4), ""), "")&amp; IF(COUNTIF('SAÍDA DE VENDAS'!$B$6:$B$500, B893)&gt;5, " + " &amp; IFERROR(INDEX('SAÍDA DE VENDAS'!$H$6:$H$500 &amp; "x " &amp; 'SAÍDA DE VENDAS'!$G$6:$G$500, MATCH(B893, 'SAÍDA DE VENDAS'!$B$6:$B$500, 0)+5), ""), ""))</f>
        <v/>
      </c>
      <c r="G893" s="34">
        <f>IFERROR(VLOOKUP(B893,'SAÍDA DE VENDAS'!$B$6:$P$500,10,FALSE),"")</f>
        <v>0</v>
      </c>
      <c r="H893" s="34" t="str">
        <f>IF(OR(ISBLANK(B893),B893=""), "", IF(B893=B892, (VALUE(LEFT(H892,FIND("/",H892)-1))+1)&amp;"/"&amp;RIGHT(H892,LEN(H892)-FIND("/",H892)), "1/"&amp;IFERROR(VLOOKUP(B893,'SAÍDA DE VENDAS'!$B$6:$P$500,13,FALSE),"1")))</f>
        <v/>
      </c>
      <c r="I893" s="35" t="str">
        <f t="shared" si="26"/>
        <v/>
      </c>
      <c r="J893" s="39" t="str">
        <f>IFERROR(VLOOKUP(B893,'SAÍDA DE VENDAS'!$B$6:$P$500,15,FALSE),"")</f>
        <v/>
      </c>
      <c r="K893" s="34" t="str">
        <f t="shared" ca="1" si="27"/>
        <v/>
      </c>
      <c r="L893" s="34"/>
      <c r="M893" s="34"/>
    </row>
    <row r="894" spans="2:13" ht="15" customHeight="1" x14ac:dyDescent="0.3">
      <c r="B894" s="28" t="str">
        <f>IF(B893="","", IF(VALUE(LEFT(H893,FIND("/",H893)-1)) &lt; VALUE(RIGHT(H893,LEN(H893)-FIND("/",H893))), B893, IFERROR(INDEX('SAÍDA DE VENDAS'!$B$6:$B$500, MATCH(B893,'SAÍDA DE VENDAS'!$B$6:$B$500,0)+COUNTIF('SAÍDA DE VENDAS'!$B$6:$B$500, B893)),"")))</f>
        <v/>
      </c>
      <c r="C894" s="29">
        <f>IFERROR(VLOOKUP(B894,'SAÍDA DE VENDAS'!$B$6:$P$500,3,FALSE),"")</f>
        <v>0</v>
      </c>
      <c r="D894" s="28">
        <f>IFERROR(VLOOKUP(B894,'SAÍDA DE VENDAS'!$B$6:$P$500,4,FALSE),"")</f>
        <v>0</v>
      </c>
      <c r="E894" s="28" t="str">
        <f>IFERROR(VLOOKUP(B894,'SAÍDA DE VENDAS'!$B$6:$P$500,5,FALSE),"")</f>
        <v/>
      </c>
      <c r="F894" s="28" t="str">
        <f>IF(OR(ISBLANK(B894),B894=""), "", IFERROR(INDEX('SAÍDA DE VENDAS'!$H$6:$H$500 &amp; "x " &amp; 'SAÍDA DE VENDAS'!$G$6:$G$500, MATCH(B894, 'SAÍDA DE VENDAS'!$B$6:$B$500, 0)), "")&amp; IF(COUNTIF('SAÍDA DE VENDAS'!$B$6:$B$500, B894)&gt;1, " + " &amp; IFERROR(INDEX('SAÍDA DE VENDAS'!$H$6:$H$500 &amp; "x " &amp; 'SAÍDA DE VENDAS'!$G$6:$G$500, MATCH(B894, 'SAÍDA DE VENDAS'!$B$6:$B$500, 0)+1), ""), "")&amp; IF(COUNTIF('SAÍDA DE VENDAS'!$B$6:$B$500, B894)&gt;2, " + " &amp; IFERROR(INDEX('SAÍDA DE VENDAS'!$H$6:$H$500 &amp; "x " &amp; 'SAÍDA DE VENDAS'!$G$6:$G$500, MATCH(B894, 'SAÍDA DE VENDAS'!$B$6:$B$500, 0)+2), ""), "")&amp; IF(COUNTIF('SAÍDA DE VENDAS'!$B$6:$B$500, B894)&gt;3, " + " &amp; IFERROR(INDEX('SAÍDA DE VENDAS'!$H$6:$H$500 &amp; "x " &amp; 'SAÍDA DE VENDAS'!$G$6:$G$500, MATCH(B894, 'SAÍDA DE VENDAS'!$B$6:$B$500, 0)+3), ""), "")&amp; IF(COUNTIF('SAÍDA DE VENDAS'!$B$6:$B$500, B894)&gt;4, " + " &amp; IFERROR(INDEX('SAÍDA DE VENDAS'!$H$6:$H$500 &amp; "x " &amp; 'SAÍDA DE VENDAS'!$G$6:$G$500, MATCH(B894, 'SAÍDA DE VENDAS'!$B$6:$B$500, 0)+4), ""), "")&amp; IF(COUNTIF('SAÍDA DE VENDAS'!$B$6:$B$500, B894)&gt;5, " + " &amp; IFERROR(INDEX('SAÍDA DE VENDAS'!$H$6:$H$500 &amp; "x " &amp; 'SAÍDA DE VENDAS'!$G$6:$G$500, MATCH(B894, 'SAÍDA DE VENDAS'!$B$6:$B$500, 0)+5), ""), ""))</f>
        <v/>
      </c>
      <c r="G894" s="28">
        <f>IFERROR(VLOOKUP(B894,'SAÍDA DE VENDAS'!$B$6:$P$500,10,FALSE),"")</f>
        <v>0</v>
      </c>
      <c r="H894" s="28" t="str">
        <f>IF(OR(ISBLANK(B894),B894=""), "", IF(B894=B893, (VALUE(LEFT(H893,FIND("/",H893)-1))+1)&amp;"/"&amp;RIGHT(H893,LEN(H893)-FIND("/",H893)), "1/"&amp;IFERROR(VLOOKUP(B894,'SAÍDA DE VENDAS'!$B$6:$P$500,13,FALSE),"1")))</f>
        <v/>
      </c>
      <c r="I894" s="69" t="str">
        <f t="shared" si="26"/>
        <v/>
      </c>
      <c r="J894" s="33" t="str">
        <f>IFERROR(VLOOKUP(B894,'SAÍDA DE VENDAS'!$B$6:$P$500,15,FALSE),"")</f>
        <v/>
      </c>
      <c r="K894" s="28" t="str">
        <f t="shared" ca="1" si="27"/>
        <v/>
      </c>
      <c r="L894" s="28"/>
      <c r="M894" s="28"/>
    </row>
    <row r="895" spans="2:13" ht="15" customHeight="1" x14ac:dyDescent="0.3">
      <c r="B895" s="34" t="str">
        <f>IF(B894="","", IF(VALUE(LEFT(H894,FIND("/",H894)-1)) &lt; VALUE(RIGHT(H894,LEN(H894)-FIND("/",H894))), B894, IFERROR(INDEX('SAÍDA DE VENDAS'!$B$6:$B$500, MATCH(B894,'SAÍDA DE VENDAS'!$B$6:$B$500,0)+COUNTIF('SAÍDA DE VENDAS'!$B$6:$B$500, B894)),"")))</f>
        <v/>
      </c>
      <c r="C895" s="35">
        <f>IFERROR(VLOOKUP(B895,'SAÍDA DE VENDAS'!$B$6:$P$500,3,FALSE),"")</f>
        <v>0</v>
      </c>
      <c r="D895" s="34">
        <f>IFERROR(VLOOKUP(B895,'SAÍDA DE VENDAS'!$B$6:$P$500,4,FALSE),"")</f>
        <v>0</v>
      </c>
      <c r="E895" s="34" t="str">
        <f>IFERROR(VLOOKUP(B895,'SAÍDA DE VENDAS'!$B$6:$P$500,5,FALSE),"")</f>
        <v/>
      </c>
      <c r="F895" s="34" t="str">
        <f>IF(OR(ISBLANK(B895),B895=""), "", IFERROR(INDEX('SAÍDA DE VENDAS'!$H$6:$H$500 &amp; "x " &amp; 'SAÍDA DE VENDAS'!$G$6:$G$500, MATCH(B895, 'SAÍDA DE VENDAS'!$B$6:$B$500, 0)), "")&amp; IF(COUNTIF('SAÍDA DE VENDAS'!$B$6:$B$500, B895)&gt;1, " + " &amp; IFERROR(INDEX('SAÍDA DE VENDAS'!$H$6:$H$500 &amp; "x " &amp; 'SAÍDA DE VENDAS'!$G$6:$G$500, MATCH(B895, 'SAÍDA DE VENDAS'!$B$6:$B$500, 0)+1), ""), "")&amp; IF(COUNTIF('SAÍDA DE VENDAS'!$B$6:$B$500, B895)&gt;2, " + " &amp; IFERROR(INDEX('SAÍDA DE VENDAS'!$H$6:$H$500 &amp; "x " &amp; 'SAÍDA DE VENDAS'!$G$6:$G$500, MATCH(B895, 'SAÍDA DE VENDAS'!$B$6:$B$500, 0)+2), ""), "")&amp; IF(COUNTIF('SAÍDA DE VENDAS'!$B$6:$B$500, B895)&gt;3, " + " &amp; IFERROR(INDEX('SAÍDA DE VENDAS'!$H$6:$H$500 &amp; "x " &amp; 'SAÍDA DE VENDAS'!$G$6:$G$500, MATCH(B895, 'SAÍDA DE VENDAS'!$B$6:$B$500, 0)+3), ""), "")&amp; IF(COUNTIF('SAÍDA DE VENDAS'!$B$6:$B$500, B895)&gt;4, " + " &amp; IFERROR(INDEX('SAÍDA DE VENDAS'!$H$6:$H$500 &amp; "x " &amp; 'SAÍDA DE VENDAS'!$G$6:$G$500, MATCH(B895, 'SAÍDA DE VENDAS'!$B$6:$B$500, 0)+4), ""), "")&amp; IF(COUNTIF('SAÍDA DE VENDAS'!$B$6:$B$500, B895)&gt;5, " + " &amp; IFERROR(INDEX('SAÍDA DE VENDAS'!$H$6:$H$500 &amp; "x " &amp; 'SAÍDA DE VENDAS'!$G$6:$G$500, MATCH(B895, 'SAÍDA DE VENDAS'!$B$6:$B$500, 0)+5), ""), ""))</f>
        <v/>
      </c>
      <c r="G895" s="34">
        <f>IFERROR(VLOOKUP(B895,'SAÍDA DE VENDAS'!$B$6:$P$500,10,FALSE),"")</f>
        <v>0</v>
      </c>
      <c r="H895" s="34" t="str">
        <f>IF(OR(ISBLANK(B895),B895=""), "", IF(B895=B894, (VALUE(LEFT(H894,FIND("/",H894)-1))+1)&amp;"/"&amp;RIGHT(H894,LEN(H894)-FIND("/",H894)), "1/"&amp;IFERROR(VLOOKUP(B895,'SAÍDA DE VENDAS'!$B$6:$P$500,13,FALSE),"1")))</f>
        <v/>
      </c>
      <c r="I895" s="35" t="str">
        <f t="shared" si="26"/>
        <v/>
      </c>
      <c r="J895" s="39" t="str">
        <f>IFERROR(VLOOKUP(B895,'SAÍDA DE VENDAS'!$B$6:$P$500,15,FALSE),"")</f>
        <v/>
      </c>
      <c r="K895" s="34" t="str">
        <f t="shared" ca="1" si="27"/>
        <v/>
      </c>
      <c r="L895" s="34"/>
      <c r="M895" s="34"/>
    </row>
    <row r="896" spans="2:13" ht="15" customHeight="1" x14ac:dyDescent="0.3">
      <c r="B896" s="28" t="str">
        <f>IF(B895="","", IF(VALUE(LEFT(H895,FIND("/",H895)-1)) &lt; VALUE(RIGHT(H895,LEN(H895)-FIND("/",H895))), B895, IFERROR(INDEX('SAÍDA DE VENDAS'!$B$6:$B$500, MATCH(B895,'SAÍDA DE VENDAS'!$B$6:$B$500,0)+COUNTIF('SAÍDA DE VENDAS'!$B$6:$B$500, B895)),"")))</f>
        <v/>
      </c>
      <c r="C896" s="29">
        <f>IFERROR(VLOOKUP(B896,'SAÍDA DE VENDAS'!$B$6:$P$500,3,FALSE),"")</f>
        <v>0</v>
      </c>
      <c r="D896" s="28">
        <f>IFERROR(VLOOKUP(B896,'SAÍDA DE VENDAS'!$B$6:$P$500,4,FALSE),"")</f>
        <v>0</v>
      </c>
      <c r="E896" s="28" t="str">
        <f>IFERROR(VLOOKUP(B896,'SAÍDA DE VENDAS'!$B$6:$P$500,5,FALSE),"")</f>
        <v/>
      </c>
      <c r="F896" s="28" t="str">
        <f>IF(OR(ISBLANK(B896),B896=""), "", IFERROR(INDEX('SAÍDA DE VENDAS'!$H$6:$H$500 &amp; "x " &amp; 'SAÍDA DE VENDAS'!$G$6:$G$500, MATCH(B896, 'SAÍDA DE VENDAS'!$B$6:$B$500, 0)), "")&amp; IF(COUNTIF('SAÍDA DE VENDAS'!$B$6:$B$500, B896)&gt;1, " + " &amp; IFERROR(INDEX('SAÍDA DE VENDAS'!$H$6:$H$500 &amp; "x " &amp; 'SAÍDA DE VENDAS'!$G$6:$G$500, MATCH(B896, 'SAÍDA DE VENDAS'!$B$6:$B$500, 0)+1), ""), "")&amp; IF(COUNTIF('SAÍDA DE VENDAS'!$B$6:$B$500, B896)&gt;2, " + " &amp; IFERROR(INDEX('SAÍDA DE VENDAS'!$H$6:$H$500 &amp; "x " &amp; 'SAÍDA DE VENDAS'!$G$6:$G$500, MATCH(B896, 'SAÍDA DE VENDAS'!$B$6:$B$500, 0)+2), ""), "")&amp; IF(COUNTIF('SAÍDA DE VENDAS'!$B$6:$B$500, B896)&gt;3, " + " &amp; IFERROR(INDEX('SAÍDA DE VENDAS'!$H$6:$H$500 &amp; "x " &amp; 'SAÍDA DE VENDAS'!$G$6:$G$500, MATCH(B896, 'SAÍDA DE VENDAS'!$B$6:$B$500, 0)+3), ""), "")&amp; IF(COUNTIF('SAÍDA DE VENDAS'!$B$6:$B$500, B896)&gt;4, " + " &amp; IFERROR(INDEX('SAÍDA DE VENDAS'!$H$6:$H$500 &amp; "x " &amp; 'SAÍDA DE VENDAS'!$G$6:$G$500, MATCH(B896, 'SAÍDA DE VENDAS'!$B$6:$B$500, 0)+4), ""), "")&amp; IF(COUNTIF('SAÍDA DE VENDAS'!$B$6:$B$500, B896)&gt;5, " + " &amp; IFERROR(INDEX('SAÍDA DE VENDAS'!$H$6:$H$500 &amp; "x " &amp; 'SAÍDA DE VENDAS'!$G$6:$G$500, MATCH(B896, 'SAÍDA DE VENDAS'!$B$6:$B$500, 0)+5), ""), ""))</f>
        <v/>
      </c>
      <c r="G896" s="28">
        <f>IFERROR(VLOOKUP(B896,'SAÍDA DE VENDAS'!$B$6:$P$500,10,FALSE),"")</f>
        <v>0</v>
      </c>
      <c r="H896" s="28" t="str">
        <f>IF(OR(ISBLANK(B896),B896=""), "", IF(B896=B895, (VALUE(LEFT(H895,FIND("/",H895)-1))+1)&amp;"/"&amp;RIGHT(H895,LEN(H895)-FIND("/",H895)), "1/"&amp;IFERROR(VLOOKUP(B896,'SAÍDA DE VENDAS'!$B$6:$P$500,13,FALSE),"1")))</f>
        <v/>
      </c>
      <c r="I896" s="69" t="str">
        <f t="shared" si="26"/>
        <v/>
      </c>
      <c r="J896" s="33" t="str">
        <f>IFERROR(VLOOKUP(B896,'SAÍDA DE VENDAS'!$B$6:$P$500,15,FALSE),"")</f>
        <v/>
      </c>
      <c r="K896" s="28" t="str">
        <f t="shared" ca="1" si="27"/>
        <v/>
      </c>
      <c r="L896" s="28"/>
      <c r="M896" s="28"/>
    </row>
    <row r="897" spans="2:13" ht="15" customHeight="1" x14ac:dyDescent="0.3">
      <c r="B897" s="34" t="str">
        <f>IF(B896="","", IF(VALUE(LEFT(H896,FIND("/",H896)-1)) &lt; VALUE(RIGHT(H896,LEN(H896)-FIND("/",H896))), B896, IFERROR(INDEX('SAÍDA DE VENDAS'!$B$6:$B$500, MATCH(B896,'SAÍDA DE VENDAS'!$B$6:$B$500,0)+COUNTIF('SAÍDA DE VENDAS'!$B$6:$B$500, B896)),"")))</f>
        <v/>
      </c>
      <c r="C897" s="35">
        <f>IFERROR(VLOOKUP(B897,'SAÍDA DE VENDAS'!$B$6:$P$500,3,FALSE),"")</f>
        <v>0</v>
      </c>
      <c r="D897" s="34">
        <f>IFERROR(VLOOKUP(B897,'SAÍDA DE VENDAS'!$B$6:$P$500,4,FALSE),"")</f>
        <v>0</v>
      </c>
      <c r="E897" s="34" t="str">
        <f>IFERROR(VLOOKUP(B897,'SAÍDA DE VENDAS'!$B$6:$P$500,5,FALSE),"")</f>
        <v/>
      </c>
      <c r="F897" s="34" t="str">
        <f>IF(OR(ISBLANK(B897),B897=""), "", IFERROR(INDEX('SAÍDA DE VENDAS'!$H$6:$H$500 &amp; "x " &amp; 'SAÍDA DE VENDAS'!$G$6:$G$500, MATCH(B897, 'SAÍDA DE VENDAS'!$B$6:$B$500, 0)), "")&amp; IF(COUNTIF('SAÍDA DE VENDAS'!$B$6:$B$500, B897)&gt;1, " + " &amp; IFERROR(INDEX('SAÍDA DE VENDAS'!$H$6:$H$500 &amp; "x " &amp; 'SAÍDA DE VENDAS'!$G$6:$G$500, MATCH(B897, 'SAÍDA DE VENDAS'!$B$6:$B$500, 0)+1), ""), "")&amp; IF(COUNTIF('SAÍDA DE VENDAS'!$B$6:$B$500, B897)&gt;2, " + " &amp; IFERROR(INDEX('SAÍDA DE VENDAS'!$H$6:$H$500 &amp; "x " &amp; 'SAÍDA DE VENDAS'!$G$6:$G$500, MATCH(B897, 'SAÍDA DE VENDAS'!$B$6:$B$500, 0)+2), ""), "")&amp; IF(COUNTIF('SAÍDA DE VENDAS'!$B$6:$B$500, B897)&gt;3, " + " &amp; IFERROR(INDEX('SAÍDA DE VENDAS'!$H$6:$H$500 &amp; "x " &amp; 'SAÍDA DE VENDAS'!$G$6:$G$500, MATCH(B897, 'SAÍDA DE VENDAS'!$B$6:$B$500, 0)+3), ""), "")&amp; IF(COUNTIF('SAÍDA DE VENDAS'!$B$6:$B$500, B897)&gt;4, " + " &amp; IFERROR(INDEX('SAÍDA DE VENDAS'!$H$6:$H$500 &amp; "x " &amp; 'SAÍDA DE VENDAS'!$G$6:$G$500, MATCH(B897, 'SAÍDA DE VENDAS'!$B$6:$B$500, 0)+4), ""), "")&amp; IF(COUNTIF('SAÍDA DE VENDAS'!$B$6:$B$500, B897)&gt;5, " + " &amp; IFERROR(INDEX('SAÍDA DE VENDAS'!$H$6:$H$500 &amp; "x " &amp; 'SAÍDA DE VENDAS'!$G$6:$G$500, MATCH(B897, 'SAÍDA DE VENDAS'!$B$6:$B$500, 0)+5), ""), ""))</f>
        <v/>
      </c>
      <c r="G897" s="34">
        <f>IFERROR(VLOOKUP(B897,'SAÍDA DE VENDAS'!$B$6:$P$500,10,FALSE),"")</f>
        <v>0</v>
      </c>
      <c r="H897" s="34" t="str">
        <f>IF(OR(ISBLANK(B897),B897=""), "", IF(B897=B896, (VALUE(LEFT(H896,FIND("/",H896)-1))+1)&amp;"/"&amp;RIGHT(H896,LEN(H896)-FIND("/",H896)), "1/"&amp;IFERROR(VLOOKUP(B897,'SAÍDA DE VENDAS'!$B$6:$P$500,13,FALSE),"1")))</f>
        <v/>
      </c>
      <c r="I897" s="35" t="str">
        <f t="shared" si="26"/>
        <v/>
      </c>
      <c r="J897" s="39" t="str">
        <f>IFERROR(VLOOKUP(B897,'SAÍDA DE VENDAS'!$B$6:$P$500,15,FALSE),"")</f>
        <v/>
      </c>
      <c r="K897" s="34" t="str">
        <f t="shared" ca="1" si="27"/>
        <v/>
      </c>
      <c r="L897" s="34"/>
      <c r="M897" s="34"/>
    </row>
    <row r="898" spans="2:13" ht="15" customHeight="1" x14ac:dyDescent="0.3">
      <c r="B898" s="28" t="str">
        <f>IF(B897="","", IF(VALUE(LEFT(H897,FIND("/",H897)-1)) &lt; VALUE(RIGHT(H897,LEN(H897)-FIND("/",H897))), B897, IFERROR(INDEX('SAÍDA DE VENDAS'!$B$6:$B$500, MATCH(B897,'SAÍDA DE VENDAS'!$B$6:$B$500,0)+COUNTIF('SAÍDA DE VENDAS'!$B$6:$B$500, B897)),"")))</f>
        <v/>
      </c>
      <c r="C898" s="29">
        <f>IFERROR(VLOOKUP(B898,'SAÍDA DE VENDAS'!$B$6:$P$500,3,FALSE),"")</f>
        <v>0</v>
      </c>
      <c r="D898" s="28">
        <f>IFERROR(VLOOKUP(B898,'SAÍDA DE VENDAS'!$B$6:$P$500,4,FALSE),"")</f>
        <v>0</v>
      </c>
      <c r="E898" s="28" t="str">
        <f>IFERROR(VLOOKUP(B898,'SAÍDA DE VENDAS'!$B$6:$P$500,5,FALSE),"")</f>
        <v/>
      </c>
      <c r="F898" s="28" t="str">
        <f>IF(OR(ISBLANK(B898),B898=""), "", IFERROR(INDEX('SAÍDA DE VENDAS'!$H$6:$H$500 &amp; "x " &amp; 'SAÍDA DE VENDAS'!$G$6:$G$500, MATCH(B898, 'SAÍDA DE VENDAS'!$B$6:$B$500, 0)), "")&amp; IF(COUNTIF('SAÍDA DE VENDAS'!$B$6:$B$500, B898)&gt;1, " + " &amp; IFERROR(INDEX('SAÍDA DE VENDAS'!$H$6:$H$500 &amp; "x " &amp; 'SAÍDA DE VENDAS'!$G$6:$G$500, MATCH(B898, 'SAÍDA DE VENDAS'!$B$6:$B$500, 0)+1), ""), "")&amp; IF(COUNTIF('SAÍDA DE VENDAS'!$B$6:$B$500, B898)&gt;2, " + " &amp; IFERROR(INDEX('SAÍDA DE VENDAS'!$H$6:$H$500 &amp; "x " &amp; 'SAÍDA DE VENDAS'!$G$6:$G$500, MATCH(B898, 'SAÍDA DE VENDAS'!$B$6:$B$500, 0)+2), ""), "")&amp; IF(COUNTIF('SAÍDA DE VENDAS'!$B$6:$B$500, B898)&gt;3, " + " &amp; IFERROR(INDEX('SAÍDA DE VENDAS'!$H$6:$H$500 &amp; "x " &amp; 'SAÍDA DE VENDAS'!$G$6:$G$500, MATCH(B898, 'SAÍDA DE VENDAS'!$B$6:$B$500, 0)+3), ""), "")&amp; IF(COUNTIF('SAÍDA DE VENDAS'!$B$6:$B$500, B898)&gt;4, " + " &amp; IFERROR(INDEX('SAÍDA DE VENDAS'!$H$6:$H$500 &amp; "x " &amp; 'SAÍDA DE VENDAS'!$G$6:$G$500, MATCH(B898, 'SAÍDA DE VENDAS'!$B$6:$B$500, 0)+4), ""), "")&amp; IF(COUNTIF('SAÍDA DE VENDAS'!$B$6:$B$500, B898)&gt;5, " + " &amp; IFERROR(INDEX('SAÍDA DE VENDAS'!$H$6:$H$500 &amp; "x " &amp; 'SAÍDA DE VENDAS'!$G$6:$G$500, MATCH(B898, 'SAÍDA DE VENDAS'!$B$6:$B$500, 0)+5), ""), ""))</f>
        <v/>
      </c>
      <c r="G898" s="28">
        <f>IFERROR(VLOOKUP(B898,'SAÍDA DE VENDAS'!$B$6:$P$500,10,FALSE),"")</f>
        <v>0</v>
      </c>
      <c r="H898" s="28" t="str">
        <f>IF(OR(ISBLANK(B898),B898=""), "", IF(B898=B897, (VALUE(LEFT(H897,FIND("/",H897)-1))+1)&amp;"/"&amp;RIGHT(H897,LEN(H897)-FIND("/",H897)), "1/"&amp;IFERROR(VLOOKUP(B898,'SAÍDA DE VENDAS'!$B$6:$P$500,13,FALSE),"1")))</f>
        <v/>
      </c>
      <c r="I898" s="69" t="str">
        <f t="shared" si="26"/>
        <v/>
      </c>
      <c r="J898" s="33" t="str">
        <f>IFERROR(VLOOKUP(B898,'SAÍDA DE VENDAS'!$B$6:$P$500,15,FALSE),"")</f>
        <v/>
      </c>
      <c r="K898" s="28" t="str">
        <f t="shared" ca="1" si="27"/>
        <v/>
      </c>
      <c r="L898" s="28"/>
      <c r="M898" s="28"/>
    </row>
    <row r="899" spans="2:13" ht="15" customHeight="1" x14ac:dyDescent="0.3">
      <c r="B899" s="34" t="str">
        <f>IF(B898="","", IF(VALUE(LEFT(H898,FIND("/",H898)-1)) &lt; VALUE(RIGHT(H898,LEN(H898)-FIND("/",H898))), B898, IFERROR(INDEX('SAÍDA DE VENDAS'!$B$6:$B$500, MATCH(B898,'SAÍDA DE VENDAS'!$B$6:$B$500,0)+COUNTIF('SAÍDA DE VENDAS'!$B$6:$B$500, B898)),"")))</f>
        <v/>
      </c>
      <c r="C899" s="35">
        <f>IFERROR(VLOOKUP(B899,'SAÍDA DE VENDAS'!$B$6:$P$500,3,FALSE),"")</f>
        <v>0</v>
      </c>
      <c r="D899" s="34">
        <f>IFERROR(VLOOKUP(B899,'SAÍDA DE VENDAS'!$B$6:$P$500,4,FALSE),"")</f>
        <v>0</v>
      </c>
      <c r="E899" s="34" t="str">
        <f>IFERROR(VLOOKUP(B899,'SAÍDA DE VENDAS'!$B$6:$P$500,5,FALSE),"")</f>
        <v/>
      </c>
      <c r="F899" s="34" t="str">
        <f>IF(OR(ISBLANK(B899),B899=""), "", IFERROR(INDEX('SAÍDA DE VENDAS'!$H$6:$H$500 &amp; "x " &amp; 'SAÍDA DE VENDAS'!$G$6:$G$500, MATCH(B899, 'SAÍDA DE VENDAS'!$B$6:$B$500, 0)), "")&amp; IF(COUNTIF('SAÍDA DE VENDAS'!$B$6:$B$500, B899)&gt;1, " + " &amp; IFERROR(INDEX('SAÍDA DE VENDAS'!$H$6:$H$500 &amp; "x " &amp; 'SAÍDA DE VENDAS'!$G$6:$G$500, MATCH(B899, 'SAÍDA DE VENDAS'!$B$6:$B$500, 0)+1), ""), "")&amp; IF(COUNTIF('SAÍDA DE VENDAS'!$B$6:$B$500, B899)&gt;2, " + " &amp; IFERROR(INDEX('SAÍDA DE VENDAS'!$H$6:$H$500 &amp; "x " &amp; 'SAÍDA DE VENDAS'!$G$6:$G$500, MATCH(B899, 'SAÍDA DE VENDAS'!$B$6:$B$500, 0)+2), ""), "")&amp; IF(COUNTIF('SAÍDA DE VENDAS'!$B$6:$B$500, B899)&gt;3, " + " &amp; IFERROR(INDEX('SAÍDA DE VENDAS'!$H$6:$H$500 &amp; "x " &amp; 'SAÍDA DE VENDAS'!$G$6:$G$500, MATCH(B899, 'SAÍDA DE VENDAS'!$B$6:$B$500, 0)+3), ""), "")&amp; IF(COUNTIF('SAÍDA DE VENDAS'!$B$6:$B$500, B899)&gt;4, " + " &amp; IFERROR(INDEX('SAÍDA DE VENDAS'!$H$6:$H$500 &amp; "x " &amp; 'SAÍDA DE VENDAS'!$G$6:$G$500, MATCH(B899, 'SAÍDA DE VENDAS'!$B$6:$B$500, 0)+4), ""), "")&amp; IF(COUNTIF('SAÍDA DE VENDAS'!$B$6:$B$500, B899)&gt;5, " + " &amp; IFERROR(INDEX('SAÍDA DE VENDAS'!$H$6:$H$500 &amp; "x " &amp; 'SAÍDA DE VENDAS'!$G$6:$G$500, MATCH(B899, 'SAÍDA DE VENDAS'!$B$6:$B$500, 0)+5), ""), ""))</f>
        <v/>
      </c>
      <c r="G899" s="34">
        <f>IFERROR(VLOOKUP(B899,'SAÍDA DE VENDAS'!$B$6:$P$500,10,FALSE),"")</f>
        <v>0</v>
      </c>
      <c r="H899" s="34" t="str">
        <f>IF(OR(ISBLANK(B899),B899=""), "", IF(B899=B898, (VALUE(LEFT(H898,FIND("/",H898)-1))+1)&amp;"/"&amp;RIGHT(H898,LEN(H898)-FIND("/",H898)), "1/"&amp;IFERROR(VLOOKUP(B899,'SAÍDA DE VENDAS'!$B$6:$P$500,13,FALSE),"1")))</f>
        <v/>
      </c>
      <c r="I899" s="35" t="str">
        <f t="shared" si="26"/>
        <v/>
      </c>
      <c r="J899" s="39" t="str">
        <f>IFERROR(VLOOKUP(B899,'SAÍDA DE VENDAS'!$B$6:$P$500,15,FALSE),"")</f>
        <v/>
      </c>
      <c r="K899" s="34" t="str">
        <f t="shared" ca="1" si="27"/>
        <v/>
      </c>
      <c r="L899" s="34"/>
      <c r="M899" s="34"/>
    </row>
    <row r="900" spans="2:13" ht="15" customHeight="1" x14ac:dyDescent="0.3">
      <c r="B900" s="28" t="str">
        <f>IF(B899="","", IF(VALUE(LEFT(H899,FIND("/",H899)-1)) &lt; VALUE(RIGHT(H899,LEN(H899)-FIND("/",H899))), B899, IFERROR(INDEX('SAÍDA DE VENDAS'!$B$6:$B$500, MATCH(B899,'SAÍDA DE VENDAS'!$B$6:$B$500,0)+COUNTIF('SAÍDA DE VENDAS'!$B$6:$B$500, B899)),"")))</f>
        <v/>
      </c>
      <c r="C900" s="29">
        <f>IFERROR(VLOOKUP(B900,'SAÍDA DE VENDAS'!$B$6:$P$500,3,FALSE),"")</f>
        <v>0</v>
      </c>
      <c r="D900" s="28">
        <f>IFERROR(VLOOKUP(B900,'SAÍDA DE VENDAS'!$B$6:$P$500,4,FALSE),"")</f>
        <v>0</v>
      </c>
      <c r="E900" s="28" t="str">
        <f>IFERROR(VLOOKUP(B900,'SAÍDA DE VENDAS'!$B$6:$P$500,5,FALSE),"")</f>
        <v/>
      </c>
      <c r="F900" s="28" t="str">
        <f>IF(OR(ISBLANK(B900),B900=""), "", IFERROR(INDEX('SAÍDA DE VENDAS'!$H$6:$H$500 &amp; "x " &amp; 'SAÍDA DE VENDAS'!$G$6:$G$500, MATCH(B900, 'SAÍDA DE VENDAS'!$B$6:$B$500, 0)), "")&amp; IF(COUNTIF('SAÍDA DE VENDAS'!$B$6:$B$500, B900)&gt;1, " + " &amp; IFERROR(INDEX('SAÍDA DE VENDAS'!$H$6:$H$500 &amp; "x " &amp; 'SAÍDA DE VENDAS'!$G$6:$G$500, MATCH(B900, 'SAÍDA DE VENDAS'!$B$6:$B$500, 0)+1), ""), "")&amp; IF(COUNTIF('SAÍDA DE VENDAS'!$B$6:$B$500, B900)&gt;2, " + " &amp; IFERROR(INDEX('SAÍDA DE VENDAS'!$H$6:$H$500 &amp; "x " &amp; 'SAÍDA DE VENDAS'!$G$6:$G$500, MATCH(B900, 'SAÍDA DE VENDAS'!$B$6:$B$500, 0)+2), ""), "")&amp; IF(COUNTIF('SAÍDA DE VENDAS'!$B$6:$B$500, B900)&gt;3, " + " &amp; IFERROR(INDEX('SAÍDA DE VENDAS'!$H$6:$H$500 &amp; "x " &amp; 'SAÍDA DE VENDAS'!$G$6:$G$500, MATCH(B900, 'SAÍDA DE VENDAS'!$B$6:$B$500, 0)+3), ""), "")&amp; IF(COUNTIF('SAÍDA DE VENDAS'!$B$6:$B$500, B900)&gt;4, " + " &amp; IFERROR(INDEX('SAÍDA DE VENDAS'!$H$6:$H$500 &amp; "x " &amp; 'SAÍDA DE VENDAS'!$G$6:$G$500, MATCH(B900, 'SAÍDA DE VENDAS'!$B$6:$B$500, 0)+4), ""), "")&amp; IF(COUNTIF('SAÍDA DE VENDAS'!$B$6:$B$500, B900)&gt;5, " + " &amp; IFERROR(INDEX('SAÍDA DE VENDAS'!$H$6:$H$500 &amp; "x " &amp; 'SAÍDA DE VENDAS'!$G$6:$G$500, MATCH(B900, 'SAÍDA DE VENDAS'!$B$6:$B$500, 0)+5), ""), ""))</f>
        <v/>
      </c>
      <c r="G900" s="28">
        <f>IFERROR(VLOOKUP(B900,'SAÍDA DE VENDAS'!$B$6:$P$500,10,FALSE),"")</f>
        <v>0</v>
      </c>
      <c r="H900" s="28" t="str">
        <f>IF(OR(ISBLANK(B900),B900=""), "", IF(B900=B899, (VALUE(LEFT(H899,FIND("/",H899)-1))+1)&amp;"/"&amp;RIGHT(H899,LEN(H899)-FIND("/",H899)), "1/"&amp;IFERROR(VLOOKUP(B900,'SAÍDA DE VENDAS'!$B$6:$P$500,13,FALSE),"1")))</f>
        <v/>
      </c>
      <c r="I900" s="69" t="str">
        <f t="shared" si="26"/>
        <v/>
      </c>
      <c r="J900" s="33" t="str">
        <f>IFERROR(VLOOKUP(B900,'SAÍDA DE VENDAS'!$B$6:$P$500,15,FALSE),"")</f>
        <v/>
      </c>
      <c r="K900" s="28" t="str">
        <f t="shared" ca="1" si="27"/>
        <v/>
      </c>
      <c r="L900" s="28"/>
      <c r="M900" s="28"/>
    </row>
    <row r="901" spans="2:13" ht="15" customHeight="1" x14ac:dyDescent="0.3">
      <c r="B901" s="34" t="str">
        <f>IF(B900="","", IF(VALUE(LEFT(H900,FIND("/",H900)-1)) &lt; VALUE(RIGHT(H900,LEN(H900)-FIND("/",H900))), B900, IFERROR(INDEX('SAÍDA DE VENDAS'!$B$6:$B$500, MATCH(B900,'SAÍDA DE VENDAS'!$B$6:$B$500,0)+COUNTIF('SAÍDA DE VENDAS'!$B$6:$B$500, B900)),"")))</f>
        <v/>
      </c>
      <c r="C901" s="35">
        <f>IFERROR(VLOOKUP(B901,'SAÍDA DE VENDAS'!$B$6:$P$500,3,FALSE),"")</f>
        <v>0</v>
      </c>
      <c r="D901" s="34">
        <f>IFERROR(VLOOKUP(B901,'SAÍDA DE VENDAS'!$B$6:$P$500,4,FALSE),"")</f>
        <v>0</v>
      </c>
      <c r="E901" s="34" t="str">
        <f>IFERROR(VLOOKUP(B901,'SAÍDA DE VENDAS'!$B$6:$P$500,5,FALSE),"")</f>
        <v/>
      </c>
      <c r="F901" s="34" t="str">
        <f>IF(OR(ISBLANK(B901),B901=""), "", IFERROR(INDEX('SAÍDA DE VENDAS'!$H$6:$H$500 &amp; "x " &amp; 'SAÍDA DE VENDAS'!$G$6:$G$500, MATCH(B901, 'SAÍDA DE VENDAS'!$B$6:$B$500, 0)), "")&amp; IF(COUNTIF('SAÍDA DE VENDAS'!$B$6:$B$500, B901)&gt;1, " + " &amp; IFERROR(INDEX('SAÍDA DE VENDAS'!$H$6:$H$500 &amp; "x " &amp; 'SAÍDA DE VENDAS'!$G$6:$G$500, MATCH(B901, 'SAÍDA DE VENDAS'!$B$6:$B$500, 0)+1), ""), "")&amp; IF(COUNTIF('SAÍDA DE VENDAS'!$B$6:$B$500, B901)&gt;2, " + " &amp; IFERROR(INDEX('SAÍDA DE VENDAS'!$H$6:$H$500 &amp; "x " &amp; 'SAÍDA DE VENDAS'!$G$6:$G$500, MATCH(B901, 'SAÍDA DE VENDAS'!$B$6:$B$500, 0)+2), ""), "")&amp; IF(COUNTIF('SAÍDA DE VENDAS'!$B$6:$B$500, B901)&gt;3, " + " &amp; IFERROR(INDEX('SAÍDA DE VENDAS'!$H$6:$H$500 &amp; "x " &amp; 'SAÍDA DE VENDAS'!$G$6:$G$500, MATCH(B901, 'SAÍDA DE VENDAS'!$B$6:$B$500, 0)+3), ""), "")&amp; IF(COUNTIF('SAÍDA DE VENDAS'!$B$6:$B$500, B901)&gt;4, " + " &amp; IFERROR(INDEX('SAÍDA DE VENDAS'!$H$6:$H$500 &amp; "x " &amp; 'SAÍDA DE VENDAS'!$G$6:$G$500, MATCH(B901, 'SAÍDA DE VENDAS'!$B$6:$B$500, 0)+4), ""), "")&amp; IF(COUNTIF('SAÍDA DE VENDAS'!$B$6:$B$500, B901)&gt;5, " + " &amp; IFERROR(INDEX('SAÍDA DE VENDAS'!$H$6:$H$500 &amp; "x " &amp; 'SAÍDA DE VENDAS'!$G$6:$G$500, MATCH(B901, 'SAÍDA DE VENDAS'!$B$6:$B$500, 0)+5), ""), ""))</f>
        <v/>
      </c>
      <c r="G901" s="34">
        <f>IFERROR(VLOOKUP(B901,'SAÍDA DE VENDAS'!$B$6:$P$500,10,FALSE),"")</f>
        <v>0</v>
      </c>
      <c r="H901" s="34" t="str">
        <f>IF(OR(ISBLANK(B901),B901=""), "", IF(B901=B900, (VALUE(LEFT(H900,FIND("/",H900)-1))+1)&amp;"/"&amp;RIGHT(H900,LEN(H900)-FIND("/",H900)), "1/"&amp;IFERROR(VLOOKUP(B901,'SAÍDA DE VENDAS'!$B$6:$P$500,13,FALSE),"1")))</f>
        <v/>
      </c>
      <c r="I901" s="35" t="str">
        <f t="shared" si="26"/>
        <v/>
      </c>
      <c r="J901" s="39" t="str">
        <f>IFERROR(VLOOKUP(B901,'SAÍDA DE VENDAS'!$B$6:$P$500,15,FALSE),"")</f>
        <v/>
      </c>
      <c r="K901" s="34" t="str">
        <f t="shared" ca="1" si="27"/>
        <v/>
      </c>
      <c r="L901" s="34"/>
      <c r="M901" s="34"/>
    </row>
    <row r="902" spans="2:13" ht="15" customHeight="1" x14ac:dyDescent="0.3">
      <c r="B902" s="28" t="str">
        <f>IF(B901="","", IF(VALUE(LEFT(H901,FIND("/",H901)-1)) &lt; VALUE(RIGHT(H901,LEN(H901)-FIND("/",H901))), B901, IFERROR(INDEX('SAÍDA DE VENDAS'!$B$6:$B$500, MATCH(B901,'SAÍDA DE VENDAS'!$B$6:$B$500,0)+COUNTIF('SAÍDA DE VENDAS'!$B$6:$B$500, B901)),"")))</f>
        <v/>
      </c>
      <c r="C902" s="29">
        <f>IFERROR(VLOOKUP(B902,'SAÍDA DE VENDAS'!$B$6:$P$500,3,FALSE),"")</f>
        <v>0</v>
      </c>
      <c r="D902" s="28">
        <f>IFERROR(VLOOKUP(B902,'SAÍDA DE VENDAS'!$B$6:$P$500,4,FALSE),"")</f>
        <v>0</v>
      </c>
      <c r="E902" s="28" t="str">
        <f>IFERROR(VLOOKUP(B902,'SAÍDA DE VENDAS'!$B$6:$P$500,5,FALSE),"")</f>
        <v/>
      </c>
      <c r="F902" s="28" t="str">
        <f>IF(OR(ISBLANK(B902),B902=""), "", IFERROR(INDEX('SAÍDA DE VENDAS'!$H$6:$H$500 &amp; "x " &amp; 'SAÍDA DE VENDAS'!$G$6:$G$500, MATCH(B902, 'SAÍDA DE VENDAS'!$B$6:$B$500, 0)), "")&amp; IF(COUNTIF('SAÍDA DE VENDAS'!$B$6:$B$500, B902)&gt;1, " + " &amp; IFERROR(INDEX('SAÍDA DE VENDAS'!$H$6:$H$500 &amp; "x " &amp; 'SAÍDA DE VENDAS'!$G$6:$G$500, MATCH(B902, 'SAÍDA DE VENDAS'!$B$6:$B$500, 0)+1), ""), "")&amp; IF(COUNTIF('SAÍDA DE VENDAS'!$B$6:$B$500, B902)&gt;2, " + " &amp; IFERROR(INDEX('SAÍDA DE VENDAS'!$H$6:$H$500 &amp; "x " &amp; 'SAÍDA DE VENDAS'!$G$6:$G$500, MATCH(B902, 'SAÍDA DE VENDAS'!$B$6:$B$500, 0)+2), ""), "")&amp; IF(COUNTIF('SAÍDA DE VENDAS'!$B$6:$B$500, B902)&gt;3, " + " &amp; IFERROR(INDEX('SAÍDA DE VENDAS'!$H$6:$H$500 &amp; "x " &amp; 'SAÍDA DE VENDAS'!$G$6:$G$500, MATCH(B902, 'SAÍDA DE VENDAS'!$B$6:$B$500, 0)+3), ""), "")&amp; IF(COUNTIF('SAÍDA DE VENDAS'!$B$6:$B$500, B902)&gt;4, " + " &amp; IFERROR(INDEX('SAÍDA DE VENDAS'!$H$6:$H$500 &amp; "x " &amp; 'SAÍDA DE VENDAS'!$G$6:$G$500, MATCH(B902, 'SAÍDA DE VENDAS'!$B$6:$B$500, 0)+4), ""), "")&amp; IF(COUNTIF('SAÍDA DE VENDAS'!$B$6:$B$500, B902)&gt;5, " + " &amp; IFERROR(INDEX('SAÍDA DE VENDAS'!$H$6:$H$500 &amp; "x " &amp; 'SAÍDA DE VENDAS'!$G$6:$G$500, MATCH(B902, 'SAÍDA DE VENDAS'!$B$6:$B$500, 0)+5), ""), ""))</f>
        <v/>
      </c>
      <c r="G902" s="28">
        <f>IFERROR(VLOOKUP(B902,'SAÍDA DE VENDAS'!$B$6:$P$500,10,FALSE),"")</f>
        <v>0</v>
      </c>
      <c r="H902" s="28" t="str">
        <f>IF(OR(ISBLANK(B902),B902=""), "", IF(B902=B901, (VALUE(LEFT(H901,FIND("/",H901)-1))+1)&amp;"/"&amp;RIGHT(H901,LEN(H901)-FIND("/",H901)), "1/"&amp;IFERROR(VLOOKUP(B902,'SAÍDA DE VENDAS'!$B$6:$P$500,13,FALSE),"1")))</f>
        <v/>
      </c>
      <c r="I902" s="69" t="str">
        <f t="shared" ref="I902:I965" si="28">IF(OR(ISBLANK(B902), B902="", C902=""), "", C902 + (IFERROR(VALUE(LEFT(H902, FIND("/", H902)-1)), 1) * 30))</f>
        <v/>
      </c>
      <c r="J902" s="33" t="str">
        <f>IFERROR(VLOOKUP(B902,'SAÍDA DE VENDAS'!$B$6:$P$500,15,FALSE),"")</f>
        <v/>
      </c>
      <c r="K902" s="28" t="str">
        <f t="shared" ref="K902:K965" ca="1" si="29">IF(B902="","", IF(OR(G902="À Vista", L902&lt;&gt;""), "Pago", IF(AND(I902&lt;&gt;"", I902&lt;TODAY()), "Atrasado", "Pendente")))</f>
        <v/>
      </c>
      <c r="L902" s="28"/>
      <c r="M902" s="28"/>
    </row>
    <row r="903" spans="2:13" ht="15" customHeight="1" x14ac:dyDescent="0.3">
      <c r="B903" s="34" t="str">
        <f>IF(B902="","", IF(VALUE(LEFT(H902,FIND("/",H902)-1)) &lt; VALUE(RIGHT(H902,LEN(H902)-FIND("/",H902))), B902, IFERROR(INDEX('SAÍDA DE VENDAS'!$B$6:$B$500, MATCH(B902,'SAÍDA DE VENDAS'!$B$6:$B$500,0)+COUNTIF('SAÍDA DE VENDAS'!$B$6:$B$500, B902)),"")))</f>
        <v/>
      </c>
      <c r="C903" s="35">
        <f>IFERROR(VLOOKUP(B903,'SAÍDA DE VENDAS'!$B$6:$P$500,3,FALSE),"")</f>
        <v>0</v>
      </c>
      <c r="D903" s="34">
        <f>IFERROR(VLOOKUP(B903,'SAÍDA DE VENDAS'!$B$6:$P$500,4,FALSE),"")</f>
        <v>0</v>
      </c>
      <c r="E903" s="34" t="str">
        <f>IFERROR(VLOOKUP(B903,'SAÍDA DE VENDAS'!$B$6:$P$500,5,FALSE),"")</f>
        <v/>
      </c>
      <c r="F903" s="34" t="str">
        <f>IF(OR(ISBLANK(B903),B903=""), "", IFERROR(INDEX('SAÍDA DE VENDAS'!$H$6:$H$500 &amp; "x " &amp; 'SAÍDA DE VENDAS'!$G$6:$G$500, MATCH(B903, 'SAÍDA DE VENDAS'!$B$6:$B$500, 0)), "")&amp; IF(COUNTIF('SAÍDA DE VENDAS'!$B$6:$B$500, B903)&gt;1, " + " &amp; IFERROR(INDEX('SAÍDA DE VENDAS'!$H$6:$H$500 &amp; "x " &amp; 'SAÍDA DE VENDAS'!$G$6:$G$500, MATCH(B903, 'SAÍDA DE VENDAS'!$B$6:$B$500, 0)+1), ""), "")&amp; IF(COUNTIF('SAÍDA DE VENDAS'!$B$6:$B$500, B903)&gt;2, " + " &amp; IFERROR(INDEX('SAÍDA DE VENDAS'!$H$6:$H$500 &amp; "x " &amp; 'SAÍDA DE VENDAS'!$G$6:$G$500, MATCH(B903, 'SAÍDA DE VENDAS'!$B$6:$B$500, 0)+2), ""), "")&amp; IF(COUNTIF('SAÍDA DE VENDAS'!$B$6:$B$500, B903)&gt;3, " + " &amp; IFERROR(INDEX('SAÍDA DE VENDAS'!$H$6:$H$500 &amp; "x " &amp; 'SAÍDA DE VENDAS'!$G$6:$G$500, MATCH(B903, 'SAÍDA DE VENDAS'!$B$6:$B$500, 0)+3), ""), "")&amp; IF(COUNTIF('SAÍDA DE VENDAS'!$B$6:$B$500, B903)&gt;4, " + " &amp; IFERROR(INDEX('SAÍDA DE VENDAS'!$H$6:$H$500 &amp; "x " &amp; 'SAÍDA DE VENDAS'!$G$6:$G$500, MATCH(B903, 'SAÍDA DE VENDAS'!$B$6:$B$500, 0)+4), ""), "")&amp; IF(COUNTIF('SAÍDA DE VENDAS'!$B$6:$B$500, B903)&gt;5, " + " &amp; IFERROR(INDEX('SAÍDA DE VENDAS'!$H$6:$H$500 &amp; "x " &amp; 'SAÍDA DE VENDAS'!$G$6:$G$500, MATCH(B903, 'SAÍDA DE VENDAS'!$B$6:$B$500, 0)+5), ""), ""))</f>
        <v/>
      </c>
      <c r="G903" s="34">
        <f>IFERROR(VLOOKUP(B903,'SAÍDA DE VENDAS'!$B$6:$P$500,10,FALSE),"")</f>
        <v>0</v>
      </c>
      <c r="H903" s="34" t="str">
        <f>IF(OR(ISBLANK(B903),B903=""), "", IF(B903=B902, (VALUE(LEFT(H902,FIND("/",H902)-1))+1)&amp;"/"&amp;RIGHT(H902,LEN(H902)-FIND("/",H902)), "1/"&amp;IFERROR(VLOOKUP(B903,'SAÍDA DE VENDAS'!$B$6:$P$500,13,FALSE),"1")))</f>
        <v/>
      </c>
      <c r="I903" s="35" t="str">
        <f t="shared" si="28"/>
        <v/>
      </c>
      <c r="J903" s="39" t="str">
        <f>IFERROR(VLOOKUP(B903,'SAÍDA DE VENDAS'!$B$6:$P$500,15,FALSE),"")</f>
        <v/>
      </c>
      <c r="K903" s="34" t="str">
        <f t="shared" ca="1" si="29"/>
        <v/>
      </c>
      <c r="L903" s="34"/>
      <c r="M903" s="34"/>
    </row>
    <row r="904" spans="2:13" ht="15" customHeight="1" x14ac:dyDescent="0.3">
      <c r="B904" s="28" t="str">
        <f>IF(B903="","", IF(VALUE(LEFT(H903,FIND("/",H903)-1)) &lt; VALUE(RIGHT(H903,LEN(H903)-FIND("/",H903))), B903, IFERROR(INDEX('SAÍDA DE VENDAS'!$B$6:$B$500, MATCH(B903,'SAÍDA DE VENDAS'!$B$6:$B$500,0)+COUNTIF('SAÍDA DE VENDAS'!$B$6:$B$500, B903)),"")))</f>
        <v/>
      </c>
      <c r="C904" s="29">
        <f>IFERROR(VLOOKUP(B904,'SAÍDA DE VENDAS'!$B$6:$P$500,3,FALSE),"")</f>
        <v>0</v>
      </c>
      <c r="D904" s="28">
        <f>IFERROR(VLOOKUP(B904,'SAÍDA DE VENDAS'!$B$6:$P$500,4,FALSE),"")</f>
        <v>0</v>
      </c>
      <c r="E904" s="28" t="str">
        <f>IFERROR(VLOOKUP(B904,'SAÍDA DE VENDAS'!$B$6:$P$500,5,FALSE),"")</f>
        <v/>
      </c>
      <c r="F904" s="28" t="str">
        <f>IF(OR(ISBLANK(B904),B904=""), "", IFERROR(INDEX('SAÍDA DE VENDAS'!$H$6:$H$500 &amp; "x " &amp; 'SAÍDA DE VENDAS'!$G$6:$G$500, MATCH(B904, 'SAÍDA DE VENDAS'!$B$6:$B$500, 0)), "")&amp; IF(COUNTIF('SAÍDA DE VENDAS'!$B$6:$B$500, B904)&gt;1, " + " &amp; IFERROR(INDEX('SAÍDA DE VENDAS'!$H$6:$H$500 &amp; "x " &amp; 'SAÍDA DE VENDAS'!$G$6:$G$500, MATCH(B904, 'SAÍDA DE VENDAS'!$B$6:$B$500, 0)+1), ""), "")&amp; IF(COUNTIF('SAÍDA DE VENDAS'!$B$6:$B$500, B904)&gt;2, " + " &amp; IFERROR(INDEX('SAÍDA DE VENDAS'!$H$6:$H$500 &amp; "x " &amp; 'SAÍDA DE VENDAS'!$G$6:$G$500, MATCH(B904, 'SAÍDA DE VENDAS'!$B$6:$B$500, 0)+2), ""), "")&amp; IF(COUNTIF('SAÍDA DE VENDAS'!$B$6:$B$500, B904)&gt;3, " + " &amp; IFERROR(INDEX('SAÍDA DE VENDAS'!$H$6:$H$500 &amp; "x " &amp; 'SAÍDA DE VENDAS'!$G$6:$G$500, MATCH(B904, 'SAÍDA DE VENDAS'!$B$6:$B$500, 0)+3), ""), "")&amp; IF(COUNTIF('SAÍDA DE VENDAS'!$B$6:$B$500, B904)&gt;4, " + " &amp; IFERROR(INDEX('SAÍDA DE VENDAS'!$H$6:$H$500 &amp; "x " &amp; 'SAÍDA DE VENDAS'!$G$6:$G$500, MATCH(B904, 'SAÍDA DE VENDAS'!$B$6:$B$500, 0)+4), ""), "")&amp; IF(COUNTIF('SAÍDA DE VENDAS'!$B$6:$B$500, B904)&gt;5, " + " &amp; IFERROR(INDEX('SAÍDA DE VENDAS'!$H$6:$H$500 &amp; "x " &amp; 'SAÍDA DE VENDAS'!$G$6:$G$500, MATCH(B904, 'SAÍDA DE VENDAS'!$B$6:$B$500, 0)+5), ""), ""))</f>
        <v/>
      </c>
      <c r="G904" s="28">
        <f>IFERROR(VLOOKUP(B904,'SAÍDA DE VENDAS'!$B$6:$P$500,10,FALSE),"")</f>
        <v>0</v>
      </c>
      <c r="H904" s="28" t="str">
        <f>IF(OR(ISBLANK(B904),B904=""), "", IF(B904=B903, (VALUE(LEFT(H903,FIND("/",H903)-1))+1)&amp;"/"&amp;RIGHT(H903,LEN(H903)-FIND("/",H903)), "1/"&amp;IFERROR(VLOOKUP(B904,'SAÍDA DE VENDAS'!$B$6:$P$500,13,FALSE),"1")))</f>
        <v/>
      </c>
      <c r="I904" s="69" t="str">
        <f t="shared" si="28"/>
        <v/>
      </c>
      <c r="J904" s="33" t="str">
        <f>IFERROR(VLOOKUP(B904,'SAÍDA DE VENDAS'!$B$6:$P$500,15,FALSE),"")</f>
        <v/>
      </c>
      <c r="K904" s="28" t="str">
        <f t="shared" ca="1" si="29"/>
        <v/>
      </c>
      <c r="L904" s="28"/>
      <c r="M904" s="28"/>
    </row>
    <row r="905" spans="2:13" ht="15" customHeight="1" x14ac:dyDescent="0.3">
      <c r="B905" s="34" t="str">
        <f>IF(B904="","", IF(VALUE(LEFT(H904,FIND("/",H904)-1)) &lt; VALUE(RIGHT(H904,LEN(H904)-FIND("/",H904))), B904, IFERROR(INDEX('SAÍDA DE VENDAS'!$B$6:$B$500, MATCH(B904,'SAÍDA DE VENDAS'!$B$6:$B$500,0)+COUNTIF('SAÍDA DE VENDAS'!$B$6:$B$500, B904)),"")))</f>
        <v/>
      </c>
      <c r="C905" s="35">
        <f>IFERROR(VLOOKUP(B905,'SAÍDA DE VENDAS'!$B$6:$P$500,3,FALSE),"")</f>
        <v>0</v>
      </c>
      <c r="D905" s="34">
        <f>IFERROR(VLOOKUP(B905,'SAÍDA DE VENDAS'!$B$6:$P$500,4,FALSE),"")</f>
        <v>0</v>
      </c>
      <c r="E905" s="34" t="str">
        <f>IFERROR(VLOOKUP(B905,'SAÍDA DE VENDAS'!$B$6:$P$500,5,FALSE),"")</f>
        <v/>
      </c>
      <c r="F905" s="34" t="str">
        <f>IF(OR(ISBLANK(B905),B905=""), "", IFERROR(INDEX('SAÍDA DE VENDAS'!$H$6:$H$500 &amp; "x " &amp; 'SAÍDA DE VENDAS'!$G$6:$G$500, MATCH(B905, 'SAÍDA DE VENDAS'!$B$6:$B$500, 0)), "")&amp; IF(COUNTIF('SAÍDA DE VENDAS'!$B$6:$B$500, B905)&gt;1, " + " &amp; IFERROR(INDEX('SAÍDA DE VENDAS'!$H$6:$H$500 &amp; "x " &amp; 'SAÍDA DE VENDAS'!$G$6:$G$500, MATCH(B905, 'SAÍDA DE VENDAS'!$B$6:$B$500, 0)+1), ""), "")&amp; IF(COUNTIF('SAÍDA DE VENDAS'!$B$6:$B$500, B905)&gt;2, " + " &amp; IFERROR(INDEX('SAÍDA DE VENDAS'!$H$6:$H$500 &amp; "x " &amp; 'SAÍDA DE VENDAS'!$G$6:$G$500, MATCH(B905, 'SAÍDA DE VENDAS'!$B$6:$B$500, 0)+2), ""), "")&amp; IF(COUNTIF('SAÍDA DE VENDAS'!$B$6:$B$500, B905)&gt;3, " + " &amp; IFERROR(INDEX('SAÍDA DE VENDAS'!$H$6:$H$500 &amp; "x " &amp; 'SAÍDA DE VENDAS'!$G$6:$G$500, MATCH(B905, 'SAÍDA DE VENDAS'!$B$6:$B$500, 0)+3), ""), "")&amp; IF(COUNTIF('SAÍDA DE VENDAS'!$B$6:$B$500, B905)&gt;4, " + " &amp; IFERROR(INDEX('SAÍDA DE VENDAS'!$H$6:$H$500 &amp; "x " &amp; 'SAÍDA DE VENDAS'!$G$6:$G$500, MATCH(B905, 'SAÍDA DE VENDAS'!$B$6:$B$500, 0)+4), ""), "")&amp; IF(COUNTIF('SAÍDA DE VENDAS'!$B$6:$B$500, B905)&gt;5, " + " &amp; IFERROR(INDEX('SAÍDA DE VENDAS'!$H$6:$H$500 &amp; "x " &amp; 'SAÍDA DE VENDAS'!$G$6:$G$500, MATCH(B905, 'SAÍDA DE VENDAS'!$B$6:$B$500, 0)+5), ""), ""))</f>
        <v/>
      </c>
      <c r="G905" s="34">
        <f>IFERROR(VLOOKUP(B905,'SAÍDA DE VENDAS'!$B$6:$P$500,10,FALSE),"")</f>
        <v>0</v>
      </c>
      <c r="H905" s="34" t="str">
        <f>IF(OR(ISBLANK(B905),B905=""), "", IF(B905=B904, (VALUE(LEFT(H904,FIND("/",H904)-1))+1)&amp;"/"&amp;RIGHT(H904,LEN(H904)-FIND("/",H904)), "1/"&amp;IFERROR(VLOOKUP(B905,'SAÍDA DE VENDAS'!$B$6:$P$500,13,FALSE),"1")))</f>
        <v/>
      </c>
      <c r="I905" s="35" t="str">
        <f t="shared" si="28"/>
        <v/>
      </c>
      <c r="J905" s="39" t="str">
        <f>IFERROR(VLOOKUP(B905,'SAÍDA DE VENDAS'!$B$6:$P$500,15,FALSE),"")</f>
        <v/>
      </c>
      <c r="K905" s="34" t="str">
        <f t="shared" ca="1" si="29"/>
        <v/>
      </c>
      <c r="L905" s="34"/>
      <c r="M905" s="34"/>
    </row>
    <row r="906" spans="2:13" ht="15" customHeight="1" x14ac:dyDescent="0.3">
      <c r="B906" s="28" t="str">
        <f>IF(B905="","", IF(VALUE(LEFT(H905,FIND("/",H905)-1)) &lt; VALUE(RIGHT(H905,LEN(H905)-FIND("/",H905))), B905, IFERROR(INDEX('SAÍDA DE VENDAS'!$B$6:$B$500, MATCH(B905,'SAÍDA DE VENDAS'!$B$6:$B$500,0)+COUNTIF('SAÍDA DE VENDAS'!$B$6:$B$500, B905)),"")))</f>
        <v/>
      </c>
      <c r="C906" s="29">
        <f>IFERROR(VLOOKUP(B906,'SAÍDA DE VENDAS'!$B$6:$P$500,3,FALSE),"")</f>
        <v>0</v>
      </c>
      <c r="D906" s="28">
        <f>IFERROR(VLOOKUP(B906,'SAÍDA DE VENDAS'!$B$6:$P$500,4,FALSE),"")</f>
        <v>0</v>
      </c>
      <c r="E906" s="28" t="str">
        <f>IFERROR(VLOOKUP(B906,'SAÍDA DE VENDAS'!$B$6:$P$500,5,FALSE),"")</f>
        <v/>
      </c>
      <c r="F906" s="28" t="str">
        <f>IF(OR(ISBLANK(B906),B906=""), "", IFERROR(INDEX('SAÍDA DE VENDAS'!$H$6:$H$500 &amp; "x " &amp; 'SAÍDA DE VENDAS'!$G$6:$G$500, MATCH(B906, 'SAÍDA DE VENDAS'!$B$6:$B$500, 0)), "")&amp; IF(COUNTIF('SAÍDA DE VENDAS'!$B$6:$B$500, B906)&gt;1, " + " &amp; IFERROR(INDEX('SAÍDA DE VENDAS'!$H$6:$H$500 &amp; "x " &amp; 'SAÍDA DE VENDAS'!$G$6:$G$500, MATCH(B906, 'SAÍDA DE VENDAS'!$B$6:$B$500, 0)+1), ""), "")&amp; IF(COUNTIF('SAÍDA DE VENDAS'!$B$6:$B$500, B906)&gt;2, " + " &amp; IFERROR(INDEX('SAÍDA DE VENDAS'!$H$6:$H$500 &amp; "x " &amp; 'SAÍDA DE VENDAS'!$G$6:$G$500, MATCH(B906, 'SAÍDA DE VENDAS'!$B$6:$B$500, 0)+2), ""), "")&amp; IF(COUNTIF('SAÍDA DE VENDAS'!$B$6:$B$500, B906)&gt;3, " + " &amp; IFERROR(INDEX('SAÍDA DE VENDAS'!$H$6:$H$500 &amp; "x " &amp; 'SAÍDA DE VENDAS'!$G$6:$G$500, MATCH(B906, 'SAÍDA DE VENDAS'!$B$6:$B$500, 0)+3), ""), "")&amp; IF(COUNTIF('SAÍDA DE VENDAS'!$B$6:$B$500, B906)&gt;4, " + " &amp; IFERROR(INDEX('SAÍDA DE VENDAS'!$H$6:$H$500 &amp; "x " &amp; 'SAÍDA DE VENDAS'!$G$6:$G$500, MATCH(B906, 'SAÍDA DE VENDAS'!$B$6:$B$500, 0)+4), ""), "")&amp; IF(COUNTIF('SAÍDA DE VENDAS'!$B$6:$B$500, B906)&gt;5, " + " &amp; IFERROR(INDEX('SAÍDA DE VENDAS'!$H$6:$H$500 &amp; "x " &amp; 'SAÍDA DE VENDAS'!$G$6:$G$500, MATCH(B906, 'SAÍDA DE VENDAS'!$B$6:$B$500, 0)+5), ""), ""))</f>
        <v/>
      </c>
      <c r="G906" s="28">
        <f>IFERROR(VLOOKUP(B906,'SAÍDA DE VENDAS'!$B$6:$P$500,10,FALSE),"")</f>
        <v>0</v>
      </c>
      <c r="H906" s="28" t="str">
        <f>IF(OR(ISBLANK(B906),B906=""), "", IF(B906=B905, (VALUE(LEFT(H905,FIND("/",H905)-1))+1)&amp;"/"&amp;RIGHT(H905,LEN(H905)-FIND("/",H905)), "1/"&amp;IFERROR(VLOOKUP(B906,'SAÍDA DE VENDAS'!$B$6:$P$500,13,FALSE),"1")))</f>
        <v/>
      </c>
      <c r="I906" s="69" t="str">
        <f t="shared" si="28"/>
        <v/>
      </c>
      <c r="J906" s="33" t="str">
        <f>IFERROR(VLOOKUP(B906,'SAÍDA DE VENDAS'!$B$6:$P$500,15,FALSE),"")</f>
        <v/>
      </c>
      <c r="K906" s="28" t="str">
        <f t="shared" ca="1" si="29"/>
        <v/>
      </c>
      <c r="L906" s="28"/>
      <c r="M906" s="28"/>
    </row>
    <row r="907" spans="2:13" ht="15" customHeight="1" x14ac:dyDescent="0.3">
      <c r="B907" s="34" t="str">
        <f>IF(B906="","", IF(VALUE(LEFT(H906,FIND("/",H906)-1)) &lt; VALUE(RIGHT(H906,LEN(H906)-FIND("/",H906))), B906, IFERROR(INDEX('SAÍDA DE VENDAS'!$B$6:$B$500, MATCH(B906,'SAÍDA DE VENDAS'!$B$6:$B$500,0)+COUNTIF('SAÍDA DE VENDAS'!$B$6:$B$500, B906)),"")))</f>
        <v/>
      </c>
      <c r="C907" s="35">
        <f>IFERROR(VLOOKUP(B907,'SAÍDA DE VENDAS'!$B$6:$P$500,3,FALSE),"")</f>
        <v>0</v>
      </c>
      <c r="D907" s="34">
        <f>IFERROR(VLOOKUP(B907,'SAÍDA DE VENDAS'!$B$6:$P$500,4,FALSE),"")</f>
        <v>0</v>
      </c>
      <c r="E907" s="34" t="str">
        <f>IFERROR(VLOOKUP(B907,'SAÍDA DE VENDAS'!$B$6:$P$500,5,FALSE),"")</f>
        <v/>
      </c>
      <c r="F907" s="34" t="str">
        <f>IF(OR(ISBLANK(B907),B907=""), "", IFERROR(INDEX('SAÍDA DE VENDAS'!$H$6:$H$500 &amp; "x " &amp; 'SAÍDA DE VENDAS'!$G$6:$G$500, MATCH(B907, 'SAÍDA DE VENDAS'!$B$6:$B$500, 0)), "")&amp; IF(COUNTIF('SAÍDA DE VENDAS'!$B$6:$B$500, B907)&gt;1, " + " &amp; IFERROR(INDEX('SAÍDA DE VENDAS'!$H$6:$H$500 &amp; "x " &amp; 'SAÍDA DE VENDAS'!$G$6:$G$500, MATCH(B907, 'SAÍDA DE VENDAS'!$B$6:$B$500, 0)+1), ""), "")&amp; IF(COUNTIF('SAÍDA DE VENDAS'!$B$6:$B$500, B907)&gt;2, " + " &amp; IFERROR(INDEX('SAÍDA DE VENDAS'!$H$6:$H$500 &amp; "x " &amp; 'SAÍDA DE VENDAS'!$G$6:$G$500, MATCH(B907, 'SAÍDA DE VENDAS'!$B$6:$B$500, 0)+2), ""), "")&amp; IF(COUNTIF('SAÍDA DE VENDAS'!$B$6:$B$500, B907)&gt;3, " + " &amp; IFERROR(INDEX('SAÍDA DE VENDAS'!$H$6:$H$500 &amp; "x " &amp; 'SAÍDA DE VENDAS'!$G$6:$G$500, MATCH(B907, 'SAÍDA DE VENDAS'!$B$6:$B$500, 0)+3), ""), "")&amp; IF(COUNTIF('SAÍDA DE VENDAS'!$B$6:$B$500, B907)&gt;4, " + " &amp; IFERROR(INDEX('SAÍDA DE VENDAS'!$H$6:$H$500 &amp; "x " &amp; 'SAÍDA DE VENDAS'!$G$6:$G$500, MATCH(B907, 'SAÍDA DE VENDAS'!$B$6:$B$500, 0)+4), ""), "")&amp; IF(COUNTIF('SAÍDA DE VENDAS'!$B$6:$B$500, B907)&gt;5, " + " &amp; IFERROR(INDEX('SAÍDA DE VENDAS'!$H$6:$H$500 &amp; "x " &amp; 'SAÍDA DE VENDAS'!$G$6:$G$500, MATCH(B907, 'SAÍDA DE VENDAS'!$B$6:$B$500, 0)+5), ""), ""))</f>
        <v/>
      </c>
      <c r="G907" s="34">
        <f>IFERROR(VLOOKUP(B907,'SAÍDA DE VENDAS'!$B$6:$P$500,10,FALSE),"")</f>
        <v>0</v>
      </c>
      <c r="H907" s="34" t="str">
        <f>IF(OR(ISBLANK(B907),B907=""), "", IF(B907=B906, (VALUE(LEFT(H906,FIND("/",H906)-1))+1)&amp;"/"&amp;RIGHT(H906,LEN(H906)-FIND("/",H906)), "1/"&amp;IFERROR(VLOOKUP(B907,'SAÍDA DE VENDAS'!$B$6:$P$500,13,FALSE),"1")))</f>
        <v/>
      </c>
      <c r="I907" s="35" t="str">
        <f t="shared" si="28"/>
        <v/>
      </c>
      <c r="J907" s="39" t="str">
        <f>IFERROR(VLOOKUP(B907,'SAÍDA DE VENDAS'!$B$6:$P$500,15,FALSE),"")</f>
        <v/>
      </c>
      <c r="K907" s="34" t="str">
        <f t="shared" ca="1" si="29"/>
        <v/>
      </c>
      <c r="L907" s="34"/>
      <c r="M907" s="34"/>
    </row>
    <row r="908" spans="2:13" ht="15" customHeight="1" x14ac:dyDescent="0.3">
      <c r="B908" s="28" t="str">
        <f>IF(B907="","", IF(VALUE(LEFT(H907,FIND("/",H907)-1)) &lt; VALUE(RIGHT(H907,LEN(H907)-FIND("/",H907))), B907, IFERROR(INDEX('SAÍDA DE VENDAS'!$B$6:$B$500, MATCH(B907,'SAÍDA DE VENDAS'!$B$6:$B$500,0)+COUNTIF('SAÍDA DE VENDAS'!$B$6:$B$500, B907)),"")))</f>
        <v/>
      </c>
      <c r="C908" s="29">
        <f>IFERROR(VLOOKUP(B908,'SAÍDA DE VENDAS'!$B$6:$P$500,3,FALSE),"")</f>
        <v>0</v>
      </c>
      <c r="D908" s="28">
        <f>IFERROR(VLOOKUP(B908,'SAÍDA DE VENDAS'!$B$6:$P$500,4,FALSE),"")</f>
        <v>0</v>
      </c>
      <c r="E908" s="28" t="str">
        <f>IFERROR(VLOOKUP(B908,'SAÍDA DE VENDAS'!$B$6:$P$500,5,FALSE),"")</f>
        <v/>
      </c>
      <c r="F908" s="28" t="str">
        <f>IF(OR(ISBLANK(B908),B908=""), "", IFERROR(INDEX('SAÍDA DE VENDAS'!$H$6:$H$500 &amp; "x " &amp; 'SAÍDA DE VENDAS'!$G$6:$G$500, MATCH(B908, 'SAÍDA DE VENDAS'!$B$6:$B$500, 0)), "")&amp; IF(COUNTIF('SAÍDA DE VENDAS'!$B$6:$B$500, B908)&gt;1, " + " &amp; IFERROR(INDEX('SAÍDA DE VENDAS'!$H$6:$H$500 &amp; "x " &amp; 'SAÍDA DE VENDAS'!$G$6:$G$500, MATCH(B908, 'SAÍDA DE VENDAS'!$B$6:$B$500, 0)+1), ""), "")&amp; IF(COUNTIF('SAÍDA DE VENDAS'!$B$6:$B$500, B908)&gt;2, " + " &amp; IFERROR(INDEX('SAÍDA DE VENDAS'!$H$6:$H$500 &amp; "x " &amp; 'SAÍDA DE VENDAS'!$G$6:$G$500, MATCH(B908, 'SAÍDA DE VENDAS'!$B$6:$B$500, 0)+2), ""), "")&amp; IF(COUNTIF('SAÍDA DE VENDAS'!$B$6:$B$500, B908)&gt;3, " + " &amp; IFERROR(INDEX('SAÍDA DE VENDAS'!$H$6:$H$500 &amp; "x " &amp; 'SAÍDA DE VENDAS'!$G$6:$G$500, MATCH(B908, 'SAÍDA DE VENDAS'!$B$6:$B$500, 0)+3), ""), "")&amp; IF(COUNTIF('SAÍDA DE VENDAS'!$B$6:$B$500, B908)&gt;4, " + " &amp; IFERROR(INDEX('SAÍDA DE VENDAS'!$H$6:$H$500 &amp; "x " &amp; 'SAÍDA DE VENDAS'!$G$6:$G$500, MATCH(B908, 'SAÍDA DE VENDAS'!$B$6:$B$500, 0)+4), ""), "")&amp; IF(COUNTIF('SAÍDA DE VENDAS'!$B$6:$B$500, B908)&gt;5, " + " &amp; IFERROR(INDEX('SAÍDA DE VENDAS'!$H$6:$H$500 &amp; "x " &amp; 'SAÍDA DE VENDAS'!$G$6:$G$500, MATCH(B908, 'SAÍDA DE VENDAS'!$B$6:$B$500, 0)+5), ""), ""))</f>
        <v/>
      </c>
      <c r="G908" s="28">
        <f>IFERROR(VLOOKUP(B908,'SAÍDA DE VENDAS'!$B$6:$P$500,10,FALSE),"")</f>
        <v>0</v>
      </c>
      <c r="H908" s="28" t="str">
        <f>IF(OR(ISBLANK(B908),B908=""), "", IF(B908=B907, (VALUE(LEFT(H907,FIND("/",H907)-1))+1)&amp;"/"&amp;RIGHT(H907,LEN(H907)-FIND("/",H907)), "1/"&amp;IFERROR(VLOOKUP(B908,'SAÍDA DE VENDAS'!$B$6:$P$500,13,FALSE),"1")))</f>
        <v/>
      </c>
      <c r="I908" s="69" t="str">
        <f t="shared" si="28"/>
        <v/>
      </c>
      <c r="J908" s="33" t="str">
        <f>IFERROR(VLOOKUP(B908,'SAÍDA DE VENDAS'!$B$6:$P$500,15,FALSE),"")</f>
        <v/>
      </c>
      <c r="K908" s="28" t="str">
        <f t="shared" ca="1" si="29"/>
        <v/>
      </c>
      <c r="L908" s="28"/>
      <c r="M908" s="28"/>
    </row>
    <row r="909" spans="2:13" ht="15" customHeight="1" x14ac:dyDescent="0.3">
      <c r="B909" s="34" t="str">
        <f>IF(B908="","", IF(VALUE(LEFT(H908,FIND("/",H908)-1)) &lt; VALUE(RIGHT(H908,LEN(H908)-FIND("/",H908))), B908, IFERROR(INDEX('SAÍDA DE VENDAS'!$B$6:$B$500, MATCH(B908,'SAÍDA DE VENDAS'!$B$6:$B$500,0)+COUNTIF('SAÍDA DE VENDAS'!$B$6:$B$500, B908)),"")))</f>
        <v/>
      </c>
      <c r="C909" s="35">
        <f>IFERROR(VLOOKUP(B909,'SAÍDA DE VENDAS'!$B$6:$P$500,3,FALSE),"")</f>
        <v>0</v>
      </c>
      <c r="D909" s="34">
        <f>IFERROR(VLOOKUP(B909,'SAÍDA DE VENDAS'!$B$6:$P$500,4,FALSE),"")</f>
        <v>0</v>
      </c>
      <c r="E909" s="34" t="str">
        <f>IFERROR(VLOOKUP(B909,'SAÍDA DE VENDAS'!$B$6:$P$500,5,FALSE),"")</f>
        <v/>
      </c>
      <c r="F909" s="34" t="str">
        <f>IF(OR(ISBLANK(B909),B909=""), "", IFERROR(INDEX('SAÍDA DE VENDAS'!$H$6:$H$500 &amp; "x " &amp; 'SAÍDA DE VENDAS'!$G$6:$G$500, MATCH(B909, 'SAÍDA DE VENDAS'!$B$6:$B$500, 0)), "")&amp; IF(COUNTIF('SAÍDA DE VENDAS'!$B$6:$B$500, B909)&gt;1, " + " &amp; IFERROR(INDEX('SAÍDA DE VENDAS'!$H$6:$H$500 &amp; "x " &amp; 'SAÍDA DE VENDAS'!$G$6:$G$500, MATCH(B909, 'SAÍDA DE VENDAS'!$B$6:$B$500, 0)+1), ""), "")&amp; IF(COUNTIF('SAÍDA DE VENDAS'!$B$6:$B$500, B909)&gt;2, " + " &amp; IFERROR(INDEX('SAÍDA DE VENDAS'!$H$6:$H$500 &amp; "x " &amp; 'SAÍDA DE VENDAS'!$G$6:$G$500, MATCH(B909, 'SAÍDA DE VENDAS'!$B$6:$B$500, 0)+2), ""), "")&amp; IF(COUNTIF('SAÍDA DE VENDAS'!$B$6:$B$500, B909)&gt;3, " + " &amp; IFERROR(INDEX('SAÍDA DE VENDAS'!$H$6:$H$500 &amp; "x " &amp; 'SAÍDA DE VENDAS'!$G$6:$G$500, MATCH(B909, 'SAÍDA DE VENDAS'!$B$6:$B$500, 0)+3), ""), "")&amp; IF(COUNTIF('SAÍDA DE VENDAS'!$B$6:$B$500, B909)&gt;4, " + " &amp; IFERROR(INDEX('SAÍDA DE VENDAS'!$H$6:$H$500 &amp; "x " &amp; 'SAÍDA DE VENDAS'!$G$6:$G$500, MATCH(B909, 'SAÍDA DE VENDAS'!$B$6:$B$500, 0)+4), ""), "")&amp; IF(COUNTIF('SAÍDA DE VENDAS'!$B$6:$B$500, B909)&gt;5, " + " &amp; IFERROR(INDEX('SAÍDA DE VENDAS'!$H$6:$H$500 &amp; "x " &amp; 'SAÍDA DE VENDAS'!$G$6:$G$500, MATCH(B909, 'SAÍDA DE VENDAS'!$B$6:$B$500, 0)+5), ""), ""))</f>
        <v/>
      </c>
      <c r="G909" s="34">
        <f>IFERROR(VLOOKUP(B909,'SAÍDA DE VENDAS'!$B$6:$P$500,10,FALSE),"")</f>
        <v>0</v>
      </c>
      <c r="H909" s="34" t="str">
        <f>IF(OR(ISBLANK(B909),B909=""), "", IF(B909=B908, (VALUE(LEFT(H908,FIND("/",H908)-1))+1)&amp;"/"&amp;RIGHT(H908,LEN(H908)-FIND("/",H908)), "1/"&amp;IFERROR(VLOOKUP(B909,'SAÍDA DE VENDAS'!$B$6:$P$500,13,FALSE),"1")))</f>
        <v/>
      </c>
      <c r="I909" s="35" t="str">
        <f t="shared" si="28"/>
        <v/>
      </c>
      <c r="J909" s="39" t="str">
        <f>IFERROR(VLOOKUP(B909,'SAÍDA DE VENDAS'!$B$6:$P$500,15,FALSE),"")</f>
        <v/>
      </c>
      <c r="K909" s="34" t="str">
        <f t="shared" ca="1" si="29"/>
        <v/>
      </c>
      <c r="L909" s="34"/>
      <c r="M909" s="34"/>
    </row>
    <row r="910" spans="2:13" ht="15" customHeight="1" x14ac:dyDescent="0.3">
      <c r="B910" s="28" t="str">
        <f>IF(B909="","", IF(VALUE(LEFT(H909,FIND("/",H909)-1)) &lt; VALUE(RIGHT(H909,LEN(H909)-FIND("/",H909))), B909, IFERROR(INDEX('SAÍDA DE VENDAS'!$B$6:$B$500, MATCH(B909,'SAÍDA DE VENDAS'!$B$6:$B$500,0)+COUNTIF('SAÍDA DE VENDAS'!$B$6:$B$500, B909)),"")))</f>
        <v/>
      </c>
      <c r="C910" s="29">
        <f>IFERROR(VLOOKUP(B910,'SAÍDA DE VENDAS'!$B$6:$P$500,3,FALSE),"")</f>
        <v>0</v>
      </c>
      <c r="D910" s="28">
        <f>IFERROR(VLOOKUP(B910,'SAÍDA DE VENDAS'!$B$6:$P$500,4,FALSE),"")</f>
        <v>0</v>
      </c>
      <c r="E910" s="28" t="str">
        <f>IFERROR(VLOOKUP(B910,'SAÍDA DE VENDAS'!$B$6:$P$500,5,FALSE),"")</f>
        <v/>
      </c>
      <c r="F910" s="28" t="str">
        <f>IF(OR(ISBLANK(B910),B910=""), "", IFERROR(INDEX('SAÍDA DE VENDAS'!$H$6:$H$500 &amp; "x " &amp; 'SAÍDA DE VENDAS'!$G$6:$G$500, MATCH(B910, 'SAÍDA DE VENDAS'!$B$6:$B$500, 0)), "")&amp; IF(COUNTIF('SAÍDA DE VENDAS'!$B$6:$B$500, B910)&gt;1, " + " &amp; IFERROR(INDEX('SAÍDA DE VENDAS'!$H$6:$H$500 &amp; "x " &amp; 'SAÍDA DE VENDAS'!$G$6:$G$500, MATCH(B910, 'SAÍDA DE VENDAS'!$B$6:$B$500, 0)+1), ""), "")&amp; IF(COUNTIF('SAÍDA DE VENDAS'!$B$6:$B$500, B910)&gt;2, " + " &amp; IFERROR(INDEX('SAÍDA DE VENDAS'!$H$6:$H$500 &amp; "x " &amp; 'SAÍDA DE VENDAS'!$G$6:$G$500, MATCH(B910, 'SAÍDA DE VENDAS'!$B$6:$B$500, 0)+2), ""), "")&amp; IF(COUNTIF('SAÍDA DE VENDAS'!$B$6:$B$500, B910)&gt;3, " + " &amp; IFERROR(INDEX('SAÍDA DE VENDAS'!$H$6:$H$500 &amp; "x " &amp; 'SAÍDA DE VENDAS'!$G$6:$G$500, MATCH(B910, 'SAÍDA DE VENDAS'!$B$6:$B$500, 0)+3), ""), "")&amp; IF(COUNTIF('SAÍDA DE VENDAS'!$B$6:$B$500, B910)&gt;4, " + " &amp; IFERROR(INDEX('SAÍDA DE VENDAS'!$H$6:$H$500 &amp; "x " &amp; 'SAÍDA DE VENDAS'!$G$6:$G$500, MATCH(B910, 'SAÍDA DE VENDAS'!$B$6:$B$500, 0)+4), ""), "")&amp; IF(COUNTIF('SAÍDA DE VENDAS'!$B$6:$B$500, B910)&gt;5, " + " &amp; IFERROR(INDEX('SAÍDA DE VENDAS'!$H$6:$H$500 &amp; "x " &amp; 'SAÍDA DE VENDAS'!$G$6:$G$500, MATCH(B910, 'SAÍDA DE VENDAS'!$B$6:$B$500, 0)+5), ""), ""))</f>
        <v/>
      </c>
      <c r="G910" s="28">
        <f>IFERROR(VLOOKUP(B910,'SAÍDA DE VENDAS'!$B$6:$P$500,10,FALSE),"")</f>
        <v>0</v>
      </c>
      <c r="H910" s="28" t="str">
        <f>IF(OR(ISBLANK(B910),B910=""), "", IF(B910=B909, (VALUE(LEFT(H909,FIND("/",H909)-1))+1)&amp;"/"&amp;RIGHT(H909,LEN(H909)-FIND("/",H909)), "1/"&amp;IFERROR(VLOOKUP(B910,'SAÍDA DE VENDAS'!$B$6:$P$500,13,FALSE),"1")))</f>
        <v/>
      </c>
      <c r="I910" s="69" t="str">
        <f t="shared" si="28"/>
        <v/>
      </c>
      <c r="J910" s="33" t="str">
        <f>IFERROR(VLOOKUP(B910,'SAÍDA DE VENDAS'!$B$6:$P$500,15,FALSE),"")</f>
        <v/>
      </c>
      <c r="K910" s="28" t="str">
        <f t="shared" ca="1" si="29"/>
        <v/>
      </c>
      <c r="L910" s="28"/>
      <c r="M910" s="28"/>
    </row>
    <row r="911" spans="2:13" ht="15" customHeight="1" x14ac:dyDescent="0.3">
      <c r="B911" s="34" t="str">
        <f>IF(B910="","", IF(VALUE(LEFT(H910,FIND("/",H910)-1)) &lt; VALUE(RIGHT(H910,LEN(H910)-FIND("/",H910))), B910, IFERROR(INDEX('SAÍDA DE VENDAS'!$B$6:$B$500, MATCH(B910,'SAÍDA DE VENDAS'!$B$6:$B$500,0)+COUNTIF('SAÍDA DE VENDAS'!$B$6:$B$500, B910)),"")))</f>
        <v/>
      </c>
      <c r="C911" s="35">
        <f>IFERROR(VLOOKUP(B911,'SAÍDA DE VENDAS'!$B$6:$P$500,3,FALSE),"")</f>
        <v>0</v>
      </c>
      <c r="D911" s="34">
        <f>IFERROR(VLOOKUP(B911,'SAÍDA DE VENDAS'!$B$6:$P$500,4,FALSE),"")</f>
        <v>0</v>
      </c>
      <c r="E911" s="34" t="str">
        <f>IFERROR(VLOOKUP(B911,'SAÍDA DE VENDAS'!$B$6:$P$500,5,FALSE),"")</f>
        <v/>
      </c>
      <c r="F911" s="34" t="str">
        <f>IF(OR(ISBLANK(B911),B911=""), "", IFERROR(INDEX('SAÍDA DE VENDAS'!$H$6:$H$500 &amp; "x " &amp; 'SAÍDA DE VENDAS'!$G$6:$G$500, MATCH(B911, 'SAÍDA DE VENDAS'!$B$6:$B$500, 0)), "")&amp; IF(COUNTIF('SAÍDA DE VENDAS'!$B$6:$B$500, B911)&gt;1, " + " &amp; IFERROR(INDEX('SAÍDA DE VENDAS'!$H$6:$H$500 &amp; "x " &amp; 'SAÍDA DE VENDAS'!$G$6:$G$500, MATCH(B911, 'SAÍDA DE VENDAS'!$B$6:$B$500, 0)+1), ""), "")&amp; IF(COUNTIF('SAÍDA DE VENDAS'!$B$6:$B$500, B911)&gt;2, " + " &amp; IFERROR(INDEX('SAÍDA DE VENDAS'!$H$6:$H$500 &amp; "x " &amp; 'SAÍDA DE VENDAS'!$G$6:$G$500, MATCH(B911, 'SAÍDA DE VENDAS'!$B$6:$B$500, 0)+2), ""), "")&amp; IF(COUNTIF('SAÍDA DE VENDAS'!$B$6:$B$500, B911)&gt;3, " + " &amp; IFERROR(INDEX('SAÍDA DE VENDAS'!$H$6:$H$500 &amp; "x " &amp; 'SAÍDA DE VENDAS'!$G$6:$G$500, MATCH(B911, 'SAÍDA DE VENDAS'!$B$6:$B$500, 0)+3), ""), "")&amp; IF(COUNTIF('SAÍDA DE VENDAS'!$B$6:$B$500, B911)&gt;4, " + " &amp; IFERROR(INDEX('SAÍDA DE VENDAS'!$H$6:$H$500 &amp; "x " &amp; 'SAÍDA DE VENDAS'!$G$6:$G$500, MATCH(B911, 'SAÍDA DE VENDAS'!$B$6:$B$500, 0)+4), ""), "")&amp; IF(COUNTIF('SAÍDA DE VENDAS'!$B$6:$B$500, B911)&gt;5, " + " &amp; IFERROR(INDEX('SAÍDA DE VENDAS'!$H$6:$H$500 &amp; "x " &amp; 'SAÍDA DE VENDAS'!$G$6:$G$500, MATCH(B911, 'SAÍDA DE VENDAS'!$B$6:$B$500, 0)+5), ""), ""))</f>
        <v/>
      </c>
      <c r="G911" s="34">
        <f>IFERROR(VLOOKUP(B911,'SAÍDA DE VENDAS'!$B$6:$P$500,10,FALSE),"")</f>
        <v>0</v>
      </c>
      <c r="H911" s="34" t="str">
        <f>IF(OR(ISBLANK(B911),B911=""), "", IF(B911=B910, (VALUE(LEFT(H910,FIND("/",H910)-1))+1)&amp;"/"&amp;RIGHT(H910,LEN(H910)-FIND("/",H910)), "1/"&amp;IFERROR(VLOOKUP(B911,'SAÍDA DE VENDAS'!$B$6:$P$500,13,FALSE),"1")))</f>
        <v/>
      </c>
      <c r="I911" s="35" t="str">
        <f t="shared" si="28"/>
        <v/>
      </c>
      <c r="J911" s="39" t="str">
        <f>IFERROR(VLOOKUP(B911,'SAÍDA DE VENDAS'!$B$6:$P$500,15,FALSE),"")</f>
        <v/>
      </c>
      <c r="K911" s="34" t="str">
        <f t="shared" ca="1" si="29"/>
        <v/>
      </c>
      <c r="L911" s="34"/>
      <c r="M911" s="34"/>
    </row>
    <row r="912" spans="2:13" ht="15" customHeight="1" x14ac:dyDescent="0.3">
      <c r="B912" s="28" t="str">
        <f>IF(B911="","", IF(VALUE(LEFT(H911,FIND("/",H911)-1)) &lt; VALUE(RIGHT(H911,LEN(H911)-FIND("/",H911))), B911, IFERROR(INDEX('SAÍDA DE VENDAS'!$B$6:$B$500, MATCH(B911,'SAÍDA DE VENDAS'!$B$6:$B$500,0)+COUNTIF('SAÍDA DE VENDAS'!$B$6:$B$500, B911)),"")))</f>
        <v/>
      </c>
      <c r="C912" s="29">
        <f>IFERROR(VLOOKUP(B912,'SAÍDA DE VENDAS'!$B$6:$P$500,3,FALSE),"")</f>
        <v>0</v>
      </c>
      <c r="D912" s="28">
        <f>IFERROR(VLOOKUP(B912,'SAÍDA DE VENDAS'!$B$6:$P$500,4,FALSE),"")</f>
        <v>0</v>
      </c>
      <c r="E912" s="28" t="str">
        <f>IFERROR(VLOOKUP(B912,'SAÍDA DE VENDAS'!$B$6:$P$500,5,FALSE),"")</f>
        <v/>
      </c>
      <c r="F912" s="28" t="str">
        <f>IF(OR(ISBLANK(B912),B912=""), "", IFERROR(INDEX('SAÍDA DE VENDAS'!$H$6:$H$500 &amp; "x " &amp; 'SAÍDA DE VENDAS'!$G$6:$G$500, MATCH(B912, 'SAÍDA DE VENDAS'!$B$6:$B$500, 0)), "")&amp; IF(COUNTIF('SAÍDA DE VENDAS'!$B$6:$B$500, B912)&gt;1, " + " &amp; IFERROR(INDEX('SAÍDA DE VENDAS'!$H$6:$H$500 &amp; "x " &amp; 'SAÍDA DE VENDAS'!$G$6:$G$500, MATCH(B912, 'SAÍDA DE VENDAS'!$B$6:$B$500, 0)+1), ""), "")&amp; IF(COUNTIF('SAÍDA DE VENDAS'!$B$6:$B$500, B912)&gt;2, " + " &amp; IFERROR(INDEX('SAÍDA DE VENDAS'!$H$6:$H$500 &amp; "x " &amp; 'SAÍDA DE VENDAS'!$G$6:$G$500, MATCH(B912, 'SAÍDA DE VENDAS'!$B$6:$B$500, 0)+2), ""), "")&amp; IF(COUNTIF('SAÍDA DE VENDAS'!$B$6:$B$500, B912)&gt;3, " + " &amp; IFERROR(INDEX('SAÍDA DE VENDAS'!$H$6:$H$500 &amp; "x " &amp; 'SAÍDA DE VENDAS'!$G$6:$G$500, MATCH(B912, 'SAÍDA DE VENDAS'!$B$6:$B$500, 0)+3), ""), "")&amp; IF(COUNTIF('SAÍDA DE VENDAS'!$B$6:$B$500, B912)&gt;4, " + " &amp; IFERROR(INDEX('SAÍDA DE VENDAS'!$H$6:$H$500 &amp; "x " &amp; 'SAÍDA DE VENDAS'!$G$6:$G$500, MATCH(B912, 'SAÍDA DE VENDAS'!$B$6:$B$500, 0)+4), ""), "")&amp; IF(COUNTIF('SAÍDA DE VENDAS'!$B$6:$B$500, B912)&gt;5, " + " &amp; IFERROR(INDEX('SAÍDA DE VENDAS'!$H$6:$H$500 &amp; "x " &amp; 'SAÍDA DE VENDAS'!$G$6:$G$500, MATCH(B912, 'SAÍDA DE VENDAS'!$B$6:$B$500, 0)+5), ""), ""))</f>
        <v/>
      </c>
      <c r="G912" s="28">
        <f>IFERROR(VLOOKUP(B912,'SAÍDA DE VENDAS'!$B$6:$P$500,10,FALSE),"")</f>
        <v>0</v>
      </c>
      <c r="H912" s="28" t="str">
        <f>IF(OR(ISBLANK(B912),B912=""), "", IF(B912=B911, (VALUE(LEFT(H911,FIND("/",H911)-1))+1)&amp;"/"&amp;RIGHT(H911,LEN(H911)-FIND("/",H911)), "1/"&amp;IFERROR(VLOOKUP(B912,'SAÍDA DE VENDAS'!$B$6:$P$500,13,FALSE),"1")))</f>
        <v/>
      </c>
      <c r="I912" s="69" t="str">
        <f t="shared" si="28"/>
        <v/>
      </c>
      <c r="J912" s="33" t="str">
        <f>IFERROR(VLOOKUP(B912,'SAÍDA DE VENDAS'!$B$6:$P$500,15,FALSE),"")</f>
        <v/>
      </c>
      <c r="K912" s="28" t="str">
        <f t="shared" ca="1" si="29"/>
        <v/>
      </c>
      <c r="L912" s="28"/>
      <c r="M912" s="28"/>
    </row>
    <row r="913" spans="2:13" ht="15" customHeight="1" x14ac:dyDescent="0.3">
      <c r="B913" s="34" t="str">
        <f>IF(B912="","", IF(VALUE(LEFT(H912,FIND("/",H912)-1)) &lt; VALUE(RIGHT(H912,LEN(H912)-FIND("/",H912))), B912, IFERROR(INDEX('SAÍDA DE VENDAS'!$B$6:$B$500, MATCH(B912,'SAÍDA DE VENDAS'!$B$6:$B$500,0)+COUNTIF('SAÍDA DE VENDAS'!$B$6:$B$500, B912)),"")))</f>
        <v/>
      </c>
      <c r="C913" s="35">
        <f>IFERROR(VLOOKUP(B913,'SAÍDA DE VENDAS'!$B$6:$P$500,3,FALSE),"")</f>
        <v>0</v>
      </c>
      <c r="D913" s="34">
        <f>IFERROR(VLOOKUP(B913,'SAÍDA DE VENDAS'!$B$6:$P$500,4,FALSE),"")</f>
        <v>0</v>
      </c>
      <c r="E913" s="34" t="str">
        <f>IFERROR(VLOOKUP(B913,'SAÍDA DE VENDAS'!$B$6:$P$500,5,FALSE),"")</f>
        <v/>
      </c>
      <c r="F913" s="34" t="str">
        <f>IF(OR(ISBLANK(B913),B913=""), "", IFERROR(INDEX('SAÍDA DE VENDAS'!$H$6:$H$500 &amp; "x " &amp; 'SAÍDA DE VENDAS'!$G$6:$G$500, MATCH(B913, 'SAÍDA DE VENDAS'!$B$6:$B$500, 0)), "")&amp; IF(COUNTIF('SAÍDA DE VENDAS'!$B$6:$B$500, B913)&gt;1, " + " &amp; IFERROR(INDEX('SAÍDA DE VENDAS'!$H$6:$H$500 &amp; "x " &amp; 'SAÍDA DE VENDAS'!$G$6:$G$500, MATCH(B913, 'SAÍDA DE VENDAS'!$B$6:$B$500, 0)+1), ""), "")&amp; IF(COUNTIF('SAÍDA DE VENDAS'!$B$6:$B$500, B913)&gt;2, " + " &amp; IFERROR(INDEX('SAÍDA DE VENDAS'!$H$6:$H$500 &amp; "x " &amp; 'SAÍDA DE VENDAS'!$G$6:$G$500, MATCH(B913, 'SAÍDA DE VENDAS'!$B$6:$B$500, 0)+2), ""), "")&amp; IF(COUNTIF('SAÍDA DE VENDAS'!$B$6:$B$500, B913)&gt;3, " + " &amp; IFERROR(INDEX('SAÍDA DE VENDAS'!$H$6:$H$500 &amp; "x " &amp; 'SAÍDA DE VENDAS'!$G$6:$G$500, MATCH(B913, 'SAÍDA DE VENDAS'!$B$6:$B$500, 0)+3), ""), "")&amp; IF(COUNTIF('SAÍDA DE VENDAS'!$B$6:$B$500, B913)&gt;4, " + " &amp; IFERROR(INDEX('SAÍDA DE VENDAS'!$H$6:$H$500 &amp; "x " &amp; 'SAÍDA DE VENDAS'!$G$6:$G$500, MATCH(B913, 'SAÍDA DE VENDAS'!$B$6:$B$500, 0)+4), ""), "")&amp; IF(COUNTIF('SAÍDA DE VENDAS'!$B$6:$B$500, B913)&gt;5, " + " &amp; IFERROR(INDEX('SAÍDA DE VENDAS'!$H$6:$H$500 &amp; "x " &amp; 'SAÍDA DE VENDAS'!$G$6:$G$500, MATCH(B913, 'SAÍDA DE VENDAS'!$B$6:$B$500, 0)+5), ""), ""))</f>
        <v/>
      </c>
      <c r="G913" s="34">
        <f>IFERROR(VLOOKUP(B913,'SAÍDA DE VENDAS'!$B$6:$P$500,10,FALSE),"")</f>
        <v>0</v>
      </c>
      <c r="H913" s="34" t="str">
        <f>IF(OR(ISBLANK(B913),B913=""), "", IF(B913=B912, (VALUE(LEFT(H912,FIND("/",H912)-1))+1)&amp;"/"&amp;RIGHT(H912,LEN(H912)-FIND("/",H912)), "1/"&amp;IFERROR(VLOOKUP(B913,'SAÍDA DE VENDAS'!$B$6:$P$500,13,FALSE),"1")))</f>
        <v/>
      </c>
      <c r="I913" s="35" t="str">
        <f t="shared" si="28"/>
        <v/>
      </c>
      <c r="J913" s="39" t="str">
        <f>IFERROR(VLOOKUP(B913,'SAÍDA DE VENDAS'!$B$6:$P$500,15,FALSE),"")</f>
        <v/>
      </c>
      <c r="K913" s="34" t="str">
        <f t="shared" ca="1" si="29"/>
        <v/>
      </c>
      <c r="L913" s="34"/>
      <c r="M913" s="34"/>
    </row>
    <row r="914" spans="2:13" ht="15" customHeight="1" x14ac:dyDescent="0.3">
      <c r="B914" s="28" t="str">
        <f>IF(B913="","", IF(VALUE(LEFT(H913,FIND("/",H913)-1)) &lt; VALUE(RIGHT(H913,LEN(H913)-FIND("/",H913))), B913, IFERROR(INDEX('SAÍDA DE VENDAS'!$B$6:$B$500, MATCH(B913,'SAÍDA DE VENDAS'!$B$6:$B$500,0)+COUNTIF('SAÍDA DE VENDAS'!$B$6:$B$500, B913)),"")))</f>
        <v/>
      </c>
      <c r="C914" s="29">
        <f>IFERROR(VLOOKUP(B914,'SAÍDA DE VENDAS'!$B$6:$P$500,3,FALSE),"")</f>
        <v>0</v>
      </c>
      <c r="D914" s="28">
        <f>IFERROR(VLOOKUP(B914,'SAÍDA DE VENDAS'!$B$6:$P$500,4,FALSE),"")</f>
        <v>0</v>
      </c>
      <c r="E914" s="28" t="str">
        <f>IFERROR(VLOOKUP(B914,'SAÍDA DE VENDAS'!$B$6:$P$500,5,FALSE),"")</f>
        <v/>
      </c>
      <c r="F914" s="28" t="str">
        <f>IF(OR(ISBLANK(B914),B914=""), "", IFERROR(INDEX('SAÍDA DE VENDAS'!$H$6:$H$500 &amp; "x " &amp; 'SAÍDA DE VENDAS'!$G$6:$G$500, MATCH(B914, 'SAÍDA DE VENDAS'!$B$6:$B$500, 0)), "")&amp; IF(COUNTIF('SAÍDA DE VENDAS'!$B$6:$B$500, B914)&gt;1, " + " &amp; IFERROR(INDEX('SAÍDA DE VENDAS'!$H$6:$H$500 &amp; "x " &amp; 'SAÍDA DE VENDAS'!$G$6:$G$500, MATCH(B914, 'SAÍDA DE VENDAS'!$B$6:$B$500, 0)+1), ""), "")&amp; IF(COUNTIF('SAÍDA DE VENDAS'!$B$6:$B$500, B914)&gt;2, " + " &amp; IFERROR(INDEX('SAÍDA DE VENDAS'!$H$6:$H$500 &amp; "x " &amp; 'SAÍDA DE VENDAS'!$G$6:$G$500, MATCH(B914, 'SAÍDA DE VENDAS'!$B$6:$B$500, 0)+2), ""), "")&amp; IF(COUNTIF('SAÍDA DE VENDAS'!$B$6:$B$500, B914)&gt;3, " + " &amp; IFERROR(INDEX('SAÍDA DE VENDAS'!$H$6:$H$500 &amp; "x " &amp; 'SAÍDA DE VENDAS'!$G$6:$G$500, MATCH(B914, 'SAÍDA DE VENDAS'!$B$6:$B$500, 0)+3), ""), "")&amp; IF(COUNTIF('SAÍDA DE VENDAS'!$B$6:$B$500, B914)&gt;4, " + " &amp; IFERROR(INDEX('SAÍDA DE VENDAS'!$H$6:$H$500 &amp; "x " &amp; 'SAÍDA DE VENDAS'!$G$6:$G$500, MATCH(B914, 'SAÍDA DE VENDAS'!$B$6:$B$500, 0)+4), ""), "")&amp; IF(COUNTIF('SAÍDA DE VENDAS'!$B$6:$B$500, B914)&gt;5, " + " &amp; IFERROR(INDEX('SAÍDA DE VENDAS'!$H$6:$H$500 &amp; "x " &amp; 'SAÍDA DE VENDAS'!$G$6:$G$500, MATCH(B914, 'SAÍDA DE VENDAS'!$B$6:$B$500, 0)+5), ""), ""))</f>
        <v/>
      </c>
      <c r="G914" s="28">
        <f>IFERROR(VLOOKUP(B914,'SAÍDA DE VENDAS'!$B$6:$P$500,10,FALSE),"")</f>
        <v>0</v>
      </c>
      <c r="H914" s="28" t="str">
        <f>IF(OR(ISBLANK(B914),B914=""), "", IF(B914=B913, (VALUE(LEFT(H913,FIND("/",H913)-1))+1)&amp;"/"&amp;RIGHT(H913,LEN(H913)-FIND("/",H913)), "1/"&amp;IFERROR(VLOOKUP(B914,'SAÍDA DE VENDAS'!$B$6:$P$500,13,FALSE),"1")))</f>
        <v/>
      </c>
      <c r="I914" s="69" t="str">
        <f t="shared" si="28"/>
        <v/>
      </c>
      <c r="J914" s="33" t="str">
        <f>IFERROR(VLOOKUP(B914,'SAÍDA DE VENDAS'!$B$6:$P$500,15,FALSE),"")</f>
        <v/>
      </c>
      <c r="K914" s="28" t="str">
        <f t="shared" ca="1" si="29"/>
        <v/>
      </c>
      <c r="L914" s="28"/>
      <c r="M914" s="28"/>
    </row>
    <row r="915" spans="2:13" ht="15" customHeight="1" x14ac:dyDescent="0.3">
      <c r="B915" s="34" t="str">
        <f>IF(B914="","", IF(VALUE(LEFT(H914,FIND("/",H914)-1)) &lt; VALUE(RIGHT(H914,LEN(H914)-FIND("/",H914))), B914, IFERROR(INDEX('SAÍDA DE VENDAS'!$B$6:$B$500, MATCH(B914,'SAÍDA DE VENDAS'!$B$6:$B$500,0)+COUNTIF('SAÍDA DE VENDAS'!$B$6:$B$500, B914)),"")))</f>
        <v/>
      </c>
      <c r="C915" s="35">
        <f>IFERROR(VLOOKUP(B915,'SAÍDA DE VENDAS'!$B$6:$P$500,3,FALSE),"")</f>
        <v>0</v>
      </c>
      <c r="D915" s="34">
        <f>IFERROR(VLOOKUP(B915,'SAÍDA DE VENDAS'!$B$6:$P$500,4,FALSE),"")</f>
        <v>0</v>
      </c>
      <c r="E915" s="34" t="str">
        <f>IFERROR(VLOOKUP(B915,'SAÍDA DE VENDAS'!$B$6:$P$500,5,FALSE),"")</f>
        <v/>
      </c>
      <c r="F915" s="34" t="str">
        <f>IF(OR(ISBLANK(B915),B915=""), "", IFERROR(INDEX('SAÍDA DE VENDAS'!$H$6:$H$500 &amp; "x " &amp; 'SAÍDA DE VENDAS'!$G$6:$G$500, MATCH(B915, 'SAÍDA DE VENDAS'!$B$6:$B$500, 0)), "")&amp; IF(COUNTIF('SAÍDA DE VENDAS'!$B$6:$B$500, B915)&gt;1, " + " &amp; IFERROR(INDEX('SAÍDA DE VENDAS'!$H$6:$H$500 &amp; "x " &amp; 'SAÍDA DE VENDAS'!$G$6:$G$500, MATCH(B915, 'SAÍDA DE VENDAS'!$B$6:$B$500, 0)+1), ""), "")&amp; IF(COUNTIF('SAÍDA DE VENDAS'!$B$6:$B$500, B915)&gt;2, " + " &amp; IFERROR(INDEX('SAÍDA DE VENDAS'!$H$6:$H$500 &amp; "x " &amp; 'SAÍDA DE VENDAS'!$G$6:$G$500, MATCH(B915, 'SAÍDA DE VENDAS'!$B$6:$B$500, 0)+2), ""), "")&amp; IF(COUNTIF('SAÍDA DE VENDAS'!$B$6:$B$500, B915)&gt;3, " + " &amp; IFERROR(INDEX('SAÍDA DE VENDAS'!$H$6:$H$500 &amp; "x " &amp; 'SAÍDA DE VENDAS'!$G$6:$G$500, MATCH(B915, 'SAÍDA DE VENDAS'!$B$6:$B$500, 0)+3), ""), "")&amp; IF(COUNTIF('SAÍDA DE VENDAS'!$B$6:$B$500, B915)&gt;4, " + " &amp; IFERROR(INDEX('SAÍDA DE VENDAS'!$H$6:$H$500 &amp; "x " &amp; 'SAÍDA DE VENDAS'!$G$6:$G$500, MATCH(B915, 'SAÍDA DE VENDAS'!$B$6:$B$500, 0)+4), ""), "")&amp; IF(COUNTIF('SAÍDA DE VENDAS'!$B$6:$B$500, B915)&gt;5, " + " &amp; IFERROR(INDEX('SAÍDA DE VENDAS'!$H$6:$H$500 &amp; "x " &amp; 'SAÍDA DE VENDAS'!$G$6:$G$500, MATCH(B915, 'SAÍDA DE VENDAS'!$B$6:$B$500, 0)+5), ""), ""))</f>
        <v/>
      </c>
      <c r="G915" s="34">
        <f>IFERROR(VLOOKUP(B915,'SAÍDA DE VENDAS'!$B$6:$P$500,10,FALSE),"")</f>
        <v>0</v>
      </c>
      <c r="H915" s="34" t="str">
        <f>IF(OR(ISBLANK(B915),B915=""), "", IF(B915=B914, (VALUE(LEFT(H914,FIND("/",H914)-1))+1)&amp;"/"&amp;RIGHT(H914,LEN(H914)-FIND("/",H914)), "1/"&amp;IFERROR(VLOOKUP(B915,'SAÍDA DE VENDAS'!$B$6:$P$500,13,FALSE),"1")))</f>
        <v/>
      </c>
      <c r="I915" s="35" t="str">
        <f t="shared" si="28"/>
        <v/>
      </c>
      <c r="J915" s="39" t="str">
        <f>IFERROR(VLOOKUP(B915,'SAÍDA DE VENDAS'!$B$6:$P$500,15,FALSE),"")</f>
        <v/>
      </c>
      <c r="K915" s="34" t="str">
        <f t="shared" ca="1" si="29"/>
        <v/>
      </c>
      <c r="L915" s="34"/>
      <c r="M915" s="34"/>
    </row>
    <row r="916" spans="2:13" ht="15" customHeight="1" x14ac:dyDescent="0.3">
      <c r="B916" s="28" t="str">
        <f>IF(B915="","", IF(VALUE(LEFT(H915,FIND("/",H915)-1)) &lt; VALUE(RIGHT(H915,LEN(H915)-FIND("/",H915))), B915, IFERROR(INDEX('SAÍDA DE VENDAS'!$B$6:$B$500, MATCH(B915,'SAÍDA DE VENDAS'!$B$6:$B$500,0)+COUNTIF('SAÍDA DE VENDAS'!$B$6:$B$500, B915)),"")))</f>
        <v/>
      </c>
      <c r="C916" s="29">
        <f>IFERROR(VLOOKUP(B916,'SAÍDA DE VENDAS'!$B$6:$P$500,3,FALSE),"")</f>
        <v>0</v>
      </c>
      <c r="D916" s="28">
        <f>IFERROR(VLOOKUP(B916,'SAÍDA DE VENDAS'!$B$6:$P$500,4,FALSE),"")</f>
        <v>0</v>
      </c>
      <c r="E916" s="28" t="str">
        <f>IFERROR(VLOOKUP(B916,'SAÍDA DE VENDAS'!$B$6:$P$500,5,FALSE),"")</f>
        <v/>
      </c>
      <c r="F916" s="28" t="str">
        <f>IF(OR(ISBLANK(B916),B916=""), "", IFERROR(INDEX('SAÍDA DE VENDAS'!$H$6:$H$500 &amp; "x " &amp; 'SAÍDA DE VENDAS'!$G$6:$G$500, MATCH(B916, 'SAÍDA DE VENDAS'!$B$6:$B$500, 0)), "")&amp; IF(COUNTIF('SAÍDA DE VENDAS'!$B$6:$B$500, B916)&gt;1, " + " &amp; IFERROR(INDEX('SAÍDA DE VENDAS'!$H$6:$H$500 &amp; "x " &amp; 'SAÍDA DE VENDAS'!$G$6:$G$500, MATCH(B916, 'SAÍDA DE VENDAS'!$B$6:$B$500, 0)+1), ""), "")&amp; IF(COUNTIF('SAÍDA DE VENDAS'!$B$6:$B$500, B916)&gt;2, " + " &amp; IFERROR(INDEX('SAÍDA DE VENDAS'!$H$6:$H$500 &amp; "x " &amp; 'SAÍDA DE VENDAS'!$G$6:$G$500, MATCH(B916, 'SAÍDA DE VENDAS'!$B$6:$B$500, 0)+2), ""), "")&amp; IF(COUNTIF('SAÍDA DE VENDAS'!$B$6:$B$500, B916)&gt;3, " + " &amp; IFERROR(INDEX('SAÍDA DE VENDAS'!$H$6:$H$500 &amp; "x " &amp; 'SAÍDA DE VENDAS'!$G$6:$G$500, MATCH(B916, 'SAÍDA DE VENDAS'!$B$6:$B$500, 0)+3), ""), "")&amp; IF(COUNTIF('SAÍDA DE VENDAS'!$B$6:$B$500, B916)&gt;4, " + " &amp; IFERROR(INDEX('SAÍDA DE VENDAS'!$H$6:$H$500 &amp; "x " &amp; 'SAÍDA DE VENDAS'!$G$6:$G$500, MATCH(B916, 'SAÍDA DE VENDAS'!$B$6:$B$500, 0)+4), ""), "")&amp; IF(COUNTIF('SAÍDA DE VENDAS'!$B$6:$B$500, B916)&gt;5, " + " &amp; IFERROR(INDEX('SAÍDA DE VENDAS'!$H$6:$H$500 &amp; "x " &amp; 'SAÍDA DE VENDAS'!$G$6:$G$500, MATCH(B916, 'SAÍDA DE VENDAS'!$B$6:$B$500, 0)+5), ""), ""))</f>
        <v/>
      </c>
      <c r="G916" s="28">
        <f>IFERROR(VLOOKUP(B916,'SAÍDA DE VENDAS'!$B$6:$P$500,10,FALSE),"")</f>
        <v>0</v>
      </c>
      <c r="H916" s="28" t="str">
        <f>IF(OR(ISBLANK(B916),B916=""), "", IF(B916=B915, (VALUE(LEFT(H915,FIND("/",H915)-1))+1)&amp;"/"&amp;RIGHT(H915,LEN(H915)-FIND("/",H915)), "1/"&amp;IFERROR(VLOOKUP(B916,'SAÍDA DE VENDAS'!$B$6:$P$500,13,FALSE),"1")))</f>
        <v/>
      </c>
      <c r="I916" s="69" t="str">
        <f t="shared" si="28"/>
        <v/>
      </c>
      <c r="J916" s="33" t="str">
        <f>IFERROR(VLOOKUP(B916,'SAÍDA DE VENDAS'!$B$6:$P$500,15,FALSE),"")</f>
        <v/>
      </c>
      <c r="K916" s="28" t="str">
        <f t="shared" ca="1" si="29"/>
        <v/>
      </c>
      <c r="L916" s="28"/>
      <c r="M916" s="28"/>
    </row>
    <row r="917" spans="2:13" ht="15" customHeight="1" x14ac:dyDescent="0.3">
      <c r="B917" s="34" t="str">
        <f>IF(B916="","", IF(VALUE(LEFT(H916,FIND("/",H916)-1)) &lt; VALUE(RIGHT(H916,LEN(H916)-FIND("/",H916))), B916, IFERROR(INDEX('SAÍDA DE VENDAS'!$B$6:$B$500, MATCH(B916,'SAÍDA DE VENDAS'!$B$6:$B$500,0)+COUNTIF('SAÍDA DE VENDAS'!$B$6:$B$500, B916)),"")))</f>
        <v/>
      </c>
      <c r="C917" s="35">
        <f>IFERROR(VLOOKUP(B917,'SAÍDA DE VENDAS'!$B$6:$P$500,3,FALSE),"")</f>
        <v>0</v>
      </c>
      <c r="D917" s="34">
        <f>IFERROR(VLOOKUP(B917,'SAÍDA DE VENDAS'!$B$6:$P$500,4,FALSE),"")</f>
        <v>0</v>
      </c>
      <c r="E917" s="34" t="str">
        <f>IFERROR(VLOOKUP(B917,'SAÍDA DE VENDAS'!$B$6:$P$500,5,FALSE),"")</f>
        <v/>
      </c>
      <c r="F917" s="34" t="str">
        <f>IF(OR(ISBLANK(B917),B917=""), "", IFERROR(INDEX('SAÍDA DE VENDAS'!$H$6:$H$500 &amp; "x " &amp; 'SAÍDA DE VENDAS'!$G$6:$G$500, MATCH(B917, 'SAÍDA DE VENDAS'!$B$6:$B$500, 0)), "")&amp; IF(COUNTIF('SAÍDA DE VENDAS'!$B$6:$B$500, B917)&gt;1, " + " &amp; IFERROR(INDEX('SAÍDA DE VENDAS'!$H$6:$H$500 &amp; "x " &amp; 'SAÍDA DE VENDAS'!$G$6:$G$500, MATCH(B917, 'SAÍDA DE VENDAS'!$B$6:$B$500, 0)+1), ""), "")&amp; IF(COUNTIF('SAÍDA DE VENDAS'!$B$6:$B$500, B917)&gt;2, " + " &amp; IFERROR(INDEX('SAÍDA DE VENDAS'!$H$6:$H$500 &amp; "x " &amp; 'SAÍDA DE VENDAS'!$G$6:$G$500, MATCH(B917, 'SAÍDA DE VENDAS'!$B$6:$B$500, 0)+2), ""), "")&amp; IF(COUNTIF('SAÍDA DE VENDAS'!$B$6:$B$500, B917)&gt;3, " + " &amp; IFERROR(INDEX('SAÍDA DE VENDAS'!$H$6:$H$500 &amp; "x " &amp; 'SAÍDA DE VENDAS'!$G$6:$G$500, MATCH(B917, 'SAÍDA DE VENDAS'!$B$6:$B$500, 0)+3), ""), "")&amp; IF(COUNTIF('SAÍDA DE VENDAS'!$B$6:$B$500, B917)&gt;4, " + " &amp; IFERROR(INDEX('SAÍDA DE VENDAS'!$H$6:$H$500 &amp; "x " &amp; 'SAÍDA DE VENDAS'!$G$6:$G$500, MATCH(B917, 'SAÍDA DE VENDAS'!$B$6:$B$500, 0)+4), ""), "")&amp; IF(COUNTIF('SAÍDA DE VENDAS'!$B$6:$B$500, B917)&gt;5, " + " &amp; IFERROR(INDEX('SAÍDA DE VENDAS'!$H$6:$H$500 &amp; "x " &amp; 'SAÍDA DE VENDAS'!$G$6:$G$500, MATCH(B917, 'SAÍDA DE VENDAS'!$B$6:$B$500, 0)+5), ""), ""))</f>
        <v/>
      </c>
      <c r="G917" s="34">
        <f>IFERROR(VLOOKUP(B917,'SAÍDA DE VENDAS'!$B$6:$P$500,10,FALSE),"")</f>
        <v>0</v>
      </c>
      <c r="H917" s="34" t="str">
        <f>IF(OR(ISBLANK(B917),B917=""), "", IF(B917=B916, (VALUE(LEFT(H916,FIND("/",H916)-1))+1)&amp;"/"&amp;RIGHT(H916,LEN(H916)-FIND("/",H916)), "1/"&amp;IFERROR(VLOOKUP(B917,'SAÍDA DE VENDAS'!$B$6:$P$500,13,FALSE),"1")))</f>
        <v/>
      </c>
      <c r="I917" s="35" t="str">
        <f t="shared" si="28"/>
        <v/>
      </c>
      <c r="J917" s="39" t="str">
        <f>IFERROR(VLOOKUP(B917,'SAÍDA DE VENDAS'!$B$6:$P$500,15,FALSE),"")</f>
        <v/>
      </c>
      <c r="K917" s="34" t="str">
        <f t="shared" ca="1" si="29"/>
        <v/>
      </c>
      <c r="L917" s="34"/>
      <c r="M917" s="34"/>
    </row>
    <row r="918" spans="2:13" ht="15" customHeight="1" x14ac:dyDescent="0.3">
      <c r="B918" s="28" t="str">
        <f>IF(B917="","", IF(VALUE(LEFT(H917,FIND("/",H917)-1)) &lt; VALUE(RIGHT(H917,LEN(H917)-FIND("/",H917))), B917, IFERROR(INDEX('SAÍDA DE VENDAS'!$B$6:$B$500, MATCH(B917,'SAÍDA DE VENDAS'!$B$6:$B$500,0)+COUNTIF('SAÍDA DE VENDAS'!$B$6:$B$500, B917)),"")))</f>
        <v/>
      </c>
      <c r="C918" s="29">
        <f>IFERROR(VLOOKUP(B918,'SAÍDA DE VENDAS'!$B$6:$P$500,3,FALSE),"")</f>
        <v>0</v>
      </c>
      <c r="D918" s="28">
        <f>IFERROR(VLOOKUP(B918,'SAÍDA DE VENDAS'!$B$6:$P$500,4,FALSE),"")</f>
        <v>0</v>
      </c>
      <c r="E918" s="28" t="str">
        <f>IFERROR(VLOOKUP(B918,'SAÍDA DE VENDAS'!$B$6:$P$500,5,FALSE),"")</f>
        <v/>
      </c>
      <c r="F918" s="28" t="str">
        <f>IF(OR(ISBLANK(B918),B918=""), "", IFERROR(INDEX('SAÍDA DE VENDAS'!$H$6:$H$500 &amp; "x " &amp; 'SAÍDA DE VENDAS'!$G$6:$G$500, MATCH(B918, 'SAÍDA DE VENDAS'!$B$6:$B$500, 0)), "")&amp; IF(COUNTIF('SAÍDA DE VENDAS'!$B$6:$B$500, B918)&gt;1, " + " &amp; IFERROR(INDEX('SAÍDA DE VENDAS'!$H$6:$H$500 &amp; "x " &amp; 'SAÍDA DE VENDAS'!$G$6:$G$500, MATCH(B918, 'SAÍDA DE VENDAS'!$B$6:$B$500, 0)+1), ""), "")&amp; IF(COUNTIF('SAÍDA DE VENDAS'!$B$6:$B$500, B918)&gt;2, " + " &amp; IFERROR(INDEX('SAÍDA DE VENDAS'!$H$6:$H$500 &amp; "x " &amp; 'SAÍDA DE VENDAS'!$G$6:$G$500, MATCH(B918, 'SAÍDA DE VENDAS'!$B$6:$B$500, 0)+2), ""), "")&amp; IF(COUNTIF('SAÍDA DE VENDAS'!$B$6:$B$500, B918)&gt;3, " + " &amp; IFERROR(INDEX('SAÍDA DE VENDAS'!$H$6:$H$500 &amp; "x " &amp; 'SAÍDA DE VENDAS'!$G$6:$G$500, MATCH(B918, 'SAÍDA DE VENDAS'!$B$6:$B$500, 0)+3), ""), "")&amp; IF(COUNTIF('SAÍDA DE VENDAS'!$B$6:$B$500, B918)&gt;4, " + " &amp; IFERROR(INDEX('SAÍDA DE VENDAS'!$H$6:$H$500 &amp; "x " &amp; 'SAÍDA DE VENDAS'!$G$6:$G$500, MATCH(B918, 'SAÍDA DE VENDAS'!$B$6:$B$500, 0)+4), ""), "")&amp; IF(COUNTIF('SAÍDA DE VENDAS'!$B$6:$B$500, B918)&gt;5, " + " &amp; IFERROR(INDEX('SAÍDA DE VENDAS'!$H$6:$H$500 &amp; "x " &amp; 'SAÍDA DE VENDAS'!$G$6:$G$500, MATCH(B918, 'SAÍDA DE VENDAS'!$B$6:$B$500, 0)+5), ""), ""))</f>
        <v/>
      </c>
      <c r="G918" s="28">
        <f>IFERROR(VLOOKUP(B918,'SAÍDA DE VENDAS'!$B$6:$P$500,10,FALSE),"")</f>
        <v>0</v>
      </c>
      <c r="H918" s="28" t="str">
        <f>IF(OR(ISBLANK(B918),B918=""), "", IF(B918=B917, (VALUE(LEFT(H917,FIND("/",H917)-1))+1)&amp;"/"&amp;RIGHT(H917,LEN(H917)-FIND("/",H917)), "1/"&amp;IFERROR(VLOOKUP(B918,'SAÍDA DE VENDAS'!$B$6:$P$500,13,FALSE),"1")))</f>
        <v/>
      </c>
      <c r="I918" s="69" t="str">
        <f t="shared" si="28"/>
        <v/>
      </c>
      <c r="J918" s="33" t="str">
        <f>IFERROR(VLOOKUP(B918,'SAÍDA DE VENDAS'!$B$6:$P$500,15,FALSE),"")</f>
        <v/>
      </c>
      <c r="K918" s="28" t="str">
        <f t="shared" ca="1" si="29"/>
        <v/>
      </c>
      <c r="L918" s="28"/>
      <c r="M918" s="28"/>
    </row>
    <row r="919" spans="2:13" ht="15" customHeight="1" x14ac:dyDescent="0.3">
      <c r="B919" s="34" t="str">
        <f>IF(B918="","", IF(VALUE(LEFT(H918,FIND("/",H918)-1)) &lt; VALUE(RIGHT(H918,LEN(H918)-FIND("/",H918))), B918, IFERROR(INDEX('SAÍDA DE VENDAS'!$B$6:$B$500, MATCH(B918,'SAÍDA DE VENDAS'!$B$6:$B$500,0)+COUNTIF('SAÍDA DE VENDAS'!$B$6:$B$500, B918)),"")))</f>
        <v/>
      </c>
      <c r="C919" s="35">
        <f>IFERROR(VLOOKUP(B919,'SAÍDA DE VENDAS'!$B$6:$P$500,3,FALSE),"")</f>
        <v>0</v>
      </c>
      <c r="D919" s="34">
        <f>IFERROR(VLOOKUP(B919,'SAÍDA DE VENDAS'!$B$6:$P$500,4,FALSE),"")</f>
        <v>0</v>
      </c>
      <c r="E919" s="34" t="str">
        <f>IFERROR(VLOOKUP(B919,'SAÍDA DE VENDAS'!$B$6:$P$500,5,FALSE),"")</f>
        <v/>
      </c>
      <c r="F919" s="34" t="str">
        <f>IF(OR(ISBLANK(B919),B919=""), "", IFERROR(INDEX('SAÍDA DE VENDAS'!$H$6:$H$500 &amp; "x " &amp; 'SAÍDA DE VENDAS'!$G$6:$G$500, MATCH(B919, 'SAÍDA DE VENDAS'!$B$6:$B$500, 0)), "")&amp; IF(COUNTIF('SAÍDA DE VENDAS'!$B$6:$B$500, B919)&gt;1, " + " &amp; IFERROR(INDEX('SAÍDA DE VENDAS'!$H$6:$H$500 &amp; "x " &amp; 'SAÍDA DE VENDAS'!$G$6:$G$500, MATCH(B919, 'SAÍDA DE VENDAS'!$B$6:$B$500, 0)+1), ""), "")&amp; IF(COUNTIF('SAÍDA DE VENDAS'!$B$6:$B$500, B919)&gt;2, " + " &amp; IFERROR(INDEX('SAÍDA DE VENDAS'!$H$6:$H$500 &amp; "x " &amp; 'SAÍDA DE VENDAS'!$G$6:$G$500, MATCH(B919, 'SAÍDA DE VENDAS'!$B$6:$B$500, 0)+2), ""), "")&amp; IF(COUNTIF('SAÍDA DE VENDAS'!$B$6:$B$500, B919)&gt;3, " + " &amp; IFERROR(INDEX('SAÍDA DE VENDAS'!$H$6:$H$500 &amp; "x " &amp; 'SAÍDA DE VENDAS'!$G$6:$G$500, MATCH(B919, 'SAÍDA DE VENDAS'!$B$6:$B$500, 0)+3), ""), "")&amp; IF(COUNTIF('SAÍDA DE VENDAS'!$B$6:$B$500, B919)&gt;4, " + " &amp; IFERROR(INDEX('SAÍDA DE VENDAS'!$H$6:$H$500 &amp; "x " &amp; 'SAÍDA DE VENDAS'!$G$6:$G$500, MATCH(B919, 'SAÍDA DE VENDAS'!$B$6:$B$500, 0)+4), ""), "")&amp; IF(COUNTIF('SAÍDA DE VENDAS'!$B$6:$B$500, B919)&gt;5, " + " &amp; IFERROR(INDEX('SAÍDA DE VENDAS'!$H$6:$H$500 &amp; "x " &amp; 'SAÍDA DE VENDAS'!$G$6:$G$500, MATCH(B919, 'SAÍDA DE VENDAS'!$B$6:$B$500, 0)+5), ""), ""))</f>
        <v/>
      </c>
      <c r="G919" s="34">
        <f>IFERROR(VLOOKUP(B919,'SAÍDA DE VENDAS'!$B$6:$P$500,10,FALSE),"")</f>
        <v>0</v>
      </c>
      <c r="H919" s="34" t="str">
        <f>IF(OR(ISBLANK(B919),B919=""), "", IF(B919=B918, (VALUE(LEFT(H918,FIND("/",H918)-1))+1)&amp;"/"&amp;RIGHT(H918,LEN(H918)-FIND("/",H918)), "1/"&amp;IFERROR(VLOOKUP(B919,'SAÍDA DE VENDAS'!$B$6:$P$500,13,FALSE),"1")))</f>
        <v/>
      </c>
      <c r="I919" s="35" t="str">
        <f t="shared" si="28"/>
        <v/>
      </c>
      <c r="J919" s="39" t="str">
        <f>IFERROR(VLOOKUP(B919,'SAÍDA DE VENDAS'!$B$6:$P$500,15,FALSE),"")</f>
        <v/>
      </c>
      <c r="K919" s="34" t="str">
        <f t="shared" ca="1" si="29"/>
        <v/>
      </c>
      <c r="L919" s="34"/>
      <c r="M919" s="34"/>
    </row>
    <row r="920" spans="2:13" ht="15" customHeight="1" x14ac:dyDescent="0.3">
      <c r="B920" s="28" t="str">
        <f>IF(B919="","", IF(VALUE(LEFT(H919,FIND("/",H919)-1)) &lt; VALUE(RIGHT(H919,LEN(H919)-FIND("/",H919))), B919, IFERROR(INDEX('SAÍDA DE VENDAS'!$B$6:$B$500, MATCH(B919,'SAÍDA DE VENDAS'!$B$6:$B$500,0)+COUNTIF('SAÍDA DE VENDAS'!$B$6:$B$500, B919)),"")))</f>
        <v/>
      </c>
      <c r="C920" s="29">
        <f>IFERROR(VLOOKUP(B920,'SAÍDA DE VENDAS'!$B$6:$P$500,3,FALSE),"")</f>
        <v>0</v>
      </c>
      <c r="D920" s="28">
        <f>IFERROR(VLOOKUP(B920,'SAÍDA DE VENDAS'!$B$6:$P$500,4,FALSE),"")</f>
        <v>0</v>
      </c>
      <c r="E920" s="28" t="str">
        <f>IFERROR(VLOOKUP(B920,'SAÍDA DE VENDAS'!$B$6:$P$500,5,FALSE),"")</f>
        <v/>
      </c>
      <c r="F920" s="28" t="str">
        <f>IF(OR(ISBLANK(B920),B920=""), "", IFERROR(INDEX('SAÍDA DE VENDAS'!$H$6:$H$500 &amp; "x " &amp; 'SAÍDA DE VENDAS'!$G$6:$G$500, MATCH(B920, 'SAÍDA DE VENDAS'!$B$6:$B$500, 0)), "")&amp; IF(COUNTIF('SAÍDA DE VENDAS'!$B$6:$B$500, B920)&gt;1, " + " &amp; IFERROR(INDEX('SAÍDA DE VENDAS'!$H$6:$H$500 &amp; "x " &amp; 'SAÍDA DE VENDAS'!$G$6:$G$500, MATCH(B920, 'SAÍDA DE VENDAS'!$B$6:$B$500, 0)+1), ""), "")&amp; IF(COUNTIF('SAÍDA DE VENDAS'!$B$6:$B$500, B920)&gt;2, " + " &amp; IFERROR(INDEX('SAÍDA DE VENDAS'!$H$6:$H$500 &amp; "x " &amp; 'SAÍDA DE VENDAS'!$G$6:$G$500, MATCH(B920, 'SAÍDA DE VENDAS'!$B$6:$B$500, 0)+2), ""), "")&amp; IF(COUNTIF('SAÍDA DE VENDAS'!$B$6:$B$500, B920)&gt;3, " + " &amp; IFERROR(INDEX('SAÍDA DE VENDAS'!$H$6:$H$500 &amp; "x " &amp; 'SAÍDA DE VENDAS'!$G$6:$G$500, MATCH(B920, 'SAÍDA DE VENDAS'!$B$6:$B$500, 0)+3), ""), "")&amp; IF(COUNTIF('SAÍDA DE VENDAS'!$B$6:$B$500, B920)&gt;4, " + " &amp; IFERROR(INDEX('SAÍDA DE VENDAS'!$H$6:$H$500 &amp; "x " &amp; 'SAÍDA DE VENDAS'!$G$6:$G$500, MATCH(B920, 'SAÍDA DE VENDAS'!$B$6:$B$500, 0)+4), ""), "")&amp; IF(COUNTIF('SAÍDA DE VENDAS'!$B$6:$B$500, B920)&gt;5, " + " &amp; IFERROR(INDEX('SAÍDA DE VENDAS'!$H$6:$H$500 &amp; "x " &amp; 'SAÍDA DE VENDAS'!$G$6:$G$500, MATCH(B920, 'SAÍDA DE VENDAS'!$B$6:$B$500, 0)+5), ""), ""))</f>
        <v/>
      </c>
      <c r="G920" s="28">
        <f>IFERROR(VLOOKUP(B920,'SAÍDA DE VENDAS'!$B$6:$P$500,10,FALSE),"")</f>
        <v>0</v>
      </c>
      <c r="H920" s="28" t="str">
        <f>IF(OR(ISBLANK(B920),B920=""), "", IF(B920=B919, (VALUE(LEFT(H919,FIND("/",H919)-1))+1)&amp;"/"&amp;RIGHT(H919,LEN(H919)-FIND("/",H919)), "1/"&amp;IFERROR(VLOOKUP(B920,'SAÍDA DE VENDAS'!$B$6:$P$500,13,FALSE),"1")))</f>
        <v/>
      </c>
      <c r="I920" s="69" t="str">
        <f t="shared" si="28"/>
        <v/>
      </c>
      <c r="J920" s="33" t="str">
        <f>IFERROR(VLOOKUP(B920,'SAÍDA DE VENDAS'!$B$6:$P$500,15,FALSE),"")</f>
        <v/>
      </c>
      <c r="K920" s="28" t="str">
        <f t="shared" ca="1" si="29"/>
        <v/>
      </c>
      <c r="L920" s="28"/>
      <c r="M920" s="28"/>
    </row>
    <row r="921" spans="2:13" ht="15" customHeight="1" x14ac:dyDescent="0.3">
      <c r="B921" s="34" t="str">
        <f>IF(B920="","", IF(VALUE(LEFT(H920,FIND("/",H920)-1)) &lt; VALUE(RIGHT(H920,LEN(H920)-FIND("/",H920))), B920, IFERROR(INDEX('SAÍDA DE VENDAS'!$B$6:$B$500, MATCH(B920,'SAÍDA DE VENDAS'!$B$6:$B$500,0)+COUNTIF('SAÍDA DE VENDAS'!$B$6:$B$500, B920)),"")))</f>
        <v/>
      </c>
      <c r="C921" s="35">
        <f>IFERROR(VLOOKUP(B921,'SAÍDA DE VENDAS'!$B$6:$P$500,3,FALSE),"")</f>
        <v>0</v>
      </c>
      <c r="D921" s="34">
        <f>IFERROR(VLOOKUP(B921,'SAÍDA DE VENDAS'!$B$6:$P$500,4,FALSE),"")</f>
        <v>0</v>
      </c>
      <c r="E921" s="34" t="str">
        <f>IFERROR(VLOOKUP(B921,'SAÍDA DE VENDAS'!$B$6:$P$500,5,FALSE),"")</f>
        <v/>
      </c>
      <c r="F921" s="34" t="str">
        <f>IF(OR(ISBLANK(B921),B921=""), "", IFERROR(INDEX('SAÍDA DE VENDAS'!$H$6:$H$500 &amp; "x " &amp; 'SAÍDA DE VENDAS'!$G$6:$G$500, MATCH(B921, 'SAÍDA DE VENDAS'!$B$6:$B$500, 0)), "")&amp; IF(COUNTIF('SAÍDA DE VENDAS'!$B$6:$B$500, B921)&gt;1, " + " &amp; IFERROR(INDEX('SAÍDA DE VENDAS'!$H$6:$H$500 &amp; "x " &amp; 'SAÍDA DE VENDAS'!$G$6:$G$500, MATCH(B921, 'SAÍDA DE VENDAS'!$B$6:$B$500, 0)+1), ""), "")&amp; IF(COUNTIF('SAÍDA DE VENDAS'!$B$6:$B$500, B921)&gt;2, " + " &amp; IFERROR(INDEX('SAÍDA DE VENDAS'!$H$6:$H$500 &amp; "x " &amp; 'SAÍDA DE VENDAS'!$G$6:$G$500, MATCH(B921, 'SAÍDA DE VENDAS'!$B$6:$B$500, 0)+2), ""), "")&amp; IF(COUNTIF('SAÍDA DE VENDAS'!$B$6:$B$500, B921)&gt;3, " + " &amp; IFERROR(INDEX('SAÍDA DE VENDAS'!$H$6:$H$500 &amp; "x " &amp; 'SAÍDA DE VENDAS'!$G$6:$G$500, MATCH(B921, 'SAÍDA DE VENDAS'!$B$6:$B$500, 0)+3), ""), "")&amp; IF(COUNTIF('SAÍDA DE VENDAS'!$B$6:$B$500, B921)&gt;4, " + " &amp; IFERROR(INDEX('SAÍDA DE VENDAS'!$H$6:$H$500 &amp; "x " &amp; 'SAÍDA DE VENDAS'!$G$6:$G$500, MATCH(B921, 'SAÍDA DE VENDAS'!$B$6:$B$500, 0)+4), ""), "")&amp; IF(COUNTIF('SAÍDA DE VENDAS'!$B$6:$B$500, B921)&gt;5, " + " &amp; IFERROR(INDEX('SAÍDA DE VENDAS'!$H$6:$H$500 &amp; "x " &amp; 'SAÍDA DE VENDAS'!$G$6:$G$500, MATCH(B921, 'SAÍDA DE VENDAS'!$B$6:$B$500, 0)+5), ""), ""))</f>
        <v/>
      </c>
      <c r="G921" s="34">
        <f>IFERROR(VLOOKUP(B921,'SAÍDA DE VENDAS'!$B$6:$P$500,10,FALSE),"")</f>
        <v>0</v>
      </c>
      <c r="H921" s="34" t="str">
        <f>IF(OR(ISBLANK(B921),B921=""), "", IF(B921=B920, (VALUE(LEFT(H920,FIND("/",H920)-1))+1)&amp;"/"&amp;RIGHT(H920,LEN(H920)-FIND("/",H920)), "1/"&amp;IFERROR(VLOOKUP(B921,'SAÍDA DE VENDAS'!$B$6:$P$500,13,FALSE),"1")))</f>
        <v/>
      </c>
      <c r="I921" s="35" t="str">
        <f t="shared" si="28"/>
        <v/>
      </c>
      <c r="J921" s="39" t="str">
        <f>IFERROR(VLOOKUP(B921,'SAÍDA DE VENDAS'!$B$6:$P$500,15,FALSE),"")</f>
        <v/>
      </c>
      <c r="K921" s="34" t="str">
        <f t="shared" ca="1" si="29"/>
        <v/>
      </c>
      <c r="L921" s="34"/>
      <c r="M921" s="34"/>
    </row>
    <row r="922" spans="2:13" ht="15" customHeight="1" x14ac:dyDescent="0.3">
      <c r="B922" s="28" t="str">
        <f>IF(B921="","", IF(VALUE(LEFT(H921,FIND("/",H921)-1)) &lt; VALUE(RIGHT(H921,LEN(H921)-FIND("/",H921))), B921, IFERROR(INDEX('SAÍDA DE VENDAS'!$B$6:$B$500, MATCH(B921,'SAÍDA DE VENDAS'!$B$6:$B$500,0)+COUNTIF('SAÍDA DE VENDAS'!$B$6:$B$500, B921)),"")))</f>
        <v/>
      </c>
      <c r="C922" s="29">
        <f>IFERROR(VLOOKUP(B922,'SAÍDA DE VENDAS'!$B$6:$P$500,3,FALSE),"")</f>
        <v>0</v>
      </c>
      <c r="D922" s="28">
        <f>IFERROR(VLOOKUP(B922,'SAÍDA DE VENDAS'!$B$6:$P$500,4,FALSE),"")</f>
        <v>0</v>
      </c>
      <c r="E922" s="28" t="str">
        <f>IFERROR(VLOOKUP(B922,'SAÍDA DE VENDAS'!$B$6:$P$500,5,FALSE),"")</f>
        <v/>
      </c>
      <c r="F922" s="28" t="str">
        <f>IF(OR(ISBLANK(B922),B922=""), "", IFERROR(INDEX('SAÍDA DE VENDAS'!$H$6:$H$500 &amp; "x " &amp; 'SAÍDA DE VENDAS'!$G$6:$G$500, MATCH(B922, 'SAÍDA DE VENDAS'!$B$6:$B$500, 0)), "")&amp; IF(COUNTIF('SAÍDA DE VENDAS'!$B$6:$B$500, B922)&gt;1, " + " &amp; IFERROR(INDEX('SAÍDA DE VENDAS'!$H$6:$H$500 &amp; "x " &amp; 'SAÍDA DE VENDAS'!$G$6:$G$500, MATCH(B922, 'SAÍDA DE VENDAS'!$B$6:$B$500, 0)+1), ""), "")&amp; IF(COUNTIF('SAÍDA DE VENDAS'!$B$6:$B$500, B922)&gt;2, " + " &amp; IFERROR(INDEX('SAÍDA DE VENDAS'!$H$6:$H$500 &amp; "x " &amp; 'SAÍDA DE VENDAS'!$G$6:$G$500, MATCH(B922, 'SAÍDA DE VENDAS'!$B$6:$B$500, 0)+2), ""), "")&amp; IF(COUNTIF('SAÍDA DE VENDAS'!$B$6:$B$500, B922)&gt;3, " + " &amp; IFERROR(INDEX('SAÍDA DE VENDAS'!$H$6:$H$500 &amp; "x " &amp; 'SAÍDA DE VENDAS'!$G$6:$G$500, MATCH(B922, 'SAÍDA DE VENDAS'!$B$6:$B$500, 0)+3), ""), "")&amp; IF(COUNTIF('SAÍDA DE VENDAS'!$B$6:$B$500, B922)&gt;4, " + " &amp; IFERROR(INDEX('SAÍDA DE VENDAS'!$H$6:$H$500 &amp; "x " &amp; 'SAÍDA DE VENDAS'!$G$6:$G$500, MATCH(B922, 'SAÍDA DE VENDAS'!$B$6:$B$500, 0)+4), ""), "")&amp; IF(COUNTIF('SAÍDA DE VENDAS'!$B$6:$B$500, B922)&gt;5, " + " &amp; IFERROR(INDEX('SAÍDA DE VENDAS'!$H$6:$H$500 &amp; "x " &amp; 'SAÍDA DE VENDAS'!$G$6:$G$500, MATCH(B922, 'SAÍDA DE VENDAS'!$B$6:$B$500, 0)+5), ""), ""))</f>
        <v/>
      </c>
      <c r="G922" s="28">
        <f>IFERROR(VLOOKUP(B922,'SAÍDA DE VENDAS'!$B$6:$P$500,10,FALSE),"")</f>
        <v>0</v>
      </c>
      <c r="H922" s="28" t="str">
        <f>IF(OR(ISBLANK(B922),B922=""), "", IF(B922=B921, (VALUE(LEFT(H921,FIND("/",H921)-1))+1)&amp;"/"&amp;RIGHT(H921,LEN(H921)-FIND("/",H921)), "1/"&amp;IFERROR(VLOOKUP(B922,'SAÍDA DE VENDAS'!$B$6:$P$500,13,FALSE),"1")))</f>
        <v/>
      </c>
      <c r="I922" s="69" t="str">
        <f t="shared" si="28"/>
        <v/>
      </c>
      <c r="J922" s="33" t="str">
        <f>IFERROR(VLOOKUP(B922,'SAÍDA DE VENDAS'!$B$6:$P$500,15,FALSE),"")</f>
        <v/>
      </c>
      <c r="K922" s="28" t="str">
        <f t="shared" ca="1" si="29"/>
        <v/>
      </c>
      <c r="L922" s="28"/>
      <c r="M922" s="28"/>
    </row>
    <row r="923" spans="2:13" ht="15" customHeight="1" x14ac:dyDescent="0.3">
      <c r="B923" s="34" t="str">
        <f>IF(B922="","", IF(VALUE(LEFT(H922,FIND("/",H922)-1)) &lt; VALUE(RIGHT(H922,LEN(H922)-FIND("/",H922))), B922, IFERROR(INDEX('SAÍDA DE VENDAS'!$B$6:$B$500, MATCH(B922,'SAÍDA DE VENDAS'!$B$6:$B$500,0)+COUNTIF('SAÍDA DE VENDAS'!$B$6:$B$500, B922)),"")))</f>
        <v/>
      </c>
      <c r="C923" s="35">
        <f>IFERROR(VLOOKUP(B923,'SAÍDA DE VENDAS'!$B$6:$P$500,3,FALSE),"")</f>
        <v>0</v>
      </c>
      <c r="D923" s="34">
        <f>IFERROR(VLOOKUP(B923,'SAÍDA DE VENDAS'!$B$6:$P$500,4,FALSE),"")</f>
        <v>0</v>
      </c>
      <c r="E923" s="34" t="str">
        <f>IFERROR(VLOOKUP(B923,'SAÍDA DE VENDAS'!$B$6:$P$500,5,FALSE),"")</f>
        <v/>
      </c>
      <c r="F923" s="34" t="str">
        <f>IF(OR(ISBLANK(B923),B923=""), "", IFERROR(INDEX('SAÍDA DE VENDAS'!$H$6:$H$500 &amp; "x " &amp; 'SAÍDA DE VENDAS'!$G$6:$G$500, MATCH(B923, 'SAÍDA DE VENDAS'!$B$6:$B$500, 0)), "")&amp; IF(COUNTIF('SAÍDA DE VENDAS'!$B$6:$B$500, B923)&gt;1, " + " &amp; IFERROR(INDEX('SAÍDA DE VENDAS'!$H$6:$H$500 &amp; "x " &amp; 'SAÍDA DE VENDAS'!$G$6:$G$500, MATCH(B923, 'SAÍDA DE VENDAS'!$B$6:$B$500, 0)+1), ""), "")&amp; IF(COUNTIF('SAÍDA DE VENDAS'!$B$6:$B$500, B923)&gt;2, " + " &amp; IFERROR(INDEX('SAÍDA DE VENDAS'!$H$6:$H$500 &amp; "x " &amp; 'SAÍDA DE VENDAS'!$G$6:$G$500, MATCH(B923, 'SAÍDA DE VENDAS'!$B$6:$B$500, 0)+2), ""), "")&amp; IF(COUNTIF('SAÍDA DE VENDAS'!$B$6:$B$500, B923)&gt;3, " + " &amp; IFERROR(INDEX('SAÍDA DE VENDAS'!$H$6:$H$500 &amp; "x " &amp; 'SAÍDA DE VENDAS'!$G$6:$G$500, MATCH(B923, 'SAÍDA DE VENDAS'!$B$6:$B$500, 0)+3), ""), "")&amp; IF(COUNTIF('SAÍDA DE VENDAS'!$B$6:$B$500, B923)&gt;4, " + " &amp; IFERROR(INDEX('SAÍDA DE VENDAS'!$H$6:$H$500 &amp; "x " &amp; 'SAÍDA DE VENDAS'!$G$6:$G$500, MATCH(B923, 'SAÍDA DE VENDAS'!$B$6:$B$500, 0)+4), ""), "")&amp; IF(COUNTIF('SAÍDA DE VENDAS'!$B$6:$B$500, B923)&gt;5, " + " &amp; IFERROR(INDEX('SAÍDA DE VENDAS'!$H$6:$H$500 &amp; "x " &amp; 'SAÍDA DE VENDAS'!$G$6:$G$500, MATCH(B923, 'SAÍDA DE VENDAS'!$B$6:$B$500, 0)+5), ""), ""))</f>
        <v/>
      </c>
      <c r="G923" s="34">
        <f>IFERROR(VLOOKUP(B923,'SAÍDA DE VENDAS'!$B$6:$P$500,10,FALSE),"")</f>
        <v>0</v>
      </c>
      <c r="H923" s="34" t="str">
        <f>IF(OR(ISBLANK(B923),B923=""), "", IF(B923=B922, (VALUE(LEFT(H922,FIND("/",H922)-1))+1)&amp;"/"&amp;RIGHT(H922,LEN(H922)-FIND("/",H922)), "1/"&amp;IFERROR(VLOOKUP(B923,'SAÍDA DE VENDAS'!$B$6:$P$500,13,FALSE),"1")))</f>
        <v/>
      </c>
      <c r="I923" s="35" t="str">
        <f t="shared" si="28"/>
        <v/>
      </c>
      <c r="J923" s="39" t="str">
        <f>IFERROR(VLOOKUP(B923,'SAÍDA DE VENDAS'!$B$6:$P$500,15,FALSE),"")</f>
        <v/>
      </c>
      <c r="K923" s="34" t="str">
        <f t="shared" ca="1" si="29"/>
        <v/>
      </c>
      <c r="L923" s="34"/>
      <c r="M923" s="34"/>
    </row>
    <row r="924" spans="2:13" ht="15" customHeight="1" x14ac:dyDescent="0.3">
      <c r="B924" s="28" t="str">
        <f>IF(B923="","", IF(VALUE(LEFT(H923,FIND("/",H923)-1)) &lt; VALUE(RIGHT(H923,LEN(H923)-FIND("/",H923))), B923, IFERROR(INDEX('SAÍDA DE VENDAS'!$B$6:$B$500, MATCH(B923,'SAÍDA DE VENDAS'!$B$6:$B$500,0)+COUNTIF('SAÍDA DE VENDAS'!$B$6:$B$500, B923)),"")))</f>
        <v/>
      </c>
      <c r="C924" s="29">
        <f>IFERROR(VLOOKUP(B924,'SAÍDA DE VENDAS'!$B$6:$P$500,3,FALSE),"")</f>
        <v>0</v>
      </c>
      <c r="D924" s="28">
        <f>IFERROR(VLOOKUP(B924,'SAÍDA DE VENDAS'!$B$6:$P$500,4,FALSE),"")</f>
        <v>0</v>
      </c>
      <c r="E924" s="28" t="str">
        <f>IFERROR(VLOOKUP(B924,'SAÍDA DE VENDAS'!$B$6:$P$500,5,FALSE),"")</f>
        <v/>
      </c>
      <c r="F924" s="28" t="str">
        <f>IF(OR(ISBLANK(B924),B924=""), "", IFERROR(INDEX('SAÍDA DE VENDAS'!$H$6:$H$500 &amp; "x " &amp; 'SAÍDA DE VENDAS'!$G$6:$G$500, MATCH(B924, 'SAÍDA DE VENDAS'!$B$6:$B$500, 0)), "")&amp; IF(COUNTIF('SAÍDA DE VENDAS'!$B$6:$B$500, B924)&gt;1, " + " &amp; IFERROR(INDEX('SAÍDA DE VENDAS'!$H$6:$H$500 &amp; "x " &amp; 'SAÍDA DE VENDAS'!$G$6:$G$500, MATCH(B924, 'SAÍDA DE VENDAS'!$B$6:$B$500, 0)+1), ""), "")&amp; IF(COUNTIF('SAÍDA DE VENDAS'!$B$6:$B$500, B924)&gt;2, " + " &amp; IFERROR(INDEX('SAÍDA DE VENDAS'!$H$6:$H$500 &amp; "x " &amp; 'SAÍDA DE VENDAS'!$G$6:$G$500, MATCH(B924, 'SAÍDA DE VENDAS'!$B$6:$B$500, 0)+2), ""), "")&amp; IF(COUNTIF('SAÍDA DE VENDAS'!$B$6:$B$500, B924)&gt;3, " + " &amp; IFERROR(INDEX('SAÍDA DE VENDAS'!$H$6:$H$500 &amp; "x " &amp; 'SAÍDA DE VENDAS'!$G$6:$G$500, MATCH(B924, 'SAÍDA DE VENDAS'!$B$6:$B$500, 0)+3), ""), "")&amp; IF(COUNTIF('SAÍDA DE VENDAS'!$B$6:$B$500, B924)&gt;4, " + " &amp; IFERROR(INDEX('SAÍDA DE VENDAS'!$H$6:$H$500 &amp; "x " &amp; 'SAÍDA DE VENDAS'!$G$6:$G$500, MATCH(B924, 'SAÍDA DE VENDAS'!$B$6:$B$500, 0)+4), ""), "")&amp; IF(COUNTIF('SAÍDA DE VENDAS'!$B$6:$B$500, B924)&gt;5, " + " &amp; IFERROR(INDEX('SAÍDA DE VENDAS'!$H$6:$H$500 &amp; "x " &amp; 'SAÍDA DE VENDAS'!$G$6:$G$500, MATCH(B924, 'SAÍDA DE VENDAS'!$B$6:$B$500, 0)+5), ""), ""))</f>
        <v/>
      </c>
      <c r="G924" s="28">
        <f>IFERROR(VLOOKUP(B924,'SAÍDA DE VENDAS'!$B$6:$P$500,10,FALSE),"")</f>
        <v>0</v>
      </c>
      <c r="H924" s="28" t="str">
        <f>IF(OR(ISBLANK(B924),B924=""), "", IF(B924=B923, (VALUE(LEFT(H923,FIND("/",H923)-1))+1)&amp;"/"&amp;RIGHT(H923,LEN(H923)-FIND("/",H923)), "1/"&amp;IFERROR(VLOOKUP(B924,'SAÍDA DE VENDAS'!$B$6:$P$500,13,FALSE),"1")))</f>
        <v/>
      </c>
      <c r="I924" s="69" t="str">
        <f t="shared" si="28"/>
        <v/>
      </c>
      <c r="J924" s="33" t="str">
        <f>IFERROR(VLOOKUP(B924,'SAÍDA DE VENDAS'!$B$6:$P$500,15,FALSE),"")</f>
        <v/>
      </c>
      <c r="K924" s="28" t="str">
        <f t="shared" ca="1" si="29"/>
        <v/>
      </c>
      <c r="L924" s="28"/>
      <c r="M924" s="28"/>
    </row>
    <row r="925" spans="2:13" ht="15" customHeight="1" x14ac:dyDescent="0.3">
      <c r="B925" s="34" t="str">
        <f>IF(B924="","", IF(VALUE(LEFT(H924,FIND("/",H924)-1)) &lt; VALUE(RIGHT(H924,LEN(H924)-FIND("/",H924))), B924, IFERROR(INDEX('SAÍDA DE VENDAS'!$B$6:$B$500, MATCH(B924,'SAÍDA DE VENDAS'!$B$6:$B$500,0)+COUNTIF('SAÍDA DE VENDAS'!$B$6:$B$500, B924)),"")))</f>
        <v/>
      </c>
      <c r="C925" s="35">
        <f>IFERROR(VLOOKUP(B925,'SAÍDA DE VENDAS'!$B$6:$P$500,3,FALSE),"")</f>
        <v>0</v>
      </c>
      <c r="D925" s="34">
        <f>IFERROR(VLOOKUP(B925,'SAÍDA DE VENDAS'!$B$6:$P$500,4,FALSE),"")</f>
        <v>0</v>
      </c>
      <c r="E925" s="34" t="str">
        <f>IFERROR(VLOOKUP(B925,'SAÍDA DE VENDAS'!$B$6:$P$500,5,FALSE),"")</f>
        <v/>
      </c>
      <c r="F925" s="34" t="str">
        <f>IF(OR(ISBLANK(B925),B925=""), "", IFERROR(INDEX('SAÍDA DE VENDAS'!$H$6:$H$500 &amp; "x " &amp; 'SAÍDA DE VENDAS'!$G$6:$G$500, MATCH(B925, 'SAÍDA DE VENDAS'!$B$6:$B$500, 0)), "")&amp; IF(COUNTIF('SAÍDA DE VENDAS'!$B$6:$B$500, B925)&gt;1, " + " &amp; IFERROR(INDEX('SAÍDA DE VENDAS'!$H$6:$H$500 &amp; "x " &amp; 'SAÍDA DE VENDAS'!$G$6:$G$500, MATCH(B925, 'SAÍDA DE VENDAS'!$B$6:$B$500, 0)+1), ""), "")&amp; IF(COUNTIF('SAÍDA DE VENDAS'!$B$6:$B$500, B925)&gt;2, " + " &amp; IFERROR(INDEX('SAÍDA DE VENDAS'!$H$6:$H$500 &amp; "x " &amp; 'SAÍDA DE VENDAS'!$G$6:$G$500, MATCH(B925, 'SAÍDA DE VENDAS'!$B$6:$B$500, 0)+2), ""), "")&amp; IF(COUNTIF('SAÍDA DE VENDAS'!$B$6:$B$500, B925)&gt;3, " + " &amp; IFERROR(INDEX('SAÍDA DE VENDAS'!$H$6:$H$500 &amp; "x " &amp; 'SAÍDA DE VENDAS'!$G$6:$G$500, MATCH(B925, 'SAÍDA DE VENDAS'!$B$6:$B$500, 0)+3), ""), "")&amp; IF(COUNTIF('SAÍDA DE VENDAS'!$B$6:$B$500, B925)&gt;4, " + " &amp; IFERROR(INDEX('SAÍDA DE VENDAS'!$H$6:$H$500 &amp; "x " &amp; 'SAÍDA DE VENDAS'!$G$6:$G$500, MATCH(B925, 'SAÍDA DE VENDAS'!$B$6:$B$500, 0)+4), ""), "")&amp; IF(COUNTIF('SAÍDA DE VENDAS'!$B$6:$B$500, B925)&gt;5, " + " &amp; IFERROR(INDEX('SAÍDA DE VENDAS'!$H$6:$H$500 &amp; "x " &amp; 'SAÍDA DE VENDAS'!$G$6:$G$500, MATCH(B925, 'SAÍDA DE VENDAS'!$B$6:$B$500, 0)+5), ""), ""))</f>
        <v/>
      </c>
      <c r="G925" s="34">
        <f>IFERROR(VLOOKUP(B925,'SAÍDA DE VENDAS'!$B$6:$P$500,10,FALSE),"")</f>
        <v>0</v>
      </c>
      <c r="H925" s="34" t="str">
        <f>IF(OR(ISBLANK(B925),B925=""), "", IF(B925=B924, (VALUE(LEFT(H924,FIND("/",H924)-1))+1)&amp;"/"&amp;RIGHT(H924,LEN(H924)-FIND("/",H924)), "1/"&amp;IFERROR(VLOOKUP(B925,'SAÍDA DE VENDAS'!$B$6:$P$500,13,FALSE),"1")))</f>
        <v/>
      </c>
      <c r="I925" s="35" t="str">
        <f t="shared" si="28"/>
        <v/>
      </c>
      <c r="J925" s="39" t="str">
        <f>IFERROR(VLOOKUP(B925,'SAÍDA DE VENDAS'!$B$6:$P$500,15,FALSE),"")</f>
        <v/>
      </c>
      <c r="K925" s="34" t="str">
        <f t="shared" ca="1" si="29"/>
        <v/>
      </c>
      <c r="L925" s="34"/>
      <c r="M925" s="34"/>
    </row>
    <row r="926" spans="2:13" ht="15" customHeight="1" x14ac:dyDescent="0.3">
      <c r="B926" s="28" t="str">
        <f>IF(B925="","", IF(VALUE(LEFT(H925,FIND("/",H925)-1)) &lt; VALUE(RIGHT(H925,LEN(H925)-FIND("/",H925))), B925, IFERROR(INDEX('SAÍDA DE VENDAS'!$B$6:$B$500, MATCH(B925,'SAÍDA DE VENDAS'!$B$6:$B$500,0)+COUNTIF('SAÍDA DE VENDAS'!$B$6:$B$500, B925)),"")))</f>
        <v/>
      </c>
      <c r="C926" s="29">
        <f>IFERROR(VLOOKUP(B926,'SAÍDA DE VENDAS'!$B$6:$P$500,3,FALSE),"")</f>
        <v>0</v>
      </c>
      <c r="D926" s="28">
        <f>IFERROR(VLOOKUP(B926,'SAÍDA DE VENDAS'!$B$6:$P$500,4,FALSE),"")</f>
        <v>0</v>
      </c>
      <c r="E926" s="28" t="str">
        <f>IFERROR(VLOOKUP(B926,'SAÍDA DE VENDAS'!$B$6:$P$500,5,FALSE),"")</f>
        <v/>
      </c>
      <c r="F926" s="28" t="str">
        <f>IF(OR(ISBLANK(B926),B926=""), "", IFERROR(INDEX('SAÍDA DE VENDAS'!$H$6:$H$500 &amp; "x " &amp; 'SAÍDA DE VENDAS'!$G$6:$G$500, MATCH(B926, 'SAÍDA DE VENDAS'!$B$6:$B$500, 0)), "")&amp; IF(COUNTIF('SAÍDA DE VENDAS'!$B$6:$B$500, B926)&gt;1, " + " &amp; IFERROR(INDEX('SAÍDA DE VENDAS'!$H$6:$H$500 &amp; "x " &amp; 'SAÍDA DE VENDAS'!$G$6:$G$500, MATCH(B926, 'SAÍDA DE VENDAS'!$B$6:$B$500, 0)+1), ""), "")&amp; IF(COUNTIF('SAÍDA DE VENDAS'!$B$6:$B$500, B926)&gt;2, " + " &amp; IFERROR(INDEX('SAÍDA DE VENDAS'!$H$6:$H$500 &amp; "x " &amp; 'SAÍDA DE VENDAS'!$G$6:$G$500, MATCH(B926, 'SAÍDA DE VENDAS'!$B$6:$B$500, 0)+2), ""), "")&amp; IF(COUNTIF('SAÍDA DE VENDAS'!$B$6:$B$500, B926)&gt;3, " + " &amp; IFERROR(INDEX('SAÍDA DE VENDAS'!$H$6:$H$500 &amp; "x " &amp; 'SAÍDA DE VENDAS'!$G$6:$G$500, MATCH(B926, 'SAÍDA DE VENDAS'!$B$6:$B$500, 0)+3), ""), "")&amp; IF(COUNTIF('SAÍDA DE VENDAS'!$B$6:$B$500, B926)&gt;4, " + " &amp; IFERROR(INDEX('SAÍDA DE VENDAS'!$H$6:$H$500 &amp; "x " &amp; 'SAÍDA DE VENDAS'!$G$6:$G$500, MATCH(B926, 'SAÍDA DE VENDAS'!$B$6:$B$500, 0)+4), ""), "")&amp; IF(COUNTIF('SAÍDA DE VENDAS'!$B$6:$B$500, B926)&gt;5, " + " &amp; IFERROR(INDEX('SAÍDA DE VENDAS'!$H$6:$H$500 &amp; "x " &amp; 'SAÍDA DE VENDAS'!$G$6:$G$500, MATCH(B926, 'SAÍDA DE VENDAS'!$B$6:$B$500, 0)+5), ""), ""))</f>
        <v/>
      </c>
      <c r="G926" s="28">
        <f>IFERROR(VLOOKUP(B926,'SAÍDA DE VENDAS'!$B$6:$P$500,10,FALSE),"")</f>
        <v>0</v>
      </c>
      <c r="H926" s="28" t="str">
        <f>IF(OR(ISBLANK(B926),B926=""), "", IF(B926=B925, (VALUE(LEFT(H925,FIND("/",H925)-1))+1)&amp;"/"&amp;RIGHT(H925,LEN(H925)-FIND("/",H925)), "1/"&amp;IFERROR(VLOOKUP(B926,'SAÍDA DE VENDAS'!$B$6:$P$500,13,FALSE),"1")))</f>
        <v/>
      </c>
      <c r="I926" s="69" t="str">
        <f t="shared" si="28"/>
        <v/>
      </c>
      <c r="J926" s="33" t="str">
        <f>IFERROR(VLOOKUP(B926,'SAÍDA DE VENDAS'!$B$6:$P$500,15,FALSE),"")</f>
        <v/>
      </c>
      <c r="K926" s="28" t="str">
        <f t="shared" ca="1" si="29"/>
        <v/>
      </c>
      <c r="L926" s="28"/>
      <c r="M926" s="28"/>
    </row>
    <row r="927" spans="2:13" ht="15" customHeight="1" x14ac:dyDescent="0.3">
      <c r="B927" s="34" t="str">
        <f>IF(B926="","", IF(VALUE(LEFT(H926,FIND("/",H926)-1)) &lt; VALUE(RIGHT(H926,LEN(H926)-FIND("/",H926))), B926, IFERROR(INDEX('SAÍDA DE VENDAS'!$B$6:$B$500, MATCH(B926,'SAÍDA DE VENDAS'!$B$6:$B$500,0)+COUNTIF('SAÍDA DE VENDAS'!$B$6:$B$500, B926)),"")))</f>
        <v/>
      </c>
      <c r="C927" s="35">
        <f>IFERROR(VLOOKUP(B927,'SAÍDA DE VENDAS'!$B$6:$P$500,3,FALSE),"")</f>
        <v>0</v>
      </c>
      <c r="D927" s="34">
        <f>IFERROR(VLOOKUP(B927,'SAÍDA DE VENDAS'!$B$6:$P$500,4,FALSE),"")</f>
        <v>0</v>
      </c>
      <c r="E927" s="34" t="str">
        <f>IFERROR(VLOOKUP(B927,'SAÍDA DE VENDAS'!$B$6:$P$500,5,FALSE),"")</f>
        <v/>
      </c>
      <c r="F927" s="34" t="str">
        <f>IF(OR(ISBLANK(B927),B927=""), "", IFERROR(INDEX('SAÍDA DE VENDAS'!$H$6:$H$500 &amp; "x " &amp; 'SAÍDA DE VENDAS'!$G$6:$G$500, MATCH(B927, 'SAÍDA DE VENDAS'!$B$6:$B$500, 0)), "")&amp; IF(COUNTIF('SAÍDA DE VENDAS'!$B$6:$B$500, B927)&gt;1, " + " &amp; IFERROR(INDEX('SAÍDA DE VENDAS'!$H$6:$H$500 &amp; "x " &amp; 'SAÍDA DE VENDAS'!$G$6:$G$500, MATCH(B927, 'SAÍDA DE VENDAS'!$B$6:$B$500, 0)+1), ""), "")&amp; IF(COUNTIF('SAÍDA DE VENDAS'!$B$6:$B$500, B927)&gt;2, " + " &amp; IFERROR(INDEX('SAÍDA DE VENDAS'!$H$6:$H$500 &amp; "x " &amp; 'SAÍDA DE VENDAS'!$G$6:$G$500, MATCH(B927, 'SAÍDA DE VENDAS'!$B$6:$B$500, 0)+2), ""), "")&amp; IF(COUNTIF('SAÍDA DE VENDAS'!$B$6:$B$500, B927)&gt;3, " + " &amp; IFERROR(INDEX('SAÍDA DE VENDAS'!$H$6:$H$500 &amp; "x " &amp; 'SAÍDA DE VENDAS'!$G$6:$G$500, MATCH(B927, 'SAÍDA DE VENDAS'!$B$6:$B$500, 0)+3), ""), "")&amp; IF(COUNTIF('SAÍDA DE VENDAS'!$B$6:$B$500, B927)&gt;4, " + " &amp; IFERROR(INDEX('SAÍDA DE VENDAS'!$H$6:$H$500 &amp; "x " &amp; 'SAÍDA DE VENDAS'!$G$6:$G$500, MATCH(B927, 'SAÍDA DE VENDAS'!$B$6:$B$500, 0)+4), ""), "")&amp; IF(COUNTIF('SAÍDA DE VENDAS'!$B$6:$B$500, B927)&gt;5, " + " &amp; IFERROR(INDEX('SAÍDA DE VENDAS'!$H$6:$H$500 &amp; "x " &amp; 'SAÍDA DE VENDAS'!$G$6:$G$500, MATCH(B927, 'SAÍDA DE VENDAS'!$B$6:$B$500, 0)+5), ""), ""))</f>
        <v/>
      </c>
      <c r="G927" s="34">
        <f>IFERROR(VLOOKUP(B927,'SAÍDA DE VENDAS'!$B$6:$P$500,10,FALSE),"")</f>
        <v>0</v>
      </c>
      <c r="H927" s="34" t="str">
        <f>IF(OR(ISBLANK(B927),B927=""), "", IF(B927=B926, (VALUE(LEFT(H926,FIND("/",H926)-1))+1)&amp;"/"&amp;RIGHT(H926,LEN(H926)-FIND("/",H926)), "1/"&amp;IFERROR(VLOOKUP(B927,'SAÍDA DE VENDAS'!$B$6:$P$500,13,FALSE),"1")))</f>
        <v/>
      </c>
      <c r="I927" s="35" t="str">
        <f t="shared" si="28"/>
        <v/>
      </c>
      <c r="J927" s="39" t="str">
        <f>IFERROR(VLOOKUP(B927,'SAÍDA DE VENDAS'!$B$6:$P$500,15,FALSE),"")</f>
        <v/>
      </c>
      <c r="K927" s="34" t="str">
        <f t="shared" ca="1" si="29"/>
        <v/>
      </c>
      <c r="L927" s="34"/>
      <c r="M927" s="34"/>
    </row>
    <row r="928" spans="2:13" ht="15" customHeight="1" x14ac:dyDescent="0.3">
      <c r="B928" s="28" t="str">
        <f>IF(B927="","", IF(VALUE(LEFT(H927,FIND("/",H927)-1)) &lt; VALUE(RIGHT(H927,LEN(H927)-FIND("/",H927))), B927, IFERROR(INDEX('SAÍDA DE VENDAS'!$B$6:$B$500, MATCH(B927,'SAÍDA DE VENDAS'!$B$6:$B$500,0)+COUNTIF('SAÍDA DE VENDAS'!$B$6:$B$500, B927)),"")))</f>
        <v/>
      </c>
      <c r="C928" s="29">
        <f>IFERROR(VLOOKUP(B928,'SAÍDA DE VENDAS'!$B$6:$P$500,3,FALSE),"")</f>
        <v>0</v>
      </c>
      <c r="D928" s="28">
        <f>IFERROR(VLOOKUP(B928,'SAÍDA DE VENDAS'!$B$6:$P$500,4,FALSE),"")</f>
        <v>0</v>
      </c>
      <c r="E928" s="28" t="str">
        <f>IFERROR(VLOOKUP(B928,'SAÍDA DE VENDAS'!$B$6:$P$500,5,FALSE),"")</f>
        <v/>
      </c>
      <c r="F928" s="28" t="str">
        <f>IF(OR(ISBLANK(B928),B928=""), "", IFERROR(INDEX('SAÍDA DE VENDAS'!$H$6:$H$500 &amp; "x " &amp; 'SAÍDA DE VENDAS'!$G$6:$G$500, MATCH(B928, 'SAÍDA DE VENDAS'!$B$6:$B$500, 0)), "")&amp; IF(COUNTIF('SAÍDA DE VENDAS'!$B$6:$B$500, B928)&gt;1, " + " &amp; IFERROR(INDEX('SAÍDA DE VENDAS'!$H$6:$H$500 &amp; "x " &amp; 'SAÍDA DE VENDAS'!$G$6:$G$500, MATCH(B928, 'SAÍDA DE VENDAS'!$B$6:$B$500, 0)+1), ""), "")&amp; IF(COUNTIF('SAÍDA DE VENDAS'!$B$6:$B$500, B928)&gt;2, " + " &amp; IFERROR(INDEX('SAÍDA DE VENDAS'!$H$6:$H$500 &amp; "x " &amp; 'SAÍDA DE VENDAS'!$G$6:$G$500, MATCH(B928, 'SAÍDA DE VENDAS'!$B$6:$B$500, 0)+2), ""), "")&amp; IF(COUNTIF('SAÍDA DE VENDAS'!$B$6:$B$500, B928)&gt;3, " + " &amp; IFERROR(INDEX('SAÍDA DE VENDAS'!$H$6:$H$500 &amp; "x " &amp; 'SAÍDA DE VENDAS'!$G$6:$G$500, MATCH(B928, 'SAÍDA DE VENDAS'!$B$6:$B$500, 0)+3), ""), "")&amp; IF(COUNTIF('SAÍDA DE VENDAS'!$B$6:$B$500, B928)&gt;4, " + " &amp; IFERROR(INDEX('SAÍDA DE VENDAS'!$H$6:$H$500 &amp; "x " &amp; 'SAÍDA DE VENDAS'!$G$6:$G$500, MATCH(B928, 'SAÍDA DE VENDAS'!$B$6:$B$500, 0)+4), ""), "")&amp; IF(COUNTIF('SAÍDA DE VENDAS'!$B$6:$B$500, B928)&gt;5, " + " &amp; IFERROR(INDEX('SAÍDA DE VENDAS'!$H$6:$H$500 &amp; "x " &amp; 'SAÍDA DE VENDAS'!$G$6:$G$500, MATCH(B928, 'SAÍDA DE VENDAS'!$B$6:$B$500, 0)+5), ""), ""))</f>
        <v/>
      </c>
      <c r="G928" s="28">
        <f>IFERROR(VLOOKUP(B928,'SAÍDA DE VENDAS'!$B$6:$P$500,10,FALSE),"")</f>
        <v>0</v>
      </c>
      <c r="H928" s="28" t="str">
        <f>IF(OR(ISBLANK(B928),B928=""), "", IF(B928=B927, (VALUE(LEFT(H927,FIND("/",H927)-1))+1)&amp;"/"&amp;RIGHT(H927,LEN(H927)-FIND("/",H927)), "1/"&amp;IFERROR(VLOOKUP(B928,'SAÍDA DE VENDAS'!$B$6:$P$500,13,FALSE),"1")))</f>
        <v/>
      </c>
      <c r="I928" s="69" t="str">
        <f t="shared" si="28"/>
        <v/>
      </c>
      <c r="J928" s="33" t="str">
        <f>IFERROR(VLOOKUP(B928,'SAÍDA DE VENDAS'!$B$6:$P$500,15,FALSE),"")</f>
        <v/>
      </c>
      <c r="K928" s="28" t="str">
        <f t="shared" ca="1" si="29"/>
        <v/>
      </c>
      <c r="L928" s="28"/>
      <c r="M928" s="28"/>
    </row>
    <row r="929" spans="2:13" ht="15" customHeight="1" x14ac:dyDescent="0.3">
      <c r="B929" s="34" t="str">
        <f>IF(B928="","", IF(VALUE(LEFT(H928,FIND("/",H928)-1)) &lt; VALUE(RIGHT(H928,LEN(H928)-FIND("/",H928))), B928, IFERROR(INDEX('SAÍDA DE VENDAS'!$B$6:$B$500, MATCH(B928,'SAÍDA DE VENDAS'!$B$6:$B$500,0)+COUNTIF('SAÍDA DE VENDAS'!$B$6:$B$500, B928)),"")))</f>
        <v/>
      </c>
      <c r="C929" s="35">
        <f>IFERROR(VLOOKUP(B929,'SAÍDA DE VENDAS'!$B$6:$P$500,3,FALSE),"")</f>
        <v>0</v>
      </c>
      <c r="D929" s="34">
        <f>IFERROR(VLOOKUP(B929,'SAÍDA DE VENDAS'!$B$6:$P$500,4,FALSE),"")</f>
        <v>0</v>
      </c>
      <c r="E929" s="34" t="str">
        <f>IFERROR(VLOOKUP(B929,'SAÍDA DE VENDAS'!$B$6:$P$500,5,FALSE),"")</f>
        <v/>
      </c>
      <c r="F929" s="34" t="str">
        <f>IF(OR(ISBLANK(B929),B929=""), "", IFERROR(INDEX('SAÍDA DE VENDAS'!$H$6:$H$500 &amp; "x " &amp; 'SAÍDA DE VENDAS'!$G$6:$G$500, MATCH(B929, 'SAÍDA DE VENDAS'!$B$6:$B$500, 0)), "")&amp; IF(COUNTIF('SAÍDA DE VENDAS'!$B$6:$B$500, B929)&gt;1, " + " &amp; IFERROR(INDEX('SAÍDA DE VENDAS'!$H$6:$H$500 &amp; "x " &amp; 'SAÍDA DE VENDAS'!$G$6:$G$500, MATCH(B929, 'SAÍDA DE VENDAS'!$B$6:$B$500, 0)+1), ""), "")&amp; IF(COUNTIF('SAÍDA DE VENDAS'!$B$6:$B$500, B929)&gt;2, " + " &amp; IFERROR(INDEX('SAÍDA DE VENDAS'!$H$6:$H$500 &amp; "x " &amp; 'SAÍDA DE VENDAS'!$G$6:$G$500, MATCH(B929, 'SAÍDA DE VENDAS'!$B$6:$B$500, 0)+2), ""), "")&amp; IF(COUNTIF('SAÍDA DE VENDAS'!$B$6:$B$500, B929)&gt;3, " + " &amp; IFERROR(INDEX('SAÍDA DE VENDAS'!$H$6:$H$500 &amp; "x " &amp; 'SAÍDA DE VENDAS'!$G$6:$G$500, MATCH(B929, 'SAÍDA DE VENDAS'!$B$6:$B$500, 0)+3), ""), "")&amp; IF(COUNTIF('SAÍDA DE VENDAS'!$B$6:$B$500, B929)&gt;4, " + " &amp; IFERROR(INDEX('SAÍDA DE VENDAS'!$H$6:$H$500 &amp; "x " &amp; 'SAÍDA DE VENDAS'!$G$6:$G$500, MATCH(B929, 'SAÍDA DE VENDAS'!$B$6:$B$500, 0)+4), ""), "")&amp; IF(COUNTIF('SAÍDA DE VENDAS'!$B$6:$B$500, B929)&gt;5, " + " &amp; IFERROR(INDEX('SAÍDA DE VENDAS'!$H$6:$H$500 &amp; "x " &amp; 'SAÍDA DE VENDAS'!$G$6:$G$500, MATCH(B929, 'SAÍDA DE VENDAS'!$B$6:$B$500, 0)+5), ""), ""))</f>
        <v/>
      </c>
      <c r="G929" s="34">
        <f>IFERROR(VLOOKUP(B929,'SAÍDA DE VENDAS'!$B$6:$P$500,10,FALSE),"")</f>
        <v>0</v>
      </c>
      <c r="H929" s="34" t="str">
        <f>IF(OR(ISBLANK(B929),B929=""), "", IF(B929=B928, (VALUE(LEFT(H928,FIND("/",H928)-1))+1)&amp;"/"&amp;RIGHT(H928,LEN(H928)-FIND("/",H928)), "1/"&amp;IFERROR(VLOOKUP(B929,'SAÍDA DE VENDAS'!$B$6:$P$500,13,FALSE),"1")))</f>
        <v/>
      </c>
      <c r="I929" s="35" t="str">
        <f t="shared" si="28"/>
        <v/>
      </c>
      <c r="J929" s="39" t="str">
        <f>IFERROR(VLOOKUP(B929,'SAÍDA DE VENDAS'!$B$6:$P$500,15,FALSE),"")</f>
        <v/>
      </c>
      <c r="K929" s="34" t="str">
        <f t="shared" ca="1" si="29"/>
        <v/>
      </c>
      <c r="L929" s="34"/>
      <c r="M929" s="34"/>
    </row>
    <row r="930" spans="2:13" ht="15" customHeight="1" x14ac:dyDescent="0.3">
      <c r="B930" s="28" t="str">
        <f>IF(B929="","", IF(VALUE(LEFT(H929,FIND("/",H929)-1)) &lt; VALUE(RIGHT(H929,LEN(H929)-FIND("/",H929))), B929, IFERROR(INDEX('SAÍDA DE VENDAS'!$B$6:$B$500, MATCH(B929,'SAÍDA DE VENDAS'!$B$6:$B$500,0)+COUNTIF('SAÍDA DE VENDAS'!$B$6:$B$500, B929)),"")))</f>
        <v/>
      </c>
      <c r="C930" s="29">
        <f>IFERROR(VLOOKUP(B930,'SAÍDA DE VENDAS'!$B$6:$P$500,3,FALSE),"")</f>
        <v>0</v>
      </c>
      <c r="D930" s="28">
        <f>IFERROR(VLOOKUP(B930,'SAÍDA DE VENDAS'!$B$6:$P$500,4,FALSE),"")</f>
        <v>0</v>
      </c>
      <c r="E930" s="28" t="str">
        <f>IFERROR(VLOOKUP(B930,'SAÍDA DE VENDAS'!$B$6:$P$500,5,FALSE),"")</f>
        <v/>
      </c>
      <c r="F930" s="28" t="str">
        <f>IF(OR(ISBLANK(B930),B930=""), "", IFERROR(INDEX('SAÍDA DE VENDAS'!$H$6:$H$500 &amp; "x " &amp; 'SAÍDA DE VENDAS'!$G$6:$G$500, MATCH(B930, 'SAÍDA DE VENDAS'!$B$6:$B$500, 0)), "")&amp; IF(COUNTIF('SAÍDA DE VENDAS'!$B$6:$B$500, B930)&gt;1, " + " &amp; IFERROR(INDEX('SAÍDA DE VENDAS'!$H$6:$H$500 &amp; "x " &amp; 'SAÍDA DE VENDAS'!$G$6:$G$500, MATCH(B930, 'SAÍDA DE VENDAS'!$B$6:$B$500, 0)+1), ""), "")&amp; IF(COUNTIF('SAÍDA DE VENDAS'!$B$6:$B$500, B930)&gt;2, " + " &amp; IFERROR(INDEX('SAÍDA DE VENDAS'!$H$6:$H$500 &amp; "x " &amp; 'SAÍDA DE VENDAS'!$G$6:$G$500, MATCH(B930, 'SAÍDA DE VENDAS'!$B$6:$B$500, 0)+2), ""), "")&amp; IF(COUNTIF('SAÍDA DE VENDAS'!$B$6:$B$500, B930)&gt;3, " + " &amp; IFERROR(INDEX('SAÍDA DE VENDAS'!$H$6:$H$500 &amp; "x " &amp; 'SAÍDA DE VENDAS'!$G$6:$G$500, MATCH(B930, 'SAÍDA DE VENDAS'!$B$6:$B$500, 0)+3), ""), "")&amp; IF(COUNTIF('SAÍDA DE VENDAS'!$B$6:$B$500, B930)&gt;4, " + " &amp; IFERROR(INDEX('SAÍDA DE VENDAS'!$H$6:$H$500 &amp; "x " &amp; 'SAÍDA DE VENDAS'!$G$6:$G$500, MATCH(B930, 'SAÍDA DE VENDAS'!$B$6:$B$500, 0)+4), ""), "")&amp; IF(COUNTIF('SAÍDA DE VENDAS'!$B$6:$B$500, B930)&gt;5, " + " &amp; IFERROR(INDEX('SAÍDA DE VENDAS'!$H$6:$H$500 &amp; "x " &amp; 'SAÍDA DE VENDAS'!$G$6:$G$500, MATCH(B930, 'SAÍDA DE VENDAS'!$B$6:$B$500, 0)+5), ""), ""))</f>
        <v/>
      </c>
      <c r="G930" s="28">
        <f>IFERROR(VLOOKUP(B930,'SAÍDA DE VENDAS'!$B$6:$P$500,10,FALSE),"")</f>
        <v>0</v>
      </c>
      <c r="H930" s="28" t="str">
        <f>IF(OR(ISBLANK(B930),B930=""), "", IF(B930=B929, (VALUE(LEFT(H929,FIND("/",H929)-1))+1)&amp;"/"&amp;RIGHT(H929,LEN(H929)-FIND("/",H929)), "1/"&amp;IFERROR(VLOOKUP(B930,'SAÍDA DE VENDAS'!$B$6:$P$500,13,FALSE),"1")))</f>
        <v/>
      </c>
      <c r="I930" s="69" t="str">
        <f t="shared" si="28"/>
        <v/>
      </c>
      <c r="J930" s="33" t="str">
        <f>IFERROR(VLOOKUP(B930,'SAÍDA DE VENDAS'!$B$6:$P$500,15,FALSE),"")</f>
        <v/>
      </c>
      <c r="K930" s="28" t="str">
        <f t="shared" ca="1" si="29"/>
        <v/>
      </c>
      <c r="L930" s="28"/>
      <c r="M930" s="28"/>
    </row>
    <row r="931" spans="2:13" ht="15" customHeight="1" x14ac:dyDescent="0.3">
      <c r="B931" s="34" t="str">
        <f>IF(B930="","", IF(VALUE(LEFT(H930,FIND("/",H930)-1)) &lt; VALUE(RIGHT(H930,LEN(H930)-FIND("/",H930))), B930, IFERROR(INDEX('SAÍDA DE VENDAS'!$B$6:$B$500, MATCH(B930,'SAÍDA DE VENDAS'!$B$6:$B$500,0)+COUNTIF('SAÍDA DE VENDAS'!$B$6:$B$500, B930)),"")))</f>
        <v/>
      </c>
      <c r="C931" s="35">
        <f>IFERROR(VLOOKUP(B931,'SAÍDA DE VENDAS'!$B$6:$P$500,3,FALSE),"")</f>
        <v>0</v>
      </c>
      <c r="D931" s="34">
        <f>IFERROR(VLOOKUP(B931,'SAÍDA DE VENDAS'!$B$6:$P$500,4,FALSE),"")</f>
        <v>0</v>
      </c>
      <c r="E931" s="34" t="str">
        <f>IFERROR(VLOOKUP(B931,'SAÍDA DE VENDAS'!$B$6:$P$500,5,FALSE),"")</f>
        <v/>
      </c>
      <c r="F931" s="34" t="str">
        <f>IF(OR(ISBLANK(B931),B931=""), "", IFERROR(INDEX('SAÍDA DE VENDAS'!$H$6:$H$500 &amp; "x " &amp; 'SAÍDA DE VENDAS'!$G$6:$G$500, MATCH(B931, 'SAÍDA DE VENDAS'!$B$6:$B$500, 0)), "")&amp; IF(COUNTIF('SAÍDA DE VENDAS'!$B$6:$B$500, B931)&gt;1, " + " &amp; IFERROR(INDEX('SAÍDA DE VENDAS'!$H$6:$H$500 &amp; "x " &amp; 'SAÍDA DE VENDAS'!$G$6:$G$500, MATCH(B931, 'SAÍDA DE VENDAS'!$B$6:$B$500, 0)+1), ""), "")&amp; IF(COUNTIF('SAÍDA DE VENDAS'!$B$6:$B$500, B931)&gt;2, " + " &amp; IFERROR(INDEX('SAÍDA DE VENDAS'!$H$6:$H$500 &amp; "x " &amp; 'SAÍDA DE VENDAS'!$G$6:$G$500, MATCH(B931, 'SAÍDA DE VENDAS'!$B$6:$B$500, 0)+2), ""), "")&amp; IF(COUNTIF('SAÍDA DE VENDAS'!$B$6:$B$500, B931)&gt;3, " + " &amp; IFERROR(INDEX('SAÍDA DE VENDAS'!$H$6:$H$500 &amp; "x " &amp; 'SAÍDA DE VENDAS'!$G$6:$G$500, MATCH(B931, 'SAÍDA DE VENDAS'!$B$6:$B$500, 0)+3), ""), "")&amp; IF(COUNTIF('SAÍDA DE VENDAS'!$B$6:$B$500, B931)&gt;4, " + " &amp; IFERROR(INDEX('SAÍDA DE VENDAS'!$H$6:$H$500 &amp; "x " &amp; 'SAÍDA DE VENDAS'!$G$6:$G$500, MATCH(B931, 'SAÍDA DE VENDAS'!$B$6:$B$500, 0)+4), ""), "")&amp; IF(COUNTIF('SAÍDA DE VENDAS'!$B$6:$B$500, B931)&gt;5, " + " &amp; IFERROR(INDEX('SAÍDA DE VENDAS'!$H$6:$H$500 &amp; "x " &amp; 'SAÍDA DE VENDAS'!$G$6:$G$500, MATCH(B931, 'SAÍDA DE VENDAS'!$B$6:$B$500, 0)+5), ""), ""))</f>
        <v/>
      </c>
      <c r="G931" s="34">
        <f>IFERROR(VLOOKUP(B931,'SAÍDA DE VENDAS'!$B$6:$P$500,10,FALSE),"")</f>
        <v>0</v>
      </c>
      <c r="H931" s="34" t="str">
        <f>IF(OR(ISBLANK(B931),B931=""), "", IF(B931=B930, (VALUE(LEFT(H930,FIND("/",H930)-1))+1)&amp;"/"&amp;RIGHT(H930,LEN(H930)-FIND("/",H930)), "1/"&amp;IFERROR(VLOOKUP(B931,'SAÍDA DE VENDAS'!$B$6:$P$500,13,FALSE),"1")))</f>
        <v/>
      </c>
      <c r="I931" s="35" t="str">
        <f t="shared" si="28"/>
        <v/>
      </c>
      <c r="J931" s="39" t="str">
        <f>IFERROR(VLOOKUP(B931,'SAÍDA DE VENDAS'!$B$6:$P$500,15,FALSE),"")</f>
        <v/>
      </c>
      <c r="K931" s="34" t="str">
        <f t="shared" ca="1" si="29"/>
        <v/>
      </c>
      <c r="L931" s="34"/>
      <c r="M931" s="34"/>
    </row>
    <row r="932" spans="2:13" ht="15" customHeight="1" x14ac:dyDescent="0.3">
      <c r="B932" s="28" t="str">
        <f>IF(B931="","", IF(VALUE(LEFT(H931,FIND("/",H931)-1)) &lt; VALUE(RIGHT(H931,LEN(H931)-FIND("/",H931))), B931, IFERROR(INDEX('SAÍDA DE VENDAS'!$B$6:$B$500, MATCH(B931,'SAÍDA DE VENDAS'!$B$6:$B$500,0)+COUNTIF('SAÍDA DE VENDAS'!$B$6:$B$500, B931)),"")))</f>
        <v/>
      </c>
      <c r="C932" s="29">
        <f>IFERROR(VLOOKUP(B932,'SAÍDA DE VENDAS'!$B$6:$P$500,3,FALSE),"")</f>
        <v>0</v>
      </c>
      <c r="D932" s="28">
        <f>IFERROR(VLOOKUP(B932,'SAÍDA DE VENDAS'!$B$6:$P$500,4,FALSE),"")</f>
        <v>0</v>
      </c>
      <c r="E932" s="28" t="str">
        <f>IFERROR(VLOOKUP(B932,'SAÍDA DE VENDAS'!$B$6:$P$500,5,FALSE),"")</f>
        <v/>
      </c>
      <c r="F932" s="28" t="str">
        <f>IF(OR(ISBLANK(B932),B932=""), "", IFERROR(INDEX('SAÍDA DE VENDAS'!$H$6:$H$500 &amp; "x " &amp; 'SAÍDA DE VENDAS'!$G$6:$G$500, MATCH(B932, 'SAÍDA DE VENDAS'!$B$6:$B$500, 0)), "")&amp; IF(COUNTIF('SAÍDA DE VENDAS'!$B$6:$B$500, B932)&gt;1, " + " &amp; IFERROR(INDEX('SAÍDA DE VENDAS'!$H$6:$H$500 &amp; "x " &amp; 'SAÍDA DE VENDAS'!$G$6:$G$500, MATCH(B932, 'SAÍDA DE VENDAS'!$B$6:$B$500, 0)+1), ""), "")&amp; IF(COUNTIF('SAÍDA DE VENDAS'!$B$6:$B$500, B932)&gt;2, " + " &amp; IFERROR(INDEX('SAÍDA DE VENDAS'!$H$6:$H$500 &amp; "x " &amp; 'SAÍDA DE VENDAS'!$G$6:$G$500, MATCH(B932, 'SAÍDA DE VENDAS'!$B$6:$B$500, 0)+2), ""), "")&amp; IF(COUNTIF('SAÍDA DE VENDAS'!$B$6:$B$500, B932)&gt;3, " + " &amp; IFERROR(INDEX('SAÍDA DE VENDAS'!$H$6:$H$500 &amp; "x " &amp; 'SAÍDA DE VENDAS'!$G$6:$G$500, MATCH(B932, 'SAÍDA DE VENDAS'!$B$6:$B$500, 0)+3), ""), "")&amp; IF(COUNTIF('SAÍDA DE VENDAS'!$B$6:$B$500, B932)&gt;4, " + " &amp; IFERROR(INDEX('SAÍDA DE VENDAS'!$H$6:$H$500 &amp; "x " &amp; 'SAÍDA DE VENDAS'!$G$6:$G$500, MATCH(B932, 'SAÍDA DE VENDAS'!$B$6:$B$500, 0)+4), ""), "")&amp; IF(COUNTIF('SAÍDA DE VENDAS'!$B$6:$B$500, B932)&gt;5, " + " &amp; IFERROR(INDEX('SAÍDA DE VENDAS'!$H$6:$H$500 &amp; "x " &amp; 'SAÍDA DE VENDAS'!$G$6:$G$500, MATCH(B932, 'SAÍDA DE VENDAS'!$B$6:$B$500, 0)+5), ""), ""))</f>
        <v/>
      </c>
      <c r="G932" s="28">
        <f>IFERROR(VLOOKUP(B932,'SAÍDA DE VENDAS'!$B$6:$P$500,10,FALSE),"")</f>
        <v>0</v>
      </c>
      <c r="H932" s="28" t="str">
        <f>IF(OR(ISBLANK(B932),B932=""), "", IF(B932=B931, (VALUE(LEFT(H931,FIND("/",H931)-1))+1)&amp;"/"&amp;RIGHT(H931,LEN(H931)-FIND("/",H931)), "1/"&amp;IFERROR(VLOOKUP(B932,'SAÍDA DE VENDAS'!$B$6:$P$500,13,FALSE),"1")))</f>
        <v/>
      </c>
      <c r="I932" s="69" t="str">
        <f t="shared" si="28"/>
        <v/>
      </c>
      <c r="J932" s="33" t="str">
        <f>IFERROR(VLOOKUP(B932,'SAÍDA DE VENDAS'!$B$6:$P$500,15,FALSE),"")</f>
        <v/>
      </c>
      <c r="K932" s="28" t="str">
        <f t="shared" ca="1" si="29"/>
        <v/>
      </c>
      <c r="L932" s="28"/>
      <c r="M932" s="28"/>
    </row>
    <row r="933" spans="2:13" ht="15" customHeight="1" x14ac:dyDescent="0.3">
      <c r="B933" s="34" t="str">
        <f>IF(B932="","", IF(VALUE(LEFT(H932,FIND("/",H932)-1)) &lt; VALUE(RIGHT(H932,LEN(H932)-FIND("/",H932))), B932, IFERROR(INDEX('SAÍDA DE VENDAS'!$B$6:$B$500, MATCH(B932,'SAÍDA DE VENDAS'!$B$6:$B$500,0)+COUNTIF('SAÍDA DE VENDAS'!$B$6:$B$500, B932)),"")))</f>
        <v/>
      </c>
      <c r="C933" s="35">
        <f>IFERROR(VLOOKUP(B933,'SAÍDA DE VENDAS'!$B$6:$P$500,3,FALSE),"")</f>
        <v>0</v>
      </c>
      <c r="D933" s="34">
        <f>IFERROR(VLOOKUP(B933,'SAÍDA DE VENDAS'!$B$6:$P$500,4,FALSE),"")</f>
        <v>0</v>
      </c>
      <c r="E933" s="34" t="str">
        <f>IFERROR(VLOOKUP(B933,'SAÍDA DE VENDAS'!$B$6:$P$500,5,FALSE),"")</f>
        <v/>
      </c>
      <c r="F933" s="34" t="str">
        <f>IF(OR(ISBLANK(B933),B933=""), "", IFERROR(INDEX('SAÍDA DE VENDAS'!$H$6:$H$500 &amp; "x " &amp; 'SAÍDA DE VENDAS'!$G$6:$G$500, MATCH(B933, 'SAÍDA DE VENDAS'!$B$6:$B$500, 0)), "")&amp; IF(COUNTIF('SAÍDA DE VENDAS'!$B$6:$B$500, B933)&gt;1, " + " &amp; IFERROR(INDEX('SAÍDA DE VENDAS'!$H$6:$H$500 &amp; "x " &amp; 'SAÍDA DE VENDAS'!$G$6:$G$500, MATCH(B933, 'SAÍDA DE VENDAS'!$B$6:$B$500, 0)+1), ""), "")&amp; IF(COUNTIF('SAÍDA DE VENDAS'!$B$6:$B$500, B933)&gt;2, " + " &amp; IFERROR(INDEX('SAÍDA DE VENDAS'!$H$6:$H$500 &amp; "x " &amp; 'SAÍDA DE VENDAS'!$G$6:$G$500, MATCH(B933, 'SAÍDA DE VENDAS'!$B$6:$B$500, 0)+2), ""), "")&amp; IF(COUNTIF('SAÍDA DE VENDAS'!$B$6:$B$500, B933)&gt;3, " + " &amp; IFERROR(INDEX('SAÍDA DE VENDAS'!$H$6:$H$500 &amp; "x " &amp; 'SAÍDA DE VENDAS'!$G$6:$G$500, MATCH(B933, 'SAÍDA DE VENDAS'!$B$6:$B$500, 0)+3), ""), "")&amp; IF(COUNTIF('SAÍDA DE VENDAS'!$B$6:$B$500, B933)&gt;4, " + " &amp; IFERROR(INDEX('SAÍDA DE VENDAS'!$H$6:$H$500 &amp; "x " &amp; 'SAÍDA DE VENDAS'!$G$6:$G$500, MATCH(B933, 'SAÍDA DE VENDAS'!$B$6:$B$500, 0)+4), ""), "")&amp; IF(COUNTIF('SAÍDA DE VENDAS'!$B$6:$B$500, B933)&gt;5, " + " &amp; IFERROR(INDEX('SAÍDA DE VENDAS'!$H$6:$H$500 &amp; "x " &amp; 'SAÍDA DE VENDAS'!$G$6:$G$500, MATCH(B933, 'SAÍDA DE VENDAS'!$B$6:$B$500, 0)+5), ""), ""))</f>
        <v/>
      </c>
      <c r="G933" s="34">
        <f>IFERROR(VLOOKUP(B933,'SAÍDA DE VENDAS'!$B$6:$P$500,10,FALSE),"")</f>
        <v>0</v>
      </c>
      <c r="H933" s="34" t="str">
        <f>IF(OR(ISBLANK(B933),B933=""), "", IF(B933=B932, (VALUE(LEFT(H932,FIND("/",H932)-1))+1)&amp;"/"&amp;RIGHT(H932,LEN(H932)-FIND("/",H932)), "1/"&amp;IFERROR(VLOOKUP(B933,'SAÍDA DE VENDAS'!$B$6:$P$500,13,FALSE),"1")))</f>
        <v/>
      </c>
      <c r="I933" s="35" t="str">
        <f t="shared" si="28"/>
        <v/>
      </c>
      <c r="J933" s="39" t="str">
        <f>IFERROR(VLOOKUP(B933,'SAÍDA DE VENDAS'!$B$6:$P$500,15,FALSE),"")</f>
        <v/>
      </c>
      <c r="K933" s="34" t="str">
        <f t="shared" ca="1" si="29"/>
        <v/>
      </c>
      <c r="L933" s="34"/>
      <c r="M933" s="34"/>
    </row>
    <row r="934" spans="2:13" ht="15" customHeight="1" x14ac:dyDescent="0.3">
      <c r="B934" s="28" t="str">
        <f>IF(B933="","", IF(VALUE(LEFT(H933,FIND("/",H933)-1)) &lt; VALUE(RIGHT(H933,LEN(H933)-FIND("/",H933))), B933, IFERROR(INDEX('SAÍDA DE VENDAS'!$B$6:$B$500, MATCH(B933,'SAÍDA DE VENDAS'!$B$6:$B$500,0)+COUNTIF('SAÍDA DE VENDAS'!$B$6:$B$500, B933)),"")))</f>
        <v/>
      </c>
      <c r="C934" s="29">
        <f>IFERROR(VLOOKUP(B934,'SAÍDA DE VENDAS'!$B$6:$P$500,3,FALSE),"")</f>
        <v>0</v>
      </c>
      <c r="D934" s="28">
        <f>IFERROR(VLOOKUP(B934,'SAÍDA DE VENDAS'!$B$6:$P$500,4,FALSE),"")</f>
        <v>0</v>
      </c>
      <c r="E934" s="28" t="str">
        <f>IFERROR(VLOOKUP(B934,'SAÍDA DE VENDAS'!$B$6:$P$500,5,FALSE),"")</f>
        <v/>
      </c>
      <c r="F934" s="28" t="str">
        <f>IF(OR(ISBLANK(B934),B934=""), "", IFERROR(INDEX('SAÍDA DE VENDAS'!$H$6:$H$500 &amp; "x " &amp; 'SAÍDA DE VENDAS'!$G$6:$G$500, MATCH(B934, 'SAÍDA DE VENDAS'!$B$6:$B$500, 0)), "")&amp; IF(COUNTIF('SAÍDA DE VENDAS'!$B$6:$B$500, B934)&gt;1, " + " &amp; IFERROR(INDEX('SAÍDA DE VENDAS'!$H$6:$H$500 &amp; "x " &amp; 'SAÍDA DE VENDAS'!$G$6:$G$500, MATCH(B934, 'SAÍDA DE VENDAS'!$B$6:$B$500, 0)+1), ""), "")&amp; IF(COUNTIF('SAÍDA DE VENDAS'!$B$6:$B$500, B934)&gt;2, " + " &amp; IFERROR(INDEX('SAÍDA DE VENDAS'!$H$6:$H$500 &amp; "x " &amp; 'SAÍDA DE VENDAS'!$G$6:$G$500, MATCH(B934, 'SAÍDA DE VENDAS'!$B$6:$B$500, 0)+2), ""), "")&amp; IF(COUNTIF('SAÍDA DE VENDAS'!$B$6:$B$500, B934)&gt;3, " + " &amp; IFERROR(INDEX('SAÍDA DE VENDAS'!$H$6:$H$500 &amp; "x " &amp; 'SAÍDA DE VENDAS'!$G$6:$G$500, MATCH(B934, 'SAÍDA DE VENDAS'!$B$6:$B$500, 0)+3), ""), "")&amp; IF(COUNTIF('SAÍDA DE VENDAS'!$B$6:$B$500, B934)&gt;4, " + " &amp; IFERROR(INDEX('SAÍDA DE VENDAS'!$H$6:$H$500 &amp; "x " &amp; 'SAÍDA DE VENDAS'!$G$6:$G$500, MATCH(B934, 'SAÍDA DE VENDAS'!$B$6:$B$500, 0)+4), ""), "")&amp; IF(COUNTIF('SAÍDA DE VENDAS'!$B$6:$B$500, B934)&gt;5, " + " &amp; IFERROR(INDEX('SAÍDA DE VENDAS'!$H$6:$H$500 &amp; "x " &amp; 'SAÍDA DE VENDAS'!$G$6:$G$500, MATCH(B934, 'SAÍDA DE VENDAS'!$B$6:$B$500, 0)+5), ""), ""))</f>
        <v/>
      </c>
      <c r="G934" s="28">
        <f>IFERROR(VLOOKUP(B934,'SAÍDA DE VENDAS'!$B$6:$P$500,10,FALSE),"")</f>
        <v>0</v>
      </c>
      <c r="H934" s="28" t="str">
        <f>IF(OR(ISBLANK(B934),B934=""), "", IF(B934=B933, (VALUE(LEFT(H933,FIND("/",H933)-1))+1)&amp;"/"&amp;RIGHT(H933,LEN(H933)-FIND("/",H933)), "1/"&amp;IFERROR(VLOOKUP(B934,'SAÍDA DE VENDAS'!$B$6:$P$500,13,FALSE),"1")))</f>
        <v/>
      </c>
      <c r="I934" s="69" t="str">
        <f t="shared" si="28"/>
        <v/>
      </c>
      <c r="J934" s="33" t="str">
        <f>IFERROR(VLOOKUP(B934,'SAÍDA DE VENDAS'!$B$6:$P$500,15,FALSE),"")</f>
        <v/>
      </c>
      <c r="K934" s="28" t="str">
        <f t="shared" ca="1" si="29"/>
        <v/>
      </c>
      <c r="L934" s="28"/>
      <c r="M934" s="28"/>
    </row>
    <row r="935" spans="2:13" ht="15" customHeight="1" x14ac:dyDescent="0.3">
      <c r="B935" s="34" t="str">
        <f>IF(B934="","", IF(VALUE(LEFT(H934,FIND("/",H934)-1)) &lt; VALUE(RIGHT(H934,LEN(H934)-FIND("/",H934))), B934, IFERROR(INDEX('SAÍDA DE VENDAS'!$B$6:$B$500, MATCH(B934,'SAÍDA DE VENDAS'!$B$6:$B$500,0)+COUNTIF('SAÍDA DE VENDAS'!$B$6:$B$500, B934)),"")))</f>
        <v/>
      </c>
      <c r="C935" s="35">
        <f>IFERROR(VLOOKUP(B935,'SAÍDA DE VENDAS'!$B$6:$P$500,3,FALSE),"")</f>
        <v>0</v>
      </c>
      <c r="D935" s="34">
        <f>IFERROR(VLOOKUP(B935,'SAÍDA DE VENDAS'!$B$6:$P$500,4,FALSE),"")</f>
        <v>0</v>
      </c>
      <c r="E935" s="34" t="str">
        <f>IFERROR(VLOOKUP(B935,'SAÍDA DE VENDAS'!$B$6:$P$500,5,FALSE),"")</f>
        <v/>
      </c>
      <c r="F935" s="34" t="str">
        <f>IF(OR(ISBLANK(B935),B935=""), "", IFERROR(INDEX('SAÍDA DE VENDAS'!$H$6:$H$500 &amp; "x " &amp; 'SAÍDA DE VENDAS'!$G$6:$G$500, MATCH(B935, 'SAÍDA DE VENDAS'!$B$6:$B$500, 0)), "")&amp; IF(COUNTIF('SAÍDA DE VENDAS'!$B$6:$B$500, B935)&gt;1, " + " &amp; IFERROR(INDEX('SAÍDA DE VENDAS'!$H$6:$H$500 &amp; "x " &amp; 'SAÍDA DE VENDAS'!$G$6:$G$500, MATCH(B935, 'SAÍDA DE VENDAS'!$B$6:$B$500, 0)+1), ""), "")&amp; IF(COUNTIF('SAÍDA DE VENDAS'!$B$6:$B$500, B935)&gt;2, " + " &amp; IFERROR(INDEX('SAÍDA DE VENDAS'!$H$6:$H$500 &amp; "x " &amp; 'SAÍDA DE VENDAS'!$G$6:$G$500, MATCH(B935, 'SAÍDA DE VENDAS'!$B$6:$B$500, 0)+2), ""), "")&amp; IF(COUNTIF('SAÍDA DE VENDAS'!$B$6:$B$500, B935)&gt;3, " + " &amp; IFERROR(INDEX('SAÍDA DE VENDAS'!$H$6:$H$500 &amp; "x " &amp; 'SAÍDA DE VENDAS'!$G$6:$G$500, MATCH(B935, 'SAÍDA DE VENDAS'!$B$6:$B$500, 0)+3), ""), "")&amp; IF(COUNTIF('SAÍDA DE VENDAS'!$B$6:$B$500, B935)&gt;4, " + " &amp; IFERROR(INDEX('SAÍDA DE VENDAS'!$H$6:$H$500 &amp; "x " &amp; 'SAÍDA DE VENDAS'!$G$6:$G$500, MATCH(B935, 'SAÍDA DE VENDAS'!$B$6:$B$500, 0)+4), ""), "")&amp; IF(COUNTIF('SAÍDA DE VENDAS'!$B$6:$B$500, B935)&gt;5, " + " &amp; IFERROR(INDEX('SAÍDA DE VENDAS'!$H$6:$H$500 &amp; "x " &amp; 'SAÍDA DE VENDAS'!$G$6:$G$500, MATCH(B935, 'SAÍDA DE VENDAS'!$B$6:$B$500, 0)+5), ""), ""))</f>
        <v/>
      </c>
      <c r="G935" s="34">
        <f>IFERROR(VLOOKUP(B935,'SAÍDA DE VENDAS'!$B$6:$P$500,10,FALSE),"")</f>
        <v>0</v>
      </c>
      <c r="H935" s="34" t="str">
        <f>IF(OR(ISBLANK(B935),B935=""), "", IF(B935=B934, (VALUE(LEFT(H934,FIND("/",H934)-1))+1)&amp;"/"&amp;RIGHT(H934,LEN(H934)-FIND("/",H934)), "1/"&amp;IFERROR(VLOOKUP(B935,'SAÍDA DE VENDAS'!$B$6:$P$500,13,FALSE),"1")))</f>
        <v/>
      </c>
      <c r="I935" s="35" t="str">
        <f t="shared" si="28"/>
        <v/>
      </c>
      <c r="J935" s="39" t="str">
        <f>IFERROR(VLOOKUP(B935,'SAÍDA DE VENDAS'!$B$6:$P$500,15,FALSE),"")</f>
        <v/>
      </c>
      <c r="K935" s="34" t="str">
        <f t="shared" ca="1" si="29"/>
        <v/>
      </c>
      <c r="L935" s="34"/>
      <c r="M935" s="34"/>
    </row>
    <row r="936" spans="2:13" ht="15" customHeight="1" x14ac:dyDescent="0.3">
      <c r="B936" s="28" t="str">
        <f>IF(B935="","", IF(VALUE(LEFT(H935,FIND("/",H935)-1)) &lt; VALUE(RIGHT(H935,LEN(H935)-FIND("/",H935))), B935, IFERROR(INDEX('SAÍDA DE VENDAS'!$B$6:$B$500, MATCH(B935,'SAÍDA DE VENDAS'!$B$6:$B$500,0)+COUNTIF('SAÍDA DE VENDAS'!$B$6:$B$500, B935)),"")))</f>
        <v/>
      </c>
      <c r="C936" s="29">
        <f>IFERROR(VLOOKUP(B936,'SAÍDA DE VENDAS'!$B$6:$P$500,3,FALSE),"")</f>
        <v>0</v>
      </c>
      <c r="D936" s="28">
        <f>IFERROR(VLOOKUP(B936,'SAÍDA DE VENDAS'!$B$6:$P$500,4,FALSE),"")</f>
        <v>0</v>
      </c>
      <c r="E936" s="28" t="str">
        <f>IFERROR(VLOOKUP(B936,'SAÍDA DE VENDAS'!$B$6:$P$500,5,FALSE),"")</f>
        <v/>
      </c>
      <c r="F936" s="28" t="str">
        <f>IF(OR(ISBLANK(B936),B936=""), "", IFERROR(INDEX('SAÍDA DE VENDAS'!$H$6:$H$500 &amp; "x " &amp; 'SAÍDA DE VENDAS'!$G$6:$G$500, MATCH(B936, 'SAÍDA DE VENDAS'!$B$6:$B$500, 0)), "")&amp; IF(COUNTIF('SAÍDA DE VENDAS'!$B$6:$B$500, B936)&gt;1, " + " &amp; IFERROR(INDEX('SAÍDA DE VENDAS'!$H$6:$H$500 &amp; "x " &amp; 'SAÍDA DE VENDAS'!$G$6:$G$500, MATCH(B936, 'SAÍDA DE VENDAS'!$B$6:$B$500, 0)+1), ""), "")&amp; IF(COUNTIF('SAÍDA DE VENDAS'!$B$6:$B$500, B936)&gt;2, " + " &amp; IFERROR(INDEX('SAÍDA DE VENDAS'!$H$6:$H$500 &amp; "x " &amp; 'SAÍDA DE VENDAS'!$G$6:$G$500, MATCH(B936, 'SAÍDA DE VENDAS'!$B$6:$B$500, 0)+2), ""), "")&amp; IF(COUNTIF('SAÍDA DE VENDAS'!$B$6:$B$500, B936)&gt;3, " + " &amp; IFERROR(INDEX('SAÍDA DE VENDAS'!$H$6:$H$500 &amp; "x " &amp; 'SAÍDA DE VENDAS'!$G$6:$G$500, MATCH(B936, 'SAÍDA DE VENDAS'!$B$6:$B$500, 0)+3), ""), "")&amp; IF(COUNTIF('SAÍDA DE VENDAS'!$B$6:$B$500, B936)&gt;4, " + " &amp; IFERROR(INDEX('SAÍDA DE VENDAS'!$H$6:$H$500 &amp; "x " &amp; 'SAÍDA DE VENDAS'!$G$6:$G$500, MATCH(B936, 'SAÍDA DE VENDAS'!$B$6:$B$500, 0)+4), ""), "")&amp; IF(COUNTIF('SAÍDA DE VENDAS'!$B$6:$B$500, B936)&gt;5, " + " &amp; IFERROR(INDEX('SAÍDA DE VENDAS'!$H$6:$H$500 &amp; "x " &amp; 'SAÍDA DE VENDAS'!$G$6:$G$500, MATCH(B936, 'SAÍDA DE VENDAS'!$B$6:$B$500, 0)+5), ""), ""))</f>
        <v/>
      </c>
      <c r="G936" s="28">
        <f>IFERROR(VLOOKUP(B936,'SAÍDA DE VENDAS'!$B$6:$P$500,10,FALSE),"")</f>
        <v>0</v>
      </c>
      <c r="H936" s="28" t="str">
        <f>IF(OR(ISBLANK(B936),B936=""), "", IF(B936=B935, (VALUE(LEFT(H935,FIND("/",H935)-1))+1)&amp;"/"&amp;RIGHT(H935,LEN(H935)-FIND("/",H935)), "1/"&amp;IFERROR(VLOOKUP(B936,'SAÍDA DE VENDAS'!$B$6:$P$500,13,FALSE),"1")))</f>
        <v/>
      </c>
      <c r="I936" s="69" t="str">
        <f t="shared" si="28"/>
        <v/>
      </c>
      <c r="J936" s="33" t="str">
        <f>IFERROR(VLOOKUP(B936,'SAÍDA DE VENDAS'!$B$6:$P$500,15,FALSE),"")</f>
        <v/>
      </c>
      <c r="K936" s="28" t="str">
        <f t="shared" ca="1" si="29"/>
        <v/>
      </c>
      <c r="L936" s="28"/>
      <c r="M936" s="28"/>
    </row>
    <row r="937" spans="2:13" ht="15" customHeight="1" x14ac:dyDescent="0.3">
      <c r="B937" s="34" t="str">
        <f>IF(B936="","", IF(VALUE(LEFT(H936,FIND("/",H936)-1)) &lt; VALUE(RIGHT(H936,LEN(H936)-FIND("/",H936))), B936, IFERROR(INDEX('SAÍDA DE VENDAS'!$B$6:$B$500, MATCH(B936,'SAÍDA DE VENDAS'!$B$6:$B$500,0)+COUNTIF('SAÍDA DE VENDAS'!$B$6:$B$500, B936)),"")))</f>
        <v/>
      </c>
      <c r="C937" s="35">
        <f>IFERROR(VLOOKUP(B937,'SAÍDA DE VENDAS'!$B$6:$P$500,3,FALSE),"")</f>
        <v>0</v>
      </c>
      <c r="D937" s="34">
        <f>IFERROR(VLOOKUP(B937,'SAÍDA DE VENDAS'!$B$6:$P$500,4,FALSE),"")</f>
        <v>0</v>
      </c>
      <c r="E937" s="34" t="str">
        <f>IFERROR(VLOOKUP(B937,'SAÍDA DE VENDAS'!$B$6:$P$500,5,FALSE),"")</f>
        <v/>
      </c>
      <c r="F937" s="34" t="str">
        <f>IF(OR(ISBLANK(B937),B937=""), "", IFERROR(INDEX('SAÍDA DE VENDAS'!$H$6:$H$500 &amp; "x " &amp; 'SAÍDA DE VENDAS'!$G$6:$G$500, MATCH(B937, 'SAÍDA DE VENDAS'!$B$6:$B$500, 0)), "")&amp; IF(COUNTIF('SAÍDA DE VENDAS'!$B$6:$B$500, B937)&gt;1, " + " &amp; IFERROR(INDEX('SAÍDA DE VENDAS'!$H$6:$H$500 &amp; "x " &amp; 'SAÍDA DE VENDAS'!$G$6:$G$500, MATCH(B937, 'SAÍDA DE VENDAS'!$B$6:$B$500, 0)+1), ""), "")&amp; IF(COUNTIF('SAÍDA DE VENDAS'!$B$6:$B$500, B937)&gt;2, " + " &amp; IFERROR(INDEX('SAÍDA DE VENDAS'!$H$6:$H$500 &amp; "x " &amp; 'SAÍDA DE VENDAS'!$G$6:$G$500, MATCH(B937, 'SAÍDA DE VENDAS'!$B$6:$B$500, 0)+2), ""), "")&amp; IF(COUNTIF('SAÍDA DE VENDAS'!$B$6:$B$500, B937)&gt;3, " + " &amp; IFERROR(INDEX('SAÍDA DE VENDAS'!$H$6:$H$500 &amp; "x " &amp; 'SAÍDA DE VENDAS'!$G$6:$G$500, MATCH(B937, 'SAÍDA DE VENDAS'!$B$6:$B$500, 0)+3), ""), "")&amp; IF(COUNTIF('SAÍDA DE VENDAS'!$B$6:$B$500, B937)&gt;4, " + " &amp; IFERROR(INDEX('SAÍDA DE VENDAS'!$H$6:$H$500 &amp; "x " &amp; 'SAÍDA DE VENDAS'!$G$6:$G$500, MATCH(B937, 'SAÍDA DE VENDAS'!$B$6:$B$500, 0)+4), ""), "")&amp; IF(COUNTIF('SAÍDA DE VENDAS'!$B$6:$B$500, B937)&gt;5, " + " &amp; IFERROR(INDEX('SAÍDA DE VENDAS'!$H$6:$H$500 &amp; "x " &amp; 'SAÍDA DE VENDAS'!$G$6:$G$500, MATCH(B937, 'SAÍDA DE VENDAS'!$B$6:$B$500, 0)+5), ""), ""))</f>
        <v/>
      </c>
      <c r="G937" s="34">
        <f>IFERROR(VLOOKUP(B937,'SAÍDA DE VENDAS'!$B$6:$P$500,10,FALSE),"")</f>
        <v>0</v>
      </c>
      <c r="H937" s="34" t="str">
        <f>IF(OR(ISBLANK(B937),B937=""), "", IF(B937=B936, (VALUE(LEFT(H936,FIND("/",H936)-1))+1)&amp;"/"&amp;RIGHT(H936,LEN(H936)-FIND("/",H936)), "1/"&amp;IFERROR(VLOOKUP(B937,'SAÍDA DE VENDAS'!$B$6:$P$500,13,FALSE),"1")))</f>
        <v/>
      </c>
      <c r="I937" s="35" t="str">
        <f t="shared" si="28"/>
        <v/>
      </c>
      <c r="J937" s="39" t="str">
        <f>IFERROR(VLOOKUP(B937,'SAÍDA DE VENDAS'!$B$6:$P$500,15,FALSE),"")</f>
        <v/>
      </c>
      <c r="K937" s="34" t="str">
        <f t="shared" ca="1" si="29"/>
        <v/>
      </c>
      <c r="L937" s="34"/>
      <c r="M937" s="34"/>
    </row>
    <row r="938" spans="2:13" ht="15" customHeight="1" x14ac:dyDescent="0.3">
      <c r="B938" s="28" t="str">
        <f>IF(B937="","", IF(VALUE(LEFT(H937,FIND("/",H937)-1)) &lt; VALUE(RIGHT(H937,LEN(H937)-FIND("/",H937))), B937, IFERROR(INDEX('SAÍDA DE VENDAS'!$B$6:$B$500, MATCH(B937,'SAÍDA DE VENDAS'!$B$6:$B$500,0)+COUNTIF('SAÍDA DE VENDAS'!$B$6:$B$500, B937)),"")))</f>
        <v/>
      </c>
      <c r="C938" s="29">
        <f>IFERROR(VLOOKUP(B938,'SAÍDA DE VENDAS'!$B$6:$P$500,3,FALSE),"")</f>
        <v>0</v>
      </c>
      <c r="D938" s="28">
        <f>IFERROR(VLOOKUP(B938,'SAÍDA DE VENDAS'!$B$6:$P$500,4,FALSE),"")</f>
        <v>0</v>
      </c>
      <c r="E938" s="28" t="str">
        <f>IFERROR(VLOOKUP(B938,'SAÍDA DE VENDAS'!$B$6:$P$500,5,FALSE),"")</f>
        <v/>
      </c>
      <c r="F938" s="28" t="str">
        <f>IF(OR(ISBLANK(B938),B938=""), "", IFERROR(INDEX('SAÍDA DE VENDAS'!$H$6:$H$500 &amp; "x " &amp; 'SAÍDA DE VENDAS'!$G$6:$G$500, MATCH(B938, 'SAÍDA DE VENDAS'!$B$6:$B$500, 0)), "")&amp; IF(COUNTIF('SAÍDA DE VENDAS'!$B$6:$B$500, B938)&gt;1, " + " &amp; IFERROR(INDEX('SAÍDA DE VENDAS'!$H$6:$H$500 &amp; "x " &amp; 'SAÍDA DE VENDAS'!$G$6:$G$500, MATCH(B938, 'SAÍDA DE VENDAS'!$B$6:$B$500, 0)+1), ""), "")&amp; IF(COUNTIF('SAÍDA DE VENDAS'!$B$6:$B$500, B938)&gt;2, " + " &amp; IFERROR(INDEX('SAÍDA DE VENDAS'!$H$6:$H$500 &amp; "x " &amp; 'SAÍDA DE VENDAS'!$G$6:$G$500, MATCH(B938, 'SAÍDA DE VENDAS'!$B$6:$B$500, 0)+2), ""), "")&amp; IF(COUNTIF('SAÍDA DE VENDAS'!$B$6:$B$500, B938)&gt;3, " + " &amp; IFERROR(INDEX('SAÍDA DE VENDAS'!$H$6:$H$500 &amp; "x " &amp; 'SAÍDA DE VENDAS'!$G$6:$G$500, MATCH(B938, 'SAÍDA DE VENDAS'!$B$6:$B$500, 0)+3), ""), "")&amp; IF(COUNTIF('SAÍDA DE VENDAS'!$B$6:$B$500, B938)&gt;4, " + " &amp; IFERROR(INDEX('SAÍDA DE VENDAS'!$H$6:$H$500 &amp; "x " &amp; 'SAÍDA DE VENDAS'!$G$6:$G$500, MATCH(B938, 'SAÍDA DE VENDAS'!$B$6:$B$500, 0)+4), ""), "")&amp; IF(COUNTIF('SAÍDA DE VENDAS'!$B$6:$B$500, B938)&gt;5, " + " &amp; IFERROR(INDEX('SAÍDA DE VENDAS'!$H$6:$H$500 &amp; "x " &amp; 'SAÍDA DE VENDAS'!$G$6:$G$500, MATCH(B938, 'SAÍDA DE VENDAS'!$B$6:$B$500, 0)+5), ""), ""))</f>
        <v/>
      </c>
      <c r="G938" s="28">
        <f>IFERROR(VLOOKUP(B938,'SAÍDA DE VENDAS'!$B$6:$P$500,10,FALSE),"")</f>
        <v>0</v>
      </c>
      <c r="H938" s="28" t="str">
        <f>IF(OR(ISBLANK(B938),B938=""), "", IF(B938=B937, (VALUE(LEFT(H937,FIND("/",H937)-1))+1)&amp;"/"&amp;RIGHT(H937,LEN(H937)-FIND("/",H937)), "1/"&amp;IFERROR(VLOOKUP(B938,'SAÍDA DE VENDAS'!$B$6:$P$500,13,FALSE),"1")))</f>
        <v/>
      </c>
      <c r="I938" s="69" t="str">
        <f t="shared" si="28"/>
        <v/>
      </c>
      <c r="J938" s="33" t="str">
        <f>IFERROR(VLOOKUP(B938,'SAÍDA DE VENDAS'!$B$6:$P$500,15,FALSE),"")</f>
        <v/>
      </c>
      <c r="K938" s="28" t="str">
        <f t="shared" ca="1" si="29"/>
        <v/>
      </c>
      <c r="L938" s="28"/>
      <c r="M938" s="28"/>
    </row>
    <row r="939" spans="2:13" ht="15" customHeight="1" x14ac:dyDescent="0.3">
      <c r="B939" s="34" t="str">
        <f>IF(B938="","", IF(VALUE(LEFT(H938,FIND("/",H938)-1)) &lt; VALUE(RIGHT(H938,LEN(H938)-FIND("/",H938))), B938, IFERROR(INDEX('SAÍDA DE VENDAS'!$B$6:$B$500, MATCH(B938,'SAÍDA DE VENDAS'!$B$6:$B$500,0)+COUNTIF('SAÍDA DE VENDAS'!$B$6:$B$500, B938)),"")))</f>
        <v/>
      </c>
      <c r="C939" s="35">
        <f>IFERROR(VLOOKUP(B939,'SAÍDA DE VENDAS'!$B$6:$P$500,3,FALSE),"")</f>
        <v>0</v>
      </c>
      <c r="D939" s="34">
        <f>IFERROR(VLOOKUP(B939,'SAÍDA DE VENDAS'!$B$6:$P$500,4,FALSE),"")</f>
        <v>0</v>
      </c>
      <c r="E939" s="34" t="str">
        <f>IFERROR(VLOOKUP(B939,'SAÍDA DE VENDAS'!$B$6:$P$500,5,FALSE),"")</f>
        <v/>
      </c>
      <c r="F939" s="34" t="str">
        <f>IF(OR(ISBLANK(B939),B939=""), "", IFERROR(INDEX('SAÍDA DE VENDAS'!$H$6:$H$500 &amp; "x " &amp; 'SAÍDA DE VENDAS'!$G$6:$G$500, MATCH(B939, 'SAÍDA DE VENDAS'!$B$6:$B$500, 0)), "")&amp; IF(COUNTIF('SAÍDA DE VENDAS'!$B$6:$B$500, B939)&gt;1, " + " &amp; IFERROR(INDEX('SAÍDA DE VENDAS'!$H$6:$H$500 &amp; "x " &amp; 'SAÍDA DE VENDAS'!$G$6:$G$500, MATCH(B939, 'SAÍDA DE VENDAS'!$B$6:$B$500, 0)+1), ""), "")&amp; IF(COUNTIF('SAÍDA DE VENDAS'!$B$6:$B$500, B939)&gt;2, " + " &amp; IFERROR(INDEX('SAÍDA DE VENDAS'!$H$6:$H$500 &amp; "x " &amp; 'SAÍDA DE VENDAS'!$G$6:$G$500, MATCH(B939, 'SAÍDA DE VENDAS'!$B$6:$B$500, 0)+2), ""), "")&amp; IF(COUNTIF('SAÍDA DE VENDAS'!$B$6:$B$500, B939)&gt;3, " + " &amp; IFERROR(INDEX('SAÍDA DE VENDAS'!$H$6:$H$500 &amp; "x " &amp; 'SAÍDA DE VENDAS'!$G$6:$G$500, MATCH(B939, 'SAÍDA DE VENDAS'!$B$6:$B$500, 0)+3), ""), "")&amp; IF(COUNTIF('SAÍDA DE VENDAS'!$B$6:$B$500, B939)&gt;4, " + " &amp; IFERROR(INDEX('SAÍDA DE VENDAS'!$H$6:$H$500 &amp; "x " &amp; 'SAÍDA DE VENDAS'!$G$6:$G$500, MATCH(B939, 'SAÍDA DE VENDAS'!$B$6:$B$500, 0)+4), ""), "")&amp; IF(COUNTIF('SAÍDA DE VENDAS'!$B$6:$B$500, B939)&gt;5, " + " &amp; IFERROR(INDEX('SAÍDA DE VENDAS'!$H$6:$H$500 &amp; "x " &amp; 'SAÍDA DE VENDAS'!$G$6:$G$500, MATCH(B939, 'SAÍDA DE VENDAS'!$B$6:$B$500, 0)+5), ""), ""))</f>
        <v/>
      </c>
      <c r="G939" s="34">
        <f>IFERROR(VLOOKUP(B939,'SAÍDA DE VENDAS'!$B$6:$P$500,10,FALSE),"")</f>
        <v>0</v>
      </c>
      <c r="H939" s="34" t="str">
        <f>IF(OR(ISBLANK(B939),B939=""), "", IF(B939=B938, (VALUE(LEFT(H938,FIND("/",H938)-1))+1)&amp;"/"&amp;RIGHT(H938,LEN(H938)-FIND("/",H938)), "1/"&amp;IFERROR(VLOOKUP(B939,'SAÍDA DE VENDAS'!$B$6:$P$500,13,FALSE),"1")))</f>
        <v/>
      </c>
      <c r="I939" s="35" t="str">
        <f t="shared" si="28"/>
        <v/>
      </c>
      <c r="J939" s="39" t="str">
        <f>IFERROR(VLOOKUP(B939,'SAÍDA DE VENDAS'!$B$6:$P$500,15,FALSE),"")</f>
        <v/>
      </c>
      <c r="K939" s="34" t="str">
        <f t="shared" ca="1" si="29"/>
        <v/>
      </c>
      <c r="L939" s="34"/>
      <c r="M939" s="34"/>
    </row>
    <row r="940" spans="2:13" ht="15" customHeight="1" x14ac:dyDescent="0.3">
      <c r="B940" s="28" t="str">
        <f>IF(B939="","", IF(VALUE(LEFT(H939,FIND("/",H939)-1)) &lt; VALUE(RIGHT(H939,LEN(H939)-FIND("/",H939))), B939, IFERROR(INDEX('SAÍDA DE VENDAS'!$B$6:$B$500, MATCH(B939,'SAÍDA DE VENDAS'!$B$6:$B$500,0)+COUNTIF('SAÍDA DE VENDAS'!$B$6:$B$500, B939)),"")))</f>
        <v/>
      </c>
      <c r="C940" s="29">
        <f>IFERROR(VLOOKUP(B940,'SAÍDA DE VENDAS'!$B$6:$P$500,3,FALSE),"")</f>
        <v>0</v>
      </c>
      <c r="D940" s="28">
        <f>IFERROR(VLOOKUP(B940,'SAÍDA DE VENDAS'!$B$6:$P$500,4,FALSE),"")</f>
        <v>0</v>
      </c>
      <c r="E940" s="28" t="str">
        <f>IFERROR(VLOOKUP(B940,'SAÍDA DE VENDAS'!$B$6:$P$500,5,FALSE),"")</f>
        <v/>
      </c>
      <c r="F940" s="28" t="str">
        <f>IF(OR(ISBLANK(B940),B940=""), "", IFERROR(INDEX('SAÍDA DE VENDAS'!$H$6:$H$500 &amp; "x " &amp; 'SAÍDA DE VENDAS'!$G$6:$G$500, MATCH(B940, 'SAÍDA DE VENDAS'!$B$6:$B$500, 0)), "")&amp; IF(COUNTIF('SAÍDA DE VENDAS'!$B$6:$B$500, B940)&gt;1, " + " &amp; IFERROR(INDEX('SAÍDA DE VENDAS'!$H$6:$H$500 &amp; "x " &amp; 'SAÍDA DE VENDAS'!$G$6:$G$500, MATCH(B940, 'SAÍDA DE VENDAS'!$B$6:$B$500, 0)+1), ""), "")&amp; IF(COUNTIF('SAÍDA DE VENDAS'!$B$6:$B$500, B940)&gt;2, " + " &amp; IFERROR(INDEX('SAÍDA DE VENDAS'!$H$6:$H$500 &amp; "x " &amp; 'SAÍDA DE VENDAS'!$G$6:$G$500, MATCH(B940, 'SAÍDA DE VENDAS'!$B$6:$B$500, 0)+2), ""), "")&amp; IF(COUNTIF('SAÍDA DE VENDAS'!$B$6:$B$500, B940)&gt;3, " + " &amp; IFERROR(INDEX('SAÍDA DE VENDAS'!$H$6:$H$500 &amp; "x " &amp; 'SAÍDA DE VENDAS'!$G$6:$G$500, MATCH(B940, 'SAÍDA DE VENDAS'!$B$6:$B$500, 0)+3), ""), "")&amp; IF(COUNTIF('SAÍDA DE VENDAS'!$B$6:$B$500, B940)&gt;4, " + " &amp; IFERROR(INDEX('SAÍDA DE VENDAS'!$H$6:$H$500 &amp; "x " &amp; 'SAÍDA DE VENDAS'!$G$6:$G$500, MATCH(B940, 'SAÍDA DE VENDAS'!$B$6:$B$500, 0)+4), ""), "")&amp; IF(COUNTIF('SAÍDA DE VENDAS'!$B$6:$B$500, B940)&gt;5, " + " &amp; IFERROR(INDEX('SAÍDA DE VENDAS'!$H$6:$H$500 &amp; "x " &amp; 'SAÍDA DE VENDAS'!$G$6:$G$500, MATCH(B940, 'SAÍDA DE VENDAS'!$B$6:$B$500, 0)+5), ""), ""))</f>
        <v/>
      </c>
      <c r="G940" s="28">
        <f>IFERROR(VLOOKUP(B940,'SAÍDA DE VENDAS'!$B$6:$P$500,10,FALSE),"")</f>
        <v>0</v>
      </c>
      <c r="H940" s="28" t="str">
        <f>IF(OR(ISBLANK(B940),B940=""), "", IF(B940=B939, (VALUE(LEFT(H939,FIND("/",H939)-1))+1)&amp;"/"&amp;RIGHT(H939,LEN(H939)-FIND("/",H939)), "1/"&amp;IFERROR(VLOOKUP(B940,'SAÍDA DE VENDAS'!$B$6:$P$500,13,FALSE),"1")))</f>
        <v/>
      </c>
      <c r="I940" s="69" t="str">
        <f t="shared" si="28"/>
        <v/>
      </c>
      <c r="J940" s="33" t="str">
        <f>IFERROR(VLOOKUP(B940,'SAÍDA DE VENDAS'!$B$6:$P$500,15,FALSE),"")</f>
        <v/>
      </c>
      <c r="K940" s="28" t="str">
        <f t="shared" ca="1" si="29"/>
        <v/>
      </c>
      <c r="L940" s="28"/>
      <c r="M940" s="28"/>
    </row>
    <row r="941" spans="2:13" ht="15" customHeight="1" x14ac:dyDescent="0.3">
      <c r="B941" s="34" t="str">
        <f>IF(B940="","", IF(VALUE(LEFT(H940,FIND("/",H940)-1)) &lt; VALUE(RIGHT(H940,LEN(H940)-FIND("/",H940))), B940, IFERROR(INDEX('SAÍDA DE VENDAS'!$B$6:$B$500, MATCH(B940,'SAÍDA DE VENDAS'!$B$6:$B$500,0)+COUNTIF('SAÍDA DE VENDAS'!$B$6:$B$500, B940)),"")))</f>
        <v/>
      </c>
      <c r="C941" s="35">
        <f>IFERROR(VLOOKUP(B941,'SAÍDA DE VENDAS'!$B$6:$P$500,3,FALSE),"")</f>
        <v>0</v>
      </c>
      <c r="D941" s="34">
        <f>IFERROR(VLOOKUP(B941,'SAÍDA DE VENDAS'!$B$6:$P$500,4,FALSE),"")</f>
        <v>0</v>
      </c>
      <c r="E941" s="34" t="str">
        <f>IFERROR(VLOOKUP(B941,'SAÍDA DE VENDAS'!$B$6:$P$500,5,FALSE),"")</f>
        <v/>
      </c>
      <c r="F941" s="34" t="str">
        <f>IF(OR(ISBLANK(B941),B941=""), "", IFERROR(INDEX('SAÍDA DE VENDAS'!$H$6:$H$500 &amp; "x " &amp; 'SAÍDA DE VENDAS'!$G$6:$G$500, MATCH(B941, 'SAÍDA DE VENDAS'!$B$6:$B$500, 0)), "")&amp; IF(COUNTIF('SAÍDA DE VENDAS'!$B$6:$B$500, B941)&gt;1, " + " &amp; IFERROR(INDEX('SAÍDA DE VENDAS'!$H$6:$H$500 &amp; "x " &amp; 'SAÍDA DE VENDAS'!$G$6:$G$500, MATCH(B941, 'SAÍDA DE VENDAS'!$B$6:$B$500, 0)+1), ""), "")&amp; IF(COUNTIF('SAÍDA DE VENDAS'!$B$6:$B$500, B941)&gt;2, " + " &amp; IFERROR(INDEX('SAÍDA DE VENDAS'!$H$6:$H$500 &amp; "x " &amp; 'SAÍDA DE VENDAS'!$G$6:$G$500, MATCH(B941, 'SAÍDA DE VENDAS'!$B$6:$B$500, 0)+2), ""), "")&amp; IF(COUNTIF('SAÍDA DE VENDAS'!$B$6:$B$500, B941)&gt;3, " + " &amp; IFERROR(INDEX('SAÍDA DE VENDAS'!$H$6:$H$500 &amp; "x " &amp; 'SAÍDA DE VENDAS'!$G$6:$G$500, MATCH(B941, 'SAÍDA DE VENDAS'!$B$6:$B$500, 0)+3), ""), "")&amp; IF(COUNTIF('SAÍDA DE VENDAS'!$B$6:$B$500, B941)&gt;4, " + " &amp; IFERROR(INDEX('SAÍDA DE VENDAS'!$H$6:$H$500 &amp; "x " &amp; 'SAÍDA DE VENDAS'!$G$6:$G$500, MATCH(B941, 'SAÍDA DE VENDAS'!$B$6:$B$500, 0)+4), ""), "")&amp; IF(COUNTIF('SAÍDA DE VENDAS'!$B$6:$B$500, B941)&gt;5, " + " &amp; IFERROR(INDEX('SAÍDA DE VENDAS'!$H$6:$H$500 &amp; "x " &amp; 'SAÍDA DE VENDAS'!$G$6:$G$500, MATCH(B941, 'SAÍDA DE VENDAS'!$B$6:$B$500, 0)+5), ""), ""))</f>
        <v/>
      </c>
      <c r="G941" s="34">
        <f>IFERROR(VLOOKUP(B941,'SAÍDA DE VENDAS'!$B$6:$P$500,10,FALSE),"")</f>
        <v>0</v>
      </c>
      <c r="H941" s="34" t="str">
        <f>IF(OR(ISBLANK(B941),B941=""), "", IF(B941=B940, (VALUE(LEFT(H940,FIND("/",H940)-1))+1)&amp;"/"&amp;RIGHT(H940,LEN(H940)-FIND("/",H940)), "1/"&amp;IFERROR(VLOOKUP(B941,'SAÍDA DE VENDAS'!$B$6:$P$500,13,FALSE),"1")))</f>
        <v/>
      </c>
      <c r="I941" s="35" t="str">
        <f t="shared" si="28"/>
        <v/>
      </c>
      <c r="J941" s="39" t="str">
        <f>IFERROR(VLOOKUP(B941,'SAÍDA DE VENDAS'!$B$6:$P$500,15,FALSE),"")</f>
        <v/>
      </c>
      <c r="K941" s="34" t="str">
        <f t="shared" ca="1" si="29"/>
        <v/>
      </c>
      <c r="L941" s="34"/>
      <c r="M941" s="34"/>
    </row>
    <row r="942" spans="2:13" ht="15" customHeight="1" x14ac:dyDescent="0.3">
      <c r="B942" s="28" t="str">
        <f>IF(B941="","", IF(VALUE(LEFT(H941,FIND("/",H941)-1)) &lt; VALUE(RIGHT(H941,LEN(H941)-FIND("/",H941))), B941, IFERROR(INDEX('SAÍDA DE VENDAS'!$B$6:$B$500, MATCH(B941,'SAÍDA DE VENDAS'!$B$6:$B$500,0)+COUNTIF('SAÍDA DE VENDAS'!$B$6:$B$500, B941)),"")))</f>
        <v/>
      </c>
      <c r="C942" s="29">
        <f>IFERROR(VLOOKUP(B942,'SAÍDA DE VENDAS'!$B$6:$P$500,3,FALSE),"")</f>
        <v>0</v>
      </c>
      <c r="D942" s="28">
        <f>IFERROR(VLOOKUP(B942,'SAÍDA DE VENDAS'!$B$6:$P$500,4,FALSE),"")</f>
        <v>0</v>
      </c>
      <c r="E942" s="28" t="str">
        <f>IFERROR(VLOOKUP(B942,'SAÍDA DE VENDAS'!$B$6:$P$500,5,FALSE),"")</f>
        <v/>
      </c>
      <c r="F942" s="28" t="str">
        <f>IF(OR(ISBLANK(B942),B942=""), "", IFERROR(INDEX('SAÍDA DE VENDAS'!$H$6:$H$500 &amp; "x " &amp; 'SAÍDA DE VENDAS'!$G$6:$G$500, MATCH(B942, 'SAÍDA DE VENDAS'!$B$6:$B$500, 0)), "")&amp; IF(COUNTIF('SAÍDA DE VENDAS'!$B$6:$B$500, B942)&gt;1, " + " &amp; IFERROR(INDEX('SAÍDA DE VENDAS'!$H$6:$H$500 &amp; "x " &amp; 'SAÍDA DE VENDAS'!$G$6:$G$500, MATCH(B942, 'SAÍDA DE VENDAS'!$B$6:$B$500, 0)+1), ""), "")&amp; IF(COUNTIF('SAÍDA DE VENDAS'!$B$6:$B$500, B942)&gt;2, " + " &amp; IFERROR(INDEX('SAÍDA DE VENDAS'!$H$6:$H$500 &amp; "x " &amp; 'SAÍDA DE VENDAS'!$G$6:$G$500, MATCH(B942, 'SAÍDA DE VENDAS'!$B$6:$B$500, 0)+2), ""), "")&amp; IF(COUNTIF('SAÍDA DE VENDAS'!$B$6:$B$500, B942)&gt;3, " + " &amp; IFERROR(INDEX('SAÍDA DE VENDAS'!$H$6:$H$500 &amp; "x " &amp; 'SAÍDA DE VENDAS'!$G$6:$G$500, MATCH(B942, 'SAÍDA DE VENDAS'!$B$6:$B$500, 0)+3), ""), "")&amp; IF(COUNTIF('SAÍDA DE VENDAS'!$B$6:$B$500, B942)&gt;4, " + " &amp; IFERROR(INDEX('SAÍDA DE VENDAS'!$H$6:$H$500 &amp; "x " &amp; 'SAÍDA DE VENDAS'!$G$6:$G$500, MATCH(B942, 'SAÍDA DE VENDAS'!$B$6:$B$500, 0)+4), ""), "")&amp; IF(COUNTIF('SAÍDA DE VENDAS'!$B$6:$B$500, B942)&gt;5, " + " &amp; IFERROR(INDEX('SAÍDA DE VENDAS'!$H$6:$H$500 &amp; "x " &amp; 'SAÍDA DE VENDAS'!$G$6:$G$500, MATCH(B942, 'SAÍDA DE VENDAS'!$B$6:$B$500, 0)+5), ""), ""))</f>
        <v/>
      </c>
      <c r="G942" s="28">
        <f>IFERROR(VLOOKUP(B942,'SAÍDA DE VENDAS'!$B$6:$P$500,10,FALSE),"")</f>
        <v>0</v>
      </c>
      <c r="H942" s="28" t="str">
        <f>IF(OR(ISBLANK(B942),B942=""), "", IF(B942=B941, (VALUE(LEFT(H941,FIND("/",H941)-1))+1)&amp;"/"&amp;RIGHT(H941,LEN(H941)-FIND("/",H941)), "1/"&amp;IFERROR(VLOOKUP(B942,'SAÍDA DE VENDAS'!$B$6:$P$500,13,FALSE),"1")))</f>
        <v/>
      </c>
      <c r="I942" s="69" t="str">
        <f t="shared" si="28"/>
        <v/>
      </c>
      <c r="J942" s="33" t="str">
        <f>IFERROR(VLOOKUP(B942,'SAÍDA DE VENDAS'!$B$6:$P$500,15,FALSE),"")</f>
        <v/>
      </c>
      <c r="K942" s="28" t="str">
        <f t="shared" ca="1" si="29"/>
        <v/>
      </c>
      <c r="L942" s="28"/>
      <c r="M942" s="28"/>
    </row>
    <row r="943" spans="2:13" ht="15" customHeight="1" x14ac:dyDescent="0.3">
      <c r="B943" s="34" t="str">
        <f>IF(B942="","", IF(VALUE(LEFT(H942,FIND("/",H942)-1)) &lt; VALUE(RIGHT(H942,LEN(H942)-FIND("/",H942))), B942, IFERROR(INDEX('SAÍDA DE VENDAS'!$B$6:$B$500, MATCH(B942,'SAÍDA DE VENDAS'!$B$6:$B$500,0)+COUNTIF('SAÍDA DE VENDAS'!$B$6:$B$500, B942)),"")))</f>
        <v/>
      </c>
      <c r="C943" s="35">
        <f>IFERROR(VLOOKUP(B943,'SAÍDA DE VENDAS'!$B$6:$P$500,3,FALSE),"")</f>
        <v>0</v>
      </c>
      <c r="D943" s="34">
        <f>IFERROR(VLOOKUP(B943,'SAÍDA DE VENDAS'!$B$6:$P$500,4,FALSE),"")</f>
        <v>0</v>
      </c>
      <c r="E943" s="34" t="str">
        <f>IFERROR(VLOOKUP(B943,'SAÍDA DE VENDAS'!$B$6:$P$500,5,FALSE),"")</f>
        <v/>
      </c>
      <c r="F943" s="34" t="str">
        <f>IF(OR(ISBLANK(B943),B943=""), "", IFERROR(INDEX('SAÍDA DE VENDAS'!$H$6:$H$500 &amp; "x " &amp; 'SAÍDA DE VENDAS'!$G$6:$G$500, MATCH(B943, 'SAÍDA DE VENDAS'!$B$6:$B$500, 0)), "")&amp; IF(COUNTIF('SAÍDA DE VENDAS'!$B$6:$B$500, B943)&gt;1, " + " &amp; IFERROR(INDEX('SAÍDA DE VENDAS'!$H$6:$H$500 &amp; "x " &amp; 'SAÍDA DE VENDAS'!$G$6:$G$500, MATCH(B943, 'SAÍDA DE VENDAS'!$B$6:$B$500, 0)+1), ""), "")&amp; IF(COUNTIF('SAÍDA DE VENDAS'!$B$6:$B$500, B943)&gt;2, " + " &amp; IFERROR(INDEX('SAÍDA DE VENDAS'!$H$6:$H$500 &amp; "x " &amp; 'SAÍDA DE VENDAS'!$G$6:$G$500, MATCH(B943, 'SAÍDA DE VENDAS'!$B$6:$B$500, 0)+2), ""), "")&amp; IF(COUNTIF('SAÍDA DE VENDAS'!$B$6:$B$500, B943)&gt;3, " + " &amp; IFERROR(INDEX('SAÍDA DE VENDAS'!$H$6:$H$500 &amp; "x " &amp; 'SAÍDA DE VENDAS'!$G$6:$G$500, MATCH(B943, 'SAÍDA DE VENDAS'!$B$6:$B$500, 0)+3), ""), "")&amp; IF(COUNTIF('SAÍDA DE VENDAS'!$B$6:$B$500, B943)&gt;4, " + " &amp; IFERROR(INDEX('SAÍDA DE VENDAS'!$H$6:$H$500 &amp; "x " &amp; 'SAÍDA DE VENDAS'!$G$6:$G$500, MATCH(B943, 'SAÍDA DE VENDAS'!$B$6:$B$500, 0)+4), ""), "")&amp; IF(COUNTIF('SAÍDA DE VENDAS'!$B$6:$B$500, B943)&gt;5, " + " &amp; IFERROR(INDEX('SAÍDA DE VENDAS'!$H$6:$H$500 &amp; "x " &amp; 'SAÍDA DE VENDAS'!$G$6:$G$500, MATCH(B943, 'SAÍDA DE VENDAS'!$B$6:$B$500, 0)+5), ""), ""))</f>
        <v/>
      </c>
      <c r="G943" s="34">
        <f>IFERROR(VLOOKUP(B943,'SAÍDA DE VENDAS'!$B$6:$P$500,10,FALSE),"")</f>
        <v>0</v>
      </c>
      <c r="H943" s="34" t="str">
        <f>IF(OR(ISBLANK(B943),B943=""), "", IF(B943=B942, (VALUE(LEFT(H942,FIND("/",H942)-1))+1)&amp;"/"&amp;RIGHT(H942,LEN(H942)-FIND("/",H942)), "1/"&amp;IFERROR(VLOOKUP(B943,'SAÍDA DE VENDAS'!$B$6:$P$500,13,FALSE),"1")))</f>
        <v/>
      </c>
      <c r="I943" s="35" t="str">
        <f t="shared" si="28"/>
        <v/>
      </c>
      <c r="J943" s="39" t="str">
        <f>IFERROR(VLOOKUP(B943,'SAÍDA DE VENDAS'!$B$6:$P$500,15,FALSE),"")</f>
        <v/>
      </c>
      <c r="K943" s="34" t="str">
        <f t="shared" ca="1" si="29"/>
        <v/>
      </c>
      <c r="L943" s="34"/>
      <c r="M943" s="34"/>
    </row>
    <row r="944" spans="2:13" ht="15" customHeight="1" x14ac:dyDescent="0.3">
      <c r="B944" s="28" t="str">
        <f>IF(B943="","", IF(VALUE(LEFT(H943,FIND("/",H943)-1)) &lt; VALUE(RIGHT(H943,LEN(H943)-FIND("/",H943))), B943, IFERROR(INDEX('SAÍDA DE VENDAS'!$B$6:$B$500, MATCH(B943,'SAÍDA DE VENDAS'!$B$6:$B$500,0)+COUNTIF('SAÍDA DE VENDAS'!$B$6:$B$500, B943)),"")))</f>
        <v/>
      </c>
      <c r="C944" s="29">
        <f>IFERROR(VLOOKUP(B944,'SAÍDA DE VENDAS'!$B$6:$P$500,3,FALSE),"")</f>
        <v>0</v>
      </c>
      <c r="D944" s="28">
        <f>IFERROR(VLOOKUP(B944,'SAÍDA DE VENDAS'!$B$6:$P$500,4,FALSE),"")</f>
        <v>0</v>
      </c>
      <c r="E944" s="28" t="str">
        <f>IFERROR(VLOOKUP(B944,'SAÍDA DE VENDAS'!$B$6:$P$500,5,FALSE),"")</f>
        <v/>
      </c>
      <c r="F944" s="28" t="str">
        <f>IF(OR(ISBLANK(B944),B944=""), "", IFERROR(INDEX('SAÍDA DE VENDAS'!$H$6:$H$500 &amp; "x " &amp; 'SAÍDA DE VENDAS'!$G$6:$G$500, MATCH(B944, 'SAÍDA DE VENDAS'!$B$6:$B$500, 0)), "")&amp; IF(COUNTIF('SAÍDA DE VENDAS'!$B$6:$B$500, B944)&gt;1, " + " &amp; IFERROR(INDEX('SAÍDA DE VENDAS'!$H$6:$H$500 &amp; "x " &amp; 'SAÍDA DE VENDAS'!$G$6:$G$500, MATCH(B944, 'SAÍDA DE VENDAS'!$B$6:$B$500, 0)+1), ""), "")&amp; IF(COUNTIF('SAÍDA DE VENDAS'!$B$6:$B$500, B944)&gt;2, " + " &amp; IFERROR(INDEX('SAÍDA DE VENDAS'!$H$6:$H$500 &amp; "x " &amp; 'SAÍDA DE VENDAS'!$G$6:$G$500, MATCH(B944, 'SAÍDA DE VENDAS'!$B$6:$B$500, 0)+2), ""), "")&amp; IF(COUNTIF('SAÍDA DE VENDAS'!$B$6:$B$500, B944)&gt;3, " + " &amp; IFERROR(INDEX('SAÍDA DE VENDAS'!$H$6:$H$500 &amp; "x " &amp; 'SAÍDA DE VENDAS'!$G$6:$G$500, MATCH(B944, 'SAÍDA DE VENDAS'!$B$6:$B$500, 0)+3), ""), "")&amp; IF(COUNTIF('SAÍDA DE VENDAS'!$B$6:$B$500, B944)&gt;4, " + " &amp; IFERROR(INDEX('SAÍDA DE VENDAS'!$H$6:$H$500 &amp; "x " &amp; 'SAÍDA DE VENDAS'!$G$6:$G$500, MATCH(B944, 'SAÍDA DE VENDAS'!$B$6:$B$500, 0)+4), ""), "")&amp; IF(COUNTIF('SAÍDA DE VENDAS'!$B$6:$B$500, B944)&gt;5, " + " &amp; IFERROR(INDEX('SAÍDA DE VENDAS'!$H$6:$H$500 &amp; "x " &amp; 'SAÍDA DE VENDAS'!$G$6:$G$500, MATCH(B944, 'SAÍDA DE VENDAS'!$B$6:$B$500, 0)+5), ""), ""))</f>
        <v/>
      </c>
      <c r="G944" s="28">
        <f>IFERROR(VLOOKUP(B944,'SAÍDA DE VENDAS'!$B$6:$P$500,10,FALSE),"")</f>
        <v>0</v>
      </c>
      <c r="H944" s="28" t="str">
        <f>IF(OR(ISBLANK(B944),B944=""), "", IF(B944=B943, (VALUE(LEFT(H943,FIND("/",H943)-1))+1)&amp;"/"&amp;RIGHT(H943,LEN(H943)-FIND("/",H943)), "1/"&amp;IFERROR(VLOOKUP(B944,'SAÍDA DE VENDAS'!$B$6:$P$500,13,FALSE),"1")))</f>
        <v/>
      </c>
      <c r="I944" s="69" t="str">
        <f t="shared" si="28"/>
        <v/>
      </c>
      <c r="J944" s="33" t="str">
        <f>IFERROR(VLOOKUP(B944,'SAÍDA DE VENDAS'!$B$6:$P$500,15,FALSE),"")</f>
        <v/>
      </c>
      <c r="K944" s="28" t="str">
        <f t="shared" ca="1" si="29"/>
        <v/>
      </c>
      <c r="L944" s="28"/>
      <c r="M944" s="28"/>
    </row>
    <row r="945" spans="2:13" ht="15" customHeight="1" x14ac:dyDescent="0.3">
      <c r="B945" s="34" t="str">
        <f>IF(B944="","", IF(VALUE(LEFT(H944,FIND("/",H944)-1)) &lt; VALUE(RIGHT(H944,LEN(H944)-FIND("/",H944))), B944, IFERROR(INDEX('SAÍDA DE VENDAS'!$B$6:$B$500, MATCH(B944,'SAÍDA DE VENDAS'!$B$6:$B$500,0)+COUNTIF('SAÍDA DE VENDAS'!$B$6:$B$500, B944)),"")))</f>
        <v/>
      </c>
      <c r="C945" s="35">
        <f>IFERROR(VLOOKUP(B945,'SAÍDA DE VENDAS'!$B$6:$P$500,3,FALSE),"")</f>
        <v>0</v>
      </c>
      <c r="D945" s="34">
        <f>IFERROR(VLOOKUP(B945,'SAÍDA DE VENDAS'!$B$6:$P$500,4,FALSE),"")</f>
        <v>0</v>
      </c>
      <c r="E945" s="34" t="str">
        <f>IFERROR(VLOOKUP(B945,'SAÍDA DE VENDAS'!$B$6:$P$500,5,FALSE),"")</f>
        <v/>
      </c>
      <c r="F945" s="34" t="str">
        <f>IF(OR(ISBLANK(B945),B945=""), "", IFERROR(INDEX('SAÍDA DE VENDAS'!$H$6:$H$500 &amp; "x " &amp; 'SAÍDA DE VENDAS'!$G$6:$G$500, MATCH(B945, 'SAÍDA DE VENDAS'!$B$6:$B$500, 0)), "")&amp; IF(COUNTIF('SAÍDA DE VENDAS'!$B$6:$B$500, B945)&gt;1, " + " &amp; IFERROR(INDEX('SAÍDA DE VENDAS'!$H$6:$H$500 &amp; "x " &amp; 'SAÍDA DE VENDAS'!$G$6:$G$500, MATCH(B945, 'SAÍDA DE VENDAS'!$B$6:$B$500, 0)+1), ""), "")&amp; IF(COUNTIF('SAÍDA DE VENDAS'!$B$6:$B$500, B945)&gt;2, " + " &amp; IFERROR(INDEX('SAÍDA DE VENDAS'!$H$6:$H$500 &amp; "x " &amp; 'SAÍDA DE VENDAS'!$G$6:$G$500, MATCH(B945, 'SAÍDA DE VENDAS'!$B$6:$B$500, 0)+2), ""), "")&amp; IF(COUNTIF('SAÍDA DE VENDAS'!$B$6:$B$500, B945)&gt;3, " + " &amp; IFERROR(INDEX('SAÍDA DE VENDAS'!$H$6:$H$500 &amp; "x " &amp; 'SAÍDA DE VENDAS'!$G$6:$G$500, MATCH(B945, 'SAÍDA DE VENDAS'!$B$6:$B$500, 0)+3), ""), "")&amp; IF(COUNTIF('SAÍDA DE VENDAS'!$B$6:$B$500, B945)&gt;4, " + " &amp; IFERROR(INDEX('SAÍDA DE VENDAS'!$H$6:$H$500 &amp; "x " &amp; 'SAÍDA DE VENDAS'!$G$6:$G$500, MATCH(B945, 'SAÍDA DE VENDAS'!$B$6:$B$500, 0)+4), ""), "")&amp; IF(COUNTIF('SAÍDA DE VENDAS'!$B$6:$B$500, B945)&gt;5, " + " &amp; IFERROR(INDEX('SAÍDA DE VENDAS'!$H$6:$H$500 &amp; "x " &amp; 'SAÍDA DE VENDAS'!$G$6:$G$500, MATCH(B945, 'SAÍDA DE VENDAS'!$B$6:$B$500, 0)+5), ""), ""))</f>
        <v/>
      </c>
      <c r="G945" s="34">
        <f>IFERROR(VLOOKUP(B945,'SAÍDA DE VENDAS'!$B$6:$P$500,10,FALSE),"")</f>
        <v>0</v>
      </c>
      <c r="H945" s="34" t="str">
        <f>IF(OR(ISBLANK(B945),B945=""), "", IF(B945=B944, (VALUE(LEFT(H944,FIND("/",H944)-1))+1)&amp;"/"&amp;RIGHT(H944,LEN(H944)-FIND("/",H944)), "1/"&amp;IFERROR(VLOOKUP(B945,'SAÍDA DE VENDAS'!$B$6:$P$500,13,FALSE),"1")))</f>
        <v/>
      </c>
      <c r="I945" s="35" t="str">
        <f t="shared" si="28"/>
        <v/>
      </c>
      <c r="J945" s="39" t="str">
        <f>IFERROR(VLOOKUP(B945,'SAÍDA DE VENDAS'!$B$6:$P$500,15,FALSE),"")</f>
        <v/>
      </c>
      <c r="K945" s="34" t="str">
        <f t="shared" ca="1" si="29"/>
        <v/>
      </c>
      <c r="L945" s="34"/>
      <c r="M945" s="34"/>
    </row>
    <row r="946" spans="2:13" ht="15" customHeight="1" x14ac:dyDescent="0.3">
      <c r="B946" s="28" t="str">
        <f>IF(B945="","", IF(VALUE(LEFT(H945,FIND("/",H945)-1)) &lt; VALUE(RIGHT(H945,LEN(H945)-FIND("/",H945))), B945, IFERROR(INDEX('SAÍDA DE VENDAS'!$B$6:$B$500, MATCH(B945,'SAÍDA DE VENDAS'!$B$6:$B$500,0)+COUNTIF('SAÍDA DE VENDAS'!$B$6:$B$500, B945)),"")))</f>
        <v/>
      </c>
      <c r="C946" s="29">
        <f>IFERROR(VLOOKUP(B946,'SAÍDA DE VENDAS'!$B$6:$P$500,3,FALSE),"")</f>
        <v>0</v>
      </c>
      <c r="D946" s="28">
        <f>IFERROR(VLOOKUP(B946,'SAÍDA DE VENDAS'!$B$6:$P$500,4,FALSE),"")</f>
        <v>0</v>
      </c>
      <c r="E946" s="28" t="str">
        <f>IFERROR(VLOOKUP(B946,'SAÍDA DE VENDAS'!$B$6:$P$500,5,FALSE),"")</f>
        <v/>
      </c>
      <c r="F946" s="28" t="str">
        <f>IF(OR(ISBLANK(B946),B946=""), "", IFERROR(INDEX('SAÍDA DE VENDAS'!$H$6:$H$500 &amp; "x " &amp; 'SAÍDA DE VENDAS'!$G$6:$G$500, MATCH(B946, 'SAÍDA DE VENDAS'!$B$6:$B$500, 0)), "")&amp; IF(COUNTIF('SAÍDA DE VENDAS'!$B$6:$B$500, B946)&gt;1, " + " &amp; IFERROR(INDEX('SAÍDA DE VENDAS'!$H$6:$H$500 &amp; "x " &amp; 'SAÍDA DE VENDAS'!$G$6:$G$500, MATCH(B946, 'SAÍDA DE VENDAS'!$B$6:$B$500, 0)+1), ""), "")&amp; IF(COUNTIF('SAÍDA DE VENDAS'!$B$6:$B$500, B946)&gt;2, " + " &amp; IFERROR(INDEX('SAÍDA DE VENDAS'!$H$6:$H$500 &amp; "x " &amp; 'SAÍDA DE VENDAS'!$G$6:$G$500, MATCH(B946, 'SAÍDA DE VENDAS'!$B$6:$B$500, 0)+2), ""), "")&amp; IF(COUNTIF('SAÍDA DE VENDAS'!$B$6:$B$500, B946)&gt;3, " + " &amp; IFERROR(INDEX('SAÍDA DE VENDAS'!$H$6:$H$500 &amp; "x " &amp; 'SAÍDA DE VENDAS'!$G$6:$G$500, MATCH(B946, 'SAÍDA DE VENDAS'!$B$6:$B$500, 0)+3), ""), "")&amp; IF(COUNTIF('SAÍDA DE VENDAS'!$B$6:$B$500, B946)&gt;4, " + " &amp; IFERROR(INDEX('SAÍDA DE VENDAS'!$H$6:$H$500 &amp; "x " &amp; 'SAÍDA DE VENDAS'!$G$6:$G$500, MATCH(B946, 'SAÍDA DE VENDAS'!$B$6:$B$500, 0)+4), ""), "")&amp; IF(COUNTIF('SAÍDA DE VENDAS'!$B$6:$B$500, B946)&gt;5, " + " &amp; IFERROR(INDEX('SAÍDA DE VENDAS'!$H$6:$H$500 &amp; "x " &amp; 'SAÍDA DE VENDAS'!$G$6:$G$500, MATCH(B946, 'SAÍDA DE VENDAS'!$B$6:$B$500, 0)+5), ""), ""))</f>
        <v/>
      </c>
      <c r="G946" s="28">
        <f>IFERROR(VLOOKUP(B946,'SAÍDA DE VENDAS'!$B$6:$P$500,10,FALSE),"")</f>
        <v>0</v>
      </c>
      <c r="H946" s="28" t="str">
        <f>IF(OR(ISBLANK(B946),B946=""), "", IF(B946=B945, (VALUE(LEFT(H945,FIND("/",H945)-1))+1)&amp;"/"&amp;RIGHT(H945,LEN(H945)-FIND("/",H945)), "1/"&amp;IFERROR(VLOOKUP(B946,'SAÍDA DE VENDAS'!$B$6:$P$500,13,FALSE),"1")))</f>
        <v/>
      </c>
      <c r="I946" s="69" t="str">
        <f t="shared" si="28"/>
        <v/>
      </c>
      <c r="J946" s="33" t="str">
        <f>IFERROR(VLOOKUP(B946,'SAÍDA DE VENDAS'!$B$6:$P$500,15,FALSE),"")</f>
        <v/>
      </c>
      <c r="K946" s="28" t="str">
        <f t="shared" ca="1" si="29"/>
        <v/>
      </c>
      <c r="L946" s="28"/>
      <c r="M946" s="28"/>
    </row>
    <row r="947" spans="2:13" ht="15" customHeight="1" x14ac:dyDescent="0.3">
      <c r="B947" s="34" t="str">
        <f>IF(B946="","", IF(VALUE(LEFT(H946,FIND("/",H946)-1)) &lt; VALUE(RIGHT(H946,LEN(H946)-FIND("/",H946))), B946, IFERROR(INDEX('SAÍDA DE VENDAS'!$B$6:$B$500, MATCH(B946,'SAÍDA DE VENDAS'!$B$6:$B$500,0)+COUNTIF('SAÍDA DE VENDAS'!$B$6:$B$500, B946)),"")))</f>
        <v/>
      </c>
      <c r="C947" s="35">
        <f>IFERROR(VLOOKUP(B947,'SAÍDA DE VENDAS'!$B$6:$P$500,3,FALSE),"")</f>
        <v>0</v>
      </c>
      <c r="D947" s="34">
        <f>IFERROR(VLOOKUP(B947,'SAÍDA DE VENDAS'!$B$6:$P$500,4,FALSE),"")</f>
        <v>0</v>
      </c>
      <c r="E947" s="34" t="str">
        <f>IFERROR(VLOOKUP(B947,'SAÍDA DE VENDAS'!$B$6:$P$500,5,FALSE),"")</f>
        <v/>
      </c>
      <c r="F947" s="34" t="str">
        <f>IF(OR(ISBLANK(B947),B947=""), "", IFERROR(INDEX('SAÍDA DE VENDAS'!$H$6:$H$500 &amp; "x " &amp; 'SAÍDA DE VENDAS'!$G$6:$G$500, MATCH(B947, 'SAÍDA DE VENDAS'!$B$6:$B$500, 0)), "")&amp; IF(COUNTIF('SAÍDA DE VENDAS'!$B$6:$B$500, B947)&gt;1, " + " &amp; IFERROR(INDEX('SAÍDA DE VENDAS'!$H$6:$H$500 &amp; "x " &amp; 'SAÍDA DE VENDAS'!$G$6:$G$500, MATCH(B947, 'SAÍDA DE VENDAS'!$B$6:$B$500, 0)+1), ""), "")&amp; IF(COUNTIF('SAÍDA DE VENDAS'!$B$6:$B$500, B947)&gt;2, " + " &amp; IFERROR(INDEX('SAÍDA DE VENDAS'!$H$6:$H$500 &amp; "x " &amp; 'SAÍDA DE VENDAS'!$G$6:$G$500, MATCH(B947, 'SAÍDA DE VENDAS'!$B$6:$B$500, 0)+2), ""), "")&amp; IF(COUNTIF('SAÍDA DE VENDAS'!$B$6:$B$500, B947)&gt;3, " + " &amp; IFERROR(INDEX('SAÍDA DE VENDAS'!$H$6:$H$500 &amp; "x " &amp; 'SAÍDA DE VENDAS'!$G$6:$G$500, MATCH(B947, 'SAÍDA DE VENDAS'!$B$6:$B$500, 0)+3), ""), "")&amp; IF(COUNTIF('SAÍDA DE VENDAS'!$B$6:$B$500, B947)&gt;4, " + " &amp; IFERROR(INDEX('SAÍDA DE VENDAS'!$H$6:$H$500 &amp; "x " &amp; 'SAÍDA DE VENDAS'!$G$6:$G$500, MATCH(B947, 'SAÍDA DE VENDAS'!$B$6:$B$500, 0)+4), ""), "")&amp; IF(COUNTIF('SAÍDA DE VENDAS'!$B$6:$B$500, B947)&gt;5, " + " &amp; IFERROR(INDEX('SAÍDA DE VENDAS'!$H$6:$H$500 &amp; "x " &amp; 'SAÍDA DE VENDAS'!$G$6:$G$500, MATCH(B947, 'SAÍDA DE VENDAS'!$B$6:$B$500, 0)+5), ""), ""))</f>
        <v/>
      </c>
      <c r="G947" s="34">
        <f>IFERROR(VLOOKUP(B947,'SAÍDA DE VENDAS'!$B$6:$P$500,10,FALSE),"")</f>
        <v>0</v>
      </c>
      <c r="H947" s="34" t="str">
        <f>IF(OR(ISBLANK(B947),B947=""), "", IF(B947=B946, (VALUE(LEFT(H946,FIND("/",H946)-1))+1)&amp;"/"&amp;RIGHT(H946,LEN(H946)-FIND("/",H946)), "1/"&amp;IFERROR(VLOOKUP(B947,'SAÍDA DE VENDAS'!$B$6:$P$500,13,FALSE),"1")))</f>
        <v/>
      </c>
      <c r="I947" s="35" t="str">
        <f t="shared" si="28"/>
        <v/>
      </c>
      <c r="J947" s="39" t="str">
        <f>IFERROR(VLOOKUP(B947,'SAÍDA DE VENDAS'!$B$6:$P$500,15,FALSE),"")</f>
        <v/>
      </c>
      <c r="K947" s="34" t="str">
        <f t="shared" ca="1" si="29"/>
        <v/>
      </c>
      <c r="L947" s="34"/>
      <c r="M947" s="34"/>
    </row>
    <row r="948" spans="2:13" ht="15" customHeight="1" x14ac:dyDescent="0.3">
      <c r="B948" s="28" t="str">
        <f>IF(B947="","", IF(VALUE(LEFT(H947,FIND("/",H947)-1)) &lt; VALUE(RIGHT(H947,LEN(H947)-FIND("/",H947))), B947, IFERROR(INDEX('SAÍDA DE VENDAS'!$B$6:$B$500, MATCH(B947,'SAÍDA DE VENDAS'!$B$6:$B$500,0)+COUNTIF('SAÍDA DE VENDAS'!$B$6:$B$500, B947)),"")))</f>
        <v/>
      </c>
      <c r="C948" s="29">
        <f>IFERROR(VLOOKUP(B948,'SAÍDA DE VENDAS'!$B$6:$P$500,3,FALSE),"")</f>
        <v>0</v>
      </c>
      <c r="D948" s="28">
        <f>IFERROR(VLOOKUP(B948,'SAÍDA DE VENDAS'!$B$6:$P$500,4,FALSE),"")</f>
        <v>0</v>
      </c>
      <c r="E948" s="28" t="str">
        <f>IFERROR(VLOOKUP(B948,'SAÍDA DE VENDAS'!$B$6:$P$500,5,FALSE),"")</f>
        <v/>
      </c>
      <c r="F948" s="28" t="str">
        <f>IF(OR(ISBLANK(B948),B948=""), "", IFERROR(INDEX('SAÍDA DE VENDAS'!$H$6:$H$500 &amp; "x " &amp; 'SAÍDA DE VENDAS'!$G$6:$G$500, MATCH(B948, 'SAÍDA DE VENDAS'!$B$6:$B$500, 0)), "")&amp; IF(COUNTIF('SAÍDA DE VENDAS'!$B$6:$B$500, B948)&gt;1, " + " &amp; IFERROR(INDEX('SAÍDA DE VENDAS'!$H$6:$H$500 &amp; "x " &amp; 'SAÍDA DE VENDAS'!$G$6:$G$500, MATCH(B948, 'SAÍDA DE VENDAS'!$B$6:$B$500, 0)+1), ""), "")&amp; IF(COUNTIF('SAÍDA DE VENDAS'!$B$6:$B$500, B948)&gt;2, " + " &amp; IFERROR(INDEX('SAÍDA DE VENDAS'!$H$6:$H$500 &amp; "x " &amp; 'SAÍDA DE VENDAS'!$G$6:$G$500, MATCH(B948, 'SAÍDA DE VENDAS'!$B$6:$B$500, 0)+2), ""), "")&amp; IF(COUNTIF('SAÍDA DE VENDAS'!$B$6:$B$500, B948)&gt;3, " + " &amp; IFERROR(INDEX('SAÍDA DE VENDAS'!$H$6:$H$500 &amp; "x " &amp; 'SAÍDA DE VENDAS'!$G$6:$G$500, MATCH(B948, 'SAÍDA DE VENDAS'!$B$6:$B$500, 0)+3), ""), "")&amp; IF(COUNTIF('SAÍDA DE VENDAS'!$B$6:$B$500, B948)&gt;4, " + " &amp; IFERROR(INDEX('SAÍDA DE VENDAS'!$H$6:$H$500 &amp; "x " &amp; 'SAÍDA DE VENDAS'!$G$6:$G$500, MATCH(B948, 'SAÍDA DE VENDAS'!$B$6:$B$500, 0)+4), ""), "")&amp; IF(COUNTIF('SAÍDA DE VENDAS'!$B$6:$B$500, B948)&gt;5, " + " &amp; IFERROR(INDEX('SAÍDA DE VENDAS'!$H$6:$H$500 &amp; "x " &amp; 'SAÍDA DE VENDAS'!$G$6:$G$500, MATCH(B948, 'SAÍDA DE VENDAS'!$B$6:$B$500, 0)+5), ""), ""))</f>
        <v/>
      </c>
      <c r="G948" s="28">
        <f>IFERROR(VLOOKUP(B948,'SAÍDA DE VENDAS'!$B$6:$P$500,10,FALSE),"")</f>
        <v>0</v>
      </c>
      <c r="H948" s="28" t="str">
        <f>IF(OR(ISBLANK(B948),B948=""), "", IF(B948=B947, (VALUE(LEFT(H947,FIND("/",H947)-1))+1)&amp;"/"&amp;RIGHT(H947,LEN(H947)-FIND("/",H947)), "1/"&amp;IFERROR(VLOOKUP(B948,'SAÍDA DE VENDAS'!$B$6:$P$500,13,FALSE),"1")))</f>
        <v/>
      </c>
      <c r="I948" s="69" t="str">
        <f t="shared" si="28"/>
        <v/>
      </c>
      <c r="J948" s="33" t="str">
        <f>IFERROR(VLOOKUP(B948,'SAÍDA DE VENDAS'!$B$6:$P$500,15,FALSE),"")</f>
        <v/>
      </c>
      <c r="K948" s="28" t="str">
        <f t="shared" ca="1" si="29"/>
        <v/>
      </c>
      <c r="L948" s="28"/>
      <c r="M948" s="28"/>
    </row>
    <row r="949" spans="2:13" ht="15" customHeight="1" x14ac:dyDescent="0.3">
      <c r="B949" s="34" t="str">
        <f>IF(B948="","", IF(VALUE(LEFT(H948,FIND("/",H948)-1)) &lt; VALUE(RIGHT(H948,LEN(H948)-FIND("/",H948))), B948, IFERROR(INDEX('SAÍDA DE VENDAS'!$B$6:$B$500, MATCH(B948,'SAÍDA DE VENDAS'!$B$6:$B$500,0)+COUNTIF('SAÍDA DE VENDAS'!$B$6:$B$500, B948)),"")))</f>
        <v/>
      </c>
      <c r="C949" s="35">
        <f>IFERROR(VLOOKUP(B949,'SAÍDA DE VENDAS'!$B$6:$P$500,3,FALSE),"")</f>
        <v>0</v>
      </c>
      <c r="D949" s="34">
        <f>IFERROR(VLOOKUP(B949,'SAÍDA DE VENDAS'!$B$6:$P$500,4,FALSE),"")</f>
        <v>0</v>
      </c>
      <c r="E949" s="34" t="str">
        <f>IFERROR(VLOOKUP(B949,'SAÍDA DE VENDAS'!$B$6:$P$500,5,FALSE),"")</f>
        <v/>
      </c>
      <c r="F949" s="34" t="str">
        <f>IF(OR(ISBLANK(B949),B949=""), "", IFERROR(INDEX('SAÍDA DE VENDAS'!$H$6:$H$500 &amp; "x " &amp; 'SAÍDA DE VENDAS'!$G$6:$G$500, MATCH(B949, 'SAÍDA DE VENDAS'!$B$6:$B$500, 0)), "")&amp; IF(COUNTIF('SAÍDA DE VENDAS'!$B$6:$B$500, B949)&gt;1, " + " &amp; IFERROR(INDEX('SAÍDA DE VENDAS'!$H$6:$H$500 &amp; "x " &amp; 'SAÍDA DE VENDAS'!$G$6:$G$500, MATCH(B949, 'SAÍDA DE VENDAS'!$B$6:$B$500, 0)+1), ""), "")&amp; IF(COUNTIF('SAÍDA DE VENDAS'!$B$6:$B$500, B949)&gt;2, " + " &amp; IFERROR(INDEX('SAÍDA DE VENDAS'!$H$6:$H$500 &amp; "x " &amp; 'SAÍDA DE VENDAS'!$G$6:$G$500, MATCH(B949, 'SAÍDA DE VENDAS'!$B$6:$B$500, 0)+2), ""), "")&amp; IF(COUNTIF('SAÍDA DE VENDAS'!$B$6:$B$500, B949)&gt;3, " + " &amp; IFERROR(INDEX('SAÍDA DE VENDAS'!$H$6:$H$500 &amp; "x " &amp; 'SAÍDA DE VENDAS'!$G$6:$G$500, MATCH(B949, 'SAÍDA DE VENDAS'!$B$6:$B$500, 0)+3), ""), "")&amp; IF(COUNTIF('SAÍDA DE VENDAS'!$B$6:$B$500, B949)&gt;4, " + " &amp; IFERROR(INDEX('SAÍDA DE VENDAS'!$H$6:$H$500 &amp; "x " &amp; 'SAÍDA DE VENDAS'!$G$6:$G$500, MATCH(B949, 'SAÍDA DE VENDAS'!$B$6:$B$500, 0)+4), ""), "")&amp; IF(COUNTIF('SAÍDA DE VENDAS'!$B$6:$B$500, B949)&gt;5, " + " &amp; IFERROR(INDEX('SAÍDA DE VENDAS'!$H$6:$H$500 &amp; "x " &amp; 'SAÍDA DE VENDAS'!$G$6:$G$500, MATCH(B949, 'SAÍDA DE VENDAS'!$B$6:$B$500, 0)+5), ""), ""))</f>
        <v/>
      </c>
      <c r="G949" s="34">
        <f>IFERROR(VLOOKUP(B949,'SAÍDA DE VENDAS'!$B$6:$P$500,10,FALSE),"")</f>
        <v>0</v>
      </c>
      <c r="H949" s="34" t="str">
        <f>IF(OR(ISBLANK(B949),B949=""), "", IF(B949=B948, (VALUE(LEFT(H948,FIND("/",H948)-1))+1)&amp;"/"&amp;RIGHT(H948,LEN(H948)-FIND("/",H948)), "1/"&amp;IFERROR(VLOOKUP(B949,'SAÍDA DE VENDAS'!$B$6:$P$500,13,FALSE),"1")))</f>
        <v/>
      </c>
      <c r="I949" s="35" t="str">
        <f t="shared" si="28"/>
        <v/>
      </c>
      <c r="J949" s="39" t="str">
        <f>IFERROR(VLOOKUP(B949,'SAÍDA DE VENDAS'!$B$6:$P$500,15,FALSE),"")</f>
        <v/>
      </c>
      <c r="K949" s="34" t="str">
        <f t="shared" ca="1" si="29"/>
        <v/>
      </c>
      <c r="L949" s="34"/>
      <c r="M949" s="34"/>
    </row>
    <row r="950" spans="2:13" ht="15" customHeight="1" x14ac:dyDescent="0.3">
      <c r="B950" s="28" t="str">
        <f>IF(B949="","", IF(VALUE(LEFT(H949,FIND("/",H949)-1)) &lt; VALUE(RIGHT(H949,LEN(H949)-FIND("/",H949))), B949, IFERROR(INDEX('SAÍDA DE VENDAS'!$B$6:$B$500, MATCH(B949,'SAÍDA DE VENDAS'!$B$6:$B$500,0)+COUNTIF('SAÍDA DE VENDAS'!$B$6:$B$500, B949)),"")))</f>
        <v/>
      </c>
      <c r="C950" s="29">
        <f>IFERROR(VLOOKUP(B950,'SAÍDA DE VENDAS'!$B$6:$P$500,3,FALSE),"")</f>
        <v>0</v>
      </c>
      <c r="D950" s="28">
        <f>IFERROR(VLOOKUP(B950,'SAÍDA DE VENDAS'!$B$6:$P$500,4,FALSE),"")</f>
        <v>0</v>
      </c>
      <c r="E950" s="28" t="str">
        <f>IFERROR(VLOOKUP(B950,'SAÍDA DE VENDAS'!$B$6:$P$500,5,FALSE),"")</f>
        <v/>
      </c>
      <c r="F950" s="28" t="str">
        <f>IF(OR(ISBLANK(B950),B950=""), "", IFERROR(INDEX('SAÍDA DE VENDAS'!$H$6:$H$500 &amp; "x " &amp; 'SAÍDA DE VENDAS'!$G$6:$G$500, MATCH(B950, 'SAÍDA DE VENDAS'!$B$6:$B$500, 0)), "")&amp; IF(COUNTIF('SAÍDA DE VENDAS'!$B$6:$B$500, B950)&gt;1, " + " &amp; IFERROR(INDEX('SAÍDA DE VENDAS'!$H$6:$H$500 &amp; "x " &amp; 'SAÍDA DE VENDAS'!$G$6:$G$500, MATCH(B950, 'SAÍDA DE VENDAS'!$B$6:$B$500, 0)+1), ""), "")&amp; IF(COUNTIF('SAÍDA DE VENDAS'!$B$6:$B$500, B950)&gt;2, " + " &amp; IFERROR(INDEX('SAÍDA DE VENDAS'!$H$6:$H$500 &amp; "x " &amp; 'SAÍDA DE VENDAS'!$G$6:$G$500, MATCH(B950, 'SAÍDA DE VENDAS'!$B$6:$B$500, 0)+2), ""), "")&amp; IF(COUNTIF('SAÍDA DE VENDAS'!$B$6:$B$500, B950)&gt;3, " + " &amp; IFERROR(INDEX('SAÍDA DE VENDAS'!$H$6:$H$500 &amp; "x " &amp; 'SAÍDA DE VENDAS'!$G$6:$G$500, MATCH(B950, 'SAÍDA DE VENDAS'!$B$6:$B$500, 0)+3), ""), "")&amp; IF(COUNTIF('SAÍDA DE VENDAS'!$B$6:$B$500, B950)&gt;4, " + " &amp; IFERROR(INDEX('SAÍDA DE VENDAS'!$H$6:$H$500 &amp; "x " &amp; 'SAÍDA DE VENDAS'!$G$6:$G$500, MATCH(B950, 'SAÍDA DE VENDAS'!$B$6:$B$500, 0)+4), ""), "")&amp; IF(COUNTIF('SAÍDA DE VENDAS'!$B$6:$B$500, B950)&gt;5, " + " &amp; IFERROR(INDEX('SAÍDA DE VENDAS'!$H$6:$H$500 &amp; "x " &amp; 'SAÍDA DE VENDAS'!$G$6:$G$500, MATCH(B950, 'SAÍDA DE VENDAS'!$B$6:$B$500, 0)+5), ""), ""))</f>
        <v/>
      </c>
      <c r="G950" s="28">
        <f>IFERROR(VLOOKUP(B950,'SAÍDA DE VENDAS'!$B$6:$P$500,10,FALSE),"")</f>
        <v>0</v>
      </c>
      <c r="H950" s="28" t="str">
        <f>IF(OR(ISBLANK(B950),B950=""), "", IF(B950=B949, (VALUE(LEFT(H949,FIND("/",H949)-1))+1)&amp;"/"&amp;RIGHT(H949,LEN(H949)-FIND("/",H949)), "1/"&amp;IFERROR(VLOOKUP(B950,'SAÍDA DE VENDAS'!$B$6:$P$500,13,FALSE),"1")))</f>
        <v/>
      </c>
      <c r="I950" s="69" t="str">
        <f t="shared" si="28"/>
        <v/>
      </c>
      <c r="J950" s="33" t="str">
        <f>IFERROR(VLOOKUP(B950,'SAÍDA DE VENDAS'!$B$6:$P$500,15,FALSE),"")</f>
        <v/>
      </c>
      <c r="K950" s="28" t="str">
        <f t="shared" ca="1" si="29"/>
        <v/>
      </c>
      <c r="L950" s="28"/>
      <c r="M950" s="28"/>
    </row>
    <row r="951" spans="2:13" ht="15" customHeight="1" x14ac:dyDescent="0.3">
      <c r="B951" s="34" t="str">
        <f>IF(B950="","", IF(VALUE(LEFT(H950,FIND("/",H950)-1)) &lt; VALUE(RIGHT(H950,LEN(H950)-FIND("/",H950))), B950, IFERROR(INDEX('SAÍDA DE VENDAS'!$B$6:$B$500, MATCH(B950,'SAÍDA DE VENDAS'!$B$6:$B$500,0)+COUNTIF('SAÍDA DE VENDAS'!$B$6:$B$500, B950)),"")))</f>
        <v/>
      </c>
      <c r="C951" s="35">
        <f>IFERROR(VLOOKUP(B951,'SAÍDA DE VENDAS'!$B$6:$P$500,3,FALSE),"")</f>
        <v>0</v>
      </c>
      <c r="D951" s="34">
        <f>IFERROR(VLOOKUP(B951,'SAÍDA DE VENDAS'!$B$6:$P$500,4,FALSE),"")</f>
        <v>0</v>
      </c>
      <c r="E951" s="34" t="str">
        <f>IFERROR(VLOOKUP(B951,'SAÍDA DE VENDAS'!$B$6:$P$500,5,FALSE),"")</f>
        <v/>
      </c>
      <c r="F951" s="34" t="str">
        <f>IF(OR(ISBLANK(B951),B951=""), "", IFERROR(INDEX('SAÍDA DE VENDAS'!$H$6:$H$500 &amp; "x " &amp; 'SAÍDA DE VENDAS'!$G$6:$G$500, MATCH(B951, 'SAÍDA DE VENDAS'!$B$6:$B$500, 0)), "")&amp; IF(COUNTIF('SAÍDA DE VENDAS'!$B$6:$B$500, B951)&gt;1, " + " &amp; IFERROR(INDEX('SAÍDA DE VENDAS'!$H$6:$H$500 &amp; "x " &amp; 'SAÍDA DE VENDAS'!$G$6:$G$500, MATCH(B951, 'SAÍDA DE VENDAS'!$B$6:$B$500, 0)+1), ""), "")&amp; IF(COUNTIF('SAÍDA DE VENDAS'!$B$6:$B$500, B951)&gt;2, " + " &amp; IFERROR(INDEX('SAÍDA DE VENDAS'!$H$6:$H$500 &amp; "x " &amp; 'SAÍDA DE VENDAS'!$G$6:$G$500, MATCH(B951, 'SAÍDA DE VENDAS'!$B$6:$B$500, 0)+2), ""), "")&amp; IF(COUNTIF('SAÍDA DE VENDAS'!$B$6:$B$500, B951)&gt;3, " + " &amp; IFERROR(INDEX('SAÍDA DE VENDAS'!$H$6:$H$500 &amp; "x " &amp; 'SAÍDA DE VENDAS'!$G$6:$G$500, MATCH(B951, 'SAÍDA DE VENDAS'!$B$6:$B$500, 0)+3), ""), "")&amp; IF(COUNTIF('SAÍDA DE VENDAS'!$B$6:$B$500, B951)&gt;4, " + " &amp; IFERROR(INDEX('SAÍDA DE VENDAS'!$H$6:$H$500 &amp; "x " &amp; 'SAÍDA DE VENDAS'!$G$6:$G$500, MATCH(B951, 'SAÍDA DE VENDAS'!$B$6:$B$500, 0)+4), ""), "")&amp; IF(COUNTIF('SAÍDA DE VENDAS'!$B$6:$B$500, B951)&gt;5, " + " &amp; IFERROR(INDEX('SAÍDA DE VENDAS'!$H$6:$H$500 &amp; "x " &amp; 'SAÍDA DE VENDAS'!$G$6:$G$500, MATCH(B951, 'SAÍDA DE VENDAS'!$B$6:$B$500, 0)+5), ""), ""))</f>
        <v/>
      </c>
      <c r="G951" s="34">
        <f>IFERROR(VLOOKUP(B951,'SAÍDA DE VENDAS'!$B$6:$P$500,10,FALSE),"")</f>
        <v>0</v>
      </c>
      <c r="H951" s="34" t="str">
        <f>IF(OR(ISBLANK(B951),B951=""), "", IF(B951=B950, (VALUE(LEFT(H950,FIND("/",H950)-1))+1)&amp;"/"&amp;RIGHT(H950,LEN(H950)-FIND("/",H950)), "1/"&amp;IFERROR(VLOOKUP(B951,'SAÍDA DE VENDAS'!$B$6:$P$500,13,FALSE),"1")))</f>
        <v/>
      </c>
      <c r="I951" s="35" t="str">
        <f t="shared" si="28"/>
        <v/>
      </c>
      <c r="J951" s="39" t="str">
        <f>IFERROR(VLOOKUP(B951,'SAÍDA DE VENDAS'!$B$6:$P$500,15,FALSE),"")</f>
        <v/>
      </c>
      <c r="K951" s="34" t="str">
        <f t="shared" ca="1" si="29"/>
        <v/>
      </c>
      <c r="L951" s="34"/>
      <c r="M951" s="34"/>
    </row>
    <row r="952" spans="2:13" ht="15" customHeight="1" x14ac:dyDescent="0.3">
      <c r="B952" s="28" t="str">
        <f>IF(B951="","", IF(VALUE(LEFT(H951,FIND("/",H951)-1)) &lt; VALUE(RIGHT(H951,LEN(H951)-FIND("/",H951))), B951, IFERROR(INDEX('SAÍDA DE VENDAS'!$B$6:$B$500, MATCH(B951,'SAÍDA DE VENDAS'!$B$6:$B$500,0)+COUNTIF('SAÍDA DE VENDAS'!$B$6:$B$500, B951)),"")))</f>
        <v/>
      </c>
      <c r="C952" s="29">
        <f>IFERROR(VLOOKUP(B952,'SAÍDA DE VENDAS'!$B$6:$P$500,3,FALSE),"")</f>
        <v>0</v>
      </c>
      <c r="D952" s="28">
        <f>IFERROR(VLOOKUP(B952,'SAÍDA DE VENDAS'!$B$6:$P$500,4,FALSE),"")</f>
        <v>0</v>
      </c>
      <c r="E952" s="28" t="str">
        <f>IFERROR(VLOOKUP(B952,'SAÍDA DE VENDAS'!$B$6:$P$500,5,FALSE),"")</f>
        <v/>
      </c>
      <c r="F952" s="28" t="str">
        <f>IF(OR(ISBLANK(B952),B952=""), "", IFERROR(INDEX('SAÍDA DE VENDAS'!$H$6:$H$500 &amp; "x " &amp; 'SAÍDA DE VENDAS'!$G$6:$G$500, MATCH(B952, 'SAÍDA DE VENDAS'!$B$6:$B$500, 0)), "")&amp; IF(COUNTIF('SAÍDA DE VENDAS'!$B$6:$B$500, B952)&gt;1, " + " &amp; IFERROR(INDEX('SAÍDA DE VENDAS'!$H$6:$H$500 &amp; "x " &amp; 'SAÍDA DE VENDAS'!$G$6:$G$500, MATCH(B952, 'SAÍDA DE VENDAS'!$B$6:$B$500, 0)+1), ""), "")&amp; IF(COUNTIF('SAÍDA DE VENDAS'!$B$6:$B$500, B952)&gt;2, " + " &amp; IFERROR(INDEX('SAÍDA DE VENDAS'!$H$6:$H$500 &amp; "x " &amp; 'SAÍDA DE VENDAS'!$G$6:$G$500, MATCH(B952, 'SAÍDA DE VENDAS'!$B$6:$B$500, 0)+2), ""), "")&amp; IF(COUNTIF('SAÍDA DE VENDAS'!$B$6:$B$500, B952)&gt;3, " + " &amp; IFERROR(INDEX('SAÍDA DE VENDAS'!$H$6:$H$500 &amp; "x " &amp; 'SAÍDA DE VENDAS'!$G$6:$G$500, MATCH(B952, 'SAÍDA DE VENDAS'!$B$6:$B$500, 0)+3), ""), "")&amp; IF(COUNTIF('SAÍDA DE VENDAS'!$B$6:$B$500, B952)&gt;4, " + " &amp; IFERROR(INDEX('SAÍDA DE VENDAS'!$H$6:$H$500 &amp; "x " &amp; 'SAÍDA DE VENDAS'!$G$6:$G$500, MATCH(B952, 'SAÍDA DE VENDAS'!$B$6:$B$500, 0)+4), ""), "")&amp; IF(COUNTIF('SAÍDA DE VENDAS'!$B$6:$B$500, B952)&gt;5, " + " &amp; IFERROR(INDEX('SAÍDA DE VENDAS'!$H$6:$H$500 &amp; "x " &amp; 'SAÍDA DE VENDAS'!$G$6:$G$500, MATCH(B952, 'SAÍDA DE VENDAS'!$B$6:$B$500, 0)+5), ""), ""))</f>
        <v/>
      </c>
      <c r="G952" s="28">
        <f>IFERROR(VLOOKUP(B952,'SAÍDA DE VENDAS'!$B$6:$P$500,10,FALSE),"")</f>
        <v>0</v>
      </c>
      <c r="H952" s="28" t="str">
        <f>IF(OR(ISBLANK(B952),B952=""), "", IF(B952=B951, (VALUE(LEFT(H951,FIND("/",H951)-1))+1)&amp;"/"&amp;RIGHT(H951,LEN(H951)-FIND("/",H951)), "1/"&amp;IFERROR(VLOOKUP(B952,'SAÍDA DE VENDAS'!$B$6:$P$500,13,FALSE),"1")))</f>
        <v/>
      </c>
      <c r="I952" s="69" t="str">
        <f t="shared" si="28"/>
        <v/>
      </c>
      <c r="J952" s="33" t="str">
        <f>IFERROR(VLOOKUP(B952,'SAÍDA DE VENDAS'!$B$6:$P$500,15,FALSE),"")</f>
        <v/>
      </c>
      <c r="K952" s="28" t="str">
        <f t="shared" ca="1" si="29"/>
        <v/>
      </c>
      <c r="L952" s="28"/>
      <c r="M952" s="28"/>
    </row>
    <row r="953" spans="2:13" ht="15" customHeight="1" x14ac:dyDescent="0.3">
      <c r="B953" s="34" t="str">
        <f>IF(B952="","", IF(VALUE(LEFT(H952,FIND("/",H952)-1)) &lt; VALUE(RIGHT(H952,LEN(H952)-FIND("/",H952))), B952, IFERROR(INDEX('SAÍDA DE VENDAS'!$B$6:$B$500, MATCH(B952,'SAÍDA DE VENDAS'!$B$6:$B$500,0)+COUNTIF('SAÍDA DE VENDAS'!$B$6:$B$500, B952)),"")))</f>
        <v/>
      </c>
      <c r="C953" s="35">
        <f>IFERROR(VLOOKUP(B953,'SAÍDA DE VENDAS'!$B$6:$P$500,3,FALSE),"")</f>
        <v>0</v>
      </c>
      <c r="D953" s="34">
        <f>IFERROR(VLOOKUP(B953,'SAÍDA DE VENDAS'!$B$6:$P$500,4,FALSE),"")</f>
        <v>0</v>
      </c>
      <c r="E953" s="34" t="str">
        <f>IFERROR(VLOOKUP(B953,'SAÍDA DE VENDAS'!$B$6:$P$500,5,FALSE),"")</f>
        <v/>
      </c>
      <c r="F953" s="34" t="str">
        <f>IF(OR(ISBLANK(B953),B953=""), "", IFERROR(INDEX('SAÍDA DE VENDAS'!$H$6:$H$500 &amp; "x " &amp; 'SAÍDA DE VENDAS'!$G$6:$G$500, MATCH(B953, 'SAÍDA DE VENDAS'!$B$6:$B$500, 0)), "")&amp; IF(COUNTIF('SAÍDA DE VENDAS'!$B$6:$B$500, B953)&gt;1, " + " &amp; IFERROR(INDEX('SAÍDA DE VENDAS'!$H$6:$H$500 &amp; "x " &amp; 'SAÍDA DE VENDAS'!$G$6:$G$500, MATCH(B953, 'SAÍDA DE VENDAS'!$B$6:$B$500, 0)+1), ""), "")&amp; IF(COUNTIF('SAÍDA DE VENDAS'!$B$6:$B$500, B953)&gt;2, " + " &amp; IFERROR(INDEX('SAÍDA DE VENDAS'!$H$6:$H$500 &amp; "x " &amp; 'SAÍDA DE VENDAS'!$G$6:$G$500, MATCH(B953, 'SAÍDA DE VENDAS'!$B$6:$B$500, 0)+2), ""), "")&amp; IF(COUNTIF('SAÍDA DE VENDAS'!$B$6:$B$500, B953)&gt;3, " + " &amp; IFERROR(INDEX('SAÍDA DE VENDAS'!$H$6:$H$500 &amp; "x " &amp; 'SAÍDA DE VENDAS'!$G$6:$G$500, MATCH(B953, 'SAÍDA DE VENDAS'!$B$6:$B$500, 0)+3), ""), "")&amp; IF(COUNTIF('SAÍDA DE VENDAS'!$B$6:$B$500, B953)&gt;4, " + " &amp; IFERROR(INDEX('SAÍDA DE VENDAS'!$H$6:$H$500 &amp; "x " &amp; 'SAÍDA DE VENDAS'!$G$6:$G$500, MATCH(B953, 'SAÍDA DE VENDAS'!$B$6:$B$500, 0)+4), ""), "")&amp; IF(COUNTIF('SAÍDA DE VENDAS'!$B$6:$B$500, B953)&gt;5, " + " &amp; IFERROR(INDEX('SAÍDA DE VENDAS'!$H$6:$H$500 &amp; "x " &amp; 'SAÍDA DE VENDAS'!$G$6:$G$500, MATCH(B953, 'SAÍDA DE VENDAS'!$B$6:$B$500, 0)+5), ""), ""))</f>
        <v/>
      </c>
      <c r="G953" s="34">
        <f>IFERROR(VLOOKUP(B953,'SAÍDA DE VENDAS'!$B$6:$P$500,10,FALSE),"")</f>
        <v>0</v>
      </c>
      <c r="H953" s="34" t="str">
        <f>IF(OR(ISBLANK(B953),B953=""), "", IF(B953=B952, (VALUE(LEFT(H952,FIND("/",H952)-1))+1)&amp;"/"&amp;RIGHT(H952,LEN(H952)-FIND("/",H952)), "1/"&amp;IFERROR(VLOOKUP(B953,'SAÍDA DE VENDAS'!$B$6:$P$500,13,FALSE),"1")))</f>
        <v/>
      </c>
      <c r="I953" s="35" t="str">
        <f t="shared" si="28"/>
        <v/>
      </c>
      <c r="J953" s="39" t="str">
        <f>IFERROR(VLOOKUP(B953,'SAÍDA DE VENDAS'!$B$6:$P$500,15,FALSE),"")</f>
        <v/>
      </c>
      <c r="K953" s="34" t="str">
        <f t="shared" ca="1" si="29"/>
        <v/>
      </c>
      <c r="L953" s="34"/>
      <c r="M953" s="34"/>
    </row>
    <row r="954" spans="2:13" ht="15" customHeight="1" x14ac:dyDescent="0.3">
      <c r="B954" s="28" t="str">
        <f>IF(B953="","", IF(VALUE(LEFT(H953,FIND("/",H953)-1)) &lt; VALUE(RIGHT(H953,LEN(H953)-FIND("/",H953))), B953, IFERROR(INDEX('SAÍDA DE VENDAS'!$B$6:$B$500, MATCH(B953,'SAÍDA DE VENDAS'!$B$6:$B$500,0)+COUNTIF('SAÍDA DE VENDAS'!$B$6:$B$500, B953)),"")))</f>
        <v/>
      </c>
      <c r="C954" s="29">
        <f>IFERROR(VLOOKUP(B954,'SAÍDA DE VENDAS'!$B$6:$P$500,3,FALSE),"")</f>
        <v>0</v>
      </c>
      <c r="D954" s="28">
        <f>IFERROR(VLOOKUP(B954,'SAÍDA DE VENDAS'!$B$6:$P$500,4,FALSE),"")</f>
        <v>0</v>
      </c>
      <c r="E954" s="28" t="str">
        <f>IFERROR(VLOOKUP(B954,'SAÍDA DE VENDAS'!$B$6:$P$500,5,FALSE),"")</f>
        <v/>
      </c>
      <c r="F954" s="28" t="str">
        <f>IF(OR(ISBLANK(B954),B954=""), "", IFERROR(INDEX('SAÍDA DE VENDAS'!$H$6:$H$500 &amp; "x " &amp; 'SAÍDA DE VENDAS'!$G$6:$G$500, MATCH(B954, 'SAÍDA DE VENDAS'!$B$6:$B$500, 0)), "")&amp; IF(COUNTIF('SAÍDA DE VENDAS'!$B$6:$B$500, B954)&gt;1, " + " &amp; IFERROR(INDEX('SAÍDA DE VENDAS'!$H$6:$H$500 &amp; "x " &amp; 'SAÍDA DE VENDAS'!$G$6:$G$500, MATCH(B954, 'SAÍDA DE VENDAS'!$B$6:$B$500, 0)+1), ""), "")&amp; IF(COUNTIF('SAÍDA DE VENDAS'!$B$6:$B$500, B954)&gt;2, " + " &amp; IFERROR(INDEX('SAÍDA DE VENDAS'!$H$6:$H$500 &amp; "x " &amp; 'SAÍDA DE VENDAS'!$G$6:$G$500, MATCH(B954, 'SAÍDA DE VENDAS'!$B$6:$B$500, 0)+2), ""), "")&amp; IF(COUNTIF('SAÍDA DE VENDAS'!$B$6:$B$500, B954)&gt;3, " + " &amp; IFERROR(INDEX('SAÍDA DE VENDAS'!$H$6:$H$500 &amp; "x " &amp; 'SAÍDA DE VENDAS'!$G$6:$G$500, MATCH(B954, 'SAÍDA DE VENDAS'!$B$6:$B$500, 0)+3), ""), "")&amp; IF(COUNTIF('SAÍDA DE VENDAS'!$B$6:$B$500, B954)&gt;4, " + " &amp; IFERROR(INDEX('SAÍDA DE VENDAS'!$H$6:$H$500 &amp; "x " &amp; 'SAÍDA DE VENDAS'!$G$6:$G$500, MATCH(B954, 'SAÍDA DE VENDAS'!$B$6:$B$500, 0)+4), ""), "")&amp; IF(COUNTIF('SAÍDA DE VENDAS'!$B$6:$B$500, B954)&gt;5, " + " &amp; IFERROR(INDEX('SAÍDA DE VENDAS'!$H$6:$H$500 &amp; "x " &amp; 'SAÍDA DE VENDAS'!$G$6:$G$500, MATCH(B954, 'SAÍDA DE VENDAS'!$B$6:$B$500, 0)+5), ""), ""))</f>
        <v/>
      </c>
      <c r="G954" s="28">
        <f>IFERROR(VLOOKUP(B954,'SAÍDA DE VENDAS'!$B$6:$P$500,10,FALSE),"")</f>
        <v>0</v>
      </c>
      <c r="H954" s="28" t="str">
        <f>IF(OR(ISBLANK(B954),B954=""), "", IF(B954=B953, (VALUE(LEFT(H953,FIND("/",H953)-1))+1)&amp;"/"&amp;RIGHT(H953,LEN(H953)-FIND("/",H953)), "1/"&amp;IFERROR(VLOOKUP(B954,'SAÍDA DE VENDAS'!$B$6:$P$500,13,FALSE),"1")))</f>
        <v/>
      </c>
      <c r="I954" s="69" t="str">
        <f t="shared" si="28"/>
        <v/>
      </c>
      <c r="J954" s="33" t="str">
        <f>IFERROR(VLOOKUP(B954,'SAÍDA DE VENDAS'!$B$6:$P$500,15,FALSE),"")</f>
        <v/>
      </c>
      <c r="K954" s="28" t="str">
        <f t="shared" ca="1" si="29"/>
        <v/>
      </c>
      <c r="L954" s="28"/>
      <c r="M954" s="28"/>
    </row>
    <row r="955" spans="2:13" ht="15" customHeight="1" x14ac:dyDescent="0.3">
      <c r="B955" s="34" t="str">
        <f>IF(B954="","", IF(VALUE(LEFT(H954,FIND("/",H954)-1)) &lt; VALUE(RIGHT(H954,LEN(H954)-FIND("/",H954))), B954, IFERROR(INDEX('SAÍDA DE VENDAS'!$B$6:$B$500, MATCH(B954,'SAÍDA DE VENDAS'!$B$6:$B$500,0)+COUNTIF('SAÍDA DE VENDAS'!$B$6:$B$500, B954)),"")))</f>
        <v/>
      </c>
      <c r="C955" s="35">
        <f>IFERROR(VLOOKUP(B955,'SAÍDA DE VENDAS'!$B$6:$P$500,3,FALSE),"")</f>
        <v>0</v>
      </c>
      <c r="D955" s="34">
        <f>IFERROR(VLOOKUP(B955,'SAÍDA DE VENDAS'!$B$6:$P$500,4,FALSE),"")</f>
        <v>0</v>
      </c>
      <c r="E955" s="34" t="str">
        <f>IFERROR(VLOOKUP(B955,'SAÍDA DE VENDAS'!$B$6:$P$500,5,FALSE),"")</f>
        <v/>
      </c>
      <c r="F955" s="34" t="str">
        <f>IF(OR(ISBLANK(B955),B955=""), "", IFERROR(INDEX('SAÍDA DE VENDAS'!$H$6:$H$500 &amp; "x " &amp; 'SAÍDA DE VENDAS'!$G$6:$G$500, MATCH(B955, 'SAÍDA DE VENDAS'!$B$6:$B$500, 0)), "")&amp; IF(COUNTIF('SAÍDA DE VENDAS'!$B$6:$B$500, B955)&gt;1, " + " &amp; IFERROR(INDEX('SAÍDA DE VENDAS'!$H$6:$H$500 &amp; "x " &amp; 'SAÍDA DE VENDAS'!$G$6:$G$500, MATCH(B955, 'SAÍDA DE VENDAS'!$B$6:$B$500, 0)+1), ""), "")&amp; IF(COUNTIF('SAÍDA DE VENDAS'!$B$6:$B$500, B955)&gt;2, " + " &amp; IFERROR(INDEX('SAÍDA DE VENDAS'!$H$6:$H$500 &amp; "x " &amp; 'SAÍDA DE VENDAS'!$G$6:$G$500, MATCH(B955, 'SAÍDA DE VENDAS'!$B$6:$B$500, 0)+2), ""), "")&amp; IF(COUNTIF('SAÍDA DE VENDAS'!$B$6:$B$500, B955)&gt;3, " + " &amp; IFERROR(INDEX('SAÍDA DE VENDAS'!$H$6:$H$500 &amp; "x " &amp; 'SAÍDA DE VENDAS'!$G$6:$G$500, MATCH(B955, 'SAÍDA DE VENDAS'!$B$6:$B$500, 0)+3), ""), "")&amp; IF(COUNTIF('SAÍDA DE VENDAS'!$B$6:$B$500, B955)&gt;4, " + " &amp; IFERROR(INDEX('SAÍDA DE VENDAS'!$H$6:$H$500 &amp; "x " &amp; 'SAÍDA DE VENDAS'!$G$6:$G$500, MATCH(B955, 'SAÍDA DE VENDAS'!$B$6:$B$500, 0)+4), ""), "")&amp; IF(COUNTIF('SAÍDA DE VENDAS'!$B$6:$B$500, B955)&gt;5, " + " &amp; IFERROR(INDEX('SAÍDA DE VENDAS'!$H$6:$H$500 &amp; "x " &amp; 'SAÍDA DE VENDAS'!$G$6:$G$500, MATCH(B955, 'SAÍDA DE VENDAS'!$B$6:$B$500, 0)+5), ""), ""))</f>
        <v/>
      </c>
      <c r="G955" s="34">
        <f>IFERROR(VLOOKUP(B955,'SAÍDA DE VENDAS'!$B$6:$P$500,10,FALSE),"")</f>
        <v>0</v>
      </c>
      <c r="H955" s="34" t="str">
        <f>IF(OR(ISBLANK(B955),B955=""), "", IF(B955=B954, (VALUE(LEFT(H954,FIND("/",H954)-1))+1)&amp;"/"&amp;RIGHT(H954,LEN(H954)-FIND("/",H954)), "1/"&amp;IFERROR(VLOOKUP(B955,'SAÍDA DE VENDAS'!$B$6:$P$500,13,FALSE),"1")))</f>
        <v/>
      </c>
      <c r="I955" s="35" t="str">
        <f t="shared" si="28"/>
        <v/>
      </c>
      <c r="J955" s="39" t="str">
        <f>IFERROR(VLOOKUP(B955,'SAÍDA DE VENDAS'!$B$6:$P$500,15,FALSE),"")</f>
        <v/>
      </c>
      <c r="K955" s="34" t="str">
        <f t="shared" ca="1" si="29"/>
        <v/>
      </c>
      <c r="L955" s="34"/>
      <c r="M955" s="34"/>
    </row>
    <row r="956" spans="2:13" ht="15" customHeight="1" x14ac:dyDescent="0.3">
      <c r="B956" s="28" t="str">
        <f>IF(B955="","", IF(VALUE(LEFT(H955,FIND("/",H955)-1)) &lt; VALUE(RIGHT(H955,LEN(H955)-FIND("/",H955))), B955, IFERROR(INDEX('SAÍDA DE VENDAS'!$B$6:$B$500, MATCH(B955,'SAÍDA DE VENDAS'!$B$6:$B$500,0)+COUNTIF('SAÍDA DE VENDAS'!$B$6:$B$500, B955)),"")))</f>
        <v/>
      </c>
      <c r="C956" s="29">
        <f>IFERROR(VLOOKUP(B956,'SAÍDA DE VENDAS'!$B$6:$P$500,3,FALSE),"")</f>
        <v>0</v>
      </c>
      <c r="D956" s="28">
        <f>IFERROR(VLOOKUP(B956,'SAÍDA DE VENDAS'!$B$6:$P$500,4,FALSE),"")</f>
        <v>0</v>
      </c>
      <c r="E956" s="28" t="str">
        <f>IFERROR(VLOOKUP(B956,'SAÍDA DE VENDAS'!$B$6:$P$500,5,FALSE),"")</f>
        <v/>
      </c>
      <c r="F956" s="28" t="str">
        <f>IF(OR(ISBLANK(B956),B956=""), "", IFERROR(INDEX('SAÍDA DE VENDAS'!$H$6:$H$500 &amp; "x " &amp; 'SAÍDA DE VENDAS'!$G$6:$G$500, MATCH(B956, 'SAÍDA DE VENDAS'!$B$6:$B$500, 0)), "")&amp; IF(COUNTIF('SAÍDA DE VENDAS'!$B$6:$B$500, B956)&gt;1, " + " &amp; IFERROR(INDEX('SAÍDA DE VENDAS'!$H$6:$H$500 &amp; "x " &amp; 'SAÍDA DE VENDAS'!$G$6:$G$500, MATCH(B956, 'SAÍDA DE VENDAS'!$B$6:$B$500, 0)+1), ""), "")&amp; IF(COUNTIF('SAÍDA DE VENDAS'!$B$6:$B$500, B956)&gt;2, " + " &amp; IFERROR(INDEX('SAÍDA DE VENDAS'!$H$6:$H$500 &amp; "x " &amp; 'SAÍDA DE VENDAS'!$G$6:$G$500, MATCH(B956, 'SAÍDA DE VENDAS'!$B$6:$B$500, 0)+2), ""), "")&amp; IF(COUNTIF('SAÍDA DE VENDAS'!$B$6:$B$500, B956)&gt;3, " + " &amp; IFERROR(INDEX('SAÍDA DE VENDAS'!$H$6:$H$500 &amp; "x " &amp; 'SAÍDA DE VENDAS'!$G$6:$G$500, MATCH(B956, 'SAÍDA DE VENDAS'!$B$6:$B$500, 0)+3), ""), "")&amp; IF(COUNTIF('SAÍDA DE VENDAS'!$B$6:$B$500, B956)&gt;4, " + " &amp; IFERROR(INDEX('SAÍDA DE VENDAS'!$H$6:$H$500 &amp; "x " &amp; 'SAÍDA DE VENDAS'!$G$6:$G$500, MATCH(B956, 'SAÍDA DE VENDAS'!$B$6:$B$500, 0)+4), ""), "")&amp; IF(COUNTIF('SAÍDA DE VENDAS'!$B$6:$B$500, B956)&gt;5, " + " &amp; IFERROR(INDEX('SAÍDA DE VENDAS'!$H$6:$H$500 &amp; "x " &amp; 'SAÍDA DE VENDAS'!$G$6:$G$500, MATCH(B956, 'SAÍDA DE VENDAS'!$B$6:$B$500, 0)+5), ""), ""))</f>
        <v/>
      </c>
      <c r="G956" s="28">
        <f>IFERROR(VLOOKUP(B956,'SAÍDA DE VENDAS'!$B$6:$P$500,10,FALSE),"")</f>
        <v>0</v>
      </c>
      <c r="H956" s="28" t="str">
        <f>IF(OR(ISBLANK(B956),B956=""), "", IF(B956=B955, (VALUE(LEFT(H955,FIND("/",H955)-1))+1)&amp;"/"&amp;RIGHT(H955,LEN(H955)-FIND("/",H955)), "1/"&amp;IFERROR(VLOOKUP(B956,'SAÍDA DE VENDAS'!$B$6:$P$500,13,FALSE),"1")))</f>
        <v/>
      </c>
      <c r="I956" s="69" t="str">
        <f t="shared" si="28"/>
        <v/>
      </c>
      <c r="J956" s="33" t="str">
        <f>IFERROR(VLOOKUP(B956,'SAÍDA DE VENDAS'!$B$6:$P$500,15,FALSE),"")</f>
        <v/>
      </c>
      <c r="K956" s="28" t="str">
        <f t="shared" ca="1" si="29"/>
        <v/>
      </c>
      <c r="L956" s="28"/>
      <c r="M956" s="28"/>
    </row>
    <row r="957" spans="2:13" ht="15" customHeight="1" x14ac:dyDescent="0.3">
      <c r="B957" s="34" t="str">
        <f>IF(B956="","", IF(VALUE(LEFT(H956,FIND("/",H956)-1)) &lt; VALUE(RIGHT(H956,LEN(H956)-FIND("/",H956))), B956, IFERROR(INDEX('SAÍDA DE VENDAS'!$B$6:$B$500, MATCH(B956,'SAÍDA DE VENDAS'!$B$6:$B$500,0)+COUNTIF('SAÍDA DE VENDAS'!$B$6:$B$500, B956)),"")))</f>
        <v/>
      </c>
      <c r="C957" s="35">
        <f>IFERROR(VLOOKUP(B957,'SAÍDA DE VENDAS'!$B$6:$P$500,3,FALSE),"")</f>
        <v>0</v>
      </c>
      <c r="D957" s="34">
        <f>IFERROR(VLOOKUP(B957,'SAÍDA DE VENDAS'!$B$6:$P$500,4,FALSE),"")</f>
        <v>0</v>
      </c>
      <c r="E957" s="34" t="str">
        <f>IFERROR(VLOOKUP(B957,'SAÍDA DE VENDAS'!$B$6:$P$500,5,FALSE),"")</f>
        <v/>
      </c>
      <c r="F957" s="34" t="str">
        <f>IF(OR(ISBLANK(B957),B957=""), "", IFERROR(INDEX('SAÍDA DE VENDAS'!$H$6:$H$500 &amp; "x " &amp; 'SAÍDA DE VENDAS'!$G$6:$G$500, MATCH(B957, 'SAÍDA DE VENDAS'!$B$6:$B$500, 0)), "")&amp; IF(COUNTIF('SAÍDA DE VENDAS'!$B$6:$B$500, B957)&gt;1, " + " &amp; IFERROR(INDEX('SAÍDA DE VENDAS'!$H$6:$H$500 &amp; "x " &amp; 'SAÍDA DE VENDAS'!$G$6:$G$500, MATCH(B957, 'SAÍDA DE VENDAS'!$B$6:$B$500, 0)+1), ""), "")&amp; IF(COUNTIF('SAÍDA DE VENDAS'!$B$6:$B$500, B957)&gt;2, " + " &amp; IFERROR(INDEX('SAÍDA DE VENDAS'!$H$6:$H$500 &amp; "x " &amp; 'SAÍDA DE VENDAS'!$G$6:$G$500, MATCH(B957, 'SAÍDA DE VENDAS'!$B$6:$B$500, 0)+2), ""), "")&amp; IF(COUNTIF('SAÍDA DE VENDAS'!$B$6:$B$500, B957)&gt;3, " + " &amp; IFERROR(INDEX('SAÍDA DE VENDAS'!$H$6:$H$500 &amp; "x " &amp; 'SAÍDA DE VENDAS'!$G$6:$G$500, MATCH(B957, 'SAÍDA DE VENDAS'!$B$6:$B$500, 0)+3), ""), "")&amp; IF(COUNTIF('SAÍDA DE VENDAS'!$B$6:$B$500, B957)&gt;4, " + " &amp; IFERROR(INDEX('SAÍDA DE VENDAS'!$H$6:$H$500 &amp; "x " &amp; 'SAÍDA DE VENDAS'!$G$6:$G$500, MATCH(B957, 'SAÍDA DE VENDAS'!$B$6:$B$500, 0)+4), ""), "")&amp; IF(COUNTIF('SAÍDA DE VENDAS'!$B$6:$B$500, B957)&gt;5, " + " &amp; IFERROR(INDEX('SAÍDA DE VENDAS'!$H$6:$H$500 &amp; "x " &amp; 'SAÍDA DE VENDAS'!$G$6:$G$500, MATCH(B957, 'SAÍDA DE VENDAS'!$B$6:$B$500, 0)+5), ""), ""))</f>
        <v/>
      </c>
      <c r="G957" s="34">
        <f>IFERROR(VLOOKUP(B957,'SAÍDA DE VENDAS'!$B$6:$P$500,10,FALSE),"")</f>
        <v>0</v>
      </c>
      <c r="H957" s="34" t="str">
        <f>IF(OR(ISBLANK(B957),B957=""), "", IF(B957=B956, (VALUE(LEFT(H956,FIND("/",H956)-1))+1)&amp;"/"&amp;RIGHT(H956,LEN(H956)-FIND("/",H956)), "1/"&amp;IFERROR(VLOOKUP(B957,'SAÍDA DE VENDAS'!$B$6:$P$500,13,FALSE),"1")))</f>
        <v/>
      </c>
      <c r="I957" s="35" t="str">
        <f t="shared" si="28"/>
        <v/>
      </c>
      <c r="J957" s="39" t="str">
        <f>IFERROR(VLOOKUP(B957,'SAÍDA DE VENDAS'!$B$6:$P$500,15,FALSE),"")</f>
        <v/>
      </c>
      <c r="K957" s="34" t="str">
        <f t="shared" ca="1" si="29"/>
        <v/>
      </c>
      <c r="L957" s="34"/>
      <c r="M957" s="34"/>
    </row>
    <row r="958" spans="2:13" ht="15" customHeight="1" x14ac:dyDescent="0.3">
      <c r="B958" s="28" t="str">
        <f>IF(B957="","", IF(VALUE(LEFT(H957,FIND("/",H957)-1)) &lt; VALUE(RIGHT(H957,LEN(H957)-FIND("/",H957))), B957, IFERROR(INDEX('SAÍDA DE VENDAS'!$B$6:$B$500, MATCH(B957,'SAÍDA DE VENDAS'!$B$6:$B$500,0)+COUNTIF('SAÍDA DE VENDAS'!$B$6:$B$500, B957)),"")))</f>
        <v/>
      </c>
      <c r="C958" s="29">
        <f>IFERROR(VLOOKUP(B958,'SAÍDA DE VENDAS'!$B$6:$P$500,3,FALSE),"")</f>
        <v>0</v>
      </c>
      <c r="D958" s="28">
        <f>IFERROR(VLOOKUP(B958,'SAÍDA DE VENDAS'!$B$6:$P$500,4,FALSE),"")</f>
        <v>0</v>
      </c>
      <c r="E958" s="28" t="str">
        <f>IFERROR(VLOOKUP(B958,'SAÍDA DE VENDAS'!$B$6:$P$500,5,FALSE),"")</f>
        <v/>
      </c>
      <c r="F958" s="28" t="str">
        <f>IF(OR(ISBLANK(B958),B958=""), "", IFERROR(INDEX('SAÍDA DE VENDAS'!$H$6:$H$500 &amp; "x " &amp; 'SAÍDA DE VENDAS'!$G$6:$G$500, MATCH(B958, 'SAÍDA DE VENDAS'!$B$6:$B$500, 0)), "")&amp; IF(COUNTIF('SAÍDA DE VENDAS'!$B$6:$B$500, B958)&gt;1, " + " &amp; IFERROR(INDEX('SAÍDA DE VENDAS'!$H$6:$H$500 &amp; "x " &amp; 'SAÍDA DE VENDAS'!$G$6:$G$500, MATCH(B958, 'SAÍDA DE VENDAS'!$B$6:$B$500, 0)+1), ""), "")&amp; IF(COUNTIF('SAÍDA DE VENDAS'!$B$6:$B$500, B958)&gt;2, " + " &amp; IFERROR(INDEX('SAÍDA DE VENDAS'!$H$6:$H$500 &amp; "x " &amp; 'SAÍDA DE VENDAS'!$G$6:$G$500, MATCH(B958, 'SAÍDA DE VENDAS'!$B$6:$B$500, 0)+2), ""), "")&amp; IF(COUNTIF('SAÍDA DE VENDAS'!$B$6:$B$500, B958)&gt;3, " + " &amp; IFERROR(INDEX('SAÍDA DE VENDAS'!$H$6:$H$500 &amp; "x " &amp; 'SAÍDA DE VENDAS'!$G$6:$G$500, MATCH(B958, 'SAÍDA DE VENDAS'!$B$6:$B$500, 0)+3), ""), "")&amp; IF(COUNTIF('SAÍDA DE VENDAS'!$B$6:$B$500, B958)&gt;4, " + " &amp; IFERROR(INDEX('SAÍDA DE VENDAS'!$H$6:$H$500 &amp; "x " &amp; 'SAÍDA DE VENDAS'!$G$6:$G$500, MATCH(B958, 'SAÍDA DE VENDAS'!$B$6:$B$500, 0)+4), ""), "")&amp; IF(COUNTIF('SAÍDA DE VENDAS'!$B$6:$B$500, B958)&gt;5, " + " &amp; IFERROR(INDEX('SAÍDA DE VENDAS'!$H$6:$H$500 &amp; "x " &amp; 'SAÍDA DE VENDAS'!$G$6:$G$500, MATCH(B958, 'SAÍDA DE VENDAS'!$B$6:$B$500, 0)+5), ""), ""))</f>
        <v/>
      </c>
      <c r="G958" s="28">
        <f>IFERROR(VLOOKUP(B958,'SAÍDA DE VENDAS'!$B$6:$P$500,10,FALSE),"")</f>
        <v>0</v>
      </c>
      <c r="H958" s="28" t="str">
        <f>IF(OR(ISBLANK(B958),B958=""), "", IF(B958=B957, (VALUE(LEFT(H957,FIND("/",H957)-1))+1)&amp;"/"&amp;RIGHT(H957,LEN(H957)-FIND("/",H957)), "1/"&amp;IFERROR(VLOOKUP(B958,'SAÍDA DE VENDAS'!$B$6:$P$500,13,FALSE),"1")))</f>
        <v/>
      </c>
      <c r="I958" s="69" t="str">
        <f t="shared" si="28"/>
        <v/>
      </c>
      <c r="J958" s="33" t="str">
        <f>IFERROR(VLOOKUP(B958,'SAÍDA DE VENDAS'!$B$6:$P$500,15,FALSE),"")</f>
        <v/>
      </c>
      <c r="K958" s="28" t="str">
        <f t="shared" ca="1" si="29"/>
        <v/>
      </c>
      <c r="L958" s="28"/>
      <c r="M958" s="28"/>
    </row>
    <row r="959" spans="2:13" ht="15" customHeight="1" x14ac:dyDescent="0.3">
      <c r="B959" s="34" t="str">
        <f>IF(B958="","", IF(VALUE(LEFT(H958,FIND("/",H958)-1)) &lt; VALUE(RIGHT(H958,LEN(H958)-FIND("/",H958))), B958, IFERROR(INDEX('SAÍDA DE VENDAS'!$B$6:$B$500, MATCH(B958,'SAÍDA DE VENDAS'!$B$6:$B$500,0)+COUNTIF('SAÍDA DE VENDAS'!$B$6:$B$500, B958)),"")))</f>
        <v/>
      </c>
      <c r="C959" s="35">
        <f>IFERROR(VLOOKUP(B959,'SAÍDA DE VENDAS'!$B$6:$P$500,3,FALSE),"")</f>
        <v>0</v>
      </c>
      <c r="D959" s="34">
        <f>IFERROR(VLOOKUP(B959,'SAÍDA DE VENDAS'!$B$6:$P$500,4,FALSE),"")</f>
        <v>0</v>
      </c>
      <c r="E959" s="34" t="str">
        <f>IFERROR(VLOOKUP(B959,'SAÍDA DE VENDAS'!$B$6:$P$500,5,FALSE),"")</f>
        <v/>
      </c>
      <c r="F959" s="34" t="str">
        <f>IF(OR(ISBLANK(B959),B959=""), "", IFERROR(INDEX('SAÍDA DE VENDAS'!$H$6:$H$500 &amp; "x " &amp; 'SAÍDA DE VENDAS'!$G$6:$G$500, MATCH(B959, 'SAÍDA DE VENDAS'!$B$6:$B$500, 0)), "")&amp; IF(COUNTIF('SAÍDA DE VENDAS'!$B$6:$B$500, B959)&gt;1, " + " &amp; IFERROR(INDEX('SAÍDA DE VENDAS'!$H$6:$H$500 &amp; "x " &amp; 'SAÍDA DE VENDAS'!$G$6:$G$500, MATCH(B959, 'SAÍDA DE VENDAS'!$B$6:$B$500, 0)+1), ""), "")&amp; IF(COUNTIF('SAÍDA DE VENDAS'!$B$6:$B$500, B959)&gt;2, " + " &amp; IFERROR(INDEX('SAÍDA DE VENDAS'!$H$6:$H$500 &amp; "x " &amp; 'SAÍDA DE VENDAS'!$G$6:$G$500, MATCH(B959, 'SAÍDA DE VENDAS'!$B$6:$B$500, 0)+2), ""), "")&amp; IF(COUNTIF('SAÍDA DE VENDAS'!$B$6:$B$500, B959)&gt;3, " + " &amp; IFERROR(INDEX('SAÍDA DE VENDAS'!$H$6:$H$500 &amp; "x " &amp; 'SAÍDA DE VENDAS'!$G$6:$G$500, MATCH(B959, 'SAÍDA DE VENDAS'!$B$6:$B$500, 0)+3), ""), "")&amp; IF(COUNTIF('SAÍDA DE VENDAS'!$B$6:$B$500, B959)&gt;4, " + " &amp; IFERROR(INDEX('SAÍDA DE VENDAS'!$H$6:$H$500 &amp; "x " &amp; 'SAÍDA DE VENDAS'!$G$6:$G$500, MATCH(B959, 'SAÍDA DE VENDAS'!$B$6:$B$500, 0)+4), ""), "")&amp; IF(COUNTIF('SAÍDA DE VENDAS'!$B$6:$B$500, B959)&gt;5, " + " &amp; IFERROR(INDEX('SAÍDA DE VENDAS'!$H$6:$H$500 &amp; "x " &amp; 'SAÍDA DE VENDAS'!$G$6:$G$500, MATCH(B959, 'SAÍDA DE VENDAS'!$B$6:$B$500, 0)+5), ""), ""))</f>
        <v/>
      </c>
      <c r="G959" s="34">
        <f>IFERROR(VLOOKUP(B959,'SAÍDA DE VENDAS'!$B$6:$P$500,10,FALSE),"")</f>
        <v>0</v>
      </c>
      <c r="H959" s="34" t="str">
        <f>IF(OR(ISBLANK(B959),B959=""), "", IF(B959=B958, (VALUE(LEFT(H958,FIND("/",H958)-1))+1)&amp;"/"&amp;RIGHT(H958,LEN(H958)-FIND("/",H958)), "1/"&amp;IFERROR(VLOOKUP(B959,'SAÍDA DE VENDAS'!$B$6:$P$500,13,FALSE),"1")))</f>
        <v/>
      </c>
      <c r="I959" s="35" t="str">
        <f t="shared" si="28"/>
        <v/>
      </c>
      <c r="J959" s="39" t="str">
        <f>IFERROR(VLOOKUP(B959,'SAÍDA DE VENDAS'!$B$6:$P$500,15,FALSE),"")</f>
        <v/>
      </c>
      <c r="K959" s="34" t="str">
        <f t="shared" ca="1" si="29"/>
        <v/>
      </c>
      <c r="L959" s="34"/>
      <c r="M959" s="34"/>
    </row>
    <row r="960" spans="2:13" ht="15" customHeight="1" x14ac:dyDescent="0.3">
      <c r="B960" s="28" t="str">
        <f>IF(B959="","", IF(VALUE(LEFT(H959,FIND("/",H959)-1)) &lt; VALUE(RIGHT(H959,LEN(H959)-FIND("/",H959))), B959, IFERROR(INDEX('SAÍDA DE VENDAS'!$B$6:$B$500, MATCH(B959,'SAÍDA DE VENDAS'!$B$6:$B$500,0)+COUNTIF('SAÍDA DE VENDAS'!$B$6:$B$500, B959)),"")))</f>
        <v/>
      </c>
      <c r="C960" s="29">
        <f>IFERROR(VLOOKUP(B960,'SAÍDA DE VENDAS'!$B$6:$P$500,3,FALSE),"")</f>
        <v>0</v>
      </c>
      <c r="D960" s="28">
        <f>IFERROR(VLOOKUP(B960,'SAÍDA DE VENDAS'!$B$6:$P$500,4,FALSE),"")</f>
        <v>0</v>
      </c>
      <c r="E960" s="28" t="str">
        <f>IFERROR(VLOOKUP(B960,'SAÍDA DE VENDAS'!$B$6:$P$500,5,FALSE),"")</f>
        <v/>
      </c>
      <c r="F960" s="28" t="str">
        <f>IF(OR(ISBLANK(B960),B960=""), "", IFERROR(INDEX('SAÍDA DE VENDAS'!$H$6:$H$500 &amp; "x " &amp; 'SAÍDA DE VENDAS'!$G$6:$G$500, MATCH(B960, 'SAÍDA DE VENDAS'!$B$6:$B$500, 0)), "")&amp; IF(COUNTIF('SAÍDA DE VENDAS'!$B$6:$B$500, B960)&gt;1, " + " &amp; IFERROR(INDEX('SAÍDA DE VENDAS'!$H$6:$H$500 &amp; "x " &amp; 'SAÍDA DE VENDAS'!$G$6:$G$500, MATCH(B960, 'SAÍDA DE VENDAS'!$B$6:$B$500, 0)+1), ""), "")&amp; IF(COUNTIF('SAÍDA DE VENDAS'!$B$6:$B$500, B960)&gt;2, " + " &amp; IFERROR(INDEX('SAÍDA DE VENDAS'!$H$6:$H$500 &amp; "x " &amp; 'SAÍDA DE VENDAS'!$G$6:$G$500, MATCH(B960, 'SAÍDA DE VENDAS'!$B$6:$B$500, 0)+2), ""), "")&amp; IF(COUNTIF('SAÍDA DE VENDAS'!$B$6:$B$500, B960)&gt;3, " + " &amp; IFERROR(INDEX('SAÍDA DE VENDAS'!$H$6:$H$500 &amp; "x " &amp; 'SAÍDA DE VENDAS'!$G$6:$G$500, MATCH(B960, 'SAÍDA DE VENDAS'!$B$6:$B$500, 0)+3), ""), "")&amp; IF(COUNTIF('SAÍDA DE VENDAS'!$B$6:$B$500, B960)&gt;4, " + " &amp; IFERROR(INDEX('SAÍDA DE VENDAS'!$H$6:$H$500 &amp; "x " &amp; 'SAÍDA DE VENDAS'!$G$6:$G$500, MATCH(B960, 'SAÍDA DE VENDAS'!$B$6:$B$500, 0)+4), ""), "")&amp; IF(COUNTIF('SAÍDA DE VENDAS'!$B$6:$B$500, B960)&gt;5, " + " &amp; IFERROR(INDEX('SAÍDA DE VENDAS'!$H$6:$H$500 &amp; "x " &amp; 'SAÍDA DE VENDAS'!$G$6:$G$500, MATCH(B960, 'SAÍDA DE VENDAS'!$B$6:$B$500, 0)+5), ""), ""))</f>
        <v/>
      </c>
      <c r="G960" s="28">
        <f>IFERROR(VLOOKUP(B960,'SAÍDA DE VENDAS'!$B$6:$P$500,10,FALSE),"")</f>
        <v>0</v>
      </c>
      <c r="H960" s="28" t="str">
        <f>IF(OR(ISBLANK(B960),B960=""), "", IF(B960=B959, (VALUE(LEFT(H959,FIND("/",H959)-1))+1)&amp;"/"&amp;RIGHT(H959,LEN(H959)-FIND("/",H959)), "1/"&amp;IFERROR(VLOOKUP(B960,'SAÍDA DE VENDAS'!$B$6:$P$500,13,FALSE),"1")))</f>
        <v/>
      </c>
      <c r="I960" s="69" t="str">
        <f t="shared" si="28"/>
        <v/>
      </c>
      <c r="J960" s="33" t="str">
        <f>IFERROR(VLOOKUP(B960,'SAÍDA DE VENDAS'!$B$6:$P$500,15,FALSE),"")</f>
        <v/>
      </c>
      <c r="K960" s="28" t="str">
        <f t="shared" ca="1" si="29"/>
        <v/>
      </c>
      <c r="L960" s="28"/>
      <c r="M960" s="28"/>
    </row>
    <row r="961" spans="2:13" ht="15" customHeight="1" x14ac:dyDescent="0.3">
      <c r="B961" s="34" t="str">
        <f>IF(B960="","", IF(VALUE(LEFT(H960,FIND("/",H960)-1)) &lt; VALUE(RIGHT(H960,LEN(H960)-FIND("/",H960))), B960, IFERROR(INDEX('SAÍDA DE VENDAS'!$B$6:$B$500, MATCH(B960,'SAÍDA DE VENDAS'!$B$6:$B$500,0)+COUNTIF('SAÍDA DE VENDAS'!$B$6:$B$500, B960)),"")))</f>
        <v/>
      </c>
      <c r="C961" s="35">
        <f>IFERROR(VLOOKUP(B961,'SAÍDA DE VENDAS'!$B$6:$P$500,3,FALSE),"")</f>
        <v>0</v>
      </c>
      <c r="D961" s="34">
        <f>IFERROR(VLOOKUP(B961,'SAÍDA DE VENDAS'!$B$6:$P$500,4,FALSE),"")</f>
        <v>0</v>
      </c>
      <c r="E961" s="34" t="str">
        <f>IFERROR(VLOOKUP(B961,'SAÍDA DE VENDAS'!$B$6:$P$500,5,FALSE),"")</f>
        <v/>
      </c>
      <c r="F961" s="34" t="str">
        <f>IF(OR(ISBLANK(B961),B961=""), "", IFERROR(INDEX('SAÍDA DE VENDAS'!$H$6:$H$500 &amp; "x " &amp; 'SAÍDA DE VENDAS'!$G$6:$G$500, MATCH(B961, 'SAÍDA DE VENDAS'!$B$6:$B$500, 0)), "")&amp; IF(COUNTIF('SAÍDA DE VENDAS'!$B$6:$B$500, B961)&gt;1, " + " &amp; IFERROR(INDEX('SAÍDA DE VENDAS'!$H$6:$H$500 &amp; "x " &amp; 'SAÍDA DE VENDAS'!$G$6:$G$500, MATCH(B961, 'SAÍDA DE VENDAS'!$B$6:$B$500, 0)+1), ""), "")&amp; IF(COUNTIF('SAÍDA DE VENDAS'!$B$6:$B$500, B961)&gt;2, " + " &amp; IFERROR(INDEX('SAÍDA DE VENDAS'!$H$6:$H$500 &amp; "x " &amp; 'SAÍDA DE VENDAS'!$G$6:$G$500, MATCH(B961, 'SAÍDA DE VENDAS'!$B$6:$B$500, 0)+2), ""), "")&amp; IF(COUNTIF('SAÍDA DE VENDAS'!$B$6:$B$500, B961)&gt;3, " + " &amp; IFERROR(INDEX('SAÍDA DE VENDAS'!$H$6:$H$500 &amp; "x " &amp; 'SAÍDA DE VENDAS'!$G$6:$G$500, MATCH(B961, 'SAÍDA DE VENDAS'!$B$6:$B$500, 0)+3), ""), "")&amp; IF(COUNTIF('SAÍDA DE VENDAS'!$B$6:$B$500, B961)&gt;4, " + " &amp; IFERROR(INDEX('SAÍDA DE VENDAS'!$H$6:$H$500 &amp; "x " &amp; 'SAÍDA DE VENDAS'!$G$6:$G$500, MATCH(B961, 'SAÍDA DE VENDAS'!$B$6:$B$500, 0)+4), ""), "")&amp; IF(COUNTIF('SAÍDA DE VENDAS'!$B$6:$B$500, B961)&gt;5, " + " &amp; IFERROR(INDEX('SAÍDA DE VENDAS'!$H$6:$H$500 &amp; "x " &amp; 'SAÍDA DE VENDAS'!$G$6:$G$500, MATCH(B961, 'SAÍDA DE VENDAS'!$B$6:$B$500, 0)+5), ""), ""))</f>
        <v/>
      </c>
      <c r="G961" s="34">
        <f>IFERROR(VLOOKUP(B961,'SAÍDA DE VENDAS'!$B$6:$P$500,10,FALSE),"")</f>
        <v>0</v>
      </c>
      <c r="H961" s="34" t="str">
        <f>IF(OR(ISBLANK(B961),B961=""), "", IF(B961=B960, (VALUE(LEFT(H960,FIND("/",H960)-1))+1)&amp;"/"&amp;RIGHT(H960,LEN(H960)-FIND("/",H960)), "1/"&amp;IFERROR(VLOOKUP(B961,'SAÍDA DE VENDAS'!$B$6:$P$500,13,FALSE),"1")))</f>
        <v/>
      </c>
      <c r="I961" s="35" t="str">
        <f t="shared" si="28"/>
        <v/>
      </c>
      <c r="J961" s="39" t="str">
        <f>IFERROR(VLOOKUP(B961,'SAÍDA DE VENDAS'!$B$6:$P$500,15,FALSE),"")</f>
        <v/>
      </c>
      <c r="K961" s="34" t="str">
        <f t="shared" ca="1" si="29"/>
        <v/>
      </c>
      <c r="L961" s="34"/>
      <c r="M961" s="34"/>
    </row>
    <row r="962" spans="2:13" ht="15" customHeight="1" x14ac:dyDescent="0.3">
      <c r="B962" s="28" t="str">
        <f>IF(B961="","", IF(VALUE(LEFT(H961,FIND("/",H961)-1)) &lt; VALUE(RIGHT(H961,LEN(H961)-FIND("/",H961))), B961, IFERROR(INDEX('SAÍDA DE VENDAS'!$B$6:$B$500, MATCH(B961,'SAÍDA DE VENDAS'!$B$6:$B$500,0)+COUNTIF('SAÍDA DE VENDAS'!$B$6:$B$500, B961)),"")))</f>
        <v/>
      </c>
      <c r="C962" s="29">
        <f>IFERROR(VLOOKUP(B962,'SAÍDA DE VENDAS'!$B$6:$P$500,3,FALSE),"")</f>
        <v>0</v>
      </c>
      <c r="D962" s="28">
        <f>IFERROR(VLOOKUP(B962,'SAÍDA DE VENDAS'!$B$6:$P$500,4,FALSE),"")</f>
        <v>0</v>
      </c>
      <c r="E962" s="28" t="str">
        <f>IFERROR(VLOOKUP(B962,'SAÍDA DE VENDAS'!$B$6:$P$500,5,FALSE),"")</f>
        <v/>
      </c>
      <c r="F962" s="28" t="str">
        <f>IF(OR(ISBLANK(B962),B962=""), "", IFERROR(INDEX('SAÍDA DE VENDAS'!$H$6:$H$500 &amp; "x " &amp; 'SAÍDA DE VENDAS'!$G$6:$G$500, MATCH(B962, 'SAÍDA DE VENDAS'!$B$6:$B$500, 0)), "")&amp; IF(COUNTIF('SAÍDA DE VENDAS'!$B$6:$B$500, B962)&gt;1, " + " &amp; IFERROR(INDEX('SAÍDA DE VENDAS'!$H$6:$H$500 &amp; "x " &amp; 'SAÍDA DE VENDAS'!$G$6:$G$500, MATCH(B962, 'SAÍDA DE VENDAS'!$B$6:$B$500, 0)+1), ""), "")&amp; IF(COUNTIF('SAÍDA DE VENDAS'!$B$6:$B$500, B962)&gt;2, " + " &amp; IFERROR(INDEX('SAÍDA DE VENDAS'!$H$6:$H$500 &amp; "x " &amp; 'SAÍDA DE VENDAS'!$G$6:$G$500, MATCH(B962, 'SAÍDA DE VENDAS'!$B$6:$B$500, 0)+2), ""), "")&amp; IF(COUNTIF('SAÍDA DE VENDAS'!$B$6:$B$500, B962)&gt;3, " + " &amp; IFERROR(INDEX('SAÍDA DE VENDAS'!$H$6:$H$500 &amp; "x " &amp; 'SAÍDA DE VENDAS'!$G$6:$G$500, MATCH(B962, 'SAÍDA DE VENDAS'!$B$6:$B$500, 0)+3), ""), "")&amp; IF(COUNTIF('SAÍDA DE VENDAS'!$B$6:$B$500, B962)&gt;4, " + " &amp; IFERROR(INDEX('SAÍDA DE VENDAS'!$H$6:$H$500 &amp; "x " &amp; 'SAÍDA DE VENDAS'!$G$6:$G$500, MATCH(B962, 'SAÍDA DE VENDAS'!$B$6:$B$500, 0)+4), ""), "")&amp; IF(COUNTIF('SAÍDA DE VENDAS'!$B$6:$B$500, B962)&gt;5, " + " &amp; IFERROR(INDEX('SAÍDA DE VENDAS'!$H$6:$H$500 &amp; "x " &amp; 'SAÍDA DE VENDAS'!$G$6:$G$500, MATCH(B962, 'SAÍDA DE VENDAS'!$B$6:$B$500, 0)+5), ""), ""))</f>
        <v/>
      </c>
      <c r="G962" s="28">
        <f>IFERROR(VLOOKUP(B962,'SAÍDA DE VENDAS'!$B$6:$P$500,10,FALSE),"")</f>
        <v>0</v>
      </c>
      <c r="H962" s="28" t="str">
        <f>IF(OR(ISBLANK(B962),B962=""), "", IF(B962=B961, (VALUE(LEFT(H961,FIND("/",H961)-1))+1)&amp;"/"&amp;RIGHT(H961,LEN(H961)-FIND("/",H961)), "1/"&amp;IFERROR(VLOOKUP(B962,'SAÍDA DE VENDAS'!$B$6:$P$500,13,FALSE),"1")))</f>
        <v/>
      </c>
      <c r="I962" s="69" t="str">
        <f t="shared" si="28"/>
        <v/>
      </c>
      <c r="J962" s="33" t="str">
        <f>IFERROR(VLOOKUP(B962,'SAÍDA DE VENDAS'!$B$6:$P$500,15,FALSE),"")</f>
        <v/>
      </c>
      <c r="K962" s="28" t="str">
        <f t="shared" ca="1" si="29"/>
        <v/>
      </c>
      <c r="L962" s="28"/>
      <c r="M962" s="28"/>
    </row>
    <row r="963" spans="2:13" ht="15" customHeight="1" x14ac:dyDescent="0.3">
      <c r="B963" s="34" t="str">
        <f>IF(B962="","", IF(VALUE(LEFT(H962,FIND("/",H962)-1)) &lt; VALUE(RIGHT(H962,LEN(H962)-FIND("/",H962))), B962, IFERROR(INDEX('SAÍDA DE VENDAS'!$B$6:$B$500, MATCH(B962,'SAÍDA DE VENDAS'!$B$6:$B$500,0)+COUNTIF('SAÍDA DE VENDAS'!$B$6:$B$500, B962)),"")))</f>
        <v/>
      </c>
      <c r="C963" s="35">
        <f>IFERROR(VLOOKUP(B963,'SAÍDA DE VENDAS'!$B$6:$P$500,3,FALSE),"")</f>
        <v>0</v>
      </c>
      <c r="D963" s="34">
        <f>IFERROR(VLOOKUP(B963,'SAÍDA DE VENDAS'!$B$6:$P$500,4,FALSE),"")</f>
        <v>0</v>
      </c>
      <c r="E963" s="34" t="str">
        <f>IFERROR(VLOOKUP(B963,'SAÍDA DE VENDAS'!$B$6:$P$500,5,FALSE),"")</f>
        <v/>
      </c>
      <c r="F963" s="34" t="str">
        <f>IF(OR(ISBLANK(B963),B963=""), "", IFERROR(INDEX('SAÍDA DE VENDAS'!$H$6:$H$500 &amp; "x " &amp; 'SAÍDA DE VENDAS'!$G$6:$G$500, MATCH(B963, 'SAÍDA DE VENDAS'!$B$6:$B$500, 0)), "")&amp; IF(COUNTIF('SAÍDA DE VENDAS'!$B$6:$B$500, B963)&gt;1, " + " &amp; IFERROR(INDEX('SAÍDA DE VENDAS'!$H$6:$H$500 &amp; "x " &amp; 'SAÍDA DE VENDAS'!$G$6:$G$500, MATCH(B963, 'SAÍDA DE VENDAS'!$B$6:$B$500, 0)+1), ""), "")&amp; IF(COUNTIF('SAÍDA DE VENDAS'!$B$6:$B$500, B963)&gt;2, " + " &amp; IFERROR(INDEX('SAÍDA DE VENDAS'!$H$6:$H$500 &amp; "x " &amp; 'SAÍDA DE VENDAS'!$G$6:$G$500, MATCH(B963, 'SAÍDA DE VENDAS'!$B$6:$B$500, 0)+2), ""), "")&amp; IF(COUNTIF('SAÍDA DE VENDAS'!$B$6:$B$500, B963)&gt;3, " + " &amp; IFERROR(INDEX('SAÍDA DE VENDAS'!$H$6:$H$500 &amp; "x " &amp; 'SAÍDA DE VENDAS'!$G$6:$G$500, MATCH(B963, 'SAÍDA DE VENDAS'!$B$6:$B$500, 0)+3), ""), "")&amp; IF(COUNTIF('SAÍDA DE VENDAS'!$B$6:$B$500, B963)&gt;4, " + " &amp; IFERROR(INDEX('SAÍDA DE VENDAS'!$H$6:$H$500 &amp; "x " &amp; 'SAÍDA DE VENDAS'!$G$6:$G$500, MATCH(B963, 'SAÍDA DE VENDAS'!$B$6:$B$500, 0)+4), ""), "")&amp; IF(COUNTIF('SAÍDA DE VENDAS'!$B$6:$B$500, B963)&gt;5, " + " &amp; IFERROR(INDEX('SAÍDA DE VENDAS'!$H$6:$H$500 &amp; "x " &amp; 'SAÍDA DE VENDAS'!$G$6:$G$500, MATCH(B963, 'SAÍDA DE VENDAS'!$B$6:$B$500, 0)+5), ""), ""))</f>
        <v/>
      </c>
      <c r="G963" s="34">
        <f>IFERROR(VLOOKUP(B963,'SAÍDA DE VENDAS'!$B$6:$P$500,10,FALSE),"")</f>
        <v>0</v>
      </c>
      <c r="H963" s="34" t="str">
        <f>IF(OR(ISBLANK(B963),B963=""), "", IF(B963=B962, (VALUE(LEFT(H962,FIND("/",H962)-1))+1)&amp;"/"&amp;RIGHT(H962,LEN(H962)-FIND("/",H962)), "1/"&amp;IFERROR(VLOOKUP(B963,'SAÍDA DE VENDAS'!$B$6:$P$500,13,FALSE),"1")))</f>
        <v/>
      </c>
      <c r="I963" s="35" t="str">
        <f t="shared" si="28"/>
        <v/>
      </c>
      <c r="J963" s="39" t="str">
        <f>IFERROR(VLOOKUP(B963,'SAÍDA DE VENDAS'!$B$6:$P$500,15,FALSE),"")</f>
        <v/>
      </c>
      <c r="K963" s="34" t="str">
        <f t="shared" ca="1" si="29"/>
        <v/>
      </c>
      <c r="L963" s="34"/>
      <c r="M963" s="34"/>
    </row>
    <row r="964" spans="2:13" ht="15" customHeight="1" x14ac:dyDescent="0.3">
      <c r="B964" s="28" t="str">
        <f>IF(B963="","", IF(VALUE(LEFT(H963,FIND("/",H963)-1)) &lt; VALUE(RIGHT(H963,LEN(H963)-FIND("/",H963))), B963, IFERROR(INDEX('SAÍDA DE VENDAS'!$B$6:$B$500, MATCH(B963,'SAÍDA DE VENDAS'!$B$6:$B$500,0)+COUNTIF('SAÍDA DE VENDAS'!$B$6:$B$500, B963)),"")))</f>
        <v/>
      </c>
      <c r="C964" s="29">
        <f>IFERROR(VLOOKUP(B964,'SAÍDA DE VENDAS'!$B$6:$P$500,3,FALSE),"")</f>
        <v>0</v>
      </c>
      <c r="D964" s="28">
        <f>IFERROR(VLOOKUP(B964,'SAÍDA DE VENDAS'!$B$6:$P$500,4,FALSE),"")</f>
        <v>0</v>
      </c>
      <c r="E964" s="28" t="str">
        <f>IFERROR(VLOOKUP(B964,'SAÍDA DE VENDAS'!$B$6:$P$500,5,FALSE),"")</f>
        <v/>
      </c>
      <c r="F964" s="28" t="str">
        <f>IF(OR(ISBLANK(B964),B964=""), "", IFERROR(INDEX('SAÍDA DE VENDAS'!$H$6:$H$500 &amp; "x " &amp; 'SAÍDA DE VENDAS'!$G$6:$G$500, MATCH(B964, 'SAÍDA DE VENDAS'!$B$6:$B$500, 0)), "")&amp; IF(COUNTIF('SAÍDA DE VENDAS'!$B$6:$B$500, B964)&gt;1, " + " &amp; IFERROR(INDEX('SAÍDA DE VENDAS'!$H$6:$H$500 &amp; "x " &amp; 'SAÍDA DE VENDAS'!$G$6:$G$500, MATCH(B964, 'SAÍDA DE VENDAS'!$B$6:$B$500, 0)+1), ""), "")&amp; IF(COUNTIF('SAÍDA DE VENDAS'!$B$6:$B$500, B964)&gt;2, " + " &amp; IFERROR(INDEX('SAÍDA DE VENDAS'!$H$6:$H$500 &amp; "x " &amp; 'SAÍDA DE VENDAS'!$G$6:$G$500, MATCH(B964, 'SAÍDA DE VENDAS'!$B$6:$B$500, 0)+2), ""), "")&amp; IF(COUNTIF('SAÍDA DE VENDAS'!$B$6:$B$500, B964)&gt;3, " + " &amp; IFERROR(INDEX('SAÍDA DE VENDAS'!$H$6:$H$500 &amp; "x " &amp; 'SAÍDA DE VENDAS'!$G$6:$G$500, MATCH(B964, 'SAÍDA DE VENDAS'!$B$6:$B$500, 0)+3), ""), "")&amp; IF(COUNTIF('SAÍDA DE VENDAS'!$B$6:$B$500, B964)&gt;4, " + " &amp; IFERROR(INDEX('SAÍDA DE VENDAS'!$H$6:$H$500 &amp; "x " &amp; 'SAÍDA DE VENDAS'!$G$6:$G$500, MATCH(B964, 'SAÍDA DE VENDAS'!$B$6:$B$500, 0)+4), ""), "")&amp; IF(COUNTIF('SAÍDA DE VENDAS'!$B$6:$B$500, B964)&gt;5, " + " &amp; IFERROR(INDEX('SAÍDA DE VENDAS'!$H$6:$H$500 &amp; "x " &amp; 'SAÍDA DE VENDAS'!$G$6:$G$500, MATCH(B964, 'SAÍDA DE VENDAS'!$B$6:$B$500, 0)+5), ""), ""))</f>
        <v/>
      </c>
      <c r="G964" s="28">
        <f>IFERROR(VLOOKUP(B964,'SAÍDA DE VENDAS'!$B$6:$P$500,10,FALSE),"")</f>
        <v>0</v>
      </c>
      <c r="H964" s="28" t="str">
        <f>IF(OR(ISBLANK(B964),B964=""), "", IF(B964=B963, (VALUE(LEFT(H963,FIND("/",H963)-1))+1)&amp;"/"&amp;RIGHT(H963,LEN(H963)-FIND("/",H963)), "1/"&amp;IFERROR(VLOOKUP(B964,'SAÍDA DE VENDAS'!$B$6:$P$500,13,FALSE),"1")))</f>
        <v/>
      </c>
      <c r="I964" s="69" t="str">
        <f t="shared" si="28"/>
        <v/>
      </c>
      <c r="J964" s="33" t="str">
        <f>IFERROR(VLOOKUP(B964,'SAÍDA DE VENDAS'!$B$6:$P$500,15,FALSE),"")</f>
        <v/>
      </c>
      <c r="K964" s="28" t="str">
        <f t="shared" ca="1" si="29"/>
        <v/>
      </c>
      <c r="L964" s="28"/>
      <c r="M964" s="28"/>
    </row>
    <row r="965" spans="2:13" ht="15" customHeight="1" x14ac:dyDescent="0.3">
      <c r="B965" s="34" t="str">
        <f>IF(B964="","", IF(VALUE(LEFT(H964,FIND("/",H964)-1)) &lt; VALUE(RIGHT(H964,LEN(H964)-FIND("/",H964))), B964, IFERROR(INDEX('SAÍDA DE VENDAS'!$B$6:$B$500, MATCH(B964,'SAÍDA DE VENDAS'!$B$6:$B$500,0)+COUNTIF('SAÍDA DE VENDAS'!$B$6:$B$500, B964)),"")))</f>
        <v/>
      </c>
      <c r="C965" s="35">
        <f>IFERROR(VLOOKUP(B965,'SAÍDA DE VENDAS'!$B$6:$P$500,3,FALSE),"")</f>
        <v>0</v>
      </c>
      <c r="D965" s="34">
        <f>IFERROR(VLOOKUP(B965,'SAÍDA DE VENDAS'!$B$6:$P$500,4,FALSE),"")</f>
        <v>0</v>
      </c>
      <c r="E965" s="34" t="str">
        <f>IFERROR(VLOOKUP(B965,'SAÍDA DE VENDAS'!$B$6:$P$500,5,FALSE),"")</f>
        <v/>
      </c>
      <c r="F965" s="34" t="str">
        <f>IF(OR(ISBLANK(B965),B965=""), "", IFERROR(INDEX('SAÍDA DE VENDAS'!$H$6:$H$500 &amp; "x " &amp; 'SAÍDA DE VENDAS'!$G$6:$G$500, MATCH(B965, 'SAÍDA DE VENDAS'!$B$6:$B$500, 0)), "")&amp; IF(COUNTIF('SAÍDA DE VENDAS'!$B$6:$B$500, B965)&gt;1, " + " &amp; IFERROR(INDEX('SAÍDA DE VENDAS'!$H$6:$H$500 &amp; "x " &amp; 'SAÍDA DE VENDAS'!$G$6:$G$500, MATCH(B965, 'SAÍDA DE VENDAS'!$B$6:$B$500, 0)+1), ""), "")&amp; IF(COUNTIF('SAÍDA DE VENDAS'!$B$6:$B$500, B965)&gt;2, " + " &amp; IFERROR(INDEX('SAÍDA DE VENDAS'!$H$6:$H$500 &amp; "x " &amp; 'SAÍDA DE VENDAS'!$G$6:$G$500, MATCH(B965, 'SAÍDA DE VENDAS'!$B$6:$B$500, 0)+2), ""), "")&amp; IF(COUNTIF('SAÍDA DE VENDAS'!$B$6:$B$500, B965)&gt;3, " + " &amp; IFERROR(INDEX('SAÍDA DE VENDAS'!$H$6:$H$500 &amp; "x " &amp; 'SAÍDA DE VENDAS'!$G$6:$G$500, MATCH(B965, 'SAÍDA DE VENDAS'!$B$6:$B$500, 0)+3), ""), "")&amp; IF(COUNTIF('SAÍDA DE VENDAS'!$B$6:$B$500, B965)&gt;4, " + " &amp; IFERROR(INDEX('SAÍDA DE VENDAS'!$H$6:$H$500 &amp; "x " &amp; 'SAÍDA DE VENDAS'!$G$6:$G$500, MATCH(B965, 'SAÍDA DE VENDAS'!$B$6:$B$500, 0)+4), ""), "")&amp; IF(COUNTIF('SAÍDA DE VENDAS'!$B$6:$B$500, B965)&gt;5, " + " &amp; IFERROR(INDEX('SAÍDA DE VENDAS'!$H$6:$H$500 &amp; "x " &amp; 'SAÍDA DE VENDAS'!$G$6:$G$500, MATCH(B965, 'SAÍDA DE VENDAS'!$B$6:$B$500, 0)+5), ""), ""))</f>
        <v/>
      </c>
      <c r="G965" s="34">
        <f>IFERROR(VLOOKUP(B965,'SAÍDA DE VENDAS'!$B$6:$P$500,10,FALSE),"")</f>
        <v>0</v>
      </c>
      <c r="H965" s="34" t="str">
        <f>IF(OR(ISBLANK(B965),B965=""), "", IF(B965=B964, (VALUE(LEFT(H964,FIND("/",H964)-1))+1)&amp;"/"&amp;RIGHT(H964,LEN(H964)-FIND("/",H964)), "1/"&amp;IFERROR(VLOOKUP(B965,'SAÍDA DE VENDAS'!$B$6:$P$500,13,FALSE),"1")))</f>
        <v/>
      </c>
      <c r="I965" s="35" t="str">
        <f t="shared" si="28"/>
        <v/>
      </c>
      <c r="J965" s="39" t="str">
        <f>IFERROR(VLOOKUP(B965,'SAÍDA DE VENDAS'!$B$6:$P$500,15,FALSE),"")</f>
        <v/>
      </c>
      <c r="K965" s="34" t="str">
        <f t="shared" ca="1" si="29"/>
        <v/>
      </c>
      <c r="L965" s="34"/>
      <c r="M965" s="34"/>
    </row>
    <row r="966" spans="2:13" ht="15" customHeight="1" x14ac:dyDescent="0.3">
      <c r="B966" s="28" t="str">
        <f>IF(B965="","", IF(VALUE(LEFT(H965,FIND("/",H965)-1)) &lt; VALUE(RIGHT(H965,LEN(H965)-FIND("/",H965))), B965, IFERROR(INDEX('SAÍDA DE VENDAS'!$B$6:$B$500, MATCH(B965,'SAÍDA DE VENDAS'!$B$6:$B$500,0)+COUNTIF('SAÍDA DE VENDAS'!$B$6:$B$500, B965)),"")))</f>
        <v/>
      </c>
      <c r="C966" s="29">
        <f>IFERROR(VLOOKUP(B966,'SAÍDA DE VENDAS'!$B$6:$P$500,3,FALSE),"")</f>
        <v>0</v>
      </c>
      <c r="D966" s="28">
        <f>IFERROR(VLOOKUP(B966,'SAÍDA DE VENDAS'!$B$6:$P$500,4,FALSE),"")</f>
        <v>0</v>
      </c>
      <c r="E966" s="28" t="str">
        <f>IFERROR(VLOOKUP(B966,'SAÍDA DE VENDAS'!$B$6:$P$500,5,FALSE),"")</f>
        <v/>
      </c>
      <c r="F966" s="28" t="str">
        <f>IF(OR(ISBLANK(B966),B966=""), "", IFERROR(INDEX('SAÍDA DE VENDAS'!$H$6:$H$500 &amp; "x " &amp; 'SAÍDA DE VENDAS'!$G$6:$G$500, MATCH(B966, 'SAÍDA DE VENDAS'!$B$6:$B$500, 0)), "")&amp; IF(COUNTIF('SAÍDA DE VENDAS'!$B$6:$B$500, B966)&gt;1, " + " &amp; IFERROR(INDEX('SAÍDA DE VENDAS'!$H$6:$H$500 &amp; "x " &amp; 'SAÍDA DE VENDAS'!$G$6:$G$500, MATCH(B966, 'SAÍDA DE VENDAS'!$B$6:$B$500, 0)+1), ""), "")&amp; IF(COUNTIF('SAÍDA DE VENDAS'!$B$6:$B$500, B966)&gt;2, " + " &amp; IFERROR(INDEX('SAÍDA DE VENDAS'!$H$6:$H$500 &amp; "x " &amp; 'SAÍDA DE VENDAS'!$G$6:$G$500, MATCH(B966, 'SAÍDA DE VENDAS'!$B$6:$B$500, 0)+2), ""), "")&amp; IF(COUNTIF('SAÍDA DE VENDAS'!$B$6:$B$500, B966)&gt;3, " + " &amp; IFERROR(INDEX('SAÍDA DE VENDAS'!$H$6:$H$500 &amp; "x " &amp; 'SAÍDA DE VENDAS'!$G$6:$G$500, MATCH(B966, 'SAÍDA DE VENDAS'!$B$6:$B$500, 0)+3), ""), "")&amp; IF(COUNTIF('SAÍDA DE VENDAS'!$B$6:$B$500, B966)&gt;4, " + " &amp; IFERROR(INDEX('SAÍDA DE VENDAS'!$H$6:$H$500 &amp; "x " &amp; 'SAÍDA DE VENDAS'!$G$6:$G$500, MATCH(B966, 'SAÍDA DE VENDAS'!$B$6:$B$500, 0)+4), ""), "")&amp; IF(COUNTIF('SAÍDA DE VENDAS'!$B$6:$B$500, B966)&gt;5, " + " &amp; IFERROR(INDEX('SAÍDA DE VENDAS'!$H$6:$H$500 &amp; "x " &amp; 'SAÍDA DE VENDAS'!$G$6:$G$500, MATCH(B966, 'SAÍDA DE VENDAS'!$B$6:$B$500, 0)+5), ""), ""))</f>
        <v/>
      </c>
      <c r="G966" s="28">
        <f>IFERROR(VLOOKUP(B966,'SAÍDA DE VENDAS'!$B$6:$P$500,10,FALSE),"")</f>
        <v>0</v>
      </c>
      <c r="H966" s="28" t="str">
        <f>IF(OR(ISBLANK(B966),B966=""), "", IF(B966=B965, (VALUE(LEFT(H965,FIND("/",H965)-1))+1)&amp;"/"&amp;RIGHT(H965,LEN(H965)-FIND("/",H965)), "1/"&amp;IFERROR(VLOOKUP(B966,'SAÍDA DE VENDAS'!$B$6:$P$500,13,FALSE),"1")))</f>
        <v/>
      </c>
      <c r="I966" s="69" t="str">
        <f t="shared" ref="I966:I1029" si="30">IF(OR(ISBLANK(B966), B966="", C966=""), "", C966 + (IFERROR(VALUE(LEFT(H966, FIND("/", H966)-1)), 1) * 30))</f>
        <v/>
      </c>
      <c r="J966" s="33" t="str">
        <f>IFERROR(VLOOKUP(B966,'SAÍDA DE VENDAS'!$B$6:$P$500,15,FALSE),"")</f>
        <v/>
      </c>
      <c r="K966" s="28" t="str">
        <f t="shared" ref="K966:K1029" ca="1" si="31">IF(B966="","", IF(OR(G966="À Vista", L966&lt;&gt;""), "Pago", IF(AND(I966&lt;&gt;"", I966&lt;TODAY()), "Atrasado", "Pendente")))</f>
        <v/>
      </c>
      <c r="L966" s="28"/>
      <c r="M966" s="28"/>
    </row>
    <row r="967" spans="2:13" ht="15" customHeight="1" x14ac:dyDescent="0.3">
      <c r="B967" s="34" t="str">
        <f>IF(B966="","", IF(VALUE(LEFT(H966,FIND("/",H966)-1)) &lt; VALUE(RIGHT(H966,LEN(H966)-FIND("/",H966))), B966, IFERROR(INDEX('SAÍDA DE VENDAS'!$B$6:$B$500, MATCH(B966,'SAÍDA DE VENDAS'!$B$6:$B$500,0)+COUNTIF('SAÍDA DE VENDAS'!$B$6:$B$500, B966)),"")))</f>
        <v/>
      </c>
      <c r="C967" s="35">
        <f>IFERROR(VLOOKUP(B967,'SAÍDA DE VENDAS'!$B$6:$P$500,3,FALSE),"")</f>
        <v>0</v>
      </c>
      <c r="D967" s="34">
        <f>IFERROR(VLOOKUP(B967,'SAÍDA DE VENDAS'!$B$6:$P$500,4,FALSE),"")</f>
        <v>0</v>
      </c>
      <c r="E967" s="34" t="str">
        <f>IFERROR(VLOOKUP(B967,'SAÍDA DE VENDAS'!$B$6:$P$500,5,FALSE),"")</f>
        <v/>
      </c>
      <c r="F967" s="34" t="str">
        <f>IF(OR(ISBLANK(B967),B967=""), "", IFERROR(INDEX('SAÍDA DE VENDAS'!$H$6:$H$500 &amp; "x " &amp; 'SAÍDA DE VENDAS'!$G$6:$G$500, MATCH(B967, 'SAÍDA DE VENDAS'!$B$6:$B$500, 0)), "")&amp; IF(COUNTIF('SAÍDA DE VENDAS'!$B$6:$B$500, B967)&gt;1, " + " &amp; IFERROR(INDEX('SAÍDA DE VENDAS'!$H$6:$H$500 &amp; "x " &amp; 'SAÍDA DE VENDAS'!$G$6:$G$500, MATCH(B967, 'SAÍDA DE VENDAS'!$B$6:$B$500, 0)+1), ""), "")&amp; IF(COUNTIF('SAÍDA DE VENDAS'!$B$6:$B$500, B967)&gt;2, " + " &amp; IFERROR(INDEX('SAÍDA DE VENDAS'!$H$6:$H$500 &amp; "x " &amp; 'SAÍDA DE VENDAS'!$G$6:$G$500, MATCH(B967, 'SAÍDA DE VENDAS'!$B$6:$B$500, 0)+2), ""), "")&amp; IF(COUNTIF('SAÍDA DE VENDAS'!$B$6:$B$500, B967)&gt;3, " + " &amp; IFERROR(INDEX('SAÍDA DE VENDAS'!$H$6:$H$500 &amp; "x " &amp; 'SAÍDA DE VENDAS'!$G$6:$G$500, MATCH(B967, 'SAÍDA DE VENDAS'!$B$6:$B$500, 0)+3), ""), "")&amp; IF(COUNTIF('SAÍDA DE VENDAS'!$B$6:$B$500, B967)&gt;4, " + " &amp; IFERROR(INDEX('SAÍDA DE VENDAS'!$H$6:$H$500 &amp; "x " &amp; 'SAÍDA DE VENDAS'!$G$6:$G$500, MATCH(B967, 'SAÍDA DE VENDAS'!$B$6:$B$500, 0)+4), ""), "")&amp; IF(COUNTIF('SAÍDA DE VENDAS'!$B$6:$B$500, B967)&gt;5, " + " &amp; IFERROR(INDEX('SAÍDA DE VENDAS'!$H$6:$H$500 &amp; "x " &amp; 'SAÍDA DE VENDAS'!$G$6:$G$500, MATCH(B967, 'SAÍDA DE VENDAS'!$B$6:$B$500, 0)+5), ""), ""))</f>
        <v/>
      </c>
      <c r="G967" s="34">
        <f>IFERROR(VLOOKUP(B967,'SAÍDA DE VENDAS'!$B$6:$P$500,10,FALSE),"")</f>
        <v>0</v>
      </c>
      <c r="H967" s="34" t="str">
        <f>IF(OR(ISBLANK(B967),B967=""), "", IF(B967=B966, (VALUE(LEFT(H966,FIND("/",H966)-1))+1)&amp;"/"&amp;RIGHT(H966,LEN(H966)-FIND("/",H966)), "1/"&amp;IFERROR(VLOOKUP(B967,'SAÍDA DE VENDAS'!$B$6:$P$500,13,FALSE),"1")))</f>
        <v/>
      </c>
      <c r="I967" s="35" t="str">
        <f t="shared" si="30"/>
        <v/>
      </c>
      <c r="J967" s="39" t="str">
        <f>IFERROR(VLOOKUP(B967,'SAÍDA DE VENDAS'!$B$6:$P$500,15,FALSE),"")</f>
        <v/>
      </c>
      <c r="K967" s="34" t="str">
        <f t="shared" ca="1" si="31"/>
        <v/>
      </c>
      <c r="L967" s="34"/>
      <c r="M967" s="34"/>
    </row>
    <row r="968" spans="2:13" ht="15" customHeight="1" x14ac:dyDescent="0.3">
      <c r="B968" s="28" t="str">
        <f>IF(B967="","", IF(VALUE(LEFT(H967,FIND("/",H967)-1)) &lt; VALUE(RIGHT(H967,LEN(H967)-FIND("/",H967))), B967, IFERROR(INDEX('SAÍDA DE VENDAS'!$B$6:$B$500, MATCH(B967,'SAÍDA DE VENDAS'!$B$6:$B$500,0)+COUNTIF('SAÍDA DE VENDAS'!$B$6:$B$500, B967)),"")))</f>
        <v/>
      </c>
      <c r="C968" s="29">
        <f>IFERROR(VLOOKUP(B968,'SAÍDA DE VENDAS'!$B$6:$P$500,3,FALSE),"")</f>
        <v>0</v>
      </c>
      <c r="D968" s="28">
        <f>IFERROR(VLOOKUP(B968,'SAÍDA DE VENDAS'!$B$6:$P$500,4,FALSE),"")</f>
        <v>0</v>
      </c>
      <c r="E968" s="28" t="str">
        <f>IFERROR(VLOOKUP(B968,'SAÍDA DE VENDAS'!$B$6:$P$500,5,FALSE),"")</f>
        <v/>
      </c>
      <c r="F968" s="28" t="str">
        <f>IF(OR(ISBLANK(B968),B968=""), "", IFERROR(INDEX('SAÍDA DE VENDAS'!$H$6:$H$500 &amp; "x " &amp; 'SAÍDA DE VENDAS'!$G$6:$G$500, MATCH(B968, 'SAÍDA DE VENDAS'!$B$6:$B$500, 0)), "")&amp; IF(COUNTIF('SAÍDA DE VENDAS'!$B$6:$B$500, B968)&gt;1, " + " &amp; IFERROR(INDEX('SAÍDA DE VENDAS'!$H$6:$H$500 &amp; "x " &amp; 'SAÍDA DE VENDAS'!$G$6:$G$500, MATCH(B968, 'SAÍDA DE VENDAS'!$B$6:$B$500, 0)+1), ""), "")&amp; IF(COUNTIF('SAÍDA DE VENDAS'!$B$6:$B$500, B968)&gt;2, " + " &amp; IFERROR(INDEX('SAÍDA DE VENDAS'!$H$6:$H$500 &amp; "x " &amp; 'SAÍDA DE VENDAS'!$G$6:$G$500, MATCH(B968, 'SAÍDA DE VENDAS'!$B$6:$B$500, 0)+2), ""), "")&amp; IF(COUNTIF('SAÍDA DE VENDAS'!$B$6:$B$500, B968)&gt;3, " + " &amp; IFERROR(INDEX('SAÍDA DE VENDAS'!$H$6:$H$500 &amp; "x " &amp; 'SAÍDA DE VENDAS'!$G$6:$G$500, MATCH(B968, 'SAÍDA DE VENDAS'!$B$6:$B$500, 0)+3), ""), "")&amp; IF(COUNTIF('SAÍDA DE VENDAS'!$B$6:$B$500, B968)&gt;4, " + " &amp; IFERROR(INDEX('SAÍDA DE VENDAS'!$H$6:$H$500 &amp; "x " &amp; 'SAÍDA DE VENDAS'!$G$6:$G$500, MATCH(B968, 'SAÍDA DE VENDAS'!$B$6:$B$500, 0)+4), ""), "")&amp; IF(COUNTIF('SAÍDA DE VENDAS'!$B$6:$B$500, B968)&gt;5, " + " &amp; IFERROR(INDEX('SAÍDA DE VENDAS'!$H$6:$H$500 &amp; "x " &amp; 'SAÍDA DE VENDAS'!$G$6:$G$500, MATCH(B968, 'SAÍDA DE VENDAS'!$B$6:$B$500, 0)+5), ""), ""))</f>
        <v/>
      </c>
      <c r="G968" s="28">
        <f>IFERROR(VLOOKUP(B968,'SAÍDA DE VENDAS'!$B$6:$P$500,10,FALSE),"")</f>
        <v>0</v>
      </c>
      <c r="H968" s="28" t="str">
        <f>IF(OR(ISBLANK(B968),B968=""), "", IF(B968=B967, (VALUE(LEFT(H967,FIND("/",H967)-1))+1)&amp;"/"&amp;RIGHT(H967,LEN(H967)-FIND("/",H967)), "1/"&amp;IFERROR(VLOOKUP(B968,'SAÍDA DE VENDAS'!$B$6:$P$500,13,FALSE),"1")))</f>
        <v/>
      </c>
      <c r="I968" s="69" t="str">
        <f t="shared" si="30"/>
        <v/>
      </c>
      <c r="J968" s="33" t="str">
        <f>IFERROR(VLOOKUP(B968,'SAÍDA DE VENDAS'!$B$6:$P$500,15,FALSE),"")</f>
        <v/>
      </c>
      <c r="K968" s="28" t="str">
        <f t="shared" ca="1" si="31"/>
        <v/>
      </c>
      <c r="L968" s="28"/>
      <c r="M968" s="28"/>
    </row>
    <row r="969" spans="2:13" ht="15" customHeight="1" x14ac:dyDescent="0.3">
      <c r="B969" s="34" t="str">
        <f>IF(B968="","", IF(VALUE(LEFT(H968,FIND("/",H968)-1)) &lt; VALUE(RIGHT(H968,LEN(H968)-FIND("/",H968))), B968, IFERROR(INDEX('SAÍDA DE VENDAS'!$B$6:$B$500, MATCH(B968,'SAÍDA DE VENDAS'!$B$6:$B$500,0)+COUNTIF('SAÍDA DE VENDAS'!$B$6:$B$500, B968)),"")))</f>
        <v/>
      </c>
      <c r="C969" s="35">
        <f>IFERROR(VLOOKUP(B969,'SAÍDA DE VENDAS'!$B$6:$P$500,3,FALSE),"")</f>
        <v>0</v>
      </c>
      <c r="D969" s="34">
        <f>IFERROR(VLOOKUP(B969,'SAÍDA DE VENDAS'!$B$6:$P$500,4,FALSE),"")</f>
        <v>0</v>
      </c>
      <c r="E969" s="34" t="str">
        <f>IFERROR(VLOOKUP(B969,'SAÍDA DE VENDAS'!$B$6:$P$500,5,FALSE),"")</f>
        <v/>
      </c>
      <c r="F969" s="34" t="str">
        <f>IF(OR(ISBLANK(B969),B969=""), "", IFERROR(INDEX('SAÍDA DE VENDAS'!$H$6:$H$500 &amp; "x " &amp; 'SAÍDA DE VENDAS'!$G$6:$G$500, MATCH(B969, 'SAÍDA DE VENDAS'!$B$6:$B$500, 0)), "")&amp; IF(COUNTIF('SAÍDA DE VENDAS'!$B$6:$B$500, B969)&gt;1, " + " &amp; IFERROR(INDEX('SAÍDA DE VENDAS'!$H$6:$H$500 &amp; "x " &amp; 'SAÍDA DE VENDAS'!$G$6:$G$500, MATCH(B969, 'SAÍDA DE VENDAS'!$B$6:$B$500, 0)+1), ""), "")&amp; IF(COUNTIF('SAÍDA DE VENDAS'!$B$6:$B$500, B969)&gt;2, " + " &amp; IFERROR(INDEX('SAÍDA DE VENDAS'!$H$6:$H$500 &amp; "x " &amp; 'SAÍDA DE VENDAS'!$G$6:$G$500, MATCH(B969, 'SAÍDA DE VENDAS'!$B$6:$B$500, 0)+2), ""), "")&amp; IF(COUNTIF('SAÍDA DE VENDAS'!$B$6:$B$500, B969)&gt;3, " + " &amp; IFERROR(INDEX('SAÍDA DE VENDAS'!$H$6:$H$500 &amp; "x " &amp; 'SAÍDA DE VENDAS'!$G$6:$G$500, MATCH(B969, 'SAÍDA DE VENDAS'!$B$6:$B$500, 0)+3), ""), "")&amp; IF(COUNTIF('SAÍDA DE VENDAS'!$B$6:$B$500, B969)&gt;4, " + " &amp; IFERROR(INDEX('SAÍDA DE VENDAS'!$H$6:$H$500 &amp; "x " &amp; 'SAÍDA DE VENDAS'!$G$6:$G$500, MATCH(B969, 'SAÍDA DE VENDAS'!$B$6:$B$500, 0)+4), ""), "")&amp; IF(COUNTIF('SAÍDA DE VENDAS'!$B$6:$B$500, B969)&gt;5, " + " &amp; IFERROR(INDEX('SAÍDA DE VENDAS'!$H$6:$H$500 &amp; "x " &amp; 'SAÍDA DE VENDAS'!$G$6:$G$500, MATCH(B969, 'SAÍDA DE VENDAS'!$B$6:$B$500, 0)+5), ""), ""))</f>
        <v/>
      </c>
      <c r="G969" s="34">
        <f>IFERROR(VLOOKUP(B969,'SAÍDA DE VENDAS'!$B$6:$P$500,10,FALSE),"")</f>
        <v>0</v>
      </c>
      <c r="H969" s="34" t="str">
        <f>IF(OR(ISBLANK(B969),B969=""), "", IF(B969=B968, (VALUE(LEFT(H968,FIND("/",H968)-1))+1)&amp;"/"&amp;RIGHT(H968,LEN(H968)-FIND("/",H968)), "1/"&amp;IFERROR(VLOOKUP(B969,'SAÍDA DE VENDAS'!$B$6:$P$500,13,FALSE),"1")))</f>
        <v/>
      </c>
      <c r="I969" s="35" t="str">
        <f t="shared" si="30"/>
        <v/>
      </c>
      <c r="J969" s="39" t="str">
        <f>IFERROR(VLOOKUP(B969,'SAÍDA DE VENDAS'!$B$6:$P$500,15,FALSE),"")</f>
        <v/>
      </c>
      <c r="K969" s="34" t="str">
        <f t="shared" ca="1" si="31"/>
        <v/>
      </c>
      <c r="L969" s="34"/>
      <c r="M969" s="34"/>
    </row>
    <row r="970" spans="2:13" ht="15" customHeight="1" x14ac:dyDescent="0.3">
      <c r="B970" s="28" t="str">
        <f>IF(B969="","", IF(VALUE(LEFT(H969,FIND("/",H969)-1)) &lt; VALUE(RIGHT(H969,LEN(H969)-FIND("/",H969))), B969, IFERROR(INDEX('SAÍDA DE VENDAS'!$B$6:$B$500, MATCH(B969,'SAÍDA DE VENDAS'!$B$6:$B$500,0)+COUNTIF('SAÍDA DE VENDAS'!$B$6:$B$500, B969)),"")))</f>
        <v/>
      </c>
      <c r="C970" s="29">
        <f>IFERROR(VLOOKUP(B970,'SAÍDA DE VENDAS'!$B$6:$P$500,3,FALSE),"")</f>
        <v>0</v>
      </c>
      <c r="D970" s="28">
        <f>IFERROR(VLOOKUP(B970,'SAÍDA DE VENDAS'!$B$6:$P$500,4,FALSE),"")</f>
        <v>0</v>
      </c>
      <c r="E970" s="28" t="str">
        <f>IFERROR(VLOOKUP(B970,'SAÍDA DE VENDAS'!$B$6:$P$500,5,FALSE),"")</f>
        <v/>
      </c>
      <c r="F970" s="28" t="str">
        <f>IF(OR(ISBLANK(B970),B970=""), "", IFERROR(INDEX('SAÍDA DE VENDAS'!$H$6:$H$500 &amp; "x " &amp; 'SAÍDA DE VENDAS'!$G$6:$G$500, MATCH(B970, 'SAÍDA DE VENDAS'!$B$6:$B$500, 0)), "")&amp; IF(COUNTIF('SAÍDA DE VENDAS'!$B$6:$B$500, B970)&gt;1, " + " &amp; IFERROR(INDEX('SAÍDA DE VENDAS'!$H$6:$H$500 &amp; "x " &amp; 'SAÍDA DE VENDAS'!$G$6:$G$500, MATCH(B970, 'SAÍDA DE VENDAS'!$B$6:$B$500, 0)+1), ""), "")&amp; IF(COUNTIF('SAÍDA DE VENDAS'!$B$6:$B$500, B970)&gt;2, " + " &amp; IFERROR(INDEX('SAÍDA DE VENDAS'!$H$6:$H$500 &amp; "x " &amp; 'SAÍDA DE VENDAS'!$G$6:$G$500, MATCH(B970, 'SAÍDA DE VENDAS'!$B$6:$B$500, 0)+2), ""), "")&amp; IF(COUNTIF('SAÍDA DE VENDAS'!$B$6:$B$500, B970)&gt;3, " + " &amp; IFERROR(INDEX('SAÍDA DE VENDAS'!$H$6:$H$500 &amp; "x " &amp; 'SAÍDA DE VENDAS'!$G$6:$G$500, MATCH(B970, 'SAÍDA DE VENDAS'!$B$6:$B$500, 0)+3), ""), "")&amp; IF(COUNTIF('SAÍDA DE VENDAS'!$B$6:$B$500, B970)&gt;4, " + " &amp; IFERROR(INDEX('SAÍDA DE VENDAS'!$H$6:$H$500 &amp; "x " &amp; 'SAÍDA DE VENDAS'!$G$6:$G$500, MATCH(B970, 'SAÍDA DE VENDAS'!$B$6:$B$500, 0)+4), ""), "")&amp; IF(COUNTIF('SAÍDA DE VENDAS'!$B$6:$B$500, B970)&gt;5, " + " &amp; IFERROR(INDEX('SAÍDA DE VENDAS'!$H$6:$H$500 &amp; "x " &amp; 'SAÍDA DE VENDAS'!$G$6:$G$500, MATCH(B970, 'SAÍDA DE VENDAS'!$B$6:$B$500, 0)+5), ""), ""))</f>
        <v/>
      </c>
      <c r="G970" s="28">
        <f>IFERROR(VLOOKUP(B970,'SAÍDA DE VENDAS'!$B$6:$P$500,10,FALSE),"")</f>
        <v>0</v>
      </c>
      <c r="H970" s="28" t="str">
        <f>IF(OR(ISBLANK(B970),B970=""), "", IF(B970=B969, (VALUE(LEFT(H969,FIND("/",H969)-1))+1)&amp;"/"&amp;RIGHT(H969,LEN(H969)-FIND("/",H969)), "1/"&amp;IFERROR(VLOOKUP(B970,'SAÍDA DE VENDAS'!$B$6:$P$500,13,FALSE),"1")))</f>
        <v/>
      </c>
      <c r="I970" s="69" t="str">
        <f t="shared" si="30"/>
        <v/>
      </c>
      <c r="J970" s="33" t="str">
        <f>IFERROR(VLOOKUP(B970,'SAÍDA DE VENDAS'!$B$6:$P$500,15,FALSE),"")</f>
        <v/>
      </c>
      <c r="K970" s="28" t="str">
        <f t="shared" ca="1" si="31"/>
        <v/>
      </c>
      <c r="L970" s="28"/>
      <c r="M970" s="28"/>
    </row>
    <row r="971" spans="2:13" ht="15" customHeight="1" x14ac:dyDescent="0.3">
      <c r="B971" s="34" t="str">
        <f>IF(B970="","", IF(VALUE(LEFT(H970,FIND("/",H970)-1)) &lt; VALUE(RIGHT(H970,LEN(H970)-FIND("/",H970))), B970, IFERROR(INDEX('SAÍDA DE VENDAS'!$B$6:$B$500, MATCH(B970,'SAÍDA DE VENDAS'!$B$6:$B$500,0)+COUNTIF('SAÍDA DE VENDAS'!$B$6:$B$500, B970)),"")))</f>
        <v/>
      </c>
      <c r="C971" s="35">
        <f>IFERROR(VLOOKUP(B971,'SAÍDA DE VENDAS'!$B$6:$P$500,3,FALSE),"")</f>
        <v>0</v>
      </c>
      <c r="D971" s="34">
        <f>IFERROR(VLOOKUP(B971,'SAÍDA DE VENDAS'!$B$6:$P$500,4,FALSE),"")</f>
        <v>0</v>
      </c>
      <c r="E971" s="34" t="str">
        <f>IFERROR(VLOOKUP(B971,'SAÍDA DE VENDAS'!$B$6:$P$500,5,FALSE),"")</f>
        <v/>
      </c>
      <c r="F971" s="34" t="str">
        <f>IF(OR(ISBLANK(B971),B971=""), "", IFERROR(INDEX('SAÍDA DE VENDAS'!$H$6:$H$500 &amp; "x " &amp; 'SAÍDA DE VENDAS'!$G$6:$G$500, MATCH(B971, 'SAÍDA DE VENDAS'!$B$6:$B$500, 0)), "")&amp; IF(COUNTIF('SAÍDA DE VENDAS'!$B$6:$B$500, B971)&gt;1, " + " &amp; IFERROR(INDEX('SAÍDA DE VENDAS'!$H$6:$H$500 &amp; "x " &amp; 'SAÍDA DE VENDAS'!$G$6:$G$500, MATCH(B971, 'SAÍDA DE VENDAS'!$B$6:$B$500, 0)+1), ""), "")&amp; IF(COUNTIF('SAÍDA DE VENDAS'!$B$6:$B$500, B971)&gt;2, " + " &amp; IFERROR(INDEX('SAÍDA DE VENDAS'!$H$6:$H$500 &amp; "x " &amp; 'SAÍDA DE VENDAS'!$G$6:$G$500, MATCH(B971, 'SAÍDA DE VENDAS'!$B$6:$B$500, 0)+2), ""), "")&amp; IF(COUNTIF('SAÍDA DE VENDAS'!$B$6:$B$500, B971)&gt;3, " + " &amp; IFERROR(INDEX('SAÍDA DE VENDAS'!$H$6:$H$500 &amp; "x " &amp; 'SAÍDA DE VENDAS'!$G$6:$G$500, MATCH(B971, 'SAÍDA DE VENDAS'!$B$6:$B$500, 0)+3), ""), "")&amp; IF(COUNTIF('SAÍDA DE VENDAS'!$B$6:$B$500, B971)&gt;4, " + " &amp; IFERROR(INDEX('SAÍDA DE VENDAS'!$H$6:$H$500 &amp; "x " &amp; 'SAÍDA DE VENDAS'!$G$6:$G$500, MATCH(B971, 'SAÍDA DE VENDAS'!$B$6:$B$500, 0)+4), ""), "")&amp; IF(COUNTIF('SAÍDA DE VENDAS'!$B$6:$B$500, B971)&gt;5, " + " &amp; IFERROR(INDEX('SAÍDA DE VENDAS'!$H$6:$H$500 &amp; "x " &amp; 'SAÍDA DE VENDAS'!$G$6:$G$500, MATCH(B971, 'SAÍDA DE VENDAS'!$B$6:$B$500, 0)+5), ""), ""))</f>
        <v/>
      </c>
      <c r="G971" s="34">
        <f>IFERROR(VLOOKUP(B971,'SAÍDA DE VENDAS'!$B$6:$P$500,10,FALSE),"")</f>
        <v>0</v>
      </c>
      <c r="H971" s="34" t="str">
        <f>IF(OR(ISBLANK(B971),B971=""), "", IF(B971=B970, (VALUE(LEFT(H970,FIND("/",H970)-1))+1)&amp;"/"&amp;RIGHT(H970,LEN(H970)-FIND("/",H970)), "1/"&amp;IFERROR(VLOOKUP(B971,'SAÍDA DE VENDAS'!$B$6:$P$500,13,FALSE),"1")))</f>
        <v/>
      </c>
      <c r="I971" s="35" t="str">
        <f t="shared" si="30"/>
        <v/>
      </c>
      <c r="J971" s="39" t="str">
        <f>IFERROR(VLOOKUP(B971,'SAÍDA DE VENDAS'!$B$6:$P$500,15,FALSE),"")</f>
        <v/>
      </c>
      <c r="K971" s="34" t="str">
        <f t="shared" ca="1" si="31"/>
        <v/>
      </c>
      <c r="L971" s="34"/>
      <c r="M971" s="34"/>
    </row>
    <row r="972" spans="2:13" ht="15" customHeight="1" x14ac:dyDescent="0.3">
      <c r="B972" s="28" t="str">
        <f>IF(B971="","", IF(VALUE(LEFT(H971,FIND("/",H971)-1)) &lt; VALUE(RIGHT(H971,LEN(H971)-FIND("/",H971))), B971, IFERROR(INDEX('SAÍDA DE VENDAS'!$B$6:$B$500, MATCH(B971,'SAÍDA DE VENDAS'!$B$6:$B$500,0)+COUNTIF('SAÍDA DE VENDAS'!$B$6:$B$500, B971)),"")))</f>
        <v/>
      </c>
      <c r="C972" s="29">
        <f>IFERROR(VLOOKUP(B972,'SAÍDA DE VENDAS'!$B$6:$P$500,3,FALSE),"")</f>
        <v>0</v>
      </c>
      <c r="D972" s="28">
        <f>IFERROR(VLOOKUP(B972,'SAÍDA DE VENDAS'!$B$6:$P$500,4,FALSE),"")</f>
        <v>0</v>
      </c>
      <c r="E972" s="28" t="str">
        <f>IFERROR(VLOOKUP(B972,'SAÍDA DE VENDAS'!$B$6:$P$500,5,FALSE),"")</f>
        <v/>
      </c>
      <c r="F972" s="28" t="str">
        <f>IF(OR(ISBLANK(B972),B972=""), "", IFERROR(INDEX('SAÍDA DE VENDAS'!$H$6:$H$500 &amp; "x " &amp; 'SAÍDA DE VENDAS'!$G$6:$G$500, MATCH(B972, 'SAÍDA DE VENDAS'!$B$6:$B$500, 0)), "")&amp; IF(COUNTIF('SAÍDA DE VENDAS'!$B$6:$B$500, B972)&gt;1, " + " &amp; IFERROR(INDEX('SAÍDA DE VENDAS'!$H$6:$H$500 &amp; "x " &amp; 'SAÍDA DE VENDAS'!$G$6:$G$500, MATCH(B972, 'SAÍDA DE VENDAS'!$B$6:$B$500, 0)+1), ""), "")&amp; IF(COUNTIF('SAÍDA DE VENDAS'!$B$6:$B$500, B972)&gt;2, " + " &amp; IFERROR(INDEX('SAÍDA DE VENDAS'!$H$6:$H$500 &amp; "x " &amp; 'SAÍDA DE VENDAS'!$G$6:$G$500, MATCH(B972, 'SAÍDA DE VENDAS'!$B$6:$B$500, 0)+2), ""), "")&amp; IF(COUNTIF('SAÍDA DE VENDAS'!$B$6:$B$500, B972)&gt;3, " + " &amp; IFERROR(INDEX('SAÍDA DE VENDAS'!$H$6:$H$500 &amp; "x " &amp; 'SAÍDA DE VENDAS'!$G$6:$G$500, MATCH(B972, 'SAÍDA DE VENDAS'!$B$6:$B$500, 0)+3), ""), "")&amp; IF(COUNTIF('SAÍDA DE VENDAS'!$B$6:$B$500, B972)&gt;4, " + " &amp; IFERROR(INDEX('SAÍDA DE VENDAS'!$H$6:$H$500 &amp; "x " &amp; 'SAÍDA DE VENDAS'!$G$6:$G$500, MATCH(B972, 'SAÍDA DE VENDAS'!$B$6:$B$500, 0)+4), ""), "")&amp; IF(COUNTIF('SAÍDA DE VENDAS'!$B$6:$B$500, B972)&gt;5, " + " &amp; IFERROR(INDEX('SAÍDA DE VENDAS'!$H$6:$H$500 &amp; "x " &amp; 'SAÍDA DE VENDAS'!$G$6:$G$500, MATCH(B972, 'SAÍDA DE VENDAS'!$B$6:$B$500, 0)+5), ""), ""))</f>
        <v/>
      </c>
      <c r="G972" s="28">
        <f>IFERROR(VLOOKUP(B972,'SAÍDA DE VENDAS'!$B$6:$P$500,10,FALSE),"")</f>
        <v>0</v>
      </c>
      <c r="H972" s="28" t="str">
        <f>IF(OR(ISBLANK(B972),B972=""), "", IF(B972=B971, (VALUE(LEFT(H971,FIND("/",H971)-1))+1)&amp;"/"&amp;RIGHT(H971,LEN(H971)-FIND("/",H971)), "1/"&amp;IFERROR(VLOOKUP(B972,'SAÍDA DE VENDAS'!$B$6:$P$500,13,FALSE),"1")))</f>
        <v/>
      </c>
      <c r="I972" s="69" t="str">
        <f t="shared" si="30"/>
        <v/>
      </c>
      <c r="J972" s="33" t="str">
        <f>IFERROR(VLOOKUP(B972,'SAÍDA DE VENDAS'!$B$6:$P$500,15,FALSE),"")</f>
        <v/>
      </c>
      <c r="K972" s="28" t="str">
        <f t="shared" ca="1" si="31"/>
        <v/>
      </c>
      <c r="L972" s="28"/>
      <c r="M972" s="28"/>
    </row>
    <row r="973" spans="2:13" ht="15" customHeight="1" x14ac:dyDescent="0.3">
      <c r="B973" s="34" t="str">
        <f>IF(B972="","", IF(VALUE(LEFT(H972,FIND("/",H972)-1)) &lt; VALUE(RIGHT(H972,LEN(H972)-FIND("/",H972))), B972, IFERROR(INDEX('SAÍDA DE VENDAS'!$B$6:$B$500, MATCH(B972,'SAÍDA DE VENDAS'!$B$6:$B$500,0)+COUNTIF('SAÍDA DE VENDAS'!$B$6:$B$500, B972)),"")))</f>
        <v/>
      </c>
      <c r="C973" s="35">
        <f>IFERROR(VLOOKUP(B973,'SAÍDA DE VENDAS'!$B$6:$P$500,3,FALSE),"")</f>
        <v>0</v>
      </c>
      <c r="D973" s="34">
        <f>IFERROR(VLOOKUP(B973,'SAÍDA DE VENDAS'!$B$6:$P$500,4,FALSE),"")</f>
        <v>0</v>
      </c>
      <c r="E973" s="34" t="str">
        <f>IFERROR(VLOOKUP(B973,'SAÍDA DE VENDAS'!$B$6:$P$500,5,FALSE),"")</f>
        <v/>
      </c>
      <c r="F973" s="34" t="str">
        <f>IF(OR(ISBLANK(B973),B973=""), "", IFERROR(INDEX('SAÍDA DE VENDAS'!$H$6:$H$500 &amp; "x " &amp; 'SAÍDA DE VENDAS'!$G$6:$G$500, MATCH(B973, 'SAÍDA DE VENDAS'!$B$6:$B$500, 0)), "")&amp; IF(COUNTIF('SAÍDA DE VENDAS'!$B$6:$B$500, B973)&gt;1, " + " &amp; IFERROR(INDEX('SAÍDA DE VENDAS'!$H$6:$H$500 &amp; "x " &amp; 'SAÍDA DE VENDAS'!$G$6:$G$500, MATCH(B973, 'SAÍDA DE VENDAS'!$B$6:$B$500, 0)+1), ""), "")&amp; IF(COUNTIF('SAÍDA DE VENDAS'!$B$6:$B$500, B973)&gt;2, " + " &amp; IFERROR(INDEX('SAÍDA DE VENDAS'!$H$6:$H$500 &amp; "x " &amp; 'SAÍDA DE VENDAS'!$G$6:$G$500, MATCH(B973, 'SAÍDA DE VENDAS'!$B$6:$B$500, 0)+2), ""), "")&amp; IF(COUNTIF('SAÍDA DE VENDAS'!$B$6:$B$500, B973)&gt;3, " + " &amp; IFERROR(INDEX('SAÍDA DE VENDAS'!$H$6:$H$500 &amp; "x " &amp; 'SAÍDA DE VENDAS'!$G$6:$G$500, MATCH(B973, 'SAÍDA DE VENDAS'!$B$6:$B$500, 0)+3), ""), "")&amp; IF(COUNTIF('SAÍDA DE VENDAS'!$B$6:$B$500, B973)&gt;4, " + " &amp; IFERROR(INDEX('SAÍDA DE VENDAS'!$H$6:$H$500 &amp; "x " &amp; 'SAÍDA DE VENDAS'!$G$6:$G$500, MATCH(B973, 'SAÍDA DE VENDAS'!$B$6:$B$500, 0)+4), ""), "")&amp; IF(COUNTIF('SAÍDA DE VENDAS'!$B$6:$B$500, B973)&gt;5, " + " &amp; IFERROR(INDEX('SAÍDA DE VENDAS'!$H$6:$H$500 &amp; "x " &amp; 'SAÍDA DE VENDAS'!$G$6:$G$500, MATCH(B973, 'SAÍDA DE VENDAS'!$B$6:$B$500, 0)+5), ""), ""))</f>
        <v/>
      </c>
      <c r="G973" s="34">
        <f>IFERROR(VLOOKUP(B973,'SAÍDA DE VENDAS'!$B$6:$P$500,10,FALSE),"")</f>
        <v>0</v>
      </c>
      <c r="H973" s="34" t="str">
        <f>IF(OR(ISBLANK(B973),B973=""), "", IF(B973=B972, (VALUE(LEFT(H972,FIND("/",H972)-1))+1)&amp;"/"&amp;RIGHT(H972,LEN(H972)-FIND("/",H972)), "1/"&amp;IFERROR(VLOOKUP(B973,'SAÍDA DE VENDAS'!$B$6:$P$500,13,FALSE),"1")))</f>
        <v/>
      </c>
      <c r="I973" s="35" t="str">
        <f t="shared" si="30"/>
        <v/>
      </c>
      <c r="J973" s="39" t="str">
        <f>IFERROR(VLOOKUP(B973,'SAÍDA DE VENDAS'!$B$6:$P$500,15,FALSE),"")</f>
        <v/>
      </c>
      <c r="K973" s="34" t="str">
        <f t="shared" ca="1" si="31"/>
        <v/>
      </c>
      <c r="L973" s="34"/>
      <c r="M973" s="34"/>
    </row>
    <row r="974" spans="2:13" ht="15" customHeight="1" x14ac:dyDescent="0.3">
      <c r="B974" s="28" t="str">
        <f>IF(B973="","", IF(VALUE(LEFT(H973,FIND("/",H973)-1)) &lt; VALUE(RIGHT(H973,LEN(H973)-FIND("/",H973))), B973, IFERROR(INDEX('SAÍDA DE VENDAS'!$B$6:$B$500, MATCH(B973,'SAÍDA DE VENDAS'!$B$6:$B$500,0)+COUNTIF('SAÍDA DE VENDAS'!$B$6:$B$500, B973)),"")))</f>
        <v/>
      </c>
      <c r="C974" s="29">
        <f>IFERROR(VLOOKUP(B974,'SAÍDA DE VENDAS'!$B$6:$P$500,3,FALSE),"")</f>
        <v>0</v>
      </c>
      <c r="D974" s="28">
        <f>IFERROR(VLOOKUP(B974,'SAÍDA DE VENDAS'!$B$6:$P$500,4,FALSE),"")</f>
        <v>0</v>
      </c>
      <c r="E974" s="28" t="str">
        <f>IFERROR(VLOOKUP(B974,'SAÍDA DE VENDAS'!$B$6:$P$500,5,FALSE),"")</f>
        <v/>
      </c>
      <c r="F974" s="28" t="str">
        <f>IF(OR(ISBLANK(B974),B974=""), "", IFERROR(INDEX('SAÍDA DE VENDAS'!$H$6:$H$500 &amp; "x " &amp; 'SAÍDA DE VENDAS'!$G$6:$G$500, MATCH(B974, 'SAÍDA DE VENDAS'!$B$6:$B$500, 0)), "")&amp; IF(COUNTIF('SAÍDA DE VENDAS'!$B$6:$B$500, B974)&gt;1, " + " &amp; IFERROR(INDEX('SAÍDA DE VENDAS'!$H$6:$H$500 &amp; "x " &amp; 'SAÍDA DE VENDAS'!$G$6:$G$500, MATCH(B974, 'SAÍDA DE VENDAS'!$B$6:$B$500, 0)+1), ""), "")&amp; IF(COUNTIF('SAÍDA DE VENDAS'!$B$6:$B$500, B974)&gt;2, " + " &amp; IFERROR(INDEX('SAÍDA DE VENDAS'!$H$6:$H$500 &amp; "x " &amp; 'SAÍDA DE VENDAS'!$G$6:$G$500, MATCH(B974, 'SAÍDA DE VENDAS'!$B$6:$B$500, 0)+2), ""), "")&amp; IF(COUNTIF('SAÍDA DE VENDAS'!$B$6:$B$500, B974)&gt;3, " + " &amp; IFERROR(INDEX('SAÍDA DE VENDAS'!$H$6:$H$500 &amp; "x " &amp; 'SAÍDA DE VENDAS'!$G$6:$G$500, MATCH(B974, 'SAÍDA DE VENDAS'!$B$6:$B$500, 0)+3), ""), "")&amp; IF(COUNTIF('SAÍDA DE VENDAS'!$B$6:$B$500, B974)&gt;4, " + " &amp; IFERROR(INDEX('SAÍDA DE VENDAS'!$H$6:$H$500 &amp; "x " &amp; 'SAÍDA DE VENDAS'!$G$6:$G$500, MATCH(B974, 'SAÍDA DE VENDAS'!$B$6:$B$500, 0)+4), ""), "")&amp; IF(COUNTIF('SAÍDA DE VENDAS'!$B$6:$B$500, B974)&gt;5, " + " &amp; IFERROR(INDEX('SAÍDA DE VENDAS'!$H$6:$H$500 &amp; "x " &amp; 'SAÍDA DE VENDAS'!$G$6:$G$500, MATCH(B974, 'SAÍDA DE VENDAS'!$B$6:$B$500, 0)+5), ""), ""))</f>
        <v/>
      </c>
      <c r="G974" s="28">
        <f>IFERROR(VLOOKUP(B974,'SAÍDA DE VENDAS'!$B$6:$P$500,10,FALSE),"")</f>
        <v>0</v>
      </c>
      <c r="H974" s="28" t="str">
        <f>IF(OR(ISBLANK(B974),B974=""), "", IF(B974=B973, (VALUE(LEFT(H973,FIND("/",H973)-1))+1)&amp;"/"&amp;RIGHT(H973,LEN(H973)-FIND("/",H973)), "1/"&amp;IFERROR(VLOOKUP(B974,'SAÍDA DE VENDAS'!$B$6:$P$500,13,FALSE),"1")))</f>
        <v/>
      </c>
      <c r="I974" s="69" t="str">
        <f t="shared" si="30"/>
        <v/>
      </c>
      <c r="J974" s="33" t="str">
        <f>IFERROR(VLOOKUP(B974,'SAÍDA DE VENDAS'!$B$6:$P$500,15,FALSE),"")</f>
        <v/>
      </c>
      <c r="K974" s="28" t="str">
        <f t="shared" ca="1" si="31"/>
        <v/>
      </c>
      <c r="L974" s="28"/>
      <c r="M974" s="28"/>
    </row>
    <row r="975" spans="2:13" ht="15" customHeight="1" x14ac:dyDescent="0.3">
      <c r="B975" s="34" t="str">
        <f>IF(B974="","", IF(VALUE(LEFT(H974,FIND("/",H974)-1)) &lt; VALUE(RIGHT(H974,LEN(H974)-FIND("/",H974))), B974, IFERROR(INDEX('SAÍDA DE VENDAS'!$B$6:$B$500, MATCH(B974,'SAÍDA DE VENDAS'!$B$6:$B$500,0)+COUNTIF('SAÍDA DE VENDAS'!$B$6:$B$500, B974)),"")))</f>
        <v/>
      </c>
      <c r="C975" s="35">
        <f>IFERROR(VLOOKUP(B975,'SAÍDA DE VENDAS'!$B$6:$P$500,3,FALSE),"")</f>
        <v>0</v>
      </c>
      <c r="D975" s="34">
        <f>IFERROR(VLOOKUP(B975,'SAÍDA DE VENDAS'!$B$6:$P$500,4,FALSE),"")</f>
        <v>0</v>
      </c>
      <c r="E975" s="34" t="str">
        <f>IFERROR(VLOOKUP(B975,'SAÍDA DE VENDAS'!$B$6:$P$500,5,FALSE),"")</f>
        <v/>
      </c>
      <c r="F975" s="34" t="str">
        <f>IF(OR(ISBLANK(B975),B975=""), "", IFERROR(INDEX('SAÍDA DE VENDAS'!$H$6:$H$500 &amp; "x " &amp; 'SAÍDA DE VENDAS'!$G$6:$G$500, MATCH(B975, 'SAÍDA DE VENDAS'!$B$6:$B$500, 0)), "")&amp; IF(COUNTIF('SAÍDA DE VENDAS'!$B$6:$B$500, B975)&gt;1, " + " &amp; IFERROR(INDEX('SAÍDA DE VENDAS'!$H$6:$H$500 &amp; "x " &amp; 'SAÍDA DE VENDAS'!$G$6:$G$500, MATCH(B975, 'SAÍDA DE VENDAS'!$B$6:$B$500, 0)+1), ""), "")&amp; IF(COUNTIF('SAÍDA DE VENDAS'!$B$6:$B$500, B975)&gt;2, " + " &amp; IFERROR(INDEX('SAÍDA DE VENDAS'!$H$6:$H$500 &amp; "x " &amp; 'SAÍDA DE VENDAS'!$G$6:$G$500, MATCH(B975, 'SAÍDA DE VENDAS'!$B$6:$B$500, 0)+2), ""), "")&amp; IF(COUNTIF('SAÍDA DE VENDAS'!$B$6:$B$500, B975)&gt;3, " + " &amp; IFERROR(INDEX('SAÍDA DE VENDAS'!$H$6:$H$500 &amp; "x " &amp; 'SAÍDA DE VENDAS'!$G$6:$G$500, MATCH(B975, 'SAÍDA DE VENDAS'!$B$6:$B$500, 0)+3), ""), "")&amp; IF(COUNTIF('SAÍDA DE VENDAS'!$B$6:$B$500, B975)&gt;4, " + " &amp; IFERROR(INDEX('SAÍDA DE VENDAS'!$H$6:$H$500 &amp; "x " &amp; 'SAÍDA DE VENDAS'!$G$6:$G$500, MATCH(B975, 'SAÍDA DE VENDAS'!$B$6:$B$500, 0)+4), ""), "")&amp; IF(COUNTIF('SAÍDA DE VENDAS'!$B$6:$B$500, B975)&gt;5, " + " &amp; IFERROR(INDEX('SAÍDA DE VENDAS'!$H$6:$H$500 &amp; "x " &amp; 'SAÍDA DE VENDAS'!$G$6:$G$500, MATCH(B975, 'SAÍDA DE VENDAS'!$B$6:$B$500, 0)+5), ""), ""))</f>
        <v/>
      </c>
      <c r="G975" s="34">
        <f>IFERROR(VLOOKUP(B975,'SAÍDA DE VENDAS'!$B$6:$P$500,10,FALSE),"")</f>
        <v>0</v>
      </c>
      <c r="H975" s="34" t="str">
        <f>IF(OR(ISBLANK(B975),B975=""), "", IF(B975=B974, (VALUE(LEFT(H974,FIND("/",H974)-1))+1)&amp;"/"&amp;RIGHT(H974,LEN(H974)-FIND("/",H974)), "1/"&amp;IFERROR(VLOOKUP(B975,'SAÍDA DE VENDAS'!$B$6:$P$500,13,FALSE),"1")))</f>
        <v/>
      </c>
      <c r="I975" s="35" t="str">
        <f t="shared" si="30"/>
        <v/>
      </c>
      <c r="J975" s="39" t="str">
        <f>IFERROR(VLOOKUP(B975,'SAÍDA DE VENDAS'!$B$6:$P$500,15,FALSE),"")</f>
        <v/>
      </c>
      <c r="K975" s="34" t="str">
        <f t="shared" ca="1" si="31"/>
        <v/>
      </c>
      <c r="L975" s="34"/>
      <c r="M975" s="34"/>
    </row>
    <row r="976" spans="2:13" ht="15" customHeight="1" x14ac:dyDescent="0.3">
      <c r="B976" s="28" t="str">
        <f>IF(B975="","", IF(VALUE(LEFT(H975,FIND("/",H975)-1)) &lt; VALUE(RIGHT(H975,LEN(H975)-FIND("/",H975))), B975, IFERROR(INDEX('SAÍDA DE VENDAS'!$B$6:$B$500, MATCH(B975,'SAÍDA DE VENDAS'!$B$6:$B$500,0)+COUNTIF('SAÍDA DE VENDAS'!$B$6:$B$500, B975)),"")))</f>
        <v/>
      </c>
      <c r="C976" s="29">
        <f>IFERROR(VLOOKUP(B976,'SAÍDA DE VENDAS'!$B$6:$P$500,3,FALSE),"")</f>
        <v>0</v>
      </c>
      <c r="D976" s="28">
        <f>IFERROR(VLOOKUP(B976,'SAÍDA DE VENDAS'!$B$6:$P$500,4,FALSE),"")</f>
        <v>0</v>
      </c>
      <c r="E976" s="28" t="str">
        <f>IFERROR(VLOOKUP(B976,'SAÍDA DE VENDAS'!$B$6:$P$500,5,FALSE),"")</f>
        <v/>
      </c>
      <c r="F976" s="28" t="str">
        <f>IF(OR(ISBLANK(B976),B976=""), "", IFERROR(INDEX('SAÍDA DE VENDAS'!$H$6:$H$500 &amp; "x " &amp; 'SAÍDA DE VENDAS'!$G$6:$G$500, MATCH(B976, 'SAÍDA DE VENDAS'!$B$6:$B$500, 0)), "")&amp; IF(COUNTIF('SAÍDA DE VENDAS'!$B$6:$B$500, B976)&gt;1, " + " &amp; IFERROR(INDEX('SAÍDA DE VENDAS'!$H$6:$H$500 &amp; "x " &amp; 'SAÍDA DE VENDAS'!$G$6:$G$500, MATCH(B976, 'SAÍDA DE VENDAS'!$B$6:$B$500, 0)+1), ""), "")&amp; IF(COUNTIF('SAÍDA DE VENDAS'!$B$6:$B$500, B976)&gt;2, " + " &amp; IFERROR(INDEX('SAÍDA DE VENDAS'!$H$6:$H$500 &amp; "x " &amp; 'SAÍDA DE VENDAS'!$G$6:$G$500, MATCH(B976, 'SAÍDA DE VENDAS'!$B$6:$B$500, 0)+2), ""), "")&amp; IF(COUNTIF('SAÍDA DE VENDAS'!$B$6:$B$500, B976)&gt;3, " + " &amp; IFERROR(INDEX('SAÍDA DE VENDAS'!$H$6:$H$500 &amp; "x " &amp; 'SAÍDA DE VENDAS'!$G$6:$G$500, MATCH(B976, 'SAÍDA DE VENDAS'!$B$6:$B$500, 0)+3), ""), "")&amp; IF(COUNTIF('SAÍDA DE VENDAS'!$B$6:$B$500, B976)&gt;4, " + " &amp; IFERROR(INDEX('SAÍDA DE VENDAS'!$H$6:$H$500 &amp; "x " &amp; 'SAÍDA DE VENDAS'!$G$6:$G$500, MATCH(B976, 'SAÍDA DE VENDAS'!$B$6:$B$500, 0)+4), ""), "")&amp; IF(COUNTIF('SAÍDA DE VENDAS'!$B$6:$B$500, B976)&gt;5, " + " &amp; IFERROR(INDEX('SAÍDA DE VENDAS'!$H$6:$H$500 &amp; "x " &amp; 'SAÍDA DE VENDAS'!$G$6:$G$500, MATCH(B976, 'SAÍDA DE VENDAS'!$B$6:$B$500, 0)+5), ""), ""))</f>
        <v/>
      </c>
      <c r="G976" s="28">
        <f>IFERROR(VLOOKUP(B976,'SAÍDA DE VENDAS'!$B$6:$P$500,10,FALSE),"")</f>
        <v>0</v>
      </c>
      <c r="H976" s="28" t="str">
        <f>IF(OR(ISBLANK(B976),B976=""), "", IF(B976=B975, (VALUE(LEFT(H975,FIND("/",H975)-1))+1)&amp;"/"&amp;RIGHT(H975,LEN(H975)-FIND("/",H975)), "1/"&amp;IFERROR(VLOOKUP(B976,'SAÍDA DE VENDAS'!$B$6:$P$500,13,FALSE),"1")))</f>
        <v/>
      </c>
      <c r="I976" s="69" t="str">
        <f t="shared" si="30"/>
        <v/>
      </c>
      <c r="J976" s="33" t="str">
        <f>IFERROR(VLOOKUP(B976,'SAÍDA DE VENDAS'!$B$6:$P$500,15,FALSE),"")</f>
        <v/>
      </c>
      <c r="K976" s="28" t="str">
        <f t="shared" ca="1" si="31"/>
        <v/>
      </c>
      <c r="L976" s="28"/>
      <c r="M976" s="28"/>
    </row>
    <row r="977" spans="2:13" ht="15" customHeight="1" x14ac:dyDescent="0.3">
      <c r="B977" s="34" t="str">
        <f>IF(B976="","", IF(VALUE(LEFT(H976,FIND("/",H976)-1)) &lt; VALUE(RIGHT(H976,LEN(H976)-FIND("/",H976))), B976, IFERROR(INDEX('SAÍDA DE VENDAS'!$B$6:$B$500, MATCH(B976,'SAÍDA DE VENDAS'!$B$6:$B$500,0)+COUNTIF('SAÍDA DE VENDAS'!$B$6:$B$500, B976)),"")))</f>
        <v/>
      </c>
      <c r="C977" s="35">
        <f>IFERROR(VLOOKUP(B977,'SAÍDA DE VENDAS'!$B$6:$P$500,3,FALSE),"")</f>
        <v>0</v>
      </c>
      <c r="D977" s="34">
        <f>IFERROR(VLOOKUP(B977,'SAÍDA DE VENDAS'!$B$6:$P$500,4,FALSE),"")</f>
        <v>0</v>
      </c>
      <c r="E977" s="34" t="str">
        <f>IFERROR(VLOOKUP(B977,'SAÍDA DE VENDAS'!$B$6:$P$500,5,FALSE),"")</f>
        <v/>
      </c>
      <c r="F977" s="34" t="str">
        <f>IF(OR(ISBLANK(B977),B977=""), "", IFERROR(INDEX('SAÍDA DE VENDAS'!$H$6:$H$500 &amp; "x " &amp; 'SAÍDA DE VENDAS'!$G$6:$G$500, MATCH(B977, 'SAÍDA DE VENDAS'!$B$6:$B$500, 0)), "")&amp; IF(COUNTIF('SAÍDA DE VENDAS'!$B$6:$B$500, B977)&gt;1, " + " &amp; IFERROR(INDEX('SAÍDA DE VENDAS'!$H$6:$H$500 &amp; "x " &amp; 'SAÍDA DE VENDAS'!$G$6:$G$500, MATCH(B977, 'SAÍDA DE VENDAS'!$B$6:$B$500, 0)+1), ""), "")&amp; IF(COUNTIF('SAÍDA DE VENDAS'!$B$6:$B$500, B977)&gt;2, " + " &amp; IFERROR(INDEX('SAÍDA DE VENDAS'!$H$6:$H$500 &amp; "x " &amp; 'SAÍDA DE VENDAS'!$G$6:$G$500, MATCH(B977, 'SAÍDA DE VENDAS'!$B$6:$B$500, 0)+2), ""), "")&amp; IF(COUNTIF('SAÍDA DE VENDAS'!$B$6:$B$500, B977)&gt;3, " + " &amp; IFERROR(INDEX('SAÍDA DE VENDAS'!$H$6:$H$500 &amp; "x " &amp; 'SAÍDA DE VENDAS'!$G$6:$G$500, MATCH(B977, 'SAÍDA DE VENDAS'!$B$6:$B$500, 0)+3), ""), "")&amp; IF(COUNTIF('SAÍDA DE VENDAS'!$B$6:$B$500, B977)&gt;4, " + " &amp; IFERROR(INDEX('SAÍDA DE VENDAS'!$H$6:$H$500 &amp; "x " &amp; 'SAÍDA DE VENDAS'!$G$6:$G$500, MATCH(B977, 'SAÍDA DE VENDAS'!$B$6:$B$500, 0)+4), ""), "")&amp; IF(COUNTIF('SAÍDA DE VENDAS'!$B$6:$B$500, B977)&gt;5, " + " &amp; IFERROR(INDEX('SAÍDA DE VENDAS'!$H$6:$H$500 &amp; "x " &amp; 'SAÍDA DE VENDAS'!$G$6:$G$500, MATCH(B977, 'SAÍDA DE VENDAS'!$B$6:$B$500, 0)+5), ""), ""))</f>
        <v/>
      </c>
      <c r="G977" s="34">
        <f>IFERROR(VLOOKUP(B977,'SAÍDA DE VENDAS'!$B$6:$P$500,10,FALSE),"")</f>
        <v>0</v>
      </c>
      <c r="H977" s="34" t="str">
        <f>IF(OR(ISBLANK(B977),B977=""), "", IF(B977=B976, (VALUE(LEFT(H976,FIND("/",H976)-1))+1)&amp;"/"&amp;RIGHT(H976,LEN(H976)-FIND("/",H976)), "1/"&amp;IFERROR(VLOOKUP(B977,'SAÍDA DE VENDAS'!$B$6:$P$500,13,FALSE),"1")))</f>
        <v/>
      </c>
      <c r="I977" s="35" t="str">
        <f t="shared" si="30"/>
        <v/>
      </c>
      <c r="J977" s="39" t="str">
        <f>IFERROR(VLOOKUP(B977,'SAÍDA DE VENDAS'!$B$6:$P$500,15,FALSE),"")</f>
        <v/>
      </c>
      <c r="K977" s="34" t="str">
        <f t="shared" ca="1" si="31"/>
        <v/>
      </c>
      <c r="L977" s="34"/>
      <c r="M977" s="34"/>
    </row>
    <row r="978" spans="2:13" ht="15" customHeight="1" x14ac:dyDescent="0.3">
      <c r="B978" s="28" t="str">
        <f>IF(B977="","", IF(VALUE(LEFT(H977,FIND("/",H977)-1)) &lt; VALUE(RIGHT(H977,LEN(H977)-FIND("/",H977))), B977, IFERROR(INDEX('SAÍDA DE VENDAS'!$B$6:$B$500, MATCH(B977,'SAÍDA DE VENDAS'!$B$6:$B$500,0)+COUNTIF('SAÍDA DE VENDAS'!$B$6:$B$500, B977)),"")))</f>
        <v/>
      </c>
      <c r="C978" s="29">
        <f>IFERROR(VLOOKUP(B978,'SAÍDA DE VENDAS'!$B$6:$P$500,3,FALSE),"")</f>
        <v>0</v>
      </c>
      <c r="D978" s="28">
        <f>IFERROR(VLOOKUP(B978,'SAÍDA DE VENDAS'!$B$6:$P$500,4,FALSE),"")</f>
        <v>0</v>
      </c>
      <c r="E978" s="28" t="str">
        <f>IFERROR(VLOOKUP(B978,'SAÍDA DE VENDAS'!$B$6:$P$500,5,FALSE),"")</f>
        <v/>
      </c>
      <c r="F978" s="28" t="str">
        <f>IF(OR(ISBLANK(B978),B978=""), "", IFERROR(INDEX('SAÍDA DE VENDAS'!$H$6:$H$500 &amp; "x " &amp; 'SAÍDA DE VENDAS'!$G$6:$G$500, MATCH(B978, 'SAÍDA DE VENDAS'!$B$6:$B$500, 0)), "")&amp; IF(COUNTIF('SAÍDA DE VENDAS'!$B$6:$B$500, B978)&gt;1, " + " &amp; IFERROR(INDEX('SAÍDA DE VENDAS'!$H$6:$H$500 &amp; "x " &amp; 'SAÍDA DE VENDAS'!$G$6:$G$500, MATCH(B978, 'SAÍDA DE VENDAS'!$B$6:$B$500, 0)+1), ""), "")&amp; IF(COUNTIF('SAÍDA DE VENDAS'!$B$6:$B$500, B978)&gt;2, " + " &amp; IFERROR(INDEX('SAÍDA DE VENDAS'!$H$6:$H$500 &amp; "x " &amp; 'SAÍDA DE VENDAS'!$G$6:$G$500, MATCH(B978, 'SAÍDA DE VENDAS'!$B$6:$B$500, 0)+2), ""), "")&amp; IF(COUNTIF('SAÍDA DE VENDAS'!$B$6:$B$500, B978)&gt;3, " + " &amp; IFERROR(INDEX('SAÍDA DE VENDAS'!$H$6:$H$500 &amp; "x " &amp; 'SAÍDA DE VENDAS'!$G$6:$G$500, MATCH(B978, 'SAÍDA DE VENDAS'!$B$6:$B$500, 0)+3), ""), "")&amp; IF(COUNTIF('SAÍDA DE VENDAS'!$B$6:$B$500, B978)&gt;4, " + " &amp; IFERROR(INDEX('SAÍDA DE VENDAS'!$H$6:$H$500 &amp; "x " &amp; 'SAÍDA DE VENDAS'!$G$6:$G$500, MATCH(B978, 'SAÍDA DE VENDAS'!$B$6:$B$500, 0)+4), ""), "")&amp; IF(COUNTIF('SAÍDA DE VENDAS'!$B$6:$B$500, B978)&gt;5, " + " &amp; IFERROR(INDEX('SAÍDA DE VENDAS'!$H$6:$H$500 &amp; "x " &amp; 'SAÍDA DE VENDAS'!$G$6:$G$500, MATCH(B978, 'SAÍDA DE VENDAS'!$B$6:$B$500, 0)+5), ""), ""))</f>
        <v/>
      </c>
      <c r="G978" s="28">
        <f>IFERROR(VLOOKUP(B978,'SAÍDA DE VENDAS'!$B$6:$P$500,10,FALSE),"")</f>
        <v>0</v>
      </c>
      <c r="H978" s="28" t="str">
        <f>IF(OR(ISBLANK(B978),B978=""), "", IF(B978=B977, (VALUE(LEFT(H977,FIND("/",H977)-1))+1)&amp;"/"&amp;RIGHT(H977,LEN(H977)-FIND("/",H977)), "1/"&amp;IFERROR(VLOOKUP(B978,'SAÍDA DE VENDAS'!$B$6:$P$500,13,FALSE),"1")))</f>
        <v/>
      </c>
      <c r="I978" s="69" t="str">
        <f t="shared" si="30"/>
        <v/>
      </c>
      <c r="J978" s="33" t="str">
        <f>IFERROR(VLOOKUP(B978,'SAÍDA DE VENDAS'!$B$6:$P$500,15,FALSE),"")</f>
        <v/>
      </c>
      <c r="K978" s="28" t="str">
        <f t="shared" ca="1" si="31"/>
        <v/>
      </c>
      <c r="L978" s="28"/>
      <c r="M978" s="28"/>
    </row>
    <row r="979" spans="2:13" ht="15" customHeight="1" x14ac:dyDescent="0.3">
      <c r="B979" s="34" t="str">
        <f>IF(B978="","", IF(VALUE(LEFT(H978,FIND("/",H978)-1)) &lt; VALUE(RIGHT(H978,LEN(H978)-FIND("/",H978))), B978, IFERROR(INDEX('SAÍDA DE VENDAS'!$B$6:$B$500, MATCH(B978,'SAÍDA DE VENDAS'!$B$6:$B$500,0)+COUNTIF('SAÍDA DE VENDAS'!$B$6:$B$500, B978)),"")))</f>
        <v/>
      </c>
      <c r="C979" s="35">
        <f>IFERROR(VLOOKUP(B979,'SAÍDA DE VENDAS'!$B$6:$P$500,3,FALSE),"")</f>
        <v>0</v>
      </c>
      <c r="D979" s="34">
        <f>IFERROR(VLOOKUP(B979,'SAÍDA DE VENDAS'!$B$6:$P$500,4,FALSE),"")</f>
        <v>0</v>
      </c>
      <c r="E979" s="34" t="str">
        <f>IFERROR(VLOOKUP(B979,'SAÍDA DE VENDAS'!$B$6:$P$500,5,FALSE),"")</f>
        <v/>
      </c>
      <c r="F979" s="34" t="str">
        <f>IF(OR(ISBLANK(B979),B979=""), "", IFERROR(INDEX('SAÍDA DE VENDAS'!$H$6:$H$500 &amp; "x " &amp; 'SAÍDA DE VENDAS'!$G$6:$G$500, MATCH(B979, 'SAÍDA DE VENDAS'!$B$6:$B$500, 0)), "")&amp; IF(COUNTIF('SAÍDA DE VENDAS'!$B$6:$B$500, B979)&gt;1, " + " &amp; IFERROR(INDEX('SAÍDA DE VENDAS'!$H$6:$H$500 &amp; "x " &amp; 'SAÍDA DE VENDAS'!$G$6:$G$500, MATCH(B979, 'SAÍDA DE VENDAS'!$B$6:$B$500, 0)+1), ""), "")&amp; IF(COUNTIF('SAÍDA DE VENDAS'!$B$6:$B$500, B979)&gt;2, " + " &amp; IFERROR(INDEX('SAÍDA DE VENDAS'!$H$6:$H$500 &amp; "x " &amp; 'SAÍDA DE VENDAS'!$G$6:$G$500, MATCH(B979, 'SAÍDA DE VENDAS'!$B$6:$B$500, 0)+2), ""), "")&amp; IF(COUNTIF('SAÍDA DE VENDAS'!$B$6:$B$500, B979)&gt;3, " + " &amp; IFERROR(INDEX('SAÍDA DE VENDAS'!$H$6:$H$500 &amp; "x " &amp; 'SAÍDA DE VENDAS'!$G$6:$G$500, MATCH(B979, 'SAÍDA DE VENDAS'!$B$6:$B$500, 0)+3), ""), "")&amp; IF(COUNTIF('SAÍDA DE VENDAS'!$B$6:$B$500, B979)&gt;4, " + " &amp; IFERROR(INDEX('SAÍDA DE VENDAS'!$H$6:$H$500 &amp; "x " &amp; 'SAÍDA DE VENDAS'!$G$6:$G$500, MATCH(B979, 'SAÍDA DE VENDAS'!$B$6:$B$500, 0)+4), ""), "")&amp; IF(COUNTIF('SAÍDA DE VENDAS'!$B$6:$B$500, B979)&gt;5, " + " &amp; IFERROR(INDEX('SAÍDA DE VENDAS'!$H$6:$H$500 &amp; "x " &amp; 'SAÍDA DE VENDAS'!$G$6:$G$500, MATCH(B979, 'SAÍDA DE VENDAS'!$B$6:$B$500, 0)+5), ""), ""))</f>
        <v/>
      </c>
      <c r="G979" s="34">
        <f>IFERROR(VLOOKUP(B979,'SAÍDA DE VENDAS'!$B$6:$P$500,10,FALSE),"")</f>
        <v>0</v>
      </c>
      <c r="H979" s="34" t="str">
        <f>IF(OR(ISBLANK(B979),B979=""), "", IF(B979=B978, (VALUE(LEFT(H978,FIND("/",H978)-1))+1)&amp;"/"&amp;RIGHT(H978,LEN(H978)-FIND("/",H978)), "1/"&amp;IFERROR(VLOOKUP(B979,'SAÍDA DE VENDAS'!$B$6:$P$500,13,FALSE),"1")))</f>
        <v/>
      </c>
      <c r="I979" s="35" t="str">
        <f t="shared" si="30"/>
        <v/>
      </c>
      <c r="J979" s="39" t="str">
        <f>IFERROR(VLOOKUP(B979,'SAÍDA DE VENDAS'!$B$6:$P$500,15,FALSE),"")</f>
        <v/>
      </c>
      <c r="K979" s="34" t="str">
        <f t="shared" ca="1" si="31"/>
        <v/>
      </c>
      <c r="L979" s="34"/>
      <c r="M979" s="34"/>
    </row>
    <row r="980" spans="2:13" ht="15" customHeight="1" x14ac:dyDescent="0.3">
      <c r="B980" s="28" t="str">
        <f>IF(B979="","", IF(VALUE(LEFT(H979,FIND("/",H979)-1)) &lt; VALUE(RIGHT(H979,LEN(H979)-FIND("/",H979))), B979, IFERROR(INDEX('SAÍDA DE VENDAS'!$B$6:$B$500, MATCH(B979,'SAÍDA DE VENDAS'!$B$6:$B$500,0)+COUNTIF('SAÍDA DE VENDAS'!$B$6:$B$500, B979)),"")))</f>
        <v/>
      </c>
      <c r="C980" s="29">
        <f>IFERROR(VLOOKUP(B980,'SAÍDA DE VENDAS'!$B$6:$P$500,3,FALSE),"")</f>
        <v>0</v>
      </c>
      <c r="D980" s="28">
        <f>IFERROR(VLOOKUP(B980,'SAÍDA DE VENDAS'!$B$6:$P$500,4,FALSE),"")</f>
        <v>0</v>
      </c>
      <c r="E980" s="28" t="str">
        <f>IFERROR(VLOOKUP(B980,'SAÍDA DE VENDAS'!$B$6:$P$500,5,FALSE),"")</f>
        <v/>
      </c>
      <c r="F980" s="28" t="str">
        <f>IF(OR(ISBLANK(B980),B980=""), "", IFERROR(INDEX('SAÍDA DE VENDAS'!$H$6:$H$500 &amp; "x " &amp; 'SAÍDA DE VENDAS'!$G$6:$G$500, MATCH(B980, 'SAÍDA DE VENDAS'!$B$6:$B$500, 0)), "")&amp; IF(COUNTIF('SAÍDA DE VENDAS'!$B$6:$B$500, B980)&gt;1, " + " &amp; IFERROR(INDEX('SAÍDA DE VENDAS'!$H$6:$H$500 &amp; "x " &amp; 'SAÍDA DE VENDAS'!$G$6:$G$500, MATCH(B980, 'SAÍDA DE VENDAS'!$B$6:$B$500, 0)+1), ""), "")&amp; IF(COUNTIF('SAÍDA DE VENDAS'!$B$6:$B$500, B980)&gt;2, " + " &amp; IFERROR(INDEX('SAÍDA DE VENDAS'!$H$6:$H$500 &amp; "x " &amp; 'SAÍDA DE VENDAS'!$G$6:$G$500, MATCH(B980, 'SAÍDA DE VENDAS'!$B$6:$B$500, 0)+2), ""), "")&amp; IF(COUNTIF('SAÍDA DE VENDAS'!$B$6:$B$500, B980)&gt;3, " + " &amp; IFERROR(INDEX('SAÍDA DE VENDAS'!$H$6:$H$500 &amp; "x " &amp; 'SAÍDA DE VENDAS'!$G$6:$G$500, MATCH(B980, 'SAÍDA DE VENDAS'!$B$6:$B$500, 0)+3), ""), "")&amp; IF(COUNTIF('SAÍDA DE VENDAS'!$B$6:$B$500, B980)&gt;4, " + " &amp; IFERROR(INDEX('SAÍDA DE VENDAS'!$H$6:$H$500 &amp; "x " &amp; 'SAÍDA DE VENDAS'!$G$6:$G$500, MATCH(B980, 'SAÍDA DE VENDAS'!$B$6:$B$500, 0)+4), ""), "")&amp; IF(COUNTIF('SAÍDA DE VENDAS'!$B$6:$B$500, B980)&gt;5, " + " &amp; IFERROR(INDEX('SAÍDA DE VENDAS'!$H$6:$H$500 &amp; "x " &amp; 'SAÍDA DE VENDAS'!$G$6:$G$500, MATCH(B980, 'SAÍDA DE VENDAS'!$B$6:$B$500, 0)+5), ""), ""))</f>
        <v/>
      </c>
      <c r="G980" s="28">
        <f>IFERROR(VLOOKUP(B980,'SAÍDA DE VENDAS'!$B$6:$P$500,10,FALSE),"")</f>
        <v>0</v>
      </c>
      <c r="H980" s="28" t="str">
        <f>IF(OR(ISBLANK(B980),B980=""), "", IF(B980=B979, (VALUE(LEFT(H979,FIND("/",H979)-1))+1)&amp;"/"&amp;RIGHT(H979,LEN(H979)-FIND("/",H979)), "1/"&amp;IFERROR(VLOOKUP(B980,'SAÍDA DE VENDAS'!$B$6:$P$500,13,FALSE),"1")))</f>
        <v/>
      </c>
      <c r="I980" s="69" t="str">
        <f t="shared" si="30"/>
        <v/>
      </c>
      <c r="J980" s="33" t="str">
        <f>IFERROR(VLOOKUP(B980,'SAÍDA DE VENDAS'!$B$6:$P$500,15,FALSE),"")</f>
        <v/>
      </c>
      <c r="K980" s="28" t="str">
        <f t="shared" ca="1" si="31"/>
        <v/>
      </c>
      <c r="L980" s="28"/>
      <c r="M980" s="28"/>
    </row>
    <row r="981" spans="2:13" ht="15" customHeight="1" x14ac:dyDescent="0.3">
      <c r="B981" s="34" t="str">
        <f>IF(B980="","", IF(VALUE(LEFT(H980,FIND("/",H980)-1)) &lt; VALUE(RIGHT(H980,LEN(H980)-FIND("/",H980))), B980, IFERROR(INDEX('SAÍDA DE VENDAS'!$B$6:$B$500, MATCH(B980,'SAÍDA DE VENDAS'!$B$6:$B$500,0)+COUNTIF('SAÍDA DE VENDAS'!$B$6:$B$500, B980)),"")))</f>
        <v/>
      </c>
      <c r="C981" s="35">
        <f>IFERROR(VLOOKUP(B981,'SAÍDA DE VENDAS'!$B$6:$P$500,3,FALSE),"")</f>
        <v>0</v>
      </c>
      <c r="D981" s="34">
        <f>IFERROR(VLOOKUP(B981,'SAÍDA DE VENDAS'!$B$6:$P$500,4,FALSE),"")</f>
        <v>0</v>
      </c>
      <c r="E981" s="34" t="str">
        <f>IFERROR(VLOOKUP(B981,'SAÍDA DE VENDAS'!$B$6:$P$500,5,FALSE),"")</f>
        <v/>
      </c>
      <c r="F981" s="34" t="str">
        <f>IF(OR(ISBLANK(B981),B981=""), "", IFERROR(INDEX('SAÍDA DE VENDAS'!$H$6:$H$500 &amp; "x " &amp; 'SAÍDA DE VENDAS'!$G$6:$G$500, MATCH(B981, 'SAÍDA DE VENDAS'!$B$6:$B$500, 0)), "")&amp; IF(COUNTIF('SAÍDA DE VENDAS'!$B$6:$B$500, B981)&gt;1, " + " &amp; IFERROR(INDEX('SAÍDA DE VENDAS'!$H$6:$H$500 &amp; "x " &amp; 'SAÍDA DE VENDAS'!$G$6:$G$500, MATCH(B981, 'SAÍDA DE VENDAS'!$B$6:$B$500, 0)+1), ""), "")&amp; IF(COUNTIF('SAÍDA DE VENDAS'!$B$6:$B$500, B981)&gt;2, " + " &amp; IFERROR(INDEX('SAÍDA DE VENDAS'!$H$6:$H$500 &amp; "x " &amp; 'SAÍDA DE VENDAS'!$G$6:$G$500, MATCH(B981, 'SAÍDA DE VENDAS'!$B$6:$B$500, 0)+2), ""), "")&amp; IF(COUNTIF('SAÍDA DE VENDAS'!$B$6:$B$500, B981)&gt;3, " + " &amp; IFERROR(INDEX('SAÍDA DE VENDAS'!$H$6:$H$500 &amp; "x " &amp; 'SAÍDA DE VENDAS'!$G$6:$G$500, MATCH(B981, 'SAÍDA DE VENDAS'!$B$6:$B$500, 0)+3), ""), "")&amp; IF(COUNTIF('SAÍDA DE VENDAS'!$B$6:$B$500, B981)&gt;4, " + " &amp; IFERROR(INDEX('SAÍDA DE VENDAS'!$H$6:$H$500 &amp; "x " &amp; 'SAÍDA DE VENDAS'!$G$6:$G$500, MATCH(B981, 'SAÍDA DE VENDAS'!$B$6:$B$500, 0)+4), ""), "")&amp; IF(COUNTIF('SAÍDA DE VENDAS'!$B$6:$B$500, B981)&gt;5, " + " &amp; IFERROR(INDEX('SAÍDA DE VENDAS'!$H$6:$H$500 &amp; "x " &amp; 'SAÍDA DE VENDAS'!$G$6:$G$500, MATCH(B981, 'SAÍDA DE VENDAS'!$B$6:$B$500, 0)+5), ""), ""))</f>
        <v/>
      </c>
      <c r="G981" s="34">
        <f>IFERROR(VLOOKUP(B981,'SAÍDA DE VENDAS'!$B$6:$P$500,10,FALSE),"")</f>
        <v>0</v>
      </c>
      <c r="H981" s="34" t="str">
        <f>IF(OR(ISBLANK(B981),B981=""), "", IF(B981=B980, (VALUE(LEFT(H980,FIND("/",H980)-1))+1)&amp;"/"&amp;RIGHT(H980,LEN(H980)-FIND("/",H980)), "1/"&amp;IFERROR(VLOOKUP(B981,'SAÍDA DE VENDAS'!$B$6:$P$500,13,FALSE),"1")))</f>
        <v/>
      </c>
      <c r="I981" s="35" t="str">
        <f t="shared" si="30"/>
        <v/>
      </c>
      <c r="J981" s="39" t="str">
        <f>IFERROR(VLOOKUP(B981,'SAÍDA DE VENDAS'!$B$6:$P$500,15,FALSE),"")</f>
        <v/>
      </c>
      <c r="K981" s="34" t="str">
        <f t="shared" ca="1" si="31"/>
        <v/>
      </c>
      <c r="L981" s="34"/>
      <c r="M981" s="34"/>
    </row>
    <row r="982" spans="2:13" ht="15" customHeight="1" x14ac:dyDescent="0.3">
      <c r="B982" s="28" t="str">
        <f>IF(B981="","", IF(VALUE(LEFT(H981,FIND("/",H981)-1)) &lt; VALUE(RIGHT(H981,LEN(H981)-FIND("/",H981))), B981, IFERROR(INDEX('SAÍDA DE VENDAS'!$B$6:$B$500, MATCH(B981,'SAÍDA DE VENDAS'!$B$6:$B$500,0)+COUNTIF('SAÍDA DE VENDAS'!$B$6:$B$500, B981)),"")))</f>
        <v/>
      </c>
      <c r="C982" s="29">
        <f>IFERROR(VLOOKUP(B982,'SAÍDA DE VENDAS'!$B$6:$P$500,3,FALSE),"")</f>
        <v>0</v>
      </c>
      <c r="D982" s="28">
        <f>IFERROR(VLOOKUP(B982,'SAÍDA DE VENDAS'!$B$6:$P$500,4,FALSE),"")</f>
        <v>0</v>
      </c>
      <c r="E982" s="28" t="str">
        <f>IFERROR(VLOOKUP(B982,'SAÍDA DE VENDAS'!$B$6:$P$500,5,FALSE),"")</f>
        <v/>
      </c>
      <c r="F982" s="28" t="str">
        <f>IF(OR(ISBLANK(B982),B982=""), "", IFERROR(INDEX('SAÍDA DE VENDAS'!$H$6:$H$500 &amp; "x " &amp; 'SAÍDA DE VENDAS'!$G$6:$G$500, MATCH(B982, 'SAÍDA DE VENDAS'!$B$6:$B$500, 0)), "")&amp; IF(COUNTIF('SAÍDA DE VENDAS'!$B$6:$B$500, B982)&gt;1, " + " &amp; IFERROR(INDEX('SAÍDA DE VENDAS'!$H$6:$H$500 &amp; "x " &amp; 'SAÍDA DE VENDAS'!$G$6:$G$500, MATCH(B982, 'SAÍDA DE VENDAS'!$B$6:$B$500, 0)+1), ""), "")&amp; IF(COUNTIF('SAÍDA DE VENDAS'!$B$6:$B$500, B982)&gt;2, " + " &amp; IFERROR(INDEX('SAÍDA DE VENDAS'!$H$6:$H$500 &amp; "x " &amp; 'SAÍDA DE VENDAS'!$G$6:$G$500, MATCH(B982, 'SAÍDA DE VENDAS'!$B$6:$B$500, 0)+2), ""), "")&amp; IF(COUNTIF('SAÍDA DE VENDAS'!$B$6:$B$500, B982)&gt;3, " + " &amp; IFERROR(INDEX('SAÍDA DE VENDAS'!$H$6:$H$500 &amp; "x " &amp; 'SAÍDA DE VENDAS'!$G$6:$G$500, MATCH(B982, 'SAÍDA DE VENDAS'!$B$6:$B$500, 0)+3), ""), "")&amp; IF(COUNTIF('SAÍDA DE VENDAS'!$B$6:$B$500, B982)&gt;4, " + " &amp; IFERROR(INDEX('SAÍDA DE VENDAS'!$H$6:$H$500 &amp; "x " &amp; 'SAÍDA DE VENDAS'!$G$6:$G$500, MATCH(B982, 'SAÍDA DE VENDAS'!$B$6:$B$500, 0)+4), ""), "")&amp; IF(COUNTIF('SAÍDA DE VENDAS'!$B$6:$B$500, B982)&gt;5, " + " &amp; IFERROR(INDEX('SAÍDA DE VENDAS'!$H$6:$H$500 &amp; "x " &amp; 'SAÍDA DE VENDAS'!$G$6:$G$500, MATCH(B982, 'SAÍDA DE VENDAS'!$B$6:$B$500, 0)+5), ""), ""))</f>
        <v/>
      </c>
      <c r="G982" s="28">
        <f>IFERROR(VLOOKUP(B982,'SAÍDA DE VENDAS'!$B$6:$P$500,10,FALSE),"")</f>
        <v>0</v>
      </c>
      <c r="H982" s="28" t="str">
        <f>IF(OR(ISBLANK(B982),B982=""), "", IF(B982=B981, (VALUE(LEFT(H981,FIND("/",H981)-1))+1)&amp;"/"&amp;RIGHT(H981,LEN(H981)-FIND("/",H981)), "1/"&amp;IFERROR(VLOOKUP(B982,'SAÍDA DE VENDAS'!$B$6:$P$500,13,FALSE),"1")))</f>
        <v/>
      </c>
      <c r="I982" s="69" t="str">
        <f t="shared" si="30"/>
        <v/>
      </c>
      <c r="J982" s="33" t="str">
        <f>IFERROR(VLOOKUP(B982,'SAÍDA DE VENDAS'!$B$6:$P$500,15,FALSE),"")</f>
        <v/>
      </c>
      <c r="K982" s="28" t="str">
        <f t="shared" ca="1" si="31"/>
        <v/>
      </c>
      <c r="L982" s="28"/>
      <c r="M982" s="28"/>
    </row>
    <row r="983" spans="2:13" ht="15" customHeight="1" x14ac:dyDescent="0.3">
      <c r="B983" s="34" t="str">
        <f>IF(B982="","", IF(VALUE(LEFT(H982,FIND("/",H982)-1)) &lt; VALUE(RIGHT(H982,LEN(H982)-FIND("/",H982))), B982, IFERROR(INDEX('SAÍDA DE VENDAS'!$B$6:$B$500, MATCH(B982,'SAÍDA DE VENDAS'!$B$6:$B$500,0)+COUNTIF('SAÍDA DE VENDAS'!$B$6:$B$500, B982)),"")))</f>
        <v/>
      </c>
      <c r="C983" s="35">
        <f>IFERROR(VLOOKUP(B983,'SAÍDA DE VENDAS'!$B$6:$P$500,3,FALSE),"")</f>
        <v>0</v>
      </c>
      <c r="D983" s="34">
        <f>IFERROR(VLOOKUP(B983,'SAÍDA DE VENDAS'!$B$6:$P$500,4,FALSE),"")</f>
        <v>0</v>
      </c>
      <c r="E983" s="34" t="str">
        <f>IFERROR(VLOOKUP(B983,'SAÍDA DE VENDAS'!$B$6:$P$500,5,FALSE),"")</f>
        <v/>
      </c>
      <c r="F983" s="34" t="str">
        <f>IF(OR(ISBLANK(B983),B983=""), "", IFERROR(INDEX('SAÍDA DE VENDAS'!$H$6:$H$500 &amp; "x " &amp; 'SAÍDA DE VENDAS'!$G$6:$G$500, MATCH(B983, 'SAÍDA DE VENDAS'!$B$6:$B$500, 0)), "")&amp; IF(COUNTIF('SAÍDA DE VENDAS'!$B$6:$B$500, B983)&gt;1, " + " &amp; IFERROR(INDEX('SAÍDA DE VENDAS'!$H$6:$H$500 &amp; "x " &amp; 'SAÍDA DE VENDAS'!$G$6:$G$500, MATCH(B983, 'SAÍDA DE VENDAS'!$B$6:$B$500, 0)+1), ""), "")&amp; IF(COUNTIF('SAÍDA DE VENDAS'!$B$6:$B$500, B983)&gt;2, " + " &amp; IFERROR(INDEX('SAÍDA DE VENDAS'!$H$6:$H$500 &amp; "x " &amp; 'SAÍDA DE VENDAS'!$G$6:$G$500, MATCH(B983, 'SAÍDA DE VENDAS'!$B$6:$B$500, 0)+2), ""), "")&amp; IF(COUNTIF('SAÍDA DE VENDAS'!$B$6:$B$500, B983)&gt;3, " + " &amp; IFERROR(INDEX('SAÍDA DE VENDAS'!$H$6:$H$500 &amp; "x " &amp; 'SAÍDA DE VENDAS'!$G$6:$G$500, MATCH(B983, 'SAÍDA DE VENDAS'!$B$6:$B$500, 0)+3), ""), "")&amp; IF(COUNTIF('SAÍDA DE VENDAS'!$B$6:$B$500, B983)&gt;4, " + " &amp; IFERROR(INDEX('SAÍDA DE VENDAS'!$H$6:$H$500 &amp; "x " &amp; 'SAÍDA DE VENDAS'!$G$6:$G$500, MATCH(B983, 'SAÍDA DE VENDAS'!$B$6:$B$500, 0)+4), ""), "")&amp; IF(COUNTIF('SAÍDA DE VENDAS'!$B$6:$B$500, B983)&gt;5, " + " &amp; IFERROR(INDEX('SAÍDA DE VENDAS'!$H$6:$H$500 &amp; "x " &amp; 'SAÍDA DE VENDAS'!$G$6:$G$500, MATCH(B983, 'SAÍDA DE VENDAS'!$B$6:$B$500, 0)+5), ""), ""))</f>
        <v/>
      </c>
      <c r="G983" s="34">
        <f>IFERROR(VLOOKUP(B983,'SAÍDA DE VENDAS'!$B$6:$P$500,10,FALSE),"")</f>
        <v>0</v>
      </c>
      <c r="H983" s="34" t="str">
        <f>IF(OR(ISBLANK(B983),B983=""), "", IF(B983=B982, (VALUE(LEFT(H982,FIND("/",H982)-1))+1)&amp;"/"&amp;RIGHT(H982,LEN(H982)-FIND("/",H982)), "1/"&amp;IFERROR(VLOOKUP(B983,'SAÍDA DE VENDAS'!$B$6:$P$500,13,FALSE),"1")))</f>
        <v/>
      </c>
      <c r="I983" s="35" t="str">
        <f t="shared" si="30"/>
        <v/>
      </c>
      <c r="J983" s="39" t="str">
        <f>IFERROR(VLOOKUP(B983,'SAÍDA DE VENDAS'!$B$6:$P$500,15,FALSE),"")</f>
        <v/>
      </c>
      <c r="K983" s="34" t="str">
        <f t="shared" ca="1" si="31"/>
        <v/>
      </c>
      <c r="L983" s="34"/>
      <c r="M983" s="34"/>
    </row>
    <row r="984" spans="2:13" ht="15" customHeight="1" x14ac:dyDescent="0.3">
      <c r="B984" s="28" t="str">
        <f>IF(B983="","", IF(VALUE(LEFT(H983,FIND("/",H983)-1)) &lt; VALUE(RIGHT(H983,LEN(H983)-FIND("/",H983))), B983, IFERROR(INDEX('SAÍDA DE VENDAS'!$B$6:$B$500, MATCH(B983,'SAÍDA DE VENDAS'!$B$6:$B$500,0)+COUNTIF('SAÍDA DE VENDAS'!$B$6:$B$500, B983)),"")))</f>
        <v/>
      </c>
      <c r="C984" s="29">
        <f>IFERROR(VLOOKUP(B984,'SAÍDA DE VENDAS'!$B$6:$P$500,3,FALSE),"")</f>
        <v>0</v>
      </c>
      <c r="D984" s="28">
        <f>IFERROR(VLOOKUP(B984,'SAÍDA DE VENDAS'!$B$6:$P$500,4,FALSE),"")</f>
        <v>0</v>
      </c>
      <c r="E984" s="28" t="str">
        <f>IFERROR(VLOOKUP(B984,'SAÍDA DE VENDAS'!$B$6:$P$500,5,FALSE),"")</f>
        <v/>
      </c>
      <c r="F984" s="28" t="str">
        <f>IF(OR(ISBLANK(B984),B984=""), "", IFERROR(INDEX('SAÍDA DE VENDAS'!$H$6:$H$500 &amp; "x " &amp; 'SAÍDA DE VENDAS'!$G$6:$G$500, MATCH(B984, 'SAÍDA DE VENDAS'!$B$6:$B$500, 0)), "")&amp; IF(COUNTIF('SAÍDA DE VENDAS'!$B$6:$B$500, B984)&gt;1, " + " &amp; IFERROR(INDEX('SAÍDA DE VENDAS'!$H$6:$H$500 &amp; "x " &amp; 'SAÍDA DE VENDAS'!$G$6:$G$500, MATCH(B984, 'SAÍDA DE VENDAS'!$B$6:$B$500, 0)+1), ""), "")&amp; IF(COUNTIF('SAÍDA DE VENDAS'!$B$6:$B$500, B984)&gt;2, " + " &amp; IFERROR(INDEX('SAÍDA DE VENDAS'!$H$6:$H$500 &amp; "x " &amp; 'SAÍDA DE VENDAS'!$G$6:$G$500, MATCH(B984, 'SAÍDA DE VENDAS'!$B$6:$B$500, 0)+2), ""), "")&amp; IF(COUNTIF('SAÍDA DE VENDAS'!$B$6:$B$500, B984)&gt;3, " + " &amp; IFERROR(INDEX('SAÍDA DE VENDAS'!$H$6:$H$500 &amp; "x " &amp; 'SAÍDA DE VENDAS'!$G$6:$G$500, MATCH(B984, 'SAÍDA DE VENDAS'!$B$6:$B$500, 0)+3), ""), "")&amp; IF(COUNTIF('SAÍDA DE VENDAS'!$B$6:$B$500, B984)&gt;4, " + " &amp; IFERROR(INDEX('SAÍDA DE VENDAS'!$H$6:$H$500 &amp; "x " &amp; 'SAÍDA DE VENDAS'!$G$6:$G$500, MATCH(B984, 'SAÍDA DE VENDAS'!$B$6:$B$500, 0)+4), ""), "")&amp; IF(COUNTIF('SAÍDA DE VENDAS'!$B$6:$B$500, B984)&gt;5, " + " &amp; IFERROR(INDEX('SAÍDA DE VENDAS'!$H$6:$H$500 &amp; "x " &amp; 'SAÍDA DE VENDAS'!$G$6:$G$500, MATCH(B984, 'SAÍDA DE VENDAS'!$B$6:$B$500, 0)+5), ""), ""))</f>
        <v/>
      </c>
      <c r="G984" s="28">
        <f>IFERROR(VLOOKUP(B984,'SAÍDA DE VENDAS'!$B$6:$P$500,10,FALSE),"")</f>
        <v>0</v>
      </c>
      <c r="H984" s="28" t="str">
        <f>IF(OR(ISBLANK(B984),B984=""), "", IF(B984=B983, (VALUE(LEFT(H983,FIND("/",H983)-1))+1)&amp;"/"&amp;RIGHT(H983,LEN(H983)-FIND("/",H983)), "1/"&amp;IFERROR(VLOOKUP(B984,'SAÍDA DE VENDAS'!$B$6:$P$500,13,FALSE),"1")))</f>
        <v/>
      </c>
      <c r="I984" s="69" t="str">
        <f t="shared" si="30"/>
        <v/>
      </c>
      <c r="J984" s="33" t="str">
        <f>IFERROR(VLOOKUP(B984,'SAÍDA DE VENDAS'!$B$6:$P$500,15,FALSE),"")</f>
        <v/>
      </c>
      <c r="K984" s="28" t="str">
        <f t="shared" ca="1" si="31"/>
        <v/>
      </c>
      <c r="L984" s="28"/>
      <c r="M984" s="28"/>
    </row>
    <row r="985" spans="2:13" ht="15" customHeight="1" x14ac:dyDescent="0.3">
      <c r="B985" s="34" t="str">
        <f>IF(B984="","", IF(VALUE(LEFT(H984,FIND("/",H984)-1)) &lt; VALUE(RIGHT(H984,LEN(H984)-FIND("/",H984))), B984, IFERROR(INDEX('SAÍDA DE VENDAS'!$B$6:$B$500, MATCH(B984,'SAÍDA DE VENDAS'!$B$6:$B$500,0)+COUNTIF('SAÍDA DE VENDAS'!$B$6:$B$500, B984)),"")))</f>
        <v/>
      </c>
      <c r="C985" s="35">
        <f>IFERROR(VLOOKUP(B985,'SAÍDA DE VENDAS'!$B$6:$P$500,3,FALSE),"")</f>
        <v>0</v>
      </c>
      <c r="D985" s="34">
        <f>IFERROR(VLOOKUP(B985,'SAÍDA DE VENDAS'!$B$6:$P$500,4,FALSE),"")</f>
        <v>0</v>
      </c>
      <c r="E985" s="34" t="str">
        <f>IFERROR(VLOOKUP(B985,'SAÍDA DE VENDAS'!$B$6:$P$500,5,FALSE),"")</f>
        <v/>
      </c>
      <c r="F985" s="34" t="str">
        <f>IF(OR(ISBLANK(B985),B985=""), "", IFERROR(INDEX('SAÍDA DE VENDAS'!$H$6:$H$500 &amp; "x " &amp; 'SAÍDA DE VENDAS'!$G$6:$G$500, MATCH(B985, 'SAÍDA DE VENDAS'!$B$6:$B$500, 0)), "")&amp; IF(COUNTIF('SAÍDA DE VENDAS'!$B$6:$B$500, B985)&gt;1, " + " &amp; IFERROR(INDEX('SAÍDA DE VENDAS'!$H$6:$H$500 &amp; "x " &amp; 'SAÍDA DE VENDAS'!$G$6:$G$500, MATCH(B985, 'SAÍDA DE VENDAS'!$B$6:$B$500, 0)+1), ""), "")&amp; IF(COUNTIF('SAÍDA DE VENDAS'!$B$6:$B$500, B985)&gt;2, " + " &amp; IFERROR(INDEX('SAÍDA DE VENDAS'!$H$6:$H$500 &amp; "x " &amp; 'SAÍDA DE VENDAS'!$G$6:$G$500, MATCH(B985, 'SAÍDA DE VENDAS'!$B$6:$B$500, 0)+2), ""), "")&amp; IF(COUNTIF('SAÍDA DE VENDAS'!$B$6:$B$500, B985)&gt;3, " + " &amp; IFERROR(INDEX('SAÍDA DE VENDAS'!$H$6:$H$500 &amp; "x " &amp; 'SAÍDA DE VENDAS'!$G$6:$G$500, MATCH(B985, 'SAÍDA DE VENDAS'!$B$6:$B$500, 0)+3), ""), "")&amp; IF(COUNTIF('SAÍDA DE VENDAS'!$B$6:$B$500, B985)&gt;4, " + " &amp; IFERROR(INDEX('SAÍDA DE VENDAS'!$H$6:$H$500 &amp; "x " &amp; 'SAÍDA DE VENDAS'!$G$6:$G$500, MATCH(B985, 'SAÍDA DE VENDAS'!$B$6:$B$500, 0)+4), ""), "")&amp; IF(COUNTIF('SAÍDA DE VENDAS'!$B$6:$B$500, B985)&gt;5, " + " &amp; IFERROR(INDEX('SAÍDA DE VENDAS'!$H$6:$H$500 &amp; "x " &amp; 'SAÍDA DE VENDAS'!$G$6:$G$500, MATCH(B985, 'SAÍDA DE VENDAS'!$B$6:$B$500, 0)+5), ""), ""))</f>
        <v/>
      </c>
      <c r="G985" s="34">
        <f>IFERROR(VLOOKUP(B985,'SAÍDA DE VENDAS'!$B$6:$P$500,10,FALSE),"")</f>
        <v>0</v>
      </c>
      <c r="H985" s="34" t="str">
        <f>IF(OR(ISBLANK(B985),B985=""), "", IF(B985=B984, (VALUE(LEFT(H984,FIND("/",H984)-1))+1)&amp;"/"&amp;RIGHT(H984,LEN(H984)-FIND("/",H984)), "1/"&amp;IFERROR(VLOOKUP(B985,'SAÍDA DE VENDAS'!$B$6:$P$500,13,FALSE),"1")))</f>
        <v/>
      </c>
      <c r="I985" s="35" t="str">
        <f t="shared" si="30"/>
        <v/>
      </c>
      <c r="J985" s="39" t="str">
        <f>IFERROR(VLOOKUP(B985,'SAÍDA DE VENDAS'!$B$6:$P$500,15,FALSE),"")</f>
        <v/>
      </c>
      <c r="K985" s="34" t="str">
        <f t="shared" ca="1" si="31"/>
        <v/>
      </c>
      <c r="L985" s="34"/>
      <c r="M985" s="34"/>
    </row>
    <row r="986" spans="2:13" ht="15" customHeight="1" x14ac:dyDescent="0.3">
      <c r="B986" s="28" t="str">
        <f>IF(B985="","", IF(VALUE(LEFT(H985,FIND("/",H985)-1)) &lt; VALUE(RIGHT(H985,LEN(H985)-FIND("/",H985))), B985, IFERROR(INDEX('SAÍDA DE VENDAS'!$B$6:$B$500, MATCH(B985,'SAÍDA DE VENDAS'!$B$6:$B$500,0)+COUNTIF('SAÍDA DE VENDAS'!$B$6:$B$500, B985)),"")))</f>
        <v/>
      </c>
      <c r="C986" s="29">
        <f>IFERROR(VLOOKUP(B986,'SAÍDA DE VENDAS'!$B$6:$P$500,3,FALSE),"")</f>
        <v>0</v>
      </c>
      <c r="D986" s="28">
        <f>IFERROR(VLOOKUP(B986,'SAÍDA DE VENDAS'!$B$6:$P$500,4,FALSE),"")</f>
        <v>0</v>
      </c>
      <c r="E986" s="28" t="str">
        <f>IFERROR(VLOOKUP(B986,'SAÍDA DE VENDAS'!$B$6:$P$500,5,FALSE),"")</f>
        <v/>
      </c>
      <c r="F986" s="28" t="str">
        <f>IF(OR(ISBLANK(B986),B986=""), "", IFERROR(INDEX('SAÍDA DE VENDAS'!$H$6:$H$500 &amp; "x " &amp; 'SAÍDA DE VENDAS'!$G$6:$G$500, MATCH(B986, 'SAÍDA DE VENDAS'!$B$6:$B$500, 0)), "")&amp; IF(COUNTIF('SAÍDA DE VENDAS'!$B$6:$B$500, B986)&gt;1, " + " &amp; IFERROR(INDEX('SAÍDA DE VENDAS'!$H$6:$H$500 &amp; "x " &amp; 'SAÍDA DE VENDAS'!$G$6:$G$500, MATCH(B986, 'SAÍDA DE VENDAS'!$B$6:$B$500, 0)+1), ""), "")&amp; IF(COUNTIF('SAÍDA DE VENDAS'!$B$6:$B$500, B986)&gt;2, " + " &amp; IFERROR(INDEX('SAÍDA DE VENDAS'!$H$6:$H$500 &amp; "x " &amp; 'SAÍDA DE VENDAS'!$G$6:$G$500, MATCH(B986, 'SAÍDA DE VENDAS'!$B$6:$B$500, 0)+2), ""), "")&amp; IF(COUNTIF('SAÍDA DE VENDAS'!$B$6:$B$500, B986)&gt;3, " + " &amp; IFERROR(INDEX('SAÍDA DE VENDAS'!$H$6:$H$500 &amp; "x " &amp; 'SAÍDA DE VENDAS'!$G$6:$G$500, MATCH(B986, 'SAÍDA DE VENDAS'!$B$6:$B$500, 0)+3), ""), "")&amp; IF(COUNTIF('SAÍDA DE VENDAS'!$B$6:$B$500, B986)&gt;4, " + " &amp; IFERROR(INDEX('SAÍDA DE VENDAS'!$H$6:$H$500 &amp; "x " &amp; 'SAÍDA DE VENDAS'!$G$6:$G$500, MATCH(B986, 'SAÍDA DE VENDAS'!$B$6:$B$500, 0)+4), ""), "")&amp; IF(COUNTIF('SAÍDA DE VENDAS'!$B$6:$B$500, B986)&gt;5, " + " &amp; IFERROR(INDEX('SAÍDA DE VENDAS'!$H$6:$H$500 &amp; "x " &amp; 'SAÍDA DE VENDAS'!$G$6:$G$500, MATCH(B986, 'SAÍDA DE VENDAS'!$B$6:$B$500, 0)+5), ""), ""))</f>
        <v/>
      </c>
      <c r="G986" s="28">
        <f>IFERROR(VLOOKUP(B986,'SAÍDA DE VENDAS'!$B$6:$P$500,10,FALSE),"")</f>
        <v>0</v>
      </c>
      <c r="H986" s="28" t="str">
        <f>IF(OR(ISBLANK(B986),B986=""), "", IF(B986=B985, (VALUE(LEFT(H985,FIND("/",H985)-1))+1)&amp;"/"&amp;RIGHT(H985,LEN(H985)-FIND("/",H985)), "1/"&amp;IFERROR(VLOOKUP(B986,'SAÍDA DE VENDAS'!$B$6:$P$500,13,FALSE),"1")))</f>
        <v/>
      </c>
      <c r="I986" s="69" t="str">
        <f t="shared" si="30"/>
        <v/>
      </c>
      <c r="J986" s="33" t="str">
        <f>IFERROR(VLOOKUP(B986,'SAÍDA DE VENDAS'!$B$6:$P$500,15,FALSE),"")</f>
        <v/>
      </c>
      <c r="K986" s="28" t="str">
        <f t="shared" ca="1" si="31"/>
        <v/>
      </c>
      <c r="L986" s="28"/>
      <c r="M986" s="28"/>
    </row>
    <row r="987" spans="2:13" ht="15" customHeight="1" x14ac:dyDescent="0.3">
      <c r="B987" s="34" t="str">
        <f>IF(B986="","", IF(VALUE(LEFT(H986,FIND("/",H986)-1)) &lt; VALUE(RIGHT(H986,LEN(H986)-FIND("/",H986))), B986, IFERROR(INDEX('SAÍDA DE VENDAS'!$B$6:$B$500, MATCH(B986,'SAÍDA DE VENDAS'!$B$6:$B$500,0)+COUNTIF('SAÍDA DE VENDAS'!$B$6:$B$500, B986)),"")))</f>
        <v/>
      </c>
      <c r="C987" s="35">
        <f>IFERROR(VLOOKUP(B987,'SAÍDA DE VENDAS'!$B$6:$P$500,3,FALSE),"")</f>
        <v>0</v>
      </c>
      <c r="D987" s="34">
        <f>IFERROR(VLOOKUP(B987,'SAÍDA DE VENDAS'!$B$6:$P$500,4,FALSE),"")</f>
        <v>0</v>
      </c>
      <c r="E987" s="34" t="str">
        <f>IFERROR(VLOOKUP(B987,'SAÍDA DE VENDAS'!$B$6:$P$500,5,FALSE),"")</f>
        <v/>
      </c>
      <c r="F987" s="34" t="str">
        <f>IF(OR(ISBLANK(B987),B987=""), "", IFERROR(INDEX('SAÍDA DE VENDAS'!$H$6:$H$500 &amp; "x " &amp; 'SAÍDA DE VENDAS'!$G$6:$G$500, MATCH(B987, 'SAÍDA DE VENDAS'!$B$6:$B$500, 0)), "")&amp; IF(COUNTIF('SAÍDA DE VENDAS'!$B$6:$B$500, B987)&gt;1, " + " &amp; IFERROR(INDEX('SAÍDA DE VENDAS'!$H$6:$H$500 &amp; "x " &amp; 'SAÍDA DE VENDAS'!$G$6:$G$500, MATCH(B987, 'SAÍDA DE VENDAS'!$B$6:$B$500, 0)+1), ""), "")&amp; IF(COUNTIF('SAÍDA DE VENDAS'!$B$6:$B$500, B987)&gt;2, " + " &amp; IFERROR(INDEX('SAÍDA DE VENDAS'!$H$6:$H$500 &amp; "x " &amp; 'SAÍDA DE VENDAS'!$G$6:$G$500, MATCH(B987, 'SAÍDA DE VENDAS'!$B$6:$B$500, 0)+2), ""), "")&amp; IF(COUNTIF('SAÍDA DE VENDAS'!$B$6:$B$500, B987)&gt;3, " + " &amp; IFERROR(INDEX('SAÍDA DE VENDAS'!$H$6:$H$500 &amp; "x " &amp; 'SAÍDA DE VENDAS'!$G$6:$G$500, MATCH(B987, 'SAÍDA DE VENDAS'!$B$6:$B$500, 0)+3), ""), "")&amp; IF(COUNTIF('SAÍDA DE VENDAS'!$B$6:$B$500, B987)&gt;4, " + " &amp; IFERROR(INDEX('SAÍDA DE VENDAS'!$H$6:$H$500 &amp; "x " &amp; 'SAÍDA DE VENDAS'!$G$6:$G$500, MATCH(B987, 'SAÍDA DE VENDAS'!$B$6:$B$500, 0)+4), ""), "")&amp; IF(COUNTIF('SAÍDA DE VENDAS'!$B$6:$B$500, B987)&gt;5, " + " &amp; IFERROR(INDEX('SAÍDA DE VENDAS'!$H$6:$H$500 &amp; "x " &amp; 'SAÍDA DE VENDAS'!$G$6:$G$500, MATCH(B987, 'SAÍDA DE VENDAS'!$B$6:$B$500, 0)+5), ""), ""))</f>
        <v/>
      </c>
      <c r="G987" s="34">
        <f>IFERROR(VLOOKUP(B987,'SAÍDA DE VENDAS'!$B$6:$P$500,10,FALSE),"")</f>
        <v>0</v>
      </c>
      <c r="H987" s="34" t="str">
        <f>IF(OR(ISBLANK(B987),B987=""), "", IF(B987=B986, (VALUE(LEFT(H986,FIND("/",H986)-1))+1)&amp;"/"&amp;RIGHT(H986,LEN(H986)-FIND("/",H986)), "1/"&amp;IFERROR(VLOOKUP(B987,'SAÍDA DE VENDAS'!$B$6:$P$500,13,FALSE),"1")))</f>
        <v/>
      </c>
      <c r="I987" s="35" t="str">
        <f t="shared" si="30"/>
        <v/>
      </c>
      <c r="J987" s="39" t="str">
        <f>IFERROR(VLOOKUP(B987,'SAÍDA DE VENDAS'!$B$6:$P$500,15,FALSE),"")</f>
        <v/>
      </c>
      <c r="K987" s="34" t="str">
        <f t="shared" ca="1" si="31"/>
        <v/>
      </c>
      <c r="L987" s="34"/>
      <c r="M987" s="34"/>
    </row>
    <row r="988" spans="2:13" ht="15" customHeight="1" x14ac:dyDescent="0.3">
      <c r="B988" s="28" t="str">
        <f>IF(B987="","", IF(VALUE(LEFT(H987,FIND("/",H987)-1)) &lt; VALUE(RIGHT(H987,LEN(H987)-FIND("/",H987))), B987, IFERROR(INDEX('SAÍDA DE VENDAS'!$B$6:$B$500, MATCH(B987,'SAÍDA DE VENDAS'!$B$6:$B$500,0)+COUNTIF('SAÍDA DE VENDAS'!$B$6:$B$500, B987)),"")))</f>
        <v/>
      </c>
      <c r="C988" s="29">
        <f>IFERROR(VLOOKUP(B988,'SAÍDA DE VENDAS'!$B$6:$P$500,3,FALSE),"")</f>
        <v>0</v>
      </c>
      <c r="D988" s="28">
        <f>IFERROR(VLOOKUP(B988,'SAÍDA DE VENDAS'!$B$6:$P$500,4,FALSE),"")</f>
        <v>0</v>
      </c>
      <c r="E988" s="28" t="str">
        <f>IFERROR(VLOOKUP(B988,'SAÍDA DE VENDAS'!$B$6:$P$500,5,FALSE),"")</f>
        <v/>
      </c>
      <c r="F988" s="28" t="str">
        <f>IF(OR(ISBLANK(B988),B988=""), "", IFERROR(INDEX('SAÍDA DE VENDAS'!$H$6:$H$500 &amp; "x " &amp; 'SAÍDA DE VENDAS'!$G$6:$G$500, MATCH(B988, 'SAÍDA DE VENDAS'!$B$6:$B$500, 0)), "")&amp; IF(COUNTIF('SAÍDA DE VENDAS'!$B$6:$B$500, B988)&gt;1, " + " &amp; IFERROR(INDEX('SAÍDA DE VENDAS'!$H$6:$H$500 &amp; "x " &amp; 'SAÍDA DE VENDAS'!$G$6:$G$500, MATCH(B988, 'SAÍDA DE VENDAS'!$B$6:$B$500, 0)+1), ""), "")&amp; IF(COUNTIF('SAÍDA DE VENDAS'!$B$6:$B$500, B988)&gt;2, " + " &amp; IFERROR(INDEX('SAÍDA DE VENDAS'!$H$6:$H$500 &amp; "x " &amp; 'SAÍDA DE VENDAS'!$G$6:$G$500, MATCH(B988, 'SAÍDA DE VENDAS'!$B$6:$B$500, 0)+2), ""), "")&amp; IF(COUNTIF('SAÍDA DE VENDAS'!$B$6:$B$500, B988)&gt;3, " + " &amp; IFERROR(INDEX('SAÍDA DE VENDAS'!$H$6:$H$500 &amp; "x " &amp; 'SAÍDA DE VENDAS'!$G$6:$G$500, MATCH(B988, 'SAÍDA DE VENDAS'!$B$6:$B$500, 0)+3), ""), "")&amp; IF(COUNTIF('SAÍDA DE VENDAS'!$B$6:$B$500, B988)&gt;4, " + " &amp; IFERROR(INDEX('SAÍDA DE VENDAS'!$H$6:$H$500 &amp; "x " &amp; 'SAÍDA DE VENDAS'!$G$6:$G$500, MATCH(B988, 'SAÍDA DE VENDAS'!$B$6:$B$500, 0)+4), ""), "")&amp; IF(COUNTIF('SAÍDA DE VENDAS'!$B$6:$B$500, B988)&gt;5, " + " &amp; IFERROR(INDEX('SAÍDA DE VENDAS'!$H$6:$H$500 &amp; "x " &amp; 'SAÍDA DE VENDAS'!$G$6:$G$500, MATCH(B988, 'SAÍDA DE VENDAS'!$B$6:$B$500, 0)+5), ""), ""))</f>
        <v/>
      </c>
      <c r="G988" s="28">
        <f>IFERROR(VLOOKUP(B988,'SAÍDA DE VENDAS'!$B$6:$P$500,10,FALSE),"")</f>
        <v>0</v>
      </c>
      <c r="H988" s="28" t="str">
        <f>IF(OR(ISBLANK(B988),B988=""), "", IF(B988=B987, (VALUE(LEFT(H987,FIND("/",H987)-1))+1)&amp;"/"&amp;RIGHT(H987,LEN(H987)-FIND("/",H987)), "1/"&amp;IFERROR(VLOOKUP(B988,'SAÍDA DE VENDAS'!$B$6:$P$500,13,FALSE),"1")))</f>
        <v/>
      </c>
      <c r="I988" s="69" t="str">
        <f t="shared" si="30"/>
        <v/>
      </c>
      <c r="J988" s="33" t="str">
        <f>IFERROR(VLOOKUP(B988,'SAÍDA DE VENDAS'!$B$6:$P$500,15,FALSE),"")</f>
        <v/>
      </c>
      <c r="K988" s="28" t="str">
        <f t="shared" ca="1" si="31"/>
        <v/>
      </c>
      <c r="L988" s="28"/>
      <c r="M988" s="28"/>
    </row>
    <row r="989" spans="2:13" ht="15" customHeight="1" x14ac:dyDescent="0.3">
      <c r="B989" s="34" t="str">
        <f>IF(B988="","", IF(VALUE(LEFT(H988,FIND("/",H988)-1)) &lt; VALUE(RIGHT(H988,LEN(H988)-FIND("/",H988))), B988, IFERROR(INDEX('SAÍDA DE VENDAS'!$B$6:$B$500, MATCH(B988,'SAÍDA DE VENDAS'!$B$6:$B$500,0)+COUNTIF('SAÍDA DE VENDAS'!$B$6:$B$500, B988)),"")))</f>
        <v/>
      </c>
      <c r="C989" s="35">
        <f>IFERROR(VLOOKUP(B989,'SAÍDA DE VENDAS'!$B$6:$P$500,3,FALSE),"")</f>
        <v>0</v>
      </c>
      <c r="D989" s="34">
        <f>IFERROR(VLOOKUP(B989,'SAÍDA DE VENDAS'!$B$6:$P$500,4,FALSE),"")</f>
        <v>0</v>
      </c>
      <c r="E989" s="34" t="str">
        <f>IFERROR(VLOOKUP(B989,'SAÍDA DE VENDAS'!$B$6:$P$500,5,FALSE),"")</f>
        <v/>
      </c>
      <c r="F989" s="34" t="str">
        <f>IF(OR(ISBLANK(B989),B989=""), "", IFERROR(INDEX('SAÍDA DE VENDAS'!$H$6:$H$500 &amp; "x " &amp; 'SAÍDA DE VENDAS'!$G$6:$G$500, MATCH(B989, 'SAÍDA DE VENDAS'!$B$6:$B$500, 0)), "")&amp; IF(COUNTIF('SAÍDA DE VENDAS'!$B$6:$B$500, B989)&gt;1, " + " &amp; IFERROR(INDEX('SAÍDA DE VENDAS'!$H$6:$H$500 &amp; "x " &amp; 'SAÍDA DE VENDAS'!$G$6:$G$500, MATCH(B989, 'SAÍDA DE VENDAS'!$B$6:$B$500, 0)+1), ""), "")&amp; IF(COUNTIF('SAÍDA DE VENDAS'!$B$6:$B$500, B989)&gt;2, " + " &amp; IFERROR(INDEX('SAÍDA DE VENDAS'!$H$6:$H$500 &amp; "x " &amp; 'SAÍDA DE VENDAS'!$G$6:$G$500, MATCH(B989, 'SAÍDA DE VENDAS'!$B$6:$B$500, 0)+2), ""), "")&amp; IF(COUNTIF('SAÍDA DE VENDAS'!$B$6:$B$500, B989)&gt;3, " + " &amp; IFERROR(INDEX('SAÍDA DE VENDAS'!$H$6:$H$500 &amp; "x " &amp; 'SAÍDA DE VENDAS'!$G$6:$G$500, MATCH(B989, 'SAÍDA DE VENDAS'!$B$6:$B$500, 0)+3), ""), "")&amp; IF(COUNTIF('SAÍDA DE VENDAS'!$B$6:$B$500, B989)&gt;4, " + " &amp; IFERROR(INDEX('SAÍDA DE VENDAS'!$H$6:$H$500 &amp; "x " &amp; 'SAÍDA DE VENDAS'!$G$6:$G$500, MATCH(B989, 'SAÍDA DE VENDAS'!$B$6:$B$500, 0)+4), ""), "")&amp; IF(COUNTIF('SAÍDA DE VENDAS'!$B$6:$B$500, B989)&gt;5, " + " &amp; IFERROR(INDEX('SAÍDA DE VENDAS'!$H$6:$H$500 &amp; "x " &amp; 'SAÍDA DE VENDAS'!$G$6:$G$500, MATCH(B989, 'SAÍDA DE VENDAS'!$B$6:$B$500, 0)+5), ""), ""))</f>
        <v/>
      </c>
      <c r="G989" s="34">
        <f>IFERROR(VLOOKUP(B989,'SAÍDA DE VENDAS'!$B$6:$P$500,10,FALSE),"")</f>
        <v>0</v>
      </c>
      <c r="H989" s="34" t="str">
        <f>IF(OR(ISBLANK(B989),B989=""), "", IF(B989=B988, (VALUE(LEFT(H988,FIND("/",H988)-1))+1)&amp;"/"&amp;RIGHT(H988,LEN(H988)-FIND("/",H988)), "1/"&amp;IFERROR(VLOOKUP(B989,'SAÍDA DE VENDAS'!$B$6:$P$500,13,FALSE),"1")))</f>
        <v/>
      </c>
      <c r="I989" s="35" t="str">
        <f t="shared" si="30"/>
        <v/>
      </c>
      <c r="J989" s="39" t="str">
        <f>IFERROR(VLOOKUP(B989,'SAÍDA DE VENDAS'!$B$6:$P$500,15,FALSE),"")</f>
        <v/>
      </c>
      <c r="K989" s="34" t="str">
        <f t="shared" ca="1" si="31"/>
        <v/>
      </c>
      <c r="L989" s="34"/>
      <c r="M989" s="34"/>
    </row>
    <row r="990" spans="2:13" ht="15" customHeight="1" x14ac:dyDescent="0.3">
      <c r="B990" s="28" t="str">
        <f>IF(B989="","", IF(VALUE(LEFT(H989,FIND("/",H989)-1)) &lt; VALUE(RIGHT(H989,LEN(H989)-FIND("/",H989))), B989, IFERROR(INDEX('SAÍDA DE VENDAS'!$B$6:$B$500, MATCH(B989,'SAÍDA DE VENDAS'!$B$6:$B$500,0)+COUNTIF('SAÍDA DE VENDAS'!$B$6:$B$500, B989)),"")))</f>
        <v/>
      </c>
      <c r="C990" s="29">
        <f>IFERROR(VLOOKUP(B990,'SAÍDA DE VENDAS'!$B$6:$P$500,3,FALSE),"")</f>
        <v>0</v>
      </c>
      <c r="D990" s="28">
        <f>IFERROR(VLOOKUP(B990,'SAÍDA DE VENDAS'!$B$6:$P$500,4,FALSE),"")</f>
        <v>0</v>
      </c>
      <c r="E990" s="28" t="str">
        <f>IFERROR(VLOOKUP(B990,'SAÍDA DE VENDAS'!$B$6:$P$500,5,FALSE),"")</f>
        <v/>
      </c>
      <c r="F990" s="28" t="str">
        <f>IF(OR(ISBLANK(B990),B990=""), "", IFERROR(INDEX('SAÍDA DE VENDAS'!$H$6:$H$500 &amp; "x " &amp; 'SAÍDA DE VENDAS'!$G$6:$G$500, MATCH(B990, 'SAÍDA DE VENDAS'!$B$6:$B$500, 0)), "")&amp; IF(COUNTIF('SAÍDA DE VENDAS'!$B$6:$B$500, B990)&gt;1, " + " &amp; IFERROR(INDEX('SAÍDA DE VENDAS'!$H$6:$H$500 &amp; "x " &amp; 'SAÍDA DE VENDAS'!$G$6:$G$500, MATCH(B990, 'SAÍDA DE VENDAS'!$B$6:$B$500, 0)+1), ""), "")&amp; IF(COUNTIF('SAÍDA DE VENDAS'!$B$6:$B$500, B990)&gt;2, " + " &amp; IFERROR(INDEX('SAÍDA DE VENDAS'!$H$6:$H$500 &amp; "x " &amp; 'SAÍDA DE VENDAS'!$G$6:$G$500, MATCH(B990, 'SAÍDA DE VENDAS'!$B$6:$B$500, 0)+2), ""), "")&amp; IF(COUNTIF('SAÍDA DE VENDAS'!$B$6:$B$500, B990)&gt;3, " + " &amp; IFERROR(INDEX('SAÍDA DE VENDAS'!$H$6:$H$500 &amp; "x " &amp; 'SAÍDA DE VENDAS'!$G$6:$G$500, MATCH(B990, 'SAÍDA DE VENDAS'!$B$6:$B$500, 0)+3), ""), "")&amp; IF(COUNTIF('SAÍDA DE VENDAS'!$B$6:$B$500, B990)&gt;4, " + " &amp; IFERROR(INDEX('SAÍDA DE VENDAS'!$H$6:$H$500 &amp; "x " &amp; 'SAÍDA DE VENDAS'!$G$6:$G$500, MATCH(B990, 'SAÍDA DE VENDAS'!$B$6:$B$500, 0)+4), ""), "")&amp; IF(COUNTIF('SAÍDA DE VENDAS'!$B$6:$B$500, B990)&gt;5, " + " &amp; IFERROR(INDEX('SAÍDA DE VENDAS'!$H$6:$H$500 &amp; "x " &amp; 'SAÍDA DE VENDAS'!$G$6:$G$500, MATCH(B990, 'SAÍDA DE VENDAS'!$B$6:$B$500, 0)+5), ""), ""))</f>
        <v/>
      </c>
      <c r="G990" s="28">
        <f>IFERROR(VLOOKUP(B990,'SAÍDA DE VENDAS'!$B$6:$P$500,10,FALSE),"")</f>
        <v>0</v>
      </c>
      <c r="H990" s="28" t="str">
        <f>IF(OR(ISBLANK(B990),B990=""), "", IF(B990=B989, (VALUE(LEFT(H989,FIND("/",H989)-1))+1)&amp;"/"&amp;RIGHT(H989,LEN(H989)-FIND("/",H989)), "1/"&amp;IFERROR(VLOOKUP(B990,'SAÍDA DE VENDAS'!$B$6:$P$500,13,FALSE),"1")))</f>
        <v/>
      </c>
      <c r="I990" s="69" t="str">
        <f t="shared" si="30"/>
        <v/>
      </c>
      <c r="J990" s="33" t="str">
        <f>IFERROR(VLOOKUP(B990,'SAÍDA DE VENDAS'!$B$6:$P$500,15,FALSE),"")</f>
        <v/>
      </c>
      <c r="K990" s="28" t="str">
        <f t="shared" ca="1" si="31"/>
        <v/>
      </c>
      <c r="L990" s="28"/>
      <c r="M990" s="28"/>
    </row>
    <row r="991" spans="2:13" ht="15" customHeight="1" x14ac:dyDescent="0.3">
      <c r="B991" s="34" t="str">
        <f>IF(B990="","", IF(VALUE(LEFT(H990,FIND("/",H990)-1)) &lt; VALUE(RIGHT(H990,LEN(H990)-FIND("/",H990))), B990, IFERROR(INDEX('SAÍDA DE VENDAS'!$B$6:$B$500, MATCH(B990,'SAÍDA DE VENDAS'!$B$6:$B$500,0)+COUNTIF('SAÍDA DE VENDAS'!$B$6:$B$500, B990)),"")))</f>
        <v/>
      </c>
      <c r="C991" s="35">
        <f>IFERROR(VLOOKUP(B991,'SAÍDA DE VENDAS'!$B$6:$P$500,3,FALSE),"")</f>
        <v>0</v>
      </c>
      <c r="D991" s="34">
        <f>IFERROR(VLOOKUP(B991,'SAÍDA DE VENDAS'!$B$6:$P$500,4,FALSE),"")</f>
        <v>0</v>
      </c>
      <c r="E991" s="34" t="str">
        <f>IFERROR(VLOOKUP(B991,'SAÍDA DE VENDAS'!$B$6:$P$500,5,FALSE),"")</f>
        <v/>
      </c>
      <c r="F991" s="34" t="str">
        <f>IF(OR(ISBLANK(B991),B991=""), "", IFERROR(INDEX('SAÍDA DE VENDAS'!$H$6:$H$500 &amp; "x " &amp; 'SAÍDA DE VENDAS'!$G$6:$G$500, MATCH(B991, 'SAÍDA DE VENDAS'!$B$6:$B$500, 0)), "")&amp; IF(COUNTIF('SAÍDA DE VENDAS'!$B$6:$B$500, B991)&gt;1, " + " &amp; IFERROR(INDEX('SAÍDA DE VENDAS'!$H$6:$H$500 &amp; "x " &amp; 'SAÍDA DE VENDAS'!$G$6:$G$500, MATCH(B991, 'SAÍDA DE VENDAS'!$B$6:$B$500, 0)+1), ""), "")&amp; IF(COUNTIF('SAÍDA DE VENDAS'!$B$6:$B$500, B991)&gt;2, " + " &amp; IFERROR(INDEX('SAÍDA DE VENDAS'!$H$6:$H$500 &amp; "x " &amp; 'SAÍDA DE VENDAS'!$G$6:$G$500, MATCH(B991, 'SAÍDA DE VENDAS'!$B$6:$B$500, 0)+2), ""), "")&amp; IF(COUNTIF('SAÍDA DE VENDAS'!$B$6:$B$500, B991)&gt;3, " + " &amp; IFERROR(INDEX('SAÍDA DE VENDAS'!$H$6:$H$500 &amp; "x " &amp; 'SAÍDA DE VENDAS'!$G$6:$G$500, MATCH(B991, 'SAÍDA DE VENDAS'!$B$6:$B$500, 0)+3), ""), "")&amp; IF(COUNTIF('SAÍDA DE VENDAS'!$B$6:$B$500, B991)&gt;4, " + " &amp; IFERROR(INDEX('SAÍDA DE VENDAS'!$H$6:$H$500 &amp; "x " &amp; 'SAÍDA DE VENDAS'!$G$6:$G$500, MATCH(B991, 'SAÍDA DE VENDAS'!$B$6:$B$500, 0)+4), ""), "")&amp; IF(COUNTIF('SAÍDA DE VENDAS'!$B$6:$B$500, B991)&gt;5, " + " &amp; IFERROR(INDEX('SAÍDA DE VENDAS'!$H$6:$H$500 &amp; "x " &amp; 'SAÍDA DE VENDAS'!$G$6:$G$500, MATCH(B991, 'SAÍDA DE VENDAS'!$B$6:$B$500, 0)+5), ""), ""))</f>
        <v/>
      </c>
      <c r="G991" s="34">
        <f>IFERROR(VLOOKUP(B991,'SAÍDA DE VENDAS'!$B$6:$P$500,10,FALSE),"")</f>
        <v>0</v>
      </c>
      <c r="H991" s="34" t="str">
        <f>IF(OR(ISBLANK(B991),B991=""), "", IF(B991=B990, (VALUE(LEFT(H990,FIND("/",H990)-1))+1)&amp;"/"&amp;RIGHT(H990,LEN(H990)-FIND("/",H990)), "1/"&amp;IFERROR(VLOOKUP(B991,'SAÍDA DE VENDAS'!$B$6:$P$500,13,FALSE),"1")))</f>
        <v/>
      </c>
      <c r="I991" s="35" t="str">
        <f t="shared" si="30"/>
        <v/>
      </c>
      <c r="J991" s="39" t="str">
        <f>IFERROR(VLOOKUP(B991,'SAÍDA DE VENDAS'!$B$6:$P$500,15,FALSE),"")</f>
        <v/>
      </c>
      <c r="K991" s="34" t="str">
        <f t="shared" ca="1" si="31"/>
        <v/>
      </c>
      <c r="L991" s="34"/>
      <c r="M991" s="34"/>
    </row>
    <row r="992" spans="2:13" ht="15" customHeight="1" x14ac:dyDescent="0.3">
      <c r="B992" s="28" t="str">
        <f>IF(B991="","", IF(VALUE(LEFT(H991,FIND("/",H991)-1)) &lt; VALUE(RIGHT(H991,LEN(H991)-FIND("/",H991))), B991, IFERROR(INDEX('SAÍDA DE VENDAS'!$B$6:$B$500, MATCH(B991,'SAÍDA DE VENDAS'!$B$6:$B$500,0)+COUNTIF('SAÍDA DE VENDAS'!$B$6:$B$500, B991)),"")))</f>
        <v/>
      </c>
      <c r="C992" s="29">
        <f>IFERROR(VLOOKUP(B992,'SAÍDA DE VENDAS'!$B$6:$P$500,3,FALSE),"")</f>
        <v>0</v>
      </c>
      <c r="D992" s="28">
        <f>IFERROR(VLOOKUP(B992,'SAÍDA DE VENDAS'!$B$6:$P$500,4,FALSE),"")</f>
        <v>0</v>
      </c>
      <c r="E992" s="28" t="str">
        <f>IFERROR(VLOOKUP(B992,'SAÍDA DE VENDAS'!$B$6:$P$500,5,FALSE),"")</f>
        <v/>
      </c>
      <c r="F992" s="28" t="str">
        <f>IF(OR(ISBLANK(B992),B992=""), "", IFERROR(INDEX('SAÍDA DE VENDAS'!$H$6:$H$500 &amp; "x " &amp; 'SAÍDA DE VENDAS'!$G$6:$G$500, MATCH(B992, 'SAÍDA DE VENDAS'!$B$6:$B$500, 0)), "")&amp; IF(COUNTIF('SAÍDA DE VENDAS'!$B$6:$B$500, B992)&gt;1, " + " &amp; IFERROR(INDEX('SAÍDA DE VENDAS'!$H$6:$H$500 &amp; "x " &amp; 'SAÍDA DE VENDAS'!$G$6:$G$500, MATCH(B992, 'SAÍDA DE VENDAS'!$B$6:$B$500, 0)+1), ""), "")&amp; IF(COUNTIF('SAÍDA DE VENDAS'!$B$6:$B$500, B992)&gt;2, " + " &amp; IFERROR(INDEX('SAÍDA DE VENDAS'!$H$6:$H$500 &amp; "x " &amp; 'SAÍDA DE VENDAS'!$G$6:$G$500, MATCH(B992, 'SAÍDA DE VENDAS'!$B$6:$B$500, 0)+2), ""), "")&amp; IF(COUNTIF('SAÍDA DE VENDAS'!$B$6:$B$500, B992)&gt;3, " + " &amp; IFERROR(INDEX('SAÍDA DE VENDAS'!$H$6:$H$500 &amp; "x " &amp; 'SAÍDA DE VENDAS'!$G$6:$G$500, MATCH(B992, 'SAÍDA DE VENDAS'!$B$6:$B$500, 0)+3), ""), "")&amp; IF(COUNTIF('SAÍDA DE VENDAS'!$B$6:$B$500, B992)&gt;4, " + " &amp; IFERROR(INDEX('SAÍDA DE VENDAS'!$H$6:$H$500 &amp; "x " &amp; 'SAÍDA DE VENDAS'!$G$6:$G$500, MATCH(B992, 'SAÍDA DE VENDAS'!$B$6:$B$500, 0)+4), ""), "")&amp; IF(COUNTIF('SAÍDA DE VENDAS'!$B$6:$B$500, B992)&gt;5, " + " &amp; IFERROR(INDEX('SAÍDA DE VENDAS'!$H$6:$H$500 &amp; "x " &amp; 'SAÍDA DE VENDAS'!$G$6:$G$500, MATCH(B992, 'SAÍDA DE VENDAS'!$B$6:$B$500, 0)+5), ""), ""))</f>
        <v/>
      </c>
      <c r="G992" s="28">
        <f>IFERROR(VLOOKUP(B992,'SAÍDA DE VENDAS'!$B$6:$P$500,10,FALSE),"")</f>
        <v>0</v>
      </c>
      <c r="H992" s="28" t="str">
        <f>IF(OR(ISBLANK(B992),B992=""), "", IF(B992=B991, (VALUE(LEFT(H991,FIND("/",H991)-1))+1)&amp;"/"&amp;RIGHT(H991,LEN(H991)-FIND("/",H991)), "1/"&amp;IFERROR(VLOOKUP(B992,'SAÍDA DE VENDAS'!$B$6:$P$500,13,FALSE),"1")))</f>
        <v/>
      </c>
      <c r="I992" s="69" t="str">
        <f t="shared" si="30"/>
        <v/>
      </c>
      <c r="J992" s="33" t="str">
        <f>IFERROR(VLOOKUP(B992,'SAÍDA DE VENDAS'!$B$6:$P$500,15,FALSE),"")</f>
        <v/>
      </c>
      <c r="K992" s="28" t="str">
        <f t="shared" ca="1" si="31"/>
        <v/>
      </c>
      <c r="L992" s="28"/>
      <c r="M992" s="28"/>
    </row>
    <row r="993" spans="2:13" ht="15" customHeight="1" x14ac:dyDescent="0.3">
      <c r="B993" s="34" t="str">
        <f>IF(B992="","", IF(VALUE(LEFT(H992,FIND("/",H992)-1)) &lt; VALUE(RIGHT(H992,LEN(H992)-FIND("/",H992))), B992, IFERROR(INDEX('SAÍDA DE VENDAS'!$B$6:$B$500, MATCH(B992,'SAÍDA DE VENDAS'!$B$6:$B$500,0)+COUNTIF('SAÍDA DE VENDAS'!$B$6:$B$500, B992)),"")))</f>
        <v/>
      </c>
      <c r="C993" s="35">
        <f>IFERROR(VLOOKUP(B993,'SAÍDA DE VENDAS'!$B$6:$P$500,3,FALSE),"")</f>
        <v>0</v>
      </c>
      <c r="D993" s="34">
        <f>IFERROR(VLOOKUP(B993,'SAÍDA DE VENDAS'!$B$6:$P$500,4,FALSE),"")</f>
        <v>0</v>
      </c>
      <c r="E993" s="34" t="str">
        <f>IFERROR(VLOOKUP(B993,'SAÍDA DE VENDAS'!$B$6:$P$500,5,FALSE),"")</f>
        <v/>
      </c>
      <c r="F993" s="34" t="str">
        <f>IF(OR(ISBLANK(B993),B993=""), "", IFERROR(INDEX('SAÍDA DE VENDAS'!$H$6:$H$500 &amp; "x " &amp; 'SAÍDA DE VENDAS'!$G$6:$G$500, MATCH(B993, 'SAÍDA DE VENDAS'!$B$6:$B$500, 0)), "")&amp; IF(COUNTIF('SAÍDA DE VENDAS'!$B$6:$B$500, B993)&gt;1, " + " &amp; IFERROR(INDEX('SAÍDA DE VENDAS'!$H$6:$H$500 &amp; "x " &amp; 'SAÍDA DE VENDAS'!$G$6:$G$500, MATCH(B993, 'SAÍDA DE VENDAS'!$B$6:$B$500, 0)+1), ""), "")&amp; IF(COUNTIF('SAÍDA DE VENDAS'!$B$6:$B$500, B993)&gt;2, " + " &amp; IFERROR(INDEX('SAÍDA DE VENDAS'!$H$6:$H$500 &amp; "x " &amp; 'SAÍDA DE VENDAS'!$G$6:$G$500, MATCH(B993, 'SAÍDA DE VENDAS'!$B$6:$B$500, 0)+2), ""), "")&amp; IF(COUNTIF('SAÍDA DE VENDAS'!$B$6:$B$500, B993)&gt;3, " + " &amp; IFERROR(INDEX('SAÍDA DE VENDAS'!$H$6:$H$500 &amp; "x " &amp; 'SAÍDA DE VENDAS'!$G$6:$G$500, MATCH(B993, 'SAÍDA DE VENDAS'!$B$6:$B$500, 0)+3), ""), "")&amp; IF(COUNTIF('SAÍDA DE VENDAS'!$B$6:$B$500, B993)&gt;4, " + " &amp; IFERROR(INDEX('SAÍDA DE VENDAS'!$H$6:$H$500 &amp; "x " &amp; 'SAÍDA DE VENDAS'!$G$6:$G$500, MATCH(B993, 'SAÍDA DE VENDAS'!$B$6:$B$500, 0)+4), ""), "")&amp; IF(COUNTIF('SAÍDA DE VENDAS'!$B$6:$B$500, B993)&gt;5, " + " &amp; IFERROR(INDEX('SAÍDA DE VENDAS'!$H$6:$H$500 &amp; "x " &amp; 'SAÍDA DE VENDAS'!$G$6:$G$500, MATCH(B993, 'SAÍDA DE VENDAS'!$B$6:$B$500, 0)+5), ""), ""))</f>
        <v/>
      </c>
      <c r="G993" s="34">
        <f>IFERROR(VLOOKUP(B993,'SAÍDA DE VENDAS'!$B$6:$P$500,10,FALSE),"")</f>
        <v>0</v>
      </c>
      <c r="H993" s="34" t="str">
        <f>IF(OR(ISBLANK(B993),B993=""), "", IF(B993=B992, (VALUE(LEFT(H992,FIND("/",H992)-1))+1)&amp;"/"&amp;RIGHT(H992,LEN(H992)-FIND("/",H992)), "1/"&amp;IFERROR(VLOOKUP(B993,'SAÍDA DE VENDAS'!$B$6:$P$500,13,FALSE),"1")))</f>
        <v/>
      </c>
      <c r="I993" s="35" t="str">
        <f t="shared" si="30"/>
        <v/>
      </c>
      <c r="J993" s="39" t="str">
        <f>IFERROR(VLOOKUP(B993,'SAÍDA DE VENDAS'!$B$6:$P$500,15,FALSE),"")</f>
        <v/>
      </c>
      <c r="K993" s="34" t="str">
        <f t="shared" ca="1" si="31"/>
        <v/>
      </c>
      <c r="L993" s="34"/>
      <c r="M993" s="34"/>
    </row>
    <row r="994" spans="2:13" ht="15" customHeight="1" x14ac:dyDescent="0.3">
      <c r="B994" s="28" t="str">
        <f>IF(B993="","", IF(VALUE(LEFT(H993,FIND("/",H993)-1)) &lt; VALUE(RIGHT(H993,LEN(H993)-FIND("/",H993))), B993, IFERROR(INDEX('SAÍDA DE VENDAS'!$B$6:$B$500, MATCH(B993,'SAÍDA DE VENDAS'!$B$6:$B$500,0)+COUNTIF('SAÍDA DE VENDAS'!$B$6:$B$500, B993)),"")))</f>
        <v/>
      </c>
      <c r="C994" s="29">
        <f>IFERROR(VLOOKUP(B994,'SAÍDA DE VENDAS'!$B$6:$P$500,3,FALSE),"")</f>
        <v>0</v>
      </c>
      <c r="D994" s="28">
        <f>IFERROR(VLOOKUP(B994,'SAÍDA DE VENDAS'!$B$6:$P$500,4,FALSE),"")</f>
        <v>0</v>
      </c>
      <c r="E994" s="28" t="str">
        <f>IFERROR(VLOOKUP(B994,'SAÍDA DE VENDAS'!$B$6:$P$500,5,FALSE),"")</f>
        <v/>
      </c>
      <c r="F994" s="28" t="str">
        <f>IF(OR(ISBLANK(B994),B994=""), "", IFERROR(INDEX('SAÍDA DE VENDAS'!$H$6:$H$500 &amp; "x " &amp; 'SAÍDA DE VENDAS'!$G$6:$G$500, MATCH(B994, 'SAÍDA DE VENDAS'!$B$6:$B$500, 0)), "")&amp; IF(COUNTIF('SAÍDA DE VENDAS'!$B$6:$B$500, B994)&gt;1, " + " &amp; IFERROR(INDEX('SAÍDA DE VENDAS'!$H$6:$H$500 &amp; "x " &amp; 'SAÍDA DE VENDAS'!$G$6:$G$500, MATCH(B994, 'SAÍDA DE VENDAS'!$B$6:$B$500, 0)+1), ""), "")&amp; IF(COUNTIF('SAÍDA DE VENDAS'!$B$6:$B$500, B994)&gt;2, " + " &amp; IFERROR(INDEX('SAÍDA DE VENDAS'!$H$6:$H$500 &amp; "x " &amp; 'SAÍDA DE VENDAS'!$G$6:$G$500, MATCH(B994, 'SAÍDA DE VENDAS'!$B$6:$B$500, 0)+2), ""), "")&amp; IF(COUNTIF('SAÍDA DE VENDAS'!$B$6:$B$500, B994)&gt;3, " + " &amp; IFERROR(INDEX('SAÍDA DE VENDAS'!$H$6:$H$500 &amp; "x " &amp; 'SAÍDA DE VENDAS'!$G$6:$G$500, MATCH(B994, 'SAÍDA DE VENDAS'!$B$6:$B$500, 0)+3), ""), "")&amp; IF(COUNTIF('SAÍDA DE VENDAS'!$B$6:$B$500, B994)&gt;4, " + " &amp; IFERROR(INDEX('SAÍDA DE VENDAS'!$H$6:$H$500 &amp; "x " &amp; 'SAÍDA DE VENDAS'!$G$6:$G$500, MATCH(B994, 'SAÍDA DE VENDAS'!$B$6:$B$500, 0)+4), ""), "")&amp; IF(COUNTIF('SAÍDA DE VENDAS'!$B$6:$B$500, B994)&gt;5, " + " &amp; IFERROR(INDEX('SAÍDA DE VENDAS'!$H$6:$H$500 &amp; "x " &amp; 'SAÍDA DE VENDAS'!$G$6:$G$500, MATCH(B994, 'SAÍDA DE VENDAS'!$B$6:$B$500, 0)+5), ""), ""))</f>
        <v/>
      </c>
      <c r="G994" s="28">
        <f>IFERROR(VLOOKUP(B994,'SAÍDA DE VENDAS'!$B$6:$P$500,10,FALSE),"")</f>
        <v>0</v>
      </c>
      <c r="H994" s="28" t="str">
        <f>IF(OR(ISBLANK(B994),B994=""), "", IF(B994=B993, (VALUE(LEFT(H993,FIND("/",H993)-1))+1)&amp;"/"&amp;RIGHT(H993,LEN(H993)-FIND("/",H993)), "1/"&amp;IFERROR(VLOOKUP(B994,'SAÍDA DE VENDAS'!$B$6:$P$500,13,FALSE),"1")))</f>
        <v/>
      </c>
      <c r="I994" s="69" t="str">
        <f t="shared" si="30"/>
        <v/>
      </c>
      <c r="J994" s="33" t="str">
        <f>IFERROR(VLOOKUP(B994,'SAÍDA DE VENDAS'!$B$6:$P$500,15,FALSE),"")</f>
        <v/>
      </c>
      <c r="K994" s="28" t="str">
        <f t="shared" ca="1" si="31"/>
        <v/>
      </c>
      <c r="L994" s="28"/>
      <c r="M994" s="28"/>
    </row>
    <row r="995" spans="2:13" ht="15" customHeight="1" x14ac:dyDescent="0.3">
      <c r="B995" s="34" t="str">
        <f>IF(B994="","", IF(VALUE(LEFT(H994,FIND("/",H994)-1)) &lt; VALUE(RIGHT(H994,LEN(H994)-FIND("/",H994))), B994, IFERROR(INDEX('SAÍDA DE VENDAS'!$B$6:$B$500, MATCH(B994,'SAÍDA DE VENDAS'!$B$6:$B$500,0)+COUNTIF('SAÍDA DE VENDAS'!$B$6:$B$500, B994)),"")))</f>
        <v/>
      </c>
      <c r="C995" s="35">
        <f>IFERROR(VLOOKUP(B995,'SAÍDA DE VENDAS'!$B$6:$P$500,3,FALSE),"")</f>
        <v>0</v>
      </c>
      <c r="D995" s="34">
        <f>IFERROR(VLOOKUP(B995,'SAÍDA DE VENDAS'!$B$6:$P$500,4,FALSE),"")</f>
        <v>0</v>
      </c>
      <c r="E995" s="34" t="str">
        <f>IFERROR(VLOOKUP(B995,'SAÍDA DE VENDAS'!$B$6:$P$500,5,FALSE),"")</f>
        <v/>
      </c>
      <c r="F995" s="34" t="str">
        <f>IF(OR(ISBLANK(B995),B995=""), "", IFERROR(INDEX('SAÍDA DE VENDAS'!$H$6:$H$500 &amp; "x " &amp; 'SAÍDA DE VENDAS'!$G$6:$G$500, MATCH(B995, 'SAÍDA DE VENDAS'!$B$6:$B$500, 0)), "")&amp; IF(COUNTIF('SAÍDA DE VENDAS'!$B$6:$B$500, B995)&gt;1, " + " &amp; IFERROR(INDEX('SAÍDA DE VENDAS'!$H$6:$H$500 &amp; "x " &amp; 'SAÍDA DE VENDAS'!$G$6:$G$500, MATCH(B995, 'SAÍDA DE VENDAS'!$B$6:$B$500, 0)+1), ""), "")&amp; IF(COUNTIF('SAÍDA DE VENDAS'!$B$6:$B$500, B995)&gt;2, " + " &amp; IFERROR(INDEX('SAÍDA DE VENDAS'!$H$6:$H$500 &amp; "x " &amp; 'SAÍDA DE VENDAS'!$G$6:$G$500, MATCH(B995, 'SAÍDA DE VENDAS'!$B$6:$B$500, 0)+2), ""), "")&amp; IF(COUNTIF('SAÍDA DE VENDAS'!$B$6:$B$500, B995)&gt;3, " + " &amp; IFERROR(INDEX('SAÍDA DE VENDAS'!$H$6:$H$500 &amp; "x " &amp; 'SAÍDA DE VENDAS'!$G$6:$G$500, MATCH(B995, 'SAÍDA DE VENDAS'!$B$6:$B$500, 0)+3), ""), "")&amp; IF(COUNTIF('SAÍDA DE VENDAS'!$B$6:$B$500, B995)&gt;4, " + " &amp; IFERROR(INDEX('SAÍDA DE VENDAS'!$H$6:$H$500 &amp; "x " &amp; 'SAÍDA DE VENDAS'!$G$6:$G$500, MATCH(B995, 'SAÍDA DE VENDAS'!$B$6:$B$500, 0)+4), ""), "")&amp; IF(COUNTIF('SAÍDA DE VENDAS'!$B$6:$B$500, B995)&gt;5, " + " &amp; IFERROR(INDEX('SAÍDA DE VENDAS'!$H$6:$H$500 &amp; "x " &amp; 'SAÍDA DE VENDAS'!$G$6:$G$500, MATCH(B995, 'SAÍDA DE VENDAS'!$B$6:$B$500, 0)+5), ""), ""))</f>
        <v/>
      </c>
      <c r="G995" s="34">
        <f>IFERROR(VLOOKUP(B995,'SAÍDA DE VENDAS'!$B$6:$P$500,10,FALSE),"")</f>
        <v>0</v>
      </c>
      <c r="H995" s="34" t="str">
        <f>IF(OR(ISBLANK(B995),B995=""), "", IF(B995=B994, (VALUE(LEFT(H994,FIND("/",H994)-1))+1)&amp;"/"&amp;RIGHT(H994,LEN(H994)-FIND("/",H994)), "1/"&amp;IFERROR(VLOOKUP(B995,'SAÍDA DE VENDAS'!$B$6:$P$500,13,FALSE),"1")))</f>
        <v/>
      </c>
      <c r="I995" s="35" t="str">
        <f t="shared" si="30"/>
        <v/>
      </c>
      <c r="J995" s="39" t="str">
        <f>IFERROR(VLOOKUP(B995,'SAÍDA DE VENDAS'!$B$6:$P$500,15,FALSE),"")</f>
        <v/>
      </c>
      <c r="K995" s="34" t="str">
        <f t="shared" ca="1" si="31"/>
        <v/>
      </c>
      <c r="L995" s="34"/>
      <c r="M995" s="34"/>
    </row>
    <row r="996" spans="2:13" ht="15" customHeight="1" x14ac:dyDescent="0.3">
      <c r="B996" s="28" t="str">
        <f>IF(B995="","", IF(VALUE(LEFT(H995,FIND("/",H995)-1)) &lt; VALUE(RIGHT(H995,LEN(H995)-FIND("/",H995))), B995, IFERROR(INDEX('SAÍDA DE VENDAS'!$B$6:$B$500, MATCH(B995,'SAÍDA DE VENDAS'!$B$6:$B$500,0)+COUNTIF('SAÍDA DE VENDAS'!$B$6:$B$500, B995)),"")))</f>
        <v/>
      </c>
      <c r="C996" s="29">
        <f>IFERROR(VLOOKUP(B996,'SAÍDA DE VENDAS'!$B$6:$P$500,3,FALSE),"")</f>
        <v>0</v>
      </c>
      <c r="D996" s="28">
        <f>IFERROR(VLOOKUP(B996,'SAÍDA DE VENDAS'!$B$6:$P$500,4,FALSE),"")</f>
        <v>0</v>
      </c>
      <c r="E996" s="28" t="str">
        <f>IFERROR(VLOOKUP(B996,'SAÍDA DE VENDAS'!$B$6:$P$500,5,FALSE),"")</f>
        <v/>
      </c>
      <c r="F996" s="28" t="str">
        <f>IF(OR(ISBLANK(B996),B996=""), "", IFERROR(INDEX('SAÍDA DE VENDAS'!$H$6:$H$500 &amp; "x " &amp; 'SAÍDA DE VENDAS'!$G$6:$G$500, MATCH(B996, 'SAÍDA DE VENDAS'!$B$6:$B$500, 0)), "")&amp; IF(COUNTIF('SAÍDA DE VENDAS'!$B$6:$B$500, B996)&gt;1, " + " &amp; IFERROR(INDEX('SAÍDA DE VENDAS'!$H$6:$H$500 &amp; "x " &amp; 'SAÍDA DE VENDAS'!$G$6:$G$500, MATCH(B996, 'SAÍDA DE VENDAS'!$B$6:$B$500, 0)+1), ""), "")&amp; IF(COUNTIF('SAÍDA DE VENDAS'!$B$6:$B$500, B996)&gt;2, " + " &amp; IFERROR(INDEX('SAÍDA DE VENDAS'!$H$6:$H$500 &amp; "x " &amp; 'SAÍDA DE VENDAS'!$G$6:$G$500, MATCH(B996, 'SAÍDA DE VENDAS'!$B$6:$B$500, 0)+2), ""), "")&amp; IF(COUNTIF('SAÍDA DE VENDAS'!$B$6:$B$500, B996)&gt;3, " + " &amp; IFERROR(INDEX('SAÍDA DE VENDAS'!$H$6:$H$500 &amp; "x " &amp; 'SAÍDA DE VENDAS'!$G$6:$G$500, MATCH(B996, 'SAÍDA DE VENDAS'!$B$6:$B$500, 0)+3), ""), "")&amp; IF(COUNTIF('SAÍDA DE VENDAS'!$B$6:$B$500, B996)&gt;4, " + " &amp; IFERROR(INDEX('SAÍDA DE VENDAS'!$H$6:$H$500 &amp; "x " &amp; 'SAÍDA DE VENDAS'!$G$6:$G$500, MATCH(B996, 'SAÍDA DE VENDAS'!$B$6:$B$500, 0)+4), ""), "")&amp; IF(COUNTIF('SAÍDA DE VENDAS'!$B$6:$B$500, B996)&gt;5, " + " &amp; IFERROR(INDEX('SAÍDA DE VENDAS'!$H$6:$H$500 &amp; "x " &amp; 'SAÍDA DE VENDAS'!$G$6:$G$500, MATCH(B996, 'SAÍDA DE VENDAS'!$B$6:$B$500, 0)+5), ""), ""))</f>
        <v/>
      </c>
      <c r="G996" s="28">
        <f>IFERROR(VLOOKUP(B996,'SAÍDA DE VENDAS'!$B$6:$P$500,10,FALSE),"")</f>
        <v>0</v>
      </c>
      <c r="H996" s="28" t="str">
        <f>IF(OR(ISBLANK(B996),B996=""), "", IF(B996=B995, (VALUE(LEFT(H995,FIND("/",H995)-1))+1)&amp;"/"&amp;RIGHT(H995,LEN(H995)-FIND("/",H995)), "1/"&amp;IFERROR(VLOOKUP(B996,'SAÍDA DE VENDAS'!$B$6:$P$500,13,FALSE),"1")))</f>
        <v/>
      </c>
      <c r="I996" s="69" t="str">
        <f t="shared" si="30"/>
        <v/>
      </c>
      <c r="J996" s="33" t="str">
        <f>IFERROR(VLOOKUP(B996,'SAÍDA DE VENDAS'!$B$6:$P$500,15,FALSE),"")</f>
        <v/>
      </c>
      <c r="K996" s="28" t="str">
        <f t="shared" ca="1" si="31"/>
        <v/>
      </c>
      <c r="L996" s="28"/>
      <c r="M996" s="28"/>
    </row>
    <row r="997" spans="2:13" ht="15" customHeight="1" x14ac:dyDescent="0.3">
      <c r="B997" s="34" t="str">
        <f>IF(B996="","", IF(VALUE(LEFT(H996,FIND("/",H996)-1)) &lt; VALUE(RIGHT(H996,LEN(H996)-FIND("/",H996))), B996, IFERROR(INDEX('SAÍDA DE VENDAS'!$B$6:$B$500, MATCH(B996,'SAÍDA DE VENDAS'!$B$6:$B$500,0)+COUNTIF('SAÍDA DE VENDAS'!$B$6:$B$500, B996)),"")))</f>
        <v/>
      </c>
      <c r="C997" s="35">
        <f>IFERROR(VLOOKUP(B997,'SAÍDA DE VENDAS'!$B$6:$P$500,3,FALSE),"")</f>
        <v>0</v>
      </c>
      <c r="D997" s="34">
        <f>IFERROR(VLOOKUP(B997,'SAÍDA DE VENDAS'!$B$6:$P$500,4,FALSE),"")</f>
        <v>0</v>
      </c>
      <c r="E997" s="34" t="str">
        <f>IFERROR(VLOOKUP(B997,'SAÍDA DE VENDAS'!$B$6:$P$500,5,FALSE),"")</f>
        <v/>
      </c>
      <c r="F997" s="34" t="str">
        <f>IF(OR(ISBLANK(B997),B997=""), "", IFERROR(INDEX('SAÍDA DE VENDAS'!$H$6:$H$500 &amp; "x " &amp; 'SAÍDA DE VENDAS'!$G$6:$G$500, MATCH(B997, 'SAÍDA DE VENDAS'!$B$6:$B$500, 0)), "")&amp; IF(COUNTIF('SAÍDA DE VENDAS'!$B$6:$B$500, B997)&gt;1, " + " &amp; IFERROR(INDEX('SAÍDA DE VENDAS'!$H$6:$H$500 &amp; "x " &amp; 'SAÍDA DE VENDAS'!$G$6:$G$500, MATCH(B997, 'SAÍDA DE VENDAS'!$B$6:$B$500, 0)+1), ""), "")&amp; IF(COUNTIF('SAÍDA DE VENDAS'!$B$6:$B$500, B997)&gt;2, " + " &amp; IFERROR(INDEX('SAÍDA DE VENDAS'!$H$6:$H$500 &amp; "x " &amp; 'SAÍDA DE VENDAS'!$G$6:$G$500, MATCH(B997, 'SAÍDA DE VENDAS'!$B$6:$B$500, 0)+2), ""), "")&amp; IF(COUNTIF('SAÍDA DE VENDAS'!$B$6:$B$500, B997)&gt;3, " + " &amp; IFERROR(INDEX('SAÍDA DE VENDAS'!$H$6:$H$500 &amp; "x " &amp; 'SAÍDA DE VENDAS'!$G$6:$G$500, MATCH(B997, 'SAÍDA DE VENDAS'!$B$6:$B$500, 0)+3), ""), "")&amp; IF(COUNTIF('SAÍDA DE VENDAS'!$B$6:$B$500, B997)&gt;4, " + " &amp; IFERROR(INDEX('SAÍDA DE VENDAS'!$H$6:$H$500 &amp; "x " &amp; 'SAÍDA DE VENDAS'!$G$6:$G$500, MATCH(B997, 'SAÍDA DE VENDAS'!$B$6:$B$500, 0)+4), ""), "")&amp; IF(COUNTIF('SAÍDA DE VENDAS'!$B$6:$B$500, B997)&gt;5, " + " &amp; IFERROR(INDEX('SAÍDA DE VENDAS'!$H$6:$H$500 &amp; "x " &amp; 'SAÍDA DE VENDAS'!$G$6:$G$500, MATCH(B997, 'SAÍDA DE VENDAS'!$B$6:$B$500, 0)+5), ""), ""))</f>
        <v/>
      </c>
      <c r="G997" s="34">
        <f>IFERROR(VLOOKUP(B997,'SAÍDA DE VENDAS'!$B$6:$P$500,10,FALSE),"")</f>
        <v>0</v>
      </c>
      <c r="H997" s="34" t="str">
        <f>IF(OR(ISBLANK(B997),B997=""), "", IF(B997=B996, (VALUE(LEFT(H996,FIND("/",H996)-1))+1)&amp;"/"&amp;RIGHT(H996,LEN(H996)-FIND("/",H996)), "1/"&amp;IFERROR(VLOOKUP(B997,'SAÍDA DE VENDAS'!$B$6:$P$500,13,FALSE),"1")))</f>
        <v/>
      </c>
      <c r="I997" s="35" t="str">
        <f t="shared" si="30"/>
        <v/>
      </c>
      <c r="J997" s="39" t="str">
        <f>IFERROR(VLOOKUP(B997,'SAÍDA DE VENDAS'!$B$6:$P$500,15,FALSE),"")</f>
        <v/>
      </c>
      <c r="K997" s="34" t="str">
        <f t="shared" ca="1" si="31"/>
        <v/>
      </c>
      <c r="L997" s="34"/>
      <c r="M997" s="34"/>
    </row>
    <row r="998" spans="2:13" ht="15" customHeight="1" x14ac:dyDescent="0.3">
      <c r="B998" s="28" t="str">
        <f>IF(B997="","", IF(VALUE(LEFT(H997,FIND("/",H997)-1)) &lt; VALUE(RIGHT(H997,LEN(H997)-FIND("/",H997))), B997, IFERROR(INDEX('SAÍDA DE VENDAS'!$B$6:$B$500, MATCH(B997,'SAÍDA DE VENDAS'!$B$6:$B$500,0)+COUNTIF('SAÍDA DE VENDAS'!$B$6:$B$500, B997)),"")))</f>
        <v/>
      </c>
      <c r="C998" s="29">
        <f>IFERROR(VLOOKUP(B998,'SAÍDA DE VENDAS'!$B$6:$P$500,3,FALSE),"")</f>
        <v>0</v>
      </c>
      <c r="D998" s="28">
        <f>IFERROR(VLOOKUP(B998,'SAÍDA DE VENDAS'!$B$6:$P$500,4,FALSE),"")</f>
        <v>0</v>
      </c>
      <c r="E998" s="28" t="str">
        <f>IFERROR(VLOOKUP(B998,'SAÍDA DE VENDAS'!$B$6:$P$500,5,FALSE),"")</f>
        <v/>
      </c>
      <c r="F998" s="28" t="str">
        <f>IF(OR(ISBLANK(B998),B998=""), "", IFERROR(INDEX('SAÍDA DE VENDAS'!$H$6:$H$500 &amp; "x " &amp; 'SAÍDA DE VENDAS'!$G$6:$G$500, MATCH(B998, 'SAÍDA DE VENDAS'!$B$6:$B$500, 0)), "")&amp; IF(COUNTIF('SAÍDA DE VENDAS'!$B$6:$B$500, B998)&gt;1, " + " &amp; IFERROR(INDEX('SAÍDA DE VENDAS'!$H$6:$H$500 &amp; "x " &amp; 'SAÍDA DE VENDAS'!$G$6:$G$500, MATCH(B998, 'SAÍDA DE VENDAS'!$B$6:$B$500, 0)+1), ""), "")&amp; IF(COUNTIF('SAÍDA DE VENDAS'!$B$6:$B$500, B998)&gt;2, " + " &amp; IFERROR(INDEX('SAÍDA DE VENDAS'!$H$6:$H$500 &amp; "x " &amp; 'SAÍDA DE VENDAS'!$G$6:$G$500, MATCH(B998, 'SAÍDA DE VENDAS'!$B$6:$B$500, 0)+2), ""), "")&amp; IF(COUNTIF('SAÍDA DE VENDAS'!$B$6:$B$500, B998)&gt;3, " + " &amp; IFERROR(INDEX('SAÍDA DE VENDAS'!$H$6:$H$500 &amp; "x " &amp; 'SAÍDA DE VENDAS'!$G$6:$G$500, MATCH(B998, 'SAÍDA DE VENDAS'!$B$6:$B$500, 0)+3), ""), "")&amp; IF(COUNTIF('SAÍDA DE VENDAS'!$B$6:$B$500, B998)&gt;4, " + " &amp; IFERROR(INDEX('SAÍDA DE VENDAS'!$H$6:$H$500 &amp; "x " &amp; 'SAÍDA DE VENDAS'!$G$6:$G$500, MATCH(B998, 'SAÍDA DE VENDAS'!$B$6:$B$500, 0)+4), ""), "")&amp; IF(COUNTIF('SAÍDA DE VENDAS'!$B$6:$B$500, B998)&gt;5, " + " &amp; IFERROR(INDEX('SAÍDA DE VENDAS'!$H$6:$H$500 &amp; "x " &amp; 'SAÍDA DE VENDAS'!$G$6:$G$500, MATCH(B998, 'SAÍDA DE VENDAS'!$B$6:$B$500, 0)+5), ""), ""))</f>
        <v/>
      </c>
      <c r="G998" s="28">
        <f>IFERROR(VLOOKUP(B998,'SAÍDA DE VENDAS'!$B$6:$P$500,10,FALSE),"")</f>
        <v>0</v>
      </c>
      <c r="H998" s="28" t="str">
        <f>IF(OR(ISBLANK(B998),B998=""), "", IF(B998=B997, (VALUE(LEFT(H997,FIND("/",H997)-1))+1)&amp;"/"&amp;RIGHT(H997,LEN(H997)-FIND("/",H997)), "1/"&amp;IFERROR(VLOOKUP(B998,'SAÍDA DE VENDAS'!$B$6:$P$500,13,FALSE),"1")))</f>
        <v/>
      </c>
      <c r="I998" s="69" t="str">
        <f t="shared" si="30"/>
        <v/>
      </c>
      <c r="J998" s="33" t="str">
        <f>IFERROR(VLOOKUP(B998,'SAÍDA DE VENDAS'!$B$6:$P$500,15,FALSE),"")</f>
        <v/>
      </c>
      <c r="K998" s="28" t="str">
        <f t="shared" ca="1" si="31"/>
        <v/>
      </c>
      <c r="L998" s="28"/>
      <c r="M998" s="28"/>
    </row>
    <row r="999" spans="2:13" ht="15" customHeight="1" x14ac:dyDescent="0.3">
      <c r="B999" s="34" t="str">
        <f>IF(B998="","", IF(VALUE(LEFT(H998,FIND("/",H998)-1)) &lt; VALUE(RIGHT(H998,LEN(H998)-FIND("/",H998))), B998, IFERROR(INDEX('SAÍDA DE VENDAS'!$B$6:$B$500, MATCH(B998,'SAÍDA DE VENDAS'!$B$6:$B$500,0)+COUNTIF('SAÍDA DE VENDAS'!$B$6:$B$500, B998)),"")))</f>
        <v/>
      </c>
      <c r="C999" s="35">
        <f>IFERROR(VLOOKUP(B999,'SAÍDA DE VENDAS'!$B$6:$P$500,3,FALSE),"")</f>
        <v>0</v>
      </c>
      <c r="D999" s="34">
        <f>IFERROR(VLOOKUP(B999,'SAÍDA DE VENDAS'!$B$6:$P$500,4,FALSE),"")</f>
        <v>0</v>
      </c>
      <c r="E999" s="34" t="str">
        <f>IFERROR(VLOOKUP(B999,'SAÍDA DE VENDAS'!$B$6:$P$500,5,FALSE),"")</f>
        <v/>
      </c>
      <c r="F999" s="34" t="str">
        <f>IF(OR(ISBLANK(B999),B999=""), "", IFERROR(INDEX('SAÍDA DE VENDAS'!$H$6:$H$500 &amp; "x " &amp; 'SAÍDA DE VENDAS'!$G$6:$G$500, MATCH(B999, 'SAÍDA DE VENDAS'!$B$6:$B$500, 0)), "")&amp; IF(COUNTIF('SAÍDA DE VENDAS'!$B$6:$B$500, B999)&gt;1, " + " &amp; IFERROR(INDEX('SAÍDA DE VENDAS'!$H$6:$H$500 &amp; "x " &amp; 'SAÍDA DE VENDAS'!$G$6:$G$500, MATCH(B999, 'SAÍDA DE VENDAS'!$B$6:$B$500, 0)+1), ""), "")&amp; IF(COUNTIF('SAÍDA DE VENDAS'!$B$6:$B$500, B999)&gt;2, " + " &amp; IFERROR(INDEX('SAÍDA DE VENDAS'!$H$6:$H$500 &amp; "x " &amp; 'SAÍDA DE VENDAS'!$G$6:$G$500, MATCH(B999, 'SAÍDA DE VENDAS'!$B$6:$B$500, 0)+2), ""), "")&amp; IF(COUNTIF('SAÍDA DE VENDAS'!$B$6:$B$500, B999)&gt;3, " + " &amp; IFERROR(INDEX('SAÍDA DE VENDAS'!$H$6:$H$500 &amp; "x " &amp; 'SAÍDA DE VENDAS'!$G$6:$G$500, MATCH(B999, 'SAÍDA DE VENDAS'!$B$6:$B$500, 0)+3), ""), "")&amp; IF(COUNTIF('SAÍDA DE VENDAS'!$B$6:$B$500, B999)&gt;4, " + " &amp; IFERROR(INDEX('SAÍDA DE VENDAS'!$H$6:$H$500 &amp; "x " &amp; 'SAÍDA DE VENDAS'!$G$6:$G$500, MATCH(B999, 'SAÍDA DE VENDAS'!$B$6:$B$500, 0)+4), ""), "")&amp; IF(COUNTIF('SAÍDA DE VENDAS'!$B$6:$B$500, B999)&gt;5, " + " &amp; IFERROR(INDEX('SAÍDA DE VENDAS'!$H$6:$H$500 &amp; "x " &amp; 'SAÍDA DE VENDAS'!$G$6:$G$500, MATCH(B999, 'SAÍDA DE VENDAS'!$B$6:$B$500, 0)+5), ""), ""))</f>
        <v/>
      </c>
      <c r="G999" s="34">
        <f>IFERROR(VLOOKUP(B999,'SAÍDA DE VENDAS'!$B$6:$P$500,10,FALSE),"")</f>
        <v>0</v>
      </c>
      <c r="H999" s="34" t="str">
        <f>IF(OR(ISBLANK(B999),B999=""), "", IF(B999=B998, (VALUE(LEFT(H998,FIND("/",H998)-1))+1)&amp;"/"&amp;RIGHT(H998,LEN(H998)-FIND("/",H998)), "1/"&amp;IFERROR(VLOOKUP(B999,'SAÍDA DE VENDAS'!$B$6:$P$500,13,FALSE),"1")))</f>
        <v/>
      </c>
      <c r="I999" s="35" t="str">
        <f t="shared" si="30"/>
        <v/>
      </c>
      <c r="J999" s="39" t="str">
        <f>IFERROR(VLOOKUP(B999,'SAÍDA DE VENDAS'!$B$6:$P$500,15,FALSE),"")</f>
        <v/>
      </c>
      <c r="K999" s="34" t="str">
        <f t="shared" ca="1" si="31"/>
        <v/>
      </c>
      <c r="L999" s="34"/>
      <c r="M999" s="34"/>
    </row>
    <row r="1000" spans="2:13" ht="15" customHeight="1" x14ac:dyDescent="0.3">
      <c r="B1000" s="28" t="str">
        <f>IF(B999="","", IF(VALUE(LEFT(H999,FIND("/",H999)-1)) &lt; VALUE(RIGHT(H999,LEN(H999)-FIND("/",H999))), B999, IFERROR(INDEX('SAÍDA DE VENDAS'!$B$6:$B$500, MATCH(B999,'SAÍDA DE VENDAS'!$B$6:$B$500,0)+COUNTIF('SAÍDA DE VENDAS'!$B$6:$B$500, B999)),"")))</f>
        <v/>
      </c>
      <c r="C1000" s="29">
        <f>IFERROR(VLOOKUP(B1000,'SAÍDA DE VENDAS'!$B$6:$P$500,3,FALSE),"")</f>
        <v>0</v>
      </c>
      <c r="D1000" s="28">
        <f>IFERROR(VLOOKUP(B1000,'SAÍDA DE VENDAS'!$B$6:$P$500,4,FALSE),"")</f>
        <v>0</v>
      </c>
      <c r="E1000" s="28" t="str">
        <f>IFERROR(VLOOKUP(B1000,'SAÍDA DE VENDAS'!$B$6:$P$500,5,FALSE),"")</f>
        <v/>
      </c>
      <c r="F1000" s="28" t="str">
        <f>IF(OR(ISBLANK(B1000),B1000=""), "", IFERROR(INDEX('SAÍDA DE VENDAS'!$H$6:$H$500 &amp; "x " &amp; 'SAÍDA DE VENDAS'!$G$6:$G$500, MATCH(B1000, 'SAÍDA DE VENDAS'!$B$6:$B$500, 0)), "")&amp; IF(COUNTIF('SAÍDA DE VENDAS'!$B$6:$B$500, B1000)&gt;1, " + " &amp; IFERROR(INDEX('SAÍDA DE VENDAS'!$H$6:$H$500 &amp; "x " &amp; 'SAÍDA DE VENDAS'!$G$6:$G$500, MATCH(B1000, 'SAÍDA DE VENDAS'!$B$6:$B$500, 0)+1), ""), "")&amp; IF(COUNTIF('SAÍDA DE VENDAS'!$B$6:$B$500, B1000)&gt;2, " + " &amp; IFERROR(INDEX('SAÍDA DE VENDAS'!$H$6:$H$500 &amp; "x " &amp; 'SAÍDA DE VENDAS'!$G$6:$G$500, MATCH(B1000, 'SAÍDA DE VENDAS'!$B$6:$B$500, 0)+2), ""), "")&amp; IF(COUNTIF('SAÍDA DE VENDAS'!$B$6:$B$500, B1000)&gt;3, " + " &amp; IFERROR(INDEX('SAÍDA DE VENDAS'!$H$6:$H$500 &amp; "x " &amp; 'SAÍDA DE VENDAS'!$G$6:$G$500, MATCH(B1000, 'SAÍDA DE VENDAS'!$B$6:$B$500, 0)+3), ""), "")&amp; IF(COUNTIF('SAÍDA DE VENDAS'!$B$6:$B$500, B1000)&gt;4, " + " &amp; IFERROR(INDEX('SAÍDA DE VENDAS'!$H$6:$H$500 &amp; "x " &amp; 'SAÍDA DE VENDAS'!$G$6:$G$500, MATCH(B1000, 'SAÍDA DE VENDAS'!$B$6:$B$500, 0)+4), ""), "")&amp; IF(COUNTIF('SAÍDA DE VENDAS'!$B$6:$B$500, B1000)&gt;5, " + " &amp; IFERROR(INDEX('SAÍDA DE VENDAS'!$H$6:$H$500 &amp; "x " &amp; 'SAÍDA DE VENDAS'!$G$6:$G$500, MATCH(B1000, 'SAÍDA DE VENDAS'!$B$6:$B$500, 0)+5), ""), ""))</f>
        <v/>
      </c>
      <c r="G1000" s="28">
        <f>IFERROR(VLOOKUP(B1000,'SAÍDA DE VENDAS'!$B$6:$P$500,10,FALSE),"")</f>
        <v>0</v>
      </c>
      <c r="H1000" s="28" t="str">
        <f>IF(OR(ISBLANK(B1000),B1000=""), "", IF(B1000=B999, (VALUE(LEFT(H999,FIND("/",H999)-1))+1)&amp;"/"&amp;RIGHT(H999,LEN(H999)-FIND("/",H999)), "1/"&amp;IFERROR(VLOOKUP(B1000,'SAÍDA DE VENDAS'!$B$6:$P$500,13,FALSE),"1")))</f>
        <v/>
      </c>
      <c r="I1000" s="69" t="str">
        <f t="shared" si="30"/>
        <v/>
      </c>
      <c r="J1000" s="33" t="str">
        <f>IFERROR(VLOOKUP(B1000,'SAÍDA DE VENDAS'!$B$6:$P$500,15,FALSE),"")</f>
        <v/>
      </c>
      <c r="K1000" s="28" t="str">
        <f t="shared" ca="1" si="31"/>
        <v/>
      </c>
      <c r="L1000" s="28"/>
      <c r="M1000" s="28"/>
    </row>
    <row r="1001" spans="2:13" ht="15" customHeight="1" x14ac:dyDescent="0.3">
      <c r="B1001" s="34" t="str">
        <f>IF(B1000="","", IF(VALUE(LEFT(H1000,FIND("/",H1000)-1)) &lt; VALUE(RIGHT(H1000,LEN(H1000)-FIND("/",H1000))), B1000, IFERROR(INDEX('SAÍDA DE VENDAS'!$B$6:$B$500, MATCH(B1000,'SAÍDA DE VENDAS'!$B$6:$B$500,0)+COUNTIF('SAÍDA DE VENDAS'!$B$6:$B$500, B1000)),"")))</f>
        <v/>
      </c>
      <c r="C1001" s="35">
        <f>IFERROR(VLOOKUP(B1001,'SAÍDA DE VENDAS'!$B$6:$P$500,3,FALSE),"")</f>
        <v>0</v>
      </c>
      <c r="D1001" s="34">
        <f>IFERROR(VLOOKUP(B1001,'SAÍDA DE VENDAS'!$B$6:$P$500,4,FALSE),"")</f>
        <v>0</v>
      </c>
      <c r="E1001" s="34" t="str">
        <f>IFERROR(VLOOKUP(B1001,'SAÍDA DE VENDAS'!$B$6:$P$500,5,FALSE),"")</f>
        <v/>
      </c>
      <c r="F1001" s="34" t="str">
        <f>IF(OR(ISBLANK(B1001),B1001=""), "", IFERROR(INDEX('SAÍDA DE VENDAS'!$H$6:$H$500 &amp; "x " &amp; 'SAÍDA DE VENDAS'!$G$6:$G$500, MATCH(B1001, 'SAÍDA DE VENDAS'!$B$6:$B$500, 0)), "")&amp; IF(COUNTIF('SAÍDA DE VENDAS'!$B$6:$B$500, B1001)&gt;1, " + " &amp; IFERROR(INDEX('SAÍDA DE VENDAS'!$H$6:$H$500 &amp; "x " &amp; 'SAÍDA DE VENDAS'!$G$6:$G$500, MATCH(B1001, 'SAÍDA DE VENDAS'!$B$6:$B$500, 0)+1), ""), "")&amp; IF(COUNTIF('SAÍDA DE VENDAS'!$B$6:$B$500, B1001)&gt;2, " + " &amp; IFERROR(INDEX('SAÍDA DE VENDAS'!$H$6:$H$500 &amp; "x " &amp; 'SAÍDA DE VENDAS'!$G$6:$G$500, MATCH(B1001, 'SAÍDA DE VENDAS'!$B$6:$B$500, 0)+2), ""), "")&amp; IF(COUNTIF('SAÍDA DE VENDAS'!$B$6:$B$500, B1001)&gt;3, " + " &amp; IFERROR(INDEX('SAÍDA DE VENDAS'!$H$6:$H$500 &amp; "x " &amp; 'SAÍDA DE VENDAS'!$G$6:$G$500, MATCH(B1001, 'SAÍDA DE VENDAS'!$B$6:$B$500, 0)+3), ""), "")&amp; IF(COUNTIF('SAÍDA DE VENDAS'!$B$6:$B$500, B1001)&gt;4, " + " &amp; IFERROR(INDEX('SAÍDA DE VENDAS'!$H$6:$H$500 &amp; "x " &amp; 'SAÍDA DE VENDAS'!$G$6:$G$500, MATCH(B1001, 'SAÍDA DE VENDAS'!$B$6:$B$500, 0)+4), ""), "")&amp; IF(COUNTIF('SAÍDA DE VENDAS'!$B$6:$B$500, B1001)&gt;5, " + " &amp; IFERROR(INDEX('SAÍDA DE VENDAS'!$H$6:$H$500 &amp; "x " &amp; 'SAÍDA DE VENDAS'!$G$6:$G$500, MATCH(B1001, 'SAÍDA DE VENDAS'!$B$6:$B$500, 0)+5), ""), ""))</f>
        <v/>
      </c>
      <c r="G1001" s="34">
        <f>IFERROR(VLOOKUP(B1001,'SAÍDA DE VENDAS'!$B$6:$P$500,10,FALSE),"")</f>
        <v>0</v>
      </c>
      <c r="H1001" s="34" t="str">
        <f>IF(OR(ISBLANK(B1001),B1001=""), "", IF(B1001=B1000, (VALUE(LEFT(H1000,FIND("/",H1000)-1))+1)&amp;"/"&amp;RIGHT(H1000,LEN(H1000)-FIND("/",H1000)), "1/"&amp;IFERROR(VLOOKUP(B1001,'SAÍDA DE VENDAS'!$B$6:$P$500,13,FALSE),"1")))</f>
        <v/>
      </c>
      <c r="I1001" s="35" t="str">
        <f t="shared" si="30"/>
        <v/>
      </c>
      <c r="J1001" s="39" t="str">
        <f>IFERROR(VLOOKUP(B1001,'SAÍDA DE VENDAS'!$B$6:$P$500,15,FALSE),"")</f>
        <v/>
      </c>
      <c r="K1001" s="34" t="str">
        <f t="shared" ca="1" si="31"/>
        <v/>
      </c>
      <c r="L1001" s="34"/>
      <c r="M1001" s="34"/>
    </row>
    <row r="1002" spans="2:13" ht="15" customHeight="1" x14ac:dyDescent="0.3">
      <c r="B1002" s="28" t="str">
        <f>IF(B1001="","", IF(VALUE(LEFT(H1001,FIND("/",H1001)-1)) &lt; VALUE(RIGHT(H1001,LEN(H1001)-FIND("/",H1001))), B1001, IFERROR(INDEX('SAÍDA DE VENDAS'!$B$6:$B$500, MATCH(B1001,'SAÍDA DE VENDAS'!$B$6:$B$500,0)+COUNTIF('SAÍDA DE VENDAS'!$B$6:$B$500, B1001)),"")))</f>
        <v/>
      </c>
      <c r="C1002" s="29">
        <f>IFERROR(VLOOKUP(B1002,'SAÍDA DE VENDAS'!$B$6:$P$500,3,FALSE),"")</f>
        <v>0</v>
      </c>
      <c r="D1002" s="28">
        <f>IFERROR(VLOOKUP(B1002,'SAÍDA DE VENDAS'!$B$6:$P$500,4,FALSE),"")</f>
        <v>0</v>
      </c>
      <c r="E1002" s="28" t="str">
        <f>IFERROR(VLOOKUP(B1002,'SAÍDA DE VENDAS'!$B$6:$P$500,5,FALSE),"")</f>
        <v/>
      </c>
      <c r="F1002" s="28" t="str">
        <f>IF(OR(ISBLANK(B1002),B1002=""), "", IFERROR(INDEX('SAÍDA DE VENDAS'!$H$6:$H$500 &amp; "x " &amp; 'SAÍDA DE VENDAS'!$G$6:$G$500, MATCH(B1002, 'SAÍDA DE VENDAS'!$B$6:$B$500, 0)), "")&amp; IF(COUNTIF('SAÍDA DE VENDAS'!$B$6:$B$500, B1002)&gt;1, " + " &amp; IFERROR(INDEX('SAÍDA DE VENDAS'!$H$6:$H$500 &amp; "x " &amp; 'SAÍDA DE VENDAS'!$G$6:$G$500, MATCH(B1002, 'SAÍDA DE VENDAS'!$B$6:$B$500, 0)+1), ""), "")&amp; IF(COUNTIF('SAÍDA DE VENDAS'!$B$6:$B$500, B1002)&gt;2, " + " &amp; IFERROR(INDEX('SAÍDA DE VENDAS'!$H$6:$H$500 &amp; "x " &amp; 'SAÍDA DE VENDAS'!$G$6:$G$500, MATCH(B1002, 'SAÍDA DE VENDAS'!$B$6:$B$500, 0)+2), ""), "")&amp; IF(COUNTIF('SAÍDA DE VENDAS'!$B$6:$B$500, B1002)&gt;3, " + " &amp; IFERROR(INDEX('SAÍDA DE VENDAS'!$H$6:$H$500 &amp; "x " &amp; 'SAÍDA DE VENDAS'!$G$6:$G$500, MATCH(B1002, 'SAÍDA DE VENDAS'!$B$6:$B$500, 0)+3), ""), "")&amp; IF(COUNTIF('SAÍDA DE VENDAS'!$B$6:$B$500, B1002)&gt;4, " + " &amp; IFERROR(INDEX('SAÍDA DE VENDAS'!$H$6:$H$500 &amp; "x " &amp; 'SAÍDA DE VENDAS'!$G$6:$G$500, MATCH(B1002, 'SAÍDA DE VENDAS'!$B$6:$B$500, 0)+4), ""), "")&amp; IF(COUNTIF('SAÍDA DE VENDAS'!$B$6:$B$500, B1002)&gt;5, " + " &amp; IFERROR(INDEX('SAÍDA DE VENDAS'!$H$6:$H$500 &amp; "x " &amp; 'SAÍDA DE VENDAS'!$G$6:$G$500, MATCH(B1002, 'SAÍDA DE VENDAS'!$B$6:$B$500, 0)+5), ""), ""))</f>
        <v/>
      </c>
      <c r="G1002" s="28">
        <f>IFERROR(VLOOKUP(B1002,'SAÍDA DE VENDAS'!$B$6:$P$500,10,FALSE),"")</f>
        <v>0</v>
      </c>
      <c r="H1002" s="28" t="str">
        <f>IF(OR(ISBLANK(B1002),B1002=""), "", IF(B1002=B1001, (VALUE(LEFT(H1001,FIND("/",H1001)-1))+1)&amp;"/"&amp;RIGHT(H1001,LEN(H1001)-FIND("/",H1001)), "1/"&amp;IFERROR(VLOOKUP(B1002,'SAÍDA DE VENDAS'!$B$6:$P$500,13,FALSE),"1")))</f>
        <v/>
      </c>
      <c r="I1002" s="69" t="str">
        <f t="shared" si="30"/>
        <v/>
      </c>
      <c r="J1002" s="33" t="str">
        <f>IFERROR(VLOOKUP(B1002,'SAÍDA DE VENDAS'!$B$6:$P$500,15,FALSE),"")</f>
        <v/>
      </c>
      <c r="K1002" s="28" t="str">
        <f t="shared" ca="1" si="31"/>
        <v/>
      </c>
      <c r="L1002" s="28"/>
      <c r="M1002" s="28"/>
    </row>
    <row r="1003" spans="2:13" ht="15" customHeight="1" x14ac:dyDescent="0.3">
      <c r="B1003" s="34" t="str">
        <f>IF(B1002="","", IF(VALUE(LEFT(H1002,FIND("/",H1002)-1)) &lt; VALUE(RIGHT(H1002,LEN(H1002)-FIND("/",H1002))), B1002, IFERROR(INDEX('SAÍDA DE VENDAS'!$B$6:$B$500, MATCH(B1002,'SAÍDA DE VENDAS'!$B$6:$B$500,0)+COUNTIF('SAÍDA DE VENDAS'!$B$6:$B$500, B1002)),"")))</f>
        <v/>
      </c>
      <c r="C1003" s="35">
        <f>IFERROR(VLOOKUP(B1003,'SAÍDA DE VENDAS'!$B$6:$P$500,3,FALSE),"")</f>
        <v>0</v>
      </c>
      <c r="D1003" s="34">
        <f>IFERROR(VLOOKUP(B1003,'SAÍDA DE VENDAS'!$B$6:$P$500,4,FALSE),"")</f>
        <v>0</v>
      </c>
      <c r="E1003" s="34" t="str">
        <f>IFERROR(VLOOKUP(B1003,'SAÍDA DE VENDAS'!$B$6:$P$500,5,FALSE),"")</f>
        <v/>
      </c>
      <c r="F1003" s="34" t="str">
        <f>IF(OR(ISBLANK(B1003),B1003=""), "", IFERROR(INDEX('SAÍDA DE VENDAS'!$H$6:$H$500 &amp; "x " &amp; 'SAÍDA DE VENDAS'!$G$6:$G$500, MATCH(B1003, 'SAÍDA DE VENDAS'!$B$6:$B$500, 0)), "")&amp; IF(COUNTIF('SAÍDA DE VENDAS'!$B$6:$B$500, B1003)&gt;1, " + " &amp; IFERROR(INDEX('SAÍDA DE VENDAS'!$H$6:$H$500 &amp; "x " &amp; 'SAÍDA DE VENDAS'!$G$6:$G$500, MATCH(B1003, 'SAÍDA DE VENDAS'!$B$6:$B$500, 0)+1), ""), "")&amp; IF(COUNTIF('SAÍDA DE VENDAS'!$B$6:$B$500, B1003)&gt;2, " + " &amp; IFERROR(INDEX('SAÍDA DE VENDAS'!$H$6:$H$500 &amp; "x " &amp; 'SAÍDA DE VENDAS'!$G$6:$G$500, MATCH(B1003, 'SAÍDA DE VENDAS'!$B$6:$B$500, 0)+2), ""), "")&amp; IF(COUNTIF('SAÍDA DE VENDAS'!$B$6:$B$500, B1003)&gt;3, " + " &amp; IFERROR(INDEX('SAÍDA DE VENDAS'!$H$6:$H$500 &amp; "x " &amp; 'SAÍDA DE VENDAS'!$G$6:$G$500, MATCH(B1003, 'SAÍDA DE VENDAS'!$B$6:$B$500, 0)+3), ""), "")&amp; IF(COUNTIF('SAÍDA DE VENDAS'!$B$6:$B$500, B1003)&gt;4, " + " &amp; IFERROR(INDEX('SAÍDA DE VENDAS'!$H$6:$H$500 &amp; "x " &amp; 'SAÍDA DE VENDAS'!$G$6:$G$500, MATCH(B1003, 'SAÍDA DE VENDAS'!$B$6:$B$500, 0)+4), ""), "")&amp; IF(COUNTIF('SAÍDA DE VENDAS'!$B$6:$B$500, B1003)&gt;5, " + " &amp; IFERROR(INDEX('SAÍDA DE VENDAS'!$H$6:$H$500 &amp; "x " &amp; 'SAÍDA DE VENDAS'!$G$6:$G$500, MATCH(B1003, 'SAÍDA DE VENDAS'!$B$6:$B$500, 0)+5), ""), ""))</f>
        <v/>
      </c>
      <c r="G1003" s="34">
        <f>IFERROR(VLOOKUP(B1003,'SAÍDA DE VENDAS'!$B$6:$P$500,10,FALSE),"")</f>
        <v>0</v>
      </c>
      <c r="H1003" s="34" t="str">
        <f>IF(OR(ISBLANK(B1003),B1003=""), "", IF(B1003=B1002, (VALUE(LEFT(H1002,FIND("/",H1002)-1))+1)&amp;"/"&amp;RIGHT(H1002,LEN(H1002)-FIND("/",H1002)), "1/"&amp;IFERROR(VLOOKUP(B1003,'SAÍDA DE VENDAS'!$B$6:$P$500,13,FALSE),"1")))</f>
        <v/>
      </c>
      <c r="I1003" s="35" t="str">
        <f t="shared" si="30"/>
        <v/>
      </c>
      <c r="J1003" s="39" t="str">
        <f>IFERROR(VLOOKUP(B1003,'SAÍDA DE VENDAS'!$B$6:$P$500,15,FALSE),"")</f>
        <v/>
      </c>
      <c r="K1003" s="34" t="str">
        <f t="shared" ca="1" si="31"/>
        <v/>
      </c>
      <c r="L1003" s="34"/>
      <c r="M1003" s="34"/>
    </row>
    <row r="1004" spans="2:13" ht="15" customHeight="1" x14ac:dyDescent="0.3">
      <c r="B1004" s="28" t="str">
        <f>IF(B1003="","", IF(VALUE(LEFT(H1003,FIND("/",H1003)-1)) &lt; VALUE(RIGHT(H1003,LEN(H1003)-FIND("/",H1003))), B1003, IFERROR(INDEX('SAÍDA DE VENDAS'!$B$6:$B$500, MATCH(B1003,'SAÍDA DE VENDAS'!$B$6:$B$500,0)+COUNTIF('SAÍDA DE VENDAS'!$B$6:$B$500, B1003)),"")))</f>
        <v/>
      </c>
      <c r="C1004" s="29">
        <f>IFERROR(VLOOKUP(B1004,'SAÍDA DE VENDAS'!$B$6:$P$500,3,FALSE),"")</f>
        <v>0</v>
      </c>
      <c r="D1004" s="28">
        <f>IFERROR(VLOOKUP(B1004,'SAÍDA DE VENDAS'!$B$6:$P$500,4,FALSE),"")</f>
        <v>0</v>
      </c>
      <c r="E1004" s="28" t="str">
        <f>IFERROR(VLOOKUP(B1004,'SAÍDA DE VENDAS'!$B$6:$P$500,5,FALSE),"")</f>
        <v/>
      </c>
      <c r="F1004" s="28" t="str">
        <f>IF(OR(ISBLANK(B1004),B1004=""), "", IFERROR(INDEX('SAÍDA DE VENDAS'!$H$6:$H$500 &amp; "x " &amp; 'SAÍDA DE VENDAS'!$G$6:$G$500, MATCH(B1004, 'SAÍDA DE VENDAS'!$B$6:$B$500, 0)), "")&amp; IF(COUNTIF('SAÍDA DE VENDAS'!$B$6:$B$500, B1004)&gt;1, " + " &amp; IFERROR(INDEX('SAÍDA DE VENDAS'!$H$6:$H$500 &amp; "x " &amp; 'SAÍDA DE VENDAS'!$G$6:$G$500, MATCH(B1004, 'SAÍDA DE VENDAS'!$B$6:$B$500, 0)+1), ""), "")&amp; IF(COUNTIF('SAÍDA DE VENDAS'!$B$6:$B$500, B1004)&gt;2, " + " &amp; IFERROR(INDEX('SAÍDA DE VENDAS'!$H$6:$H$500 &amp; "x " &amp; 'SAÍDA DE VENDAS'!$G$6:$G$500, MATCH(B1004, 'SAÍDA DE VENDAS'!$B$6:$B$500, 0)+2), ""), "")&amp; IF(COUNTIF('SAÍDA DE VENDAS'!$B$6:$B$500, B1004)&gt;3, " + " &amp; IFERROR(INDEX('SAÍDA DE VENDAS'!$H$6:$H$500 &amp; "x " &amp; 'SAÍDA DE VENDAS'!$G$6:$G$500, MATCH(B1004, 'SAÍDA DE VENDAS'!$B$6:$B$500, 0)+3), ""), "")&amp; IF(COUNTIF('SAÍDA DE VENDAS'!$B$6:$B$500, B1004)&gt;4, " + " &amp; IFERROR(INDEX('SAÍDA DE VENDAS'!$H$6:$H$500 &amp; "x " &amp; 'SAÍDA DE VENDAS'!$G$6:$G$500, MATCH(B1004, 'SAÍDA DE VENDAS'!$B$6:$B$500, 0)+4), ""), "")&amp; IF(COUNTIF('SAÍDA DE VENDAS'!$B$6:$B$500, B1004)&gt;5, " + " &amp; IFERROR(INDEX('SAÍDA DE VENDAS'!$H$6:$H$500 &amp; "x " &amp; 'SAÍDA DE VENDAS'!$G$6:$G$500, MATCH(B1004, 'SAÍDA DE VENDAS'!$B$6:$B$500, 0)+5), ""), ""))</f>
        <v/>
      </c>
      <c r="G1004" s="28">
        <f>IFERROR(VLOOKUP(B1004,'SAÍDA DE VENDAS'!$B$6:$P$500,10,FALSE),"")</f>
        <v>0</v>
      </c>
      <c r="H1004" s="28" t="str">
        <f>IF(OR(ISBLANK(B1004),B1004=""), "", IF(B1004=B1003, (VALUE(LEFT(H1003,FIND("/",H1003)-1))+1)&amp;"/"&amp;RIGHT(H1003,LEN(H1003)-FIND("/",H1003)), "1/"&amp;IFERROR(VLOOKUP(B1004,'SAÍDA DE VENDAS'!$B$6:$P$500,13,FALSE),"1")))</f>
        <v/>
      </c>
      <c r="I1004" s="69" t="str">
        <f t="shared" si="30"/>
        <v/>
      </c>
      <c r="J1004" s="33" t="str">
        <f>IFERROR(VLOOKUP(B1004,'SAÍDA DE VENDAS'!$B$6:$P$500,15,FALSE),"")</f>
        <v/>
      </c>
      <c r="K1004" s="28" t="str">
        <f t="shared" ca="1" si="31"/>
        <v/>
      </c>
      <c r="L1004" s="28"/>
      <c r="M1004" s="28"/>
    </row>
    <row r="1005" spans="2:13" ht="15" customHeight="1" x14ac:dyDescent="0.3">
      <c r="B1005" s="34" t="str">
        <f>IF(B1004="","", IF(VALUE(LEFT(H1004,FIND("/",H1004)-1)) &lt; VALUE(RIGHT(H1004,LEN(H1004)-FIND("/",H1004))), B1004, IFERROR(INDEX('SAÍDA DE VENDAS'!$B$6:$B$500, MATCH(B1004,'SAÍDA DE VENDAS'!$B$6:$B$500,0)+COUNTIF('SAÍDA DE VENDAS'!$B$6:$B$500, B1004)),"")))</f>
        <v/>
      </c>
      <c r="C1005" s="35">
        <f>IFERROR(VLOOKUP(B1005,'SAÍDA DE VENDAS'!$B$6:$P$500,3,FALSE),"")</f>
        <v>0</v>
      </c>
      <c r="D1005" s="34">
        <f>IFERROR(VLOOKUP(B1005,'SAÍDA DE VENDAS'!$B$6:$P$500,4,FALSE),"")</f>
        <v>0</v>
      </c>
      <c r="E1005" s="34" t="str">
        <f>IFERROR(VLOOKUP(B1005,'SAÍDA DE VENDAS'!$B$6:$P$500,5,FALSE),"")</f>
        <v/>
      </c>
      <c r="F1005" s="34" t="str">
        <f>IF(OR(ISBLANK(B1005),B1005=""), "", IFERROR(INDEX('SAÍDA DE VENDAS'!$H$6:$H$500 &amp; "x " &amp; 'SAÍDA DE VENDAS'!$G$6:$G$500, MATCH(B1005, 'SAÍDA DE VENDAS'!$B$6:$B$500, 0)), "")&amp; IF(COUNTIF('SAÍDA DE VENDAS'!$B$6:$B$500, B1005)&gt;1, " + " &amp; IFERROR(INDEX('SAÍDA DE VENDAS'!$H$6:$H$500 &amp; "x " &amp; 'SAÍDA DE VENDAS'!$G$6:$G$500, MATCH(B1005, 'SAÍDA DE VENDAS'!$B$6:$B$500, 0)+1), ""), "")&amp; IF(COUNTIF('SAÍDA DE VENDAS'!$B$6:$B$500, B1005)&gt;2, " + " &amp; IFERROR(INDEX('SAÍDA DE VENDAS'!$H$6:$H$500 &amp; "x " &amp; 'SAÍDA DE VENDAS'!$G$6:$G$500, MATCH(B1005, 'SAÍDA DE VENDAS'!$B$6:$B$500, 0)+2), ""), "")&amp; IF(COUNTIF('SAÍDA DE VENDAS'!$B$6:$B$500, B1005)&gt;3, " + " &amp; IFERROR(INDEX('SAÍDA DE VENDAS'!$H$6:$H$500 &amp; "x " &amp; 'SAÍDA DE VENDAS'!$G$6:$G$500, MATCH(B1005, 'SAÍDA DE VENDAS'!$B$6:$B$500, 0)+3), ""), "")&amp; IF(COUNTIF('SAÍDA DE VENDAS'!$B$6:$B$500, B1005)&gt;4, " + " &amp; IFERROR(INDEX('SAÍDA DE VENDAS'!$H$6:$H$500 &amp; "x " &amp; 'SAÍDA DE VENDAS'!$G$6:$G$500, MATCH(B1005, 'SAÍDA DE VENDAS'!$B$6:$B$500, 0)+4), ""), "")&amp; IF(COUNTIF('SAÍDA DE VENDAS'!$B$6:$B$500, B1005)&gt;5, " + " &amp; IFERROR(INDEX('SAÍDA DE VENDAS'!$H$6:$H$500 &amp; "x " &amp; 'SAÍDA DE VENDAS'!$G$6:$G$500, MATCH(B1005, 'SAÍDA DE VENDAS'!$B$6:$B$500, 0)+5), ""), ""))</f>
        <v/>
      </c>
      <c r="G1005" s="34">
        <f>IFERROR(VLOOKUP(B1005,'SAÍDA DE VENDAS'!$B$6:$P$500,10,FALSE),"")</f>
        <v>0</v>
      </c>
      <c r="H1005" s="34" t="str">
        <f>IF(OR(ISBLANK(B1005),B1005=""), "", IF(B1005=B1004, (VALUE(LEFT(H1004,FIND("/",H1004)-1))+1)&amp;"/"&amp;RIGHT(H1004,LEN(H1004)-FIND("/",H1004)), "1/"&amp;IFERROR(VLOOKUP(B1005,'SAÍDA DE VENDAS'!$B$6:$P$500,13,FALSE),"1")))</f>
        <v/>
      </c>
      <c r="I1005" s="35" t="str">
        <f t="shared" si="30"/>
        <v/>
      </c>
      <c r="J1005" s="39" t="str">
        <f>IFERROR(VLOOKUP(B1005,'SAÍDA DE VENDAS'!$B$6:$P$500,15,FALSE),"")</f>
        <v/>
      </c>
      <c r="K1005" s="34" t="str">
        <f t="shared" ca="1" si="31"/>
        <v/>
      </c>
      <c r="L1005" s="34"/>
      <c r="M1005" s="34"/>
    </row>
    <row r="1006" spans="2:13" ht="15" customHeight="1" x14ac:dyDescent="0.3">
      <c r="B1006" s="28" t="str">
        <f>IF(B1005="","", IF(VALUE(LEFT(H1005,FIND("/",H1005)-1)) &lt; VALUE(RIGHT(H1005,LEN(H1005)-FIND("/",H1005))), B1005, IFERROR(INDEX('SAÍDA DE VENDAS'!$B$6:$B$500, MATCH(B1005,'SAÍDA DE VENDAS'!$B$6:$B$500,0)+COUNTIF('SAÍDA DE VENDAS'!$B$6:$B$500, B1005)),"")))</f>
        <v/>
      </c>
      <c r="C1006" s="29">
        <f>IFERROR(VLOOKUP(B1006,'SAÍDA DE VENDAS'!$B$6:$P$500,3,FALSE),"")</f>
        <v>0</v>
      </c>
      <c r="D1006" s="28">
        <f>IFERROR(VLOOKUP(B1006,'SAÍDA DE VENDAS'!$B$6:$P$500,4,FALSE),"")</f>
        <v>0</v>
      </c>
      <c r="E1006" s="28" t="str">
        <f>IFERROR(VLOOKUP(B1006,'SAÍDA DE VENDAS'!$B$6:$P$500,5,FALSE),"")</f>
        <v/>
      </c>
      <c r="F1006" s="28" t="str">
        <f>IF(OR(ISBLANK(B1006),B1006=""), "", IFERROR(INDEX('SAÍDA DE VENDAS'!$H$6:$H$500 &amp; "x " &amp; 'SAÍDA DE VENDAS'!$G$6:$G$500, MATCH(B1006, 'SAÍDA DE VENDAS'!$B$6:$B$500, 0)), "")&amp; IF(COUNTIF('SAÍDA DE VENDAS'!$B$6:$B$500, B1006)&gt;1, " + " &amp; IFERROR(INDEX('SAÍDA DE VENDAS'!$H$6:$H$500 &amp; "x " &amp; 'SAÍDA DE VENDAS'!$G$6:$G$500, MATCH(B1006, 'SAÍDA DE VENDAS'!$B$6:$B$500, 0)+1), ""), "")&amp; IF(COUNTIF('SAÍDA DE VENDAS'!$B$6:$B$500, B1006)&gt;2, " + " &amp; IFERROR(INDEX('SAÍDA DE VENDAS'!$H$6:$H$500 &amp; "x " &amp; 'SAÍDA DE VENDAS'!$G$6:$G$500, MATCH(B1006, 'SAÍDA DE VENDAS'!$B$6:$B$500, 0)+2), ""), "")&amp; IF(COUNTIF('SAÍDA DE VENDAS'!$B$6:$B$500, B1006)&gt;3, " + " &amp; IFERROR(INDEX('SAÍDA DE VENDAS'!$H$6:$H$500 &amp; "x " &amp; 'SAÍDA DE VENDAS'!$G$6:$G$500, MATCH(B1006, 'SAÍDA DE VENDAS'!$B$6:$B$500, 0)+3), ""), "")&amp; IF(COUNTIF('SAÍDA DE VENDAS'!$B$6:$B$500, B1006)&gt;4, " + " &amp; IFERROR(INDEX('SAÍDA DE VENDAS'!$H$6:$H$500 &amp; "x " &amp; 'SAÍDA DE VENDAS'!$G$6:$G$500, MATCH(B1006, 'SAÍDA DE VENDAS'!$B$6:$B$500, 0)+4), ""), "")&amp; IF(COUNTIF('SAÍDA DE VENDAS'!$B$6:$B$500, B1006)&gt;5, " + " &amp; IFERROR(INDEX('SAÍDA DE VENDAS'!$H$6:$H$500 &amp; "x " &amp; 'SAÍDA DE VENDAS'!$G$6:$G$500, MATCH(B1006, 'SAÍDA DE VENDAS'!$B$6:$B$500, 0)+5), ""), ""))</f>
        <v/>
      </c>
      <c r="G1006" s="28">
        <f>IFERROR(VLOOKUP(B1006,'SAÍDA DE VENDAS'!$B$6:$P$500,10,FALSE),"")</f>
        <v>0</v>
      </c>
      <c r="H1006" s="28" t="str">
        <f>IF(OR(ISBLANK(B1006),B1006=""), "", IF(B1006=B1005, (VALUE(LEFT(H1005,FIND("/",H1005)-1))+1)&amp;"/"&amp;RIGHT(H1005,LEN(H1005)-FIND("/",H1005)), "1/"&amp;IFERROR(VLOOKUP(B1006,'SAÍDA DE VENDAS'!$B$6:$P$500,13,FALSE),"1")))</f>
        <v/>
      </c>
      <c r="I1006" s="69" t="str">
        <f t="shared" si="30"/>
        <v/>
      </c>
      <c r="J1006" s="33" t="str">
        <f>IFERROR(VLOOKUP(B1006,'SAÍDA DE VENDAS'!$B$6:$P$500,15,FALSE),"")</f>
        <v/>
      </c>
      <c r="K1006" s="28" t="str">
        <f t="shared" ca="1" si="31"/>
        <v/>
      </c>
      <c r="L1006" s="28"/>
      <c r="M1006" s="28"/>
    </row>
    <row r="1007" spans="2:13" ht="15" customHeight="1" x14ac:dyDescent="0.3">
      <c r="B1007" s="34" t="str">
        <f>IF(B1006="","", IF(VALUE(LEFT(H1006,FIND("/",H1006)-1)) &lt; VALUE(RIGHT(H1006,LEN(H1006)-FIND("/",H1006))), B1006, IFERROR(INDEX('SAÍDA DE VENDAS'!$B$6:$B$500, MATCH(B1006,'SAÍDA DE VENDAS'!$B$6:$B$500,0)+COUNTIF('SAÍDA DE VENDAS'!$B$6:$B$500, B1006)),"")))</f>
        <v/>
      </c>
      <c r="C1007" s="35">
        <f>IFERROR(VLOOKUP(B1007,'SAÍDA DE VENDAS'!$B$6:$P$500,3,FALSE),"")</f>
        <v>0</v>
      </c>
      <c r="D1007" s="34">
        <f>IFERROR(VLOOKUP(B1007,'SAÍDA DE VENDAS'!$B$6:$P$500,4,FALSE),"")</f>
        <v>0</v>
      </c>
      <c r="E1007" s="34" t="str">
        <f>IFERROR(VLOOKUP(B1007,'SAÍDA DE VENDAS'!$B$6:$P$500,5,FALSE),"")</f>
        <v/>
      </c>
      <c r="F1007" s="34" t="str">
        <f>IF(OR(ISBLANK(B1007),B1007=""), "", IFERROR(INDEX('SAÍDA DE VENDAS'!$H$6:$H$500 &amp; "x " &amp; 'SAÍDA DE VENDAS'!$G$6:$G$500, MATCH(B1007, 'SAÍDA DE VENDAS'!$B$6:$B$500, 0)), "")&amp; IF(COUNTIF('SAÍDA DE VENDAS'!$B$6:$B$500, B1007)&gt;1, " + " &amp; IFERROR(INDEX('SAÍDA DE VENDAS'!$H$6:$H$500 &amp; "x " &amp; 'SAÍDA DE VENDAS'!$G$6:$G$500, MATCH(B1007, 'SAÍDA DE VENDAS'!$B$6:$B$500, 0)+1), ""), "")&amp; IF(COUNTIF('SAÍDA DE VENDAS'!$B$6:$B$500, B1007)&gt;2, " + " &amp; IFERROR(INDEX('SAÍDA DE VENDAS'!$H$6:$H$500 &amp; "x " &amp; 'SAÍDA DE VENDAS'!$G$6:$G$500, MATCH(B1007, 'SAÍDA DE VENDAS'!$B$6:$B$500, 0)+2), ""), "")&amp; IF(COUNTIF('SAÍDA DE VENDAS'!$B$6:$B$500, B1007)&gt;3, " + " &amp; IFERROR(INDEX('SAÍDA DE VENDAS'!$H$6:$H$500 &amp; "x " &amp; 'SAÍDA DE VENDAS'!$G$6:$G$500, MATCH(B1007, 'SAÍDA DE VENDAS'!$B$6:$B$500, 0)+3), ""), "")&amp; IF(COUNTIF('SAÍDA DE VENDAS'!$B$6:$B$500, B1007)&gt;4, " + " &amp; IFERROR(INDEX('SAÍDA DE VENDAS'!$H$6:$H$500 &amp; "x " &amp; 'SAÍDA DE VENDAS'!$G$6:$G$500, MATCH(B1007, 'SAÍDA DE VENDAS'!$B$6:$B$500, 0)+4), ""), "")&amp; IF(COUNTIF('SAÍDA DE VENDAS'!$B$6:$B$500, B1007)&gt;5, " + " &amp; IFERROR(INDEX('SAÍDA DE VENDAS'!$H$6:$H$500 &amp; "x " &amp; 'SAÍDA DE VENDAS'!$G$6:$G$500, MATCH(B1007, 'SAÍDA DE VENDAS'!$B$6:$B$500, 0)+5), ""), ""))</f>
        <v/>
      </c>
      <c r="G1007" s="34">
        <f>IFERROR(VLOOKUP(B1007,'SAÍDA DE VENDAS'!$B$6:$P$500,10,FALSE),"")</f>
        <v>0</v>
      </c>
      <c r="H1007" s="34" t="str">
        <f>IF(OR(ISBLANK(B1007),B1007=""), "", IF(B1007=B1006, (VALUE(LEFT(H1006,FIND("/",H1006)-1))+1)&amp;"/"&amp;RIGHT(H1006,LEN(H1006)-FIND("/",H1006)), "1/"&amp;IFERROR(VLOOKUP(B1007,'SAÍDA DE VENDAS'!$B$6:$P$500,13,FALSE),"1")))</f>
        <v/>
      </c>
      <c r="I1007" s="35" t="str">
        <f t="shared" si="30"/>
        <v/>
      </c>
      <c r="J1007" s="39" t="str">
        <f>IFERROR(VLOOKUP(B1007,'SAÍDA DE VENDAS'!$B$6:$P$500,15,FALSE),"")</f>
        <v/>
      </c>
      <c r="K1007" s="34" t="str">
        <f t="shared" ca="1" si="31"/>
        <v/>
      </c>
      <c r="L1007" s="34"/>
      <c r="M1007" s="34"/>
    </row>
    <row r="1008" spans="2:13" ht="15" customHeight="1" x14ac:dyDescent="0.3">
      <c r="B1008" s="28" t="str">
        <f>IF(B1007="","", IF(VALUE(LEFT(H1007,FIND("/",H1007)-1)) &lt; VALUE(RIGHT(H1007,LEN(H1007)-FIND("/",H1007))), B1007, IFERROR(INDEX('SAÍDA DE VENDAS'!$B$6:$B$500, MATCH(B1007,'SAÍDA DE VENDAS'!$B$6:$B$500,0)+COUNTIF('SAÍDA DE VENDAS'!$B$6:$B$500, B1007)),"")))</f>
        <v/>
      </c>
      <c r="C1008" s="29">
        <f>IFERROR(VLOOKUP(B1008,'SAÍDA DE VENDAS'!$B$6:$P$500,3,FALSE),"")</f>
        <v>0</v>
      </c>
      <c r="D1008" s="28">
        <f>IFERROR(VLOOKUP(B1008,'SAÍDA DE VENDAS'!$B$6:$P$500,4,FALSE),"")</f>
        <v>0</v>
      </c>
      <c r="E1008" s="28" t="str">
        <f>IFERROR(VLOOKUP(B1008,'SAÍDA DE VENDAS'!$B$6:$P$500,5,FALSE),"")</f>
        <v/>
      </c>
      <c r="F1008" s="28" t="str">
        <f>IF(OR(ISBLANK(B1008),B1008=""), "", IFERROR(INDEX('SAÍDA DE VENDAS'!$H$6:$H$500 &amp; "x " &amp; 'SAÍDA DE VENDAS'!$G$6:$G$500, MATCH(B1008, 'SAÍDA DE VENDAS'!$B$6:$B$500, 0)), "")&amp; IF(COUNTIF('SAÍDA DE VENDAS'!$B$6:$B$500, B1008)&gt;1, " + " &amp; IFERROR(INDEX('SAÍDA DE VENDAS'!$H$6:$H$500 &amp; "x " &amp; 'SAÍDA DE VENDAS'!$G$6:$G$500, MATCH(B1008, 'SAÍDA DE VENDAS'!$B$6:$B$500, 0)+1), ""), "")&amp; IF(COUNTIF('SAÍDA DE VENDAS'!$B$6:$B$500, B1008)&gt;2, " + " &amp; IFERROR(INDEX('SAÍDA DE VENDAS'!$H$6:$H$500 &amp; "x " &amp; 'SAÍDA DE VENDAS'!$G$6:$G$500, MATCH(B1008, 'SAÍDA DE VENDAS'!$B$6:$B$500, 0)+2), ""), "")&amp; IF(COUNTIF('SAÍDA DE VENDAS'!$B$6:$B$500, B1008)&gt;3, " + " &amp; IFERROR(INDEX('SAÍDA DE VENDAS'!$H$6:$H$500 &amp; "x " &amp; 'SAÍDA DE VENDAS'!$G$6:$G$500, MATCH(B1008, 'SAÍDA DE VENDAS'!$B$6:$B$500, 0)+3), ""), "")&amp; IF(COUNTIF('SAÍDA DE VENDAS'!$B$6:$B$500, B1008)&gt;4, " + " &amp; IFERROR(INDEX('SAÍDA DE VENDAS'!$H$6:$H$500 &amp; "x " &amp; 'SAÍDA DE VENDAS'!$G$6:$G$500, MATCH(B1008, 'SAÍDA DE VENDAS'!$B$6:$B$500, 0)+4), ""), "")&amp; IF(COUNTIF('SAÍDA DE VENDAS'!$B$6:$B$500, B1008)&gt;5, " + " &amp; IFERROR(INDEX('SAÍDA DE VENDAS'!$H$6:$H$500 &amp; "x " &amp; 'SAÍDA DE VENDAS'!$G$6:$G$500, MATCH(B1008, 'SAÍDA DE VENDAS'!$B$6:$B$500, 0)+5), ""), ""))</f>
        <v/>
      </c>
      <c r="G1008" s="28">
        <f>IFERROR(VLOOKUP(B1008,'SAÍDA DE VENDAS'!$B$6:$P$500,10,FALSE),"")</f>
        <v>0</v>
      </c>
      <c r="H1008" s="28" t="str">
        <f>IF(OR(ISBLANK(B1008),B1008=""), "", IF(B1008=B1007, (VALUE(LEFT(H1007,FIND("/",H1007)-1))+1)&amp;"/"&amp;RIGHT(H1007,LEN(H1007)-FIND("/",H1007)), "1/"&amp;IFERROR(VLOOKUP(B1008,'SAÍDA DE VENDAS'!$B$6:$P$500,13,FALSE),"1")))</f>
        <v/>
      </c>
      <c r="I1008" s="69" t="str">
        <f t="shared" si="30"/>
        <v/>
      </c>
      <c r="J1008" s="33" t="str">
        <f>IFERROR(VLOOKUP(B1008,'SAÍDA DE VENDAS'!$B$6:$P$500,15,FALSE),"")</f>
        <v/>
      </c>
      <c r="K1008" s="28" t="str">
        <f t="shared" ca="1" si="31"/>
        <v/>
      </c>
      <c r="L1008" s="28"/>
      <c r="M1008" s="28"/>
    </row>
    <row r="1009" spans="2:13" ht="15" customHeight="1" x14ac:dyDescent="0.3">
      <c r="B1009" s="34" t="str">
        <f>IF(B1008="","", IF(VALUE(LEFT(H1008,FIND("/",H1008)-1)) &lt; VALUE(RIGHT(H1008,LEN(H1008)-FIND("/",H1008))), B1008, IFERROR(INDEX('SAÍDA DE VENDAS'!$B$6:$B$500, MATCH(B1008,'SAÍDA DE VENDAS'!$B$6:$B$500,0)+COUNTIF('SAÍDA DE VENDAS'!$B$6:$B$500, B1008)),"")))</f>
        <v/>
      </c>
      <c r="C1009" s="35">
        <f>IFERROR(VLOOKUP(B1009,'SAÍDA DE VENDAS'!$B$6:$P$500,3,FALSE),"")</f>
        <v>0</v>
      </c>
      <c r="D1009" s="34">
        <f>IFERROR(VLOOKUP(B1009,'SAÍDA DE VENDAS'!$B$6:$P$500,4,FALSE),"")</f>
        <v>0</v>
      </c>
      <c r="E1009" s="34" t="str">
        <f>IFERROR(VLOOKUP(B1009,'SAÍDA DE VENDAS'!$B$6:$P$500,5,FALSE),"")</f>
        <v/>
      </c>
      <c r="F1009" s="34" t="str">
        <f>IF(OR(ISBLANK(B1009),B1009=""), "", IFERROR(INDEX('SAÍDA DE VENDAS'!$H$6:$H$500 &amp; "x " &amp; 'SAÍDA DE VENDAS'!$G$6:$G$500, MATCH(B1009, 'SAÍDA DE VENDAS'!$B$6:$B$500, 0)), "")&amp; IF(COUNTIF('SAÍDA DE VENDAS'!$B$6:$B$500, B1009)&gt;1, " + " &amp; IFERROR(INDEX('SAÍDA DE VENDAS'!$H$6:$H$500 &amp; "x " &amp; 'SAÍDA DE VENDAS'!$G$6:$G$500, MATCH(B1009, 'SAÍDA DE VENDAS'!$B$6:$B$500, 0)+1), ""), "")&amp; IF(COUNTIF('SAÍDA DE VENDAS'!$B$6:$B$500, B1009)&gt;2, " + " &amp; IFERROR(INDEX('SAÍDA DE VENDAS'!$H$6:$H$500 &amp; "x " &amp; 'SAÍDA DE VENDAS'!$G$6:$G$500, MATCH(B1009, 'SAÍDA DE VENDAS'!$B$6:$B$500, 0)+2), ""), "")&amp; IF(COUNTIF('SAÍDA DE VENDAS'!$B$6:$B$500, B1009)&gt;3, " + " &amp; IFERROR(INDEX('SAÍDA DE VENDAS'!$H$6:$H$500 &amp; "x " &amp; 'SAÍDA DE VENDAS'!$G$6:$G$500, MATCH(B1009, 'SAÍDA DE VENDAS'!$B$6:$B$500, 0)+3), ""), "")&amp; IF(COUNTIF('SAÍDA DE VENDAS'!$B$6:$B$500, B1009)&gt;4, " + " &amp; IFERROR(INDEX('SAÍDA DE VENDAS'!$H$6:$H$500 &amp; "x " &amp; 'SAÍDA DE VENDAS'!$G$6:$G$500, MATCH(B1009, 'SAÍDA DE VENDAS'!$B$6:$B$500, 0)+4), ""), "")&amp; IF(COUNTIF('SAÍDA DE VENDAS'!$B$6:$B$500, B1009)&gt;5, " + " &amp; IFERROR(INDEX('SAÍDA DE VENDAS'!$H$6:$H$500 &amp; "x " &amp; 'SAÍDA DE VENDAS'!$G$6:$G$500, MATCH(B1009, 'SAÍDA DE VENDAS'!$B$6:$B$500, 0)+5), ""), ""))</f>
        <v/>
      </c>
      <c r="G1009" s="34">
        <f>IFERROR(VLOOKUP(B1009,'SAÍDA DE VENDAS'!$B$6:$P$500,10,FALSE),"")</f>
        <v>0</v>
      </c>
      <c r="H1009" s="34" t="str">
        <f>IF(OR(ISBLANK(B1009),B1009=""), "", IF(B1009=B1008, (VALUE(LEFT(H1008,FIND("/",H1008)-1))+1)&amp;"/"&amp;RIGHT(H1008,LEN(H1008)-FIND("/",H1008)), "1/"&amp;IFERROR(VLOOKUP(B1009,'SAÍDA DE VENDAS'!$B$6:$P$500,13,FALSE),"1")))</f>
        <v/>
      </c>
      <c r="I1009" s="35" t="str">
        <f t="shared" si="30"/>
        <v/>
      </c>
      <c r="J1009" s="39" t="str">
        <f>IFERROR(VLOOKUP(B1009,'SAÍDA DE VENDAS'!$B$6:$P$500,15,FALSE),"")</f>
        <v/>
      </c>
      <c r="K1009" s="34" t="str">
        <f t="shared" ca="1" si="31"/>
        <v/>
      </c>
      <c r="L1009" s="34"/>
      <c r="M1009" s="34"/>
    </row>
    <row r="1010" spans="2:13" ht="15" customHeight="1" x14ac:dyDescent="0.3">
      <c r="B1010" s="28" t="str">
        <f>IF(B1009="","", IF(VALUE(LEFT(H1009,FIND("/",H1009)-1)) &lt; VALUE(RIGHT(H1009,LEN(H1009)-FIND("/",H1009))), B1009, IFERROR(INDEX('SAÍDA DE VENDAS'!$B$6:$B$500, MATCH(B1009,'SAÍDA DE VENDAS'!$B$6:$B$500,0)+COUNTIF('SAÍDA DE VENDAS'!$B$6:$B$500, B1009)),"")))</f>
        <v/>
      </c>
      <c r="C1010" s="29">
        <f>IFERROR(VLOOKUP(B1010,'SAÍDA DE VENDAS'!$B$6:$P$500,3,FALSE),"")</f>
        <v>0</v>
      </c>
      <c r="D1010" s="28">
        <f>IFERROR(VLOOKUP(B1010,'SAÍDA DE VENDAS'!$B$6:$P$500,4,FALSE),"")</f>
        <v>0</v>
      </c>
      <c r="E1010" s="28" t="str">
        <f>IFERROR(VLOOKUP(B1010,'SAÍDA DE VENDAS'!$B$6:$P$500,5,FALSE),"")</f>
        <v/>
      </c>
      <c r="F1010" s="28" t="str">
        <f>IF(OR(ISBLANK(B1010),B1010=""), "", IFERROR(INDEX('SAÍDA DE VENDAS'!$H$6:$H$500 &amp; "x " &amp; 'SAÍDA DE VENDAS'!$G$6:$G$500, MATCH(B1010, 'SAÍDA DE VENDAS'!$B$6:$B$500, 0)), "")&amp; IF(COUNTIF('SAÍDA DE VENDAS'!$B$6:$B$500, B1010)&gt;1, " + " &amp; IFERROR(INDEX('SAÍDA DE VENDAS'!$H$6:$H$500 &amp; "x " &amp; 'SAÍDA DE VENDAS'!$G$6:$G$500, MATCH(B1010, 'SAÍDA DE VENDAS'!$B$6:$B$500, 0)+1), ""), "")&amp; IF(COUNTIF('SAÍDA DE VENDAS'!$B$6:$B$500, B1010)&gt;2, " + " &amp; IFERROR(INDEX('SAÍDA DE VENDAS'!$H$6:$H$500 &amp; "x " &amp; 'SAÍDA DE VENDAS'!$G$6:$G$500, MATCH(B1010, 'SAÍDA DE VENDAS'!$B$6:$B$500, 0)+2), ""), "")&amp; IF(COUNTIF('SAÍDA DE VENDAS'!$B$6:$B$500, B1010)&gt;3, " + " &amp; IFERROR(INDEX('SAÍDA DE VENDAS'!$H$6:$H$500 &amp; "x " &amp; 'SAÍDA DE VENDAS'!$G$6:$G$500, MATCH(B1010, 'SAÍDA DE VENDAS'!$B$6:$B$500, 0)+3), ""), "")&amp; IF(COUNTIF('SAÍDA DE VENDAS'!$B$6:$B$500, B1010)&gt;4, " + " &amp; IFERROR(INDEX('SAÍDA DE VENDAS'!$H$6:$H$500 &amp; "x " &amp; 'SAÍDA DE VENDAS'!$G$6:$G$500, MATCH(B1010, 'SAÍDA DE VENDAS'!$B$6:$B$500, 0)+4), ""), "")&amp; IF(COUNTIF('SAÍDA DE VENDAS'!$B$6:$B$500, B1010)&gt;5, " + " &amp; IFERROR(INDEX('SAÍDA DE VENDAS'!$H$6:$H$500 &amp; "x " &amp; 'SAÍDA DE VENDAS'!$G$6:$G$500, MATCH(B1010, 'SAÍDA DE VENDAS'!$B$6:$B$500, 0)+5), ""), ""))</f>
        <v/>
      </c>
      <c r="G1010" s="28">
        <f>IFERROR(VLOOKUP(B1010,'SAÍDA DE VENDAS'!$B$6:$P$500,10,FALSE),"")</f>
        <v>0</v>
      </c>
      <c r="H1010" s="28" t="str">
        <f>IF(OR(ISBLANK(B1010),B1010=""), "", IF(B1010=B1009, (VALUE(LEFT(H1009,FIND("/",H1009)-1))+1)&amp;"/"&amp;RIGHT(H1009,LEN(H1009)-FIND("/",H1009)), "1/"&amp;IFERROR(VLOOKUP(B1010,'SAÍDA DE VENDAS'!$B$6:$P$500,13,FALSE),"1")))</f>
        <v/>
      </c>
      <c r="I1010" s="69" t="str">
        <f t="shared" si="30"/>
        <v/>
      </c>
      <c r="J1010" s="33" t="str">
        <f>IFERROR(VLOOKUP(B1010,'SAÍDA DE VENDAS'!$B$6:$P$500,15,FALSE),"")</f>
        <v/>
      </c>
      <c r="K1010" s="28" t="str">
        <f t="shared" ca="1" si="31"/>
        <v/>
      </c>
      <c r="L1010" s="28"/>
      <c r="M1010" s="28"/>
    </row>
    <row r="1011" spans="2:13" ht="15" customHeight="1" x14ac:dyDescent="0.3">
      <c r="B1011" s="34" t="str">
        <f>IF(B1010="","", IF(VALUE(LEFT(H1010,FIND("/",H1010)-1)) &lt; VALUE(RIGHT(H1010,LEN(H1010)-FIND("/",H1010))), B1010, IFERROR(INDEX('SAÍDA DE VENDAS'!$B$6:$B$500, MATCH(B1010,'SAÍDA DE VENDAS'!$B$6:$B$500,0)+COUNTIF('SAÍDA DE VENDAS'!$B$6:$B$500, B1010)),"")))</f>
        <v/>
      </c>
      <c r="C1011" s="35">
        <f>IFERROR(VLOOKUP(B1011,'SAÍDA DE VENDAS'!$B$6:$P$500,3,FALSE),"")</f>
        <v>0</v>
      </c>
      <c r="D1011" s="34">
        <f>IFERROR(VLOOKUP(B1011,'SAÍDA DE VENDAS'!$B$6:$P$500,4,FALSE),"")</f>
        <v>0</v>
      </c>
      <c r="E1011" s="34" t="str">
        <f>IFERROR(VLOOKUP(B1011,'SAÍDA DE VENDAS'!$B$6:$P$500,5,FALSE),"")</f>
        <v/>
      </c>
      <c r="F1011" s="34" t="str">
        <f>IF(OR(ISBLANK(B1011),B1011=""), "", IFERROR(INDEX('SAÍDA DE VENDAS'!$H$6:$H$500 &amp; "x " &amp; 'SAÍDA DE VENDAS'!$G$6:$G$500, MATCH(B1011, 'SAÍDA DE VENDAS'!$B$6:$B$500, 0)), "")&amp; IF(COUNTIF('SAÍDA DE VENDAS'!$B$6:$B$500, B1011)&gt;1, " + " &amp; IFERROR(INDEX('SAÍDA DE VENDAS'!$H$6:$H$500 &amp; "x " &amp; 'SAÍDA DE VENDAS'!$G$6:$G$500, MATCH(B1011, 'SAÍDA DE VENDAS'!$B$6:$B$500, 0)+1), ""), "")&amp; IF(COUNTIF('SAÍDA DE VENDAS'!$B$6:$B$500, B1011)&gt;2, " + " &amp; IFERROR(INDEX('SAÍDA DE VENDAS'!$H$6:$H$500 &amp; "x " &amp; 'SAÍDA DE VENDAS'!$G$6:$G$500, MATCH(B1011, 'SAÍDA DE VENDAS'!$B$6:$B$500, 0)+2), ""), "")&amp; IF(COUNTIF('SAÍDA DE VENDAS'!$B$6:$B$500, B1011)&gt;3, " + " &amp; IFERROR(INDEX('SAÍDA DE VENDAS'!$H$6:$H$500 &amp; "x " &amp; 'SAÍDA DE VENDAS'!$G$6:$G$500, MATCH(B1011, 'SAÍDA DE VENDAS'!$B$6:$B$500, 0)+3), ""), "")&amp; IF(COUNTIF('SAÍDA DE VENDAS'!$B$6:$B$500, B1011)&gt;4, " + " &amp; IFERROR(INDEX('SAÍDA DE VENDAS'!$H$6:$H$500 &amp; "x " &amp; 'SAÍDA DE VENDAS'!$G$6:$G$500, MATCH(B1011, 'SAÍDA DE VENDAS'!$B$6:$B$500, 0)+4), ""), "")&amp; IF(COUNTIF('SAÍDA DE VENDAS'!$B$6:$B$500, B1011)&gt;5, " + " &amp; IFERROR(INDEX('SAÍDA DE VENDAS'!$H$6:$H$500 &amp; "x " &amp; 'SAÍDA DE VENDAS'!$G$6:$G$500, MATCH(B1011, 'SAÍDA DE VENDAS'!$B$6:$B$500, 0)+5), ""), ""))</f>
        <v/>
      </c>
      <c r="G1011" s="34">
        <f>IFERROR(VLOOKUP(B1011,'SAÍDA DE VENDAS'!$B$6:$P$500,10,FALSE),"")</f>
        <v>0</v>
      </c>
      <c r="H1011" s="34" t="str">
        <f>IF(OR(ISBLANK(B1011),B1011=""), "", IF(B1011=B1010, (VALUE(LEFT(H1010,FIND("/",H1010)-1))+1)&amp;"/"&amp;RIGHT(H1010,LEN(H1010)-FIND("/",H1010)), "1/"&amp;IFERROR(VLOOKUP(B1011,'SAÍDA DE VENDAS'!$B$6:$P$500,13,FALSE),"1")))</f>
        <v/>
      </c>
      <c r="I1011" s="35" t="str">
        <f t="shared" si="30"/>
        <v/>
      </c>
      <c r="J1011" s="39" t="str">
        <f>IFERROR(VLOOKUP(B1011,'SAÍDA DE VENDAS'!$B$6:$P$500,15,FALSE),"")</f>
        <v/>
      </c>
      <c r="K1011" s="34" t="str">
        <f t="shared" ca="1" si="31"/>
        <v/>
      </c>
      <c r="L1011" s="34"/>
      <c r="M1011" s="34"/>
    </row>
    <row r="1012" spans="2:13" ht="15" customHeight="1" x14ac:dyDescent="0.3">
      <c r="B1012" s="28" t="str">
        <f>IF(B1011="","", IF(VALUE(LEFT(H1011,FIND("/",H1011)-1)) &lt; VALUE(RIGHT(H1011,LEN(H1011)-FIND("/",H1011))), B1011, IFERROR(INDEX('SAÍDA DE VENDAS'!$B$6:$B$500, MATCH(B1011,'SAÍDA DE VENDAS'!$B$6:$B$500,0)+COUNTIF('SAÍDA DE VENDAS'!$B$6:$B$500, B1011)),"")))</f>
        <v/>
      </c>
      <c r="C1012" s="29">
        <f>IFERROR(VLOOKUP(B1012,'SAÍDA DE VENDAS'!$B$6:$P$500,3,FALSE),"")</f>
        <v>0</v>
      </c>
      <c r="D1012" s="28">
        <f>IFERROR(VLOOKUP(B1012,'SAÍDA DE VENDAS'!$B$6:$P$500,4,FALSE),"")</f>
        <v>0</v>
      </c>
      <c r="E1012" s="28" t="str">
        <f>IFERROR(VLOOKUP(B1012,'SAÍDA DE VENDAS'!$B$6:$P$500,5,FALSE),"")</f>
        <v/>
      </c>
      <c r="F1012" s="28" t="str">
        <f>IF(OR(ISBLANK(B1012),B1012=""), "", IFERROR(INDEX('SAÍDA DE VENDAS'!$H$6:$H$500 &amp; "x " &amp; 'SAÍDA DE VENDAS'!$G$6:$G$500, MATCH(B1012, 'SAÍDA DE VENDAS'!$B$6:$B$500, 0)), "")&amp; IF(COUNTIF('SAÍDA DE VENDAS'!$B$6:$B$500, B1012)&gt;1, " + " &amp; IFERROR(INDEX('SAÍDA DE VENDAS'!$H$6:$H$500 &amp; "x " &amp; 'SAÍDA DE VENDAS'!$G$6:$G$500, MATCH(B1012, 'SAÍDA DE VENDAS'!$B$6:$B$500, 0)+1), ""), "")&amp; IF(COUNTIF('SAÍDA DE VENDAS'!$B$6:$B$500, B1012)&gt;2, " + " &amp; IFERROR(INDEX('SAÍDA DE VENDAS'!$H$6:$H$500 &amp; "x " &amp; 'SAÍDA DE VENDAS'!$G$6:$G$500, MATCH(B1012, 'SAÍDA DE VENDAS'!$B$6:$B$500, 0)+2), ""), "")&amp; IF(COUNTIF('SAÍDA DE VENDAS'!$B$6:$B$500, B1012)&gt;3, " + " &amp; IFERROR(INDEX('SAÍDA DE VENDAS'!$H$6:$H$500 &amp; "x " &amp; 'SAÍDA DE VENDAS'!$G$6:$G$500, MATCH(B1012, 'SAÍDA DE VENDAS'!$B$6:$B$500, 0)+3), ""), "")&amp; IF(COUNTIF('SAÍDA DE VENDAS'!$B$6:$B$500, B1012)&gt;4, " + " &amp; IFERROR(INDEX('SAÍDA DE VENDAS'!$H$6:$H$500 &amp; "x " &amp; 'SAÍDA DE VENDAS'!$G$6:$G$500, MATCH(B1012, 'SAÍDA DE VENDAS'!$B$6:$B$500, 0)+4), ""), "")&amp; IF(COUNTIF('SAÍDA DE VENDAS'!$B$6:$B$500, B1012)&gt;5, " + " &amp; IFERROR(INDEX('SAÍDA DE VENDAS'!$H$6:$H$500 &amp; "x " &amp; 'SAÍDA DE VENDAS'!$G$6:$G$500, MATCH(B1012, 'SAÍDA DE VENDAS'!$B$6:$B$500, 0)+5), ""), ""))</f>
        <v/>
      </c>
      <c r="G1012" s="28">
        <f>IFERROR(VLOOKUP(B1012,'SAÍDA DE VENDAS'!$B$6:$P$500,10,FALSE),"")</f>
        <v>0</v>
      </c>
      <c r="H1012" s="28" t="str">
        <f>IF(OR(ISBLANK(B1012),B1012=""), "", IF(B1012=B1011, (VALUE(LEFT(H1011,FIND("/",H1011)-1))+1)&amp;"/"&amp;RIGHT(H1011,LEN(H1011)-FIND("/",H1011)), "1/"&amp;IFERROR(VLOOKUP(B1012,'SAÍDA DE VENDAS'!$B$6:$P$500,13,FALSE),"1")))</f>
        <v/>
      </c>
      <c r="I1012" s="69" t="str">
        <f t="shared" si="30"/>
        <v/>
      </c>
      <c r="J1012" s="33" t="str">
        <f>IFERROR(VLOOKUP(B1012,'SAÍDA DE VENDAS'!$B$6:$P$500,15,FALSE),"")</f>
        <v/>
      </c>
      <c r="K1012" s="28" t="str">
        <f t="shared" ca="1" si="31"/>
        <v/>
      </c>
      <c r="L1012" s="28"/>
      <c r="M1012" s="28"/>
    </row>
    <row r="1013" spans="2:13" ht="15" customHeight="1" x14ac:dyDescent="0.3">
      <c r="B1013" s="34" t="str">
        <f>IF(B1012="","", IF(VALUE(LEFT(H1012,FIND("/",H1012)-1)) &lt; VALUE(RIGHT(H1012,LEN(H1012)-FIND("/",H1012))), B1012, IFERROR(INDEX('SAÍDA DE VENDAS'!$B$6:$B$500, MATCH(B1012,'SAÍDA DE VENDAS'!$B$6:$B$500,0)+COUNTIF('SAÍDA DE VENDAS'!$B$6:$B$500, B1012)),"")))</f>
        <v/>
      </c>
      <c r="C1013" s="35">
        <f>IFERROR(VLOOKUP(B1013,'SAÍDA DE VENDAS'!$B$6:$P$500,3,FALSE),"")</f>
        <v>0</v>
      </c>
      <c r="D1013" s="34">
        <f>IFERROR(VLOOKUP(B1013,'SAÍDA DE VENDAS'!$B$6:$P$500,4,FALSE),"")</f>
        <v>0</v>
      </c>
      <c r="E1013" s="34" t="str">
        <f>IFERROR(VLOOKUP(B1013,'SAÍDA DE VENDAS'!$B$6:$P$500,5,FALSE),"")</f>
        <v/>
      </c>
      <c r="F1013" s="34" t="str">
        <f>IF(OR(ISBLANK(B1013),B1013=""), "", IFERROR(INDEX('SAÍDA DE VENDAS'!$H$6:$H$500 &amp; "x " &amp; 'SAÍDA DE VENDAS'!$G$6:$G$500, MATCH(B1013, 'SAÍDA DE VENDAS'!$B$6:$B$500, 0)), "")&amp; IF(COUNTIF('SAÍDA DE VENDAS'!$B$6:$B$500, B1013)&gt;1, " + " &amp; IFERROR(INDEX('SAÍDA DE VENDAS'!$H$6:$H$500 &amp; "x " &amp; 'SAÍDA DE VENDAS'!$G$6:$G$500, MATCH(B1013, 'SAÍDA DE VENDAS'!$B$6:$B$500, 0)+1), ""), "")&amp; IF(COUNTIF('SAÍDA DE VENDAS'!$B$6:$B$500, B1013)&gt;2, " + " &amp; IFERROR(INDEX('SAÍDA DE VENDAS'!$H$6:$H$500 &amp; "x " &amp; 'SAÍDA DE VENDAS'!$G$6:$G$500, MATCH(B1013, 'SAÍDA DE VENDAS'!$B$6:$B$500, 0)+2), ""), "")&amp; IF(COUNTIF('SAÍDA DE VENDAS'!$B$6:$B$500, B1013)&gt;3, " + " &amp; IFERROR(INDEX('SAÍDA DE VENDAS'!$H$6:$H$500 &amp; "x " &amp; 'SAÍDA DE VENDAS'!$G$6:$G$500, MATCH(B1013, 'SAÍDA DE VENDAS'!$B$6:$B$500, 0)+3), ""), "")&amp; IF(COUNTIF('SAÍDA DE VENDAS'!$B$6:$B$500, B1013)&gt;4, " + " &amp; IFERROR(INDEX('SAÍDA DE VENDAS'!$H$6:$H$500 &amp; "x " &amp; 'SAÍDA DE VENDAS'!$G$6:$G$500, MATCH(B1013, 'SAÍDA DE VENDAS'!$B$6:$B$500, 0)+4), ""), "")&amp; IF(COUNTIF('SAÍDA DE VENDAS'!$B$6:$B$500, B1013)&gt;5, " + " &amp; IFERROR(INDEX('SAÍDA DE VENDAS'!$H$6:$H$500 &amp; "x " &amp; 'SAÍDA DE VENDAS'!$G$6:$G$500, MATCH(B1013, 'SAÍDA DE VENDAS'!$B$6:$B$500, 0)+5), ""), ""))</f>
        <v/>
      </c>
      <c r="G1013" s="34">
        <f>IFERROR(VLOOKUP(B1013,'SAÍDA DE VENDAS'!$B$6:$P$500,10,FALSE),"")</f>
        <v>0</v>
      </c>
      <c r="H1013" s="34" t="str">
        <f>IF(OR(ISBLANK(B1013),B1013=""), "", IF(B1013=B1012, (VALUE(LEFT(H1012,FIND("/",H1012)-1))+1)&amp;"/"&amp;RIGHT(H1012,LEN(H1012)-FIND("/",H1012)), "1/"&amp;IFERROR(VLOOKUP(B1013,'SAÍDA DE VENDAS'!$B$6:$P$500,13,FALSE),"1")))</f>
        <v/>
      </c>
      <c r="I1013" s="35" t="str">
        <f t="shared" si="30"/>
        <v/>
      </c>
      <c r="J1013" s="39" t="str">
        <f>IFERROR(VLOOKUP(B1013,'SAÍDA DE VENDAS'!$B$6:$P$500,15,FALSE),"")</f>
        <v/>
      </c>
      <c r="K1013" s="34" t="str">
        <f t="shared" ca="1" si="31"/>
        <v/>
      </c>
      <c r="L1013" s="34"/>
      <c r="M1013" s="34"/>
    </row>
    <row r="1014" spans="2:13" ht="15" customHeight="1" x14ac:dyDescent="0.3">
      <c r="B1014" s="28" t="str">
        <f>IF(B1013="","", IF(VALUE(LEFT(H1013,FIND("/",H1013)-1)) &lt; VALUE(RIGHT(H1013,LEN(H1013)-FIND("/",H1013))), B1013, IFERROR(INDEX('SAÍDA DE VENDAS'!$B$6:$B$500, MATCH(B1013,'SAÍDA DE VENDAS'!$B$6:$B$500,0)+COUNTIF('SAÍDA DE VENDAS'!$B$6:$B$500, B1013)),"")))</f>
        <v/>
      </c>
      <c r="C1014" s="29">
        <f>IFERROR(VLOOKUP(B1014,'SAÍDA DE VENDAS'!$B$6:$P$500,3,FALSE),"")</f>
        <v>0</v>
      </c>
      <c r="D1014" s="28">
        <f>IFERROR(VLOOKUP(B1014,'SAÍDA DE VENDAS'!$B$6:$P$500,4,FALSE),"")</f>
        <v>0</v>
      </c>
      <c r="E1014" s="28" t="str">
        <f>IFERROR(VLOOKUP(B1014,'SAÍDA DE VENDAS'!$B$6:$P$500,5,FALSE),"")</f>
        <v/>
      </c>
      <c r="F1014" s="28" t="str">
        <f>IF(OR(ISBLANK(B1014),B1014=""), "", IFERROR(INDEX('SAÍDA DE VENDAS'!$H$6:$H$500 &amp; "x " &amp; 'SAÍDA DE VENDAS'!$G$6:$G$500, MATCH(B1014, 'SAÍDA DE VENDAS'!$B$6:$B$500, 0)), "")&amp; IF(COUNTIF('SAÍDA DE VENDAS'!$B$6:$B$500, B1014)&gt;1, " + " &amp; IFERROR(INDEX('SAÍDA DE VENDAS'!$H$6:$H$500 &amp; "x " &amp; 'SAÍDA DE VENDAS'!$G$6:$G$500, MATCH(B1014, 'SAÍDA DE VENDAS'!$B$6:$B$500, 0)+1), ""), "")&amp; IF(COUNTIF('SAÍDA DE VENDAS'!$B$6:$B$500, B1014)&gt;2, " + " &amp; IFERROR(INDEX('SAÍDA DE VENDAS'!$H$6:$H$500 &amp; "x " &amp; 'SAÍDA DE VENDAS'!$G$6:$G$500, MATCH(B1014, 'SAÍDA DE VENDAS'!$B$6:$B$500, 0)+2), ""), "")&amp; IF(COUNTIF('SAÍDA DE VENDAS'!$B$6:$B$500, B1014)&gt;3, " + " &amp; IFERROR(INDEX('SAÍDA DE VENDAS'!$H$6:$H$500 &amp; "x " &amp; 'SAÍDA DE VENDAS'!$G$6:$G$500, MATCH(B1014, 'SAÍDA DE VENDAS'!$B$6:$B$500, 0)+3), ""), "")&amp; IF(COUNTIF('SAÍDA DE VENDAS'!$B$6:$B$500, B1014)&gt;4, " + " &amp; IFERROR(INDEX('SAÍDA DE VENDAS'!$H$6:$H$500 &amp; "x " &amp; 'SAÍDA DE VENDAS'!$G$6:$G$500, MATCH(B1014, 'SAÍDA DE VENDAS'!$B$6:$B$500, 0)+4), ""), "")&amp; IF(COUNTIF('SAÍDA DE VENDAS'!$B$6:$B$500, B1014)&gt;5, " + " &amp; IFERROR(INDEX('SAÍDA DE VENDAS'!$H$6:$H$500 &amp; "x " &amp; 'SAÍDA DE VENDAS'!$G$6:$G$500, MATCH(B1014, 'SAÍDA DE VENDAS'!$B$6:$B$500, 0)+5), ""), ""))</f>
        <v/>
      </c>
      <c r="G1014" s="28">
        <f>IFERROR(VLOOKUP(B1014,'SAÍDA DE VENDAS'!$B$6:$P$500,10,FALSE),"")</f>
        <v>0</v>
      </c>
      <c r="H1014" s="28" t="str">
        <f>IF(OR(ISBLANK(B1014),B1014=""), "", IF(B1014=B1013, (VALUE(LEFT(H1013,FIND("/",H1013)-1))+1)&amp;"/"&amp;RIGHT(H1013,LEN(H1013)-FIND("/",H1013)), "1/"&amp;IFERROR(VLOOKUP(B1014,'SAÍDA DE VENDAS'!$B$6:$P$500,13,FALSE),"1")))</f>
        <v/>
      </c>
      <c r="I1014" s="69" t="str">
        <f t="shared" si="30"/>
        <v/>
      </c>
      <c r="J1014" s="33" t="str">
        <f>IFERROR(VLOOKUP(B1014,'SAÍDA DE VENDAS'!$B$6:$P$500,15,FALSE),"")</f>
        <v/>
      </c>
      <c r="K1014" s="28" t="str">
        <f t="shared" ca="1" si="31"/>
        <v/>
      </c>
      <c r="L1014" s="28"/>
      <c r="M1014" s="28"/>
    </row>
    <row r="1015" spans="2:13" ht="15" customHeight="1" x14ac:dyDescent="0.3">
      <c r="B1015" s="34" t="str">
        <f>IF(B1014="","", IF(VALUE(LEFT(H1014,FIND("/",H1014)-1)) &lt; VALUE(RIGHT(H1014,LEN(H1014)-FIND("/",H1014))), B1014, IFERROR(INDEX('SAÍDA DE VENDAS'!$B$6:$B$500, MATCH(B1014,'SAÍDA DE VENDAS'!$B$6:$B$500,0)+COUNTIF('SAÍDA DE VENDAS'!$B$6:$B$500, B1014)),"")))</f>
        <v/>
      </c>
      <c r="C1015" s="35">
        <f>IFERROR(VLOOKUP(B1015,'SAÍDA DE VENDAS'!$B$6:$P$500,3,FALSE),"")</f>
        <v>0</v>
      </c>
      <c r="D1015" s="34">
        <f>IFERROR(VLOOKUP(B1015,'SAÍDA DE VENDAS'!$B$6:$P$500,4,FALSE),"")</f>
        <v>0</v>
      </c>
      <c r="E1015" s="34" t="str">
        <f>IFERROR(VLOOKUP(B1015,'SAÍDA DE VENDAS'!$B$6:$P$500,5,FALSE),"")</f>
        <v/>
      </c>
      <c r="F1015" s="34" t="str">
        <f>IF(OR(ISBLANK(B1015),B1015=""), "", IFERROR(INDEX('SAÍDA DE VENDAS'!$H$6:$H$500 &amp; "x " &amp; 'SAÍDA DE VENDAS'!$G$6:$G$500, MATCH(B1015, 'SAÍDA DE VENDAS'!$B$6:$B$500, 0)), "")&amp; IF(COUNTIF('SAÍDA DE VENDAS'!$B$6:$B$500, B1015)&gt;1, " + " &amp; IFERROR(INDEX('SAÍDA DE VENDAS'!$H$6:$H$500 &amp; "x " &amp; 'SAÍDA DE VENDAS'!$G$6:$G$500, MATCH(B1015, 'SAÍDA DE VENDAS'!$B$6:$B$500, 0)+1), ""), "")&amp; IF(COUNTIF('SAÍDA DE VENDAS'!$B$6:$B$500, B1015)&gt;2, " + " &amp; IFERROR(INDEX('SAÍDA DE VENDAS'!$H$6:$H$500 &amp; "x " &amp; 'SAÍDA DE VENDAS'!$G$6:$G$500, MATCH(B1015, 'SAÍDA DE VENDAS'!$B$6:$B$500, 0)+2), ""), "")&amp; IF(COUNTIF('SAÍDA DE VENDAS'!$B$6:$B$500, B1015)&gt;3, " + " &amp; IFERROR(INDEX('SAÍDA DE VENDAS'!$H$6:$H$500 &amp; "x " &amp; 'SAÍDA DE VENDAS'!$G$6:$G$500, MATCH(B1015, 'SAÍDA DE VENDAS'!$B$6:$B$500, 0)+3), ""), "")&amp; IF(COUNTIF('SAÍDA DE VENDAS'!$B$6:$B$500, B1015)&gt;4, " + " &amp; IFERROR(INDEX('SAÍDA DE VENDAS'!$H$6:$H$500 &amp; "x " &amp; 'SAÍDA DE VENDAS'!$G$6:$G$500, MATCH(B1015, 'SAÍDA DE VENDAS'!$B$6:$B$500, 0)+4), ""), "")&amp; IF(COUNTIF('SAÍDA DE VENDAS'!$B$6:$B$500, B1015)&gt;5, " + " &amp; IFERROR(INDEX('SAÍDA DE VENDAS'!$H$6:$H$500 &amp; "x " &amp; 'SAÍDA DE VENDAS'!$G$6:$G$500, MATCH(B1015, 'SAÍDA DE VENDAS'!$B$6:$B$500, 0)+5), ""), ""))</f>
        <v/>
      </c>
      <c r="G1015" s="34">
        <f>IFERROR(VLOOKUP(B1015,'SAÍDA DE VENDAS'!$B$6:$P$500,10,FALSE),"")</f>
        <v>0</v>
      </c>
      <c r="H1015" s="34" t="str">
        <f>IF(OR(ISBLANK(B1015),B1015=""), "", IF(B1015=B1014, (VALUE(LEFT(H1014,FIND("/",H1014)-1))+1)&amp;"/"&amp;RIGHT(H1014,LEN(H1014)-FIND("/",H1014)), "1/"&amp;IFERROR(VLOOKUP(B1015,'SAÍDA DE VENDAS'!$B$6:$P$500,13,FALSE),"1")))</f>
        <v/>
      </c>
      <c r="I1015" s="35" t="str">
        <f t="shared" si="30"/>
        <v/>
      </c>
      <c r="J1015" s="39" t="str">
        <f>IFERROR(VLOOKUP(B1015,'SAÍDA DE VENDAS'!$B$6:$P$500,15,FALSE),"")</f>
        <v/>
      </c>
      <c r="K1015" s="34" t="str">
        <f t="shared" ca="1" si="31"/>
        <v/>
      </c>
      <c r="L1015" s="34"/>
      <c r="M1015" s="34"/>
    </row>
    <row r="1016" spans="2:13" ht="15" customHeight="1" x14ac:dyDescent="0.3">
      <c r="B1016" s="28" t="str">
        <f>IF(B1015="","", IF(VALUE(LEFT(H1015,FIND("/",H1015)-1)) &lt; VALUE(RIGHT(H1015,LEN(H1015)-FIND("/",H1015))), B1015, IFERROR(INDEX('SAÍDA DE VENDAS'!$B$6:$B$500, MATCH(B1015,'SAÍDA DE VENDAS'!$B$6:$B$500,0)+COUNTIF('SAÍDA DE VENDAS'!$B$6:$B$500, B1015)),"")))</f>
        <v/>
      </c>
      <c r="C1016" s="29">
        <f>IFERROR(VLOOKUP(B1016,'SAÍDA DE VENDAS'!$B$6:$P$500,3,FALSE),"")</f>
        <v>0</v>
      </c>
      <c r="D1016" s="28">
        <f>IFERROR(VLOOKUP(B1016,'SAÍDA DE VENDAS'!$B$6:$P$500,4,FALSE),"")</f>
        <v>0</v>
      </c>
      <c r="E1016" s="28" t="str">
        <f>IFERROR(VLOOKUP(B1016,'SAÍDA DE VENDAS'!$B$6:$P$500,5,FALSE),"")</f>
        <v/>
      </c>
      <c r="F1016" s="28" t="str">
        <f>IF(OR(ISBLANK(B1016),B1016=""), "", IFERROR(INDEX('SAÍDA DE VENDAS'!$H$6:$H$500 &amp; "x " &amp; 'SAÍDA DE VENDAS'!$G$6:$G$500, MATCH(B1016, 'SAÍDA DE VENDAS'!$B$6:$B$500, 0)), "")&amp; IF(COUNTIF('SAÍDA DE VENDAS'!$B$6:$B$500, B1016)&gt;1, " + " &amp; IFERROR(INDEX('SAÍDA DE VENDAS'!$H$6:$H$500 &amp; "x " &amp; 'SAÍDA DE VENDAS'!$G$6:$G$500, MATCH(B1016, 'SAÍDA DE VENDAS'!$B$6:$B$500, 0)+1), ""), "")&amp; IF(COUNTIF('SAÍDA DE VENDAS'!$B$6:$B$500, B1016)&gt;2, " + " &amp; IFERROR(INDEX('SAÍDA DE VENDAS'!$H$6:$H$500 &amp; "x " &amp; 'SAÍDA DE VENDAS'!$G$6:$G$500, MATCH(B1016, 'SAÍDA DE VENDAS'!$B$6:$B$500, 0)+2), ""), "")&amp; IF(COUNTIF('SAÍDA DE VENDAS'!$B$6:$B$500, B1016)&gt;3, " + " &amp; IFERROR(INDEX('SAÍDA DE VENDAS'!$H$6:$H$500 &amp; "x " &amp; 'SAÍDA DE VENDAS'!$G$6:$G$500, MATCH(B1016, 'SAÍDA DE VENDAS'!$B$6:$B$500, 0)+3), ""), "")&amp; IF(COUNTIF('SAÍDA DE VENDAS'!$B$6:$B$500, B1016)&gt;4, " + " &amp; IFERROR(INDEX('SAÍDA DE VENDAS'!$H$6:$H$500 &amp; "x " &amp; 'SAÍDA DE VENDAS'!$G$6:$G$500, MATCH(B1016, 'SAÍDA DE VENDAS'!$B$6:$B$500, 0)+4), ""), "")&amp; IF(COUNTIF('SAÍDA DE VENDAS'!$B$6:$B$500, B1016)&gt;5, " + " &amp; IFERROR(INDEX('SAÍDA DE VENDAS'!$H$6:$H$500 &amp; "x " &amp; 'SAÍDA DE VENDAS'!$G$6:$G$500, MATCH(B1016, 'SAÍDA DE VENDAS'!$B$6:$B$500, 0)+5), ""), ""))</f>
        <v/>
      </c>
      <c r="G1016" s="28">
        <f>IFERROR(VLOOKUP(B1016,'SAÍDA DE VENDAS'!$B$6:$P$500,10,FALSE),"")</f>
        <v>0</v>
      </c>
      <c r="H1016" s="28" t="str">
        <f>IF(OR(ISBLANK(B1016),B1016=""), "", IF(B1016=B1015, (VALUE(LEFT(H1015,FIND("/",H1015)-1))+1)&amp;"/"&amp;RIGHT(H1015,LEN(H1015)-FIND("/",H1015)), "1/"&amp;IFERROR(VLOOKUP(B1016,'SAÍDA DE VENDAS'!$B$6:$P$500,13,FALSE),"1")))</f>
        <v/>
      </c>
      <c r="I1016" s="69" t="str">
        <f t="shared" si="30"/>
        <v/>
      </c>
      <c r="J1016" s="33" t="str">
        <f>IFERROR(VLOOKUP(B1016,'SAÍDA DE VENDAS'!$B$6:$P$500,15,FALSE),"")</f>
        <v/>
      </c>
      <c r="K1016" s="28" t="str">
        <f t="shared" ca="1" si="31"/>
        <v/>
      </c>
      <c r="L1016" s="28"/>
      <c r="M1016" s="28"/>
    </row>
    <row r="1017" spans="2:13" ht="15" customHeight="1" x14ac:dyDescent="0.3">
      <c r="B1017" s="34" t="str">
        <f>IF(B1016="","", IF(VALUE(LEFT(H1016,FIND("/",H1016)-1)) &lt; VALUE(RIGHT(H1016,LEN(H1016)-FIND("/",H1016))), B1016, IFERROR(INDEX('SAÍDA DE VENDAS'!$B$6:$B$500, MATCH(B1016,'SAÍDA DE VENDAS'!$B$6:$B$500,0)+COUNTIF('SAÍDA DE VENDAS'!$B$6:$B$500, B1016)),"")))</f>
        <v/>
      </c>
      <c r="C1017" s="35">
        <f>IFERROR(VLOOKUP(B1017,'SAÍDA DE VENDAS'!$B$6:$P$500,3,FALSE),"")</f>
        <v>0</v>
      </c>
      <c r="D1017" s="34">
        <f>IFERROR(VLOOKUP(B1017,'SAÍDA DE VENDAS'!$B$6:$P$500,4,FALSE),"")</f>
        <v>0</v>
      </c>
      <c r="E1017" s="34" t="str">
        <f>IFERROR(VLOOKUP(B1017,'SAÍDA DE VENDAS'!$B$6:$P$500,5,FALSE),"")</f>
        <v/>
      </c>
      <c r="F1017" s="34" t="str">
        <f>IF(OR(ISBLANK(B1017),B1017=""), "", IFERROR(INDEX('SAÍDA DE VENDAS'!$H$6:$H$500 &amp; "x " &amp; 'SAÍDA DE VENDAS'!$G$6:$G$500, MATCH(B1017, 'SAÍDA DE VENDAS'!$B$6:$B$500, 0)), "")&amp; IF(COUNTIF('SAÍDA DE VENDAS'!$B$6:$B$500, B1017)&gt;1, " + " &amp; IFERROR(INDEX('SAÍDA DE VENDAS'!$H$6:$H$500 &amp; "x " &amp; 'SAÍDA DE VENDAS'!$G$6:$G$500, MATCH(B1017, 'SAÍDA DE VENDAS'!$B$6:$B$500, 0)+1), ""), "")&amp; IF(COUNTIF('SAÍDA DE VENDAS'!$B$6:$B$500, B1017)&gt;2, " + " &amp; IFERROR(INDEX('SAÍDA DE VENDAS'!$H$6:$H$500 &amp; "x " &amp; 'SAÍDA DE VENDAS'!$G$6:$G$500, MATCH(B1017, 'SAÍDA DE VENDAS'!$B$6:$B$500, 0)+2), ""), "")&amp; IF(COUNTIF('SAÍDA DE VENDAS'!$B$6:$B$500, B1017)&gt;3, " + " &amp; IFERROR(INDEX('SAÍDA DE VENDAS'!$H$6:$H$500 &amp; "x " &amp; 'SAÍDA DE VENDAS'!$G$6:$G$500, MATCH(B1017, 'SAÍDA DE VENDAS'!$B$6:$B$500, 0)+3), ""), "")&amp; IF(COUNTIF('SAÍDA DE VENDAS'!$B$6:$B$500, B1017)&gt;4, " + " &amp; IFERROR(INDEX('SAÍDA DE VENDAS'!$H$6:$H$500 &amp; "x " &amp; 'SAÍDA DE VENDAS'!$G$6:$G$500, MATCH(B1017, 'SAÍDA DE VENDAS'!$B$6:$B$500, 0)+4), ""), "")&amp; IF(COUNTIF('SAÍDA DE VENDAS'!$B$6:$B$500, B1017)&gt;5, " + " &amp; IFERROR(INDEX('SAÍDA DE VENDAS'!$H$6:$H$500 &amp; "x " &amp; 'SAÍDA DE VENDAS'!$G$6:$G$500, MATCH(B1017, 'SAÍDA DE VENDAS'!$B$6:$B$500, 0)+5), ""), ""))</f>
        <v/>
      </c>
      <c r="G1017" s="34">
        <f>IFERROR(VLOOKUP(B1017,'SAÍDA DE VENDAS'!$B$6:$P$500,10,FALSE),"")</f>
        <v>0</v>
      </c>
      <c r="H1017" s="34" t="str">
        <f>IF(OR(ISBLANK(B1017),B1017=""), "", IF(B1017=B1016, (VALUE(LEFT(H1016,FIND("/",H1016)-1))+1)&amp;"/"&amp;RIGHT(H1016,LEN(H1016)-FIND("/",H1016)), "1/"&amp;IFERROR(VLOOKUP(B1017,'SAÍDA DE VENDAS'!$B$6:$P$500,13,FALSE),"1")))</f>
        <v/>
      </c>
      <c r="I1017" s="35" t="str">
        <f t="shared" si="30"/>
        <v/>
      </c>
      <c r="J1017" s="39" t="str">
        <f>IFERROR(VLOOKUP(B1017,'SAÍDA DE VENDAS'!$B$6:$P$500,15,FALSE),"")</f>
        <v/>
      </c>
      <c r="K1017" s="34" t="str">
        <f t="shared" ca="1" si="31"/>
        <v/>
      </c>
      <c r="L1017" s="34"/>
      <c r="M1017" s="34"/>
    </row>
    <row r="1018" spans="2:13" ht="15" customHeight="1" x14ac:dyDescent="0.3">
      <c r="B1018" s="28" t="str">
        <f>IF(B1017="","", IF(VALUE(LEFT(H1017,FIND("/",H1017)-1)) &lt; VALUE(RIGHT(H1017,LEN(H1017)-FIND("/",H1017))), B1017, IFERROR(INDEX('SAÍDA DE VENDAS'!$B$6:$B$500, MATCH(B1017,'SAÍDA DE VENDAS'!$B$6:$B$500,0)+COUNTIF('SAÍDA DE VENDAS'!$B$6:$B$500, B1017)),"")))</f>
        <v/>
      </c>
      <c r="C1018" s="29">
        <f>IFERROR(VLOOKUP(B1018,'SAÍDA DE VENDAS'!$B$6:$P$500,3,FALSE),"")</f>
        <v>0</v>
      </c>
      <c r="D1018" s="28">
        <f>IFERROR(VLOOKUP(B1018,'SAÍDA DE VENDAS'!$B$6:$P$500,4,FALSE),"")</f>
        <v>0</v>
      </c>
      <c r="E1018" s="28" t="str">
        <f>IFERROR(VLOOKUP(B1018,'SAÍDA DE VENDAS'!$B$6:$P$500,5,FALSE),"")</f>
        <v/>
      </c>
      <c r="F1018" s="28" t="str">
        <f>IF(OR(ISBLANK(B1018),B1018=""), "", IFERROR(INDEX('SAÍDA DE VENDAS'!$H$6:$H$500 &amp; "x " &amp; 'SAÍDA DE VENDAS'!$G$6:$G$500, MATCH(B1018, 'SAÍDA DE VENDAS'!$B$6:$B$500, 0)), "")&amp; IF(COUNTIF('SAÍDA DE VENDAS'!$B$6:$B$500, B1018)&gt;1, " + " &amp; IFERROR(INDEX('SAÍDA DE VENDAS'!$H$6:$H$500 &amp; "x " &amp; 'SAÍDA DE VENDAS'!$G$6:$G$500, MATCH(B1018, 'SAÍDA DE VENDAS'!$B$6:$B$500, 0)+1), ""), "")&amp; IF(COUNTIF('SAÍDA DE VENDAS'!$B$6:$B$500, B1018)&gt;2, " + " &amp; IFERROR(INDEX('SAÍDA DE VENDAS'!$H$6:$H$500 &amp; "x " &amp; 'SAÍDA DE VENDAS'!$G$6:$G$500, MATCH(B1018, 'SAÍDA DE VENDAS'!$B$6:$B$500, 0)+2), ""), "")&amp; IF(COUNTIF('SAÍDA DE VENDAS'!$B$6:$B$500, B1018)&gt;3, " + " &amp; IFERROR(INDEX('SAÍDA DE VENDAS'!$H$6:$H$500 &amp; "x " &amp; 'SAÍDA DE VENDAS'!$G$6:$G$500, MATCH(B1018, 'SAÍDA DE VENDAS'!$B$6:$B$500, 0)+3), ""), "")&amp; IF(COUNTIF('SAÍDA DE VENDAS'!$B$6:$B$500, B1018)&gt;4, " + " &amp; IFERROR(INDEX('SAÍDA DE VENDAS'!$H$6:$H$500 &amp; "x " &amp; 'SAÍDA DE VENDAS'!$G$6:$G$500, MATCH(B1018, 'SAÍDA DE VENDAS'!$B$6:$B$500, 0)+4), ""), "")&amp; IF(COUNTIF('SAÍDA DE VENDAS'!$B$6:$B$500, B1018)&gt;5, " + " &amp; IFERROR(INDEX('SAÍDA DE VENDAS'!$H$6:$H$500 &amp; "x " &amp; 'SAÍDA DE VENDAS'!$G$6:$G$500, MATCH(B1018, 'SAÍDA DE VENDAS'!$B$6:$B$500, 0)+5), ""), ""))</f>
        <v/>
      </c>
      <c r="G1018" s="28">
        <f>IFERROR(VLOOKUP(B1018,'SAÍDA DE VENDAS'!$B$6:$P$500,10,FALSE),"")</f>
        <v>0</v>
      </c>
      <c r="H1018" s="28" t="str">
        <f>IF(OR(ISBLANK(B1018),B1018=""), "", IF(B1018=B1017, (VALUE(LEFT(H1017,FIND("/",H1017)-1))+1)&amp;"/"&amp;RIGHT(H1017,LEN(H1017)-FIND("/",H1017)), "1/"&amp;IFERROR(VLOOKUP(B1018,'SAÍDA DE VENDAS'!$B$6:$P$500,13,FALSE),"1")))</f>
        <v/>
      </c>
      <c r="I1018" s="69" t="str">
        <f t="shared" si="30"/>
        <v/>
      </c>
      <c r="J1018" s="33" t="str">
        <f>IFERROR(VLOOKUP(B1018,'SAÍDA DE VENDAS'!$B$6:$P$500,15,FALSE),"")</f>
        <v/>
      </c>
      <c r="K1018" s="28" t="str">
        <f t="shared" ca="1" si="31"/>
        <v/>
      </c>
      <c r="L1018" s="28"/>
      <c r="M1018" s="28"/>
    </row>
    <row r="1019" spans="2:13" ht="15" customHeight="1" x14ac:dyDescent="0.3">
      <c r="B1019" s="34" t="str">
        <f>IF(B1018="","", IF(VALUE(LEFT(H1018,FIND("/",H1018)-1)) &lt; VALUE(RIGHT(H1018,LEN(H1018)-FIND("/",H1018))), B1018, IFERROR(INDEX('SAÍDA DE VENDAS'!$B$6:$B$500, MATCH(B1018,'SAÍDA DE VENDAS'!$B$6:$B$500,0)+COUNTIF('SAÍDA DE VENDAS'!$B$6:$B$500, B1018)),"")))</f>
        <v/>
      </c>
      <c r="C1019" s="35">
        <f>IFERROR(VLOOKUP(B1019,'SAÍDA DE VENDAS'!$B$6:$P$500,3,FALSE),"")</f>
        <v>0</v>
      </c>
      <c r="D1019" s="34">
        <f>IFERROR(VLOOKUP(B1019,'SAÍDA DE VENDAS'!$B$6:$P$500,4,FALSE),"")</f>
        <v>0</v>
      </c>
      <c r="E1019" s="34" t="str">
        <f>IFERROR(VLOOKUP(B1019,'SAÍDA DE VENDAS'!$B$6:$P$500,5,FALSE),"")</f>
        <v/>
      </c>
      <c r="F1019" s="34" t="str">
        <f>IF(OR(ISBLANK(B1019),B1019=""), "", IFERROR(INDEX('SAÍDA DE VENDAS'!$H$6:$H$500 &amp; "x " &amp; 'SAÍDA DE VENDAS'!$G$6:$G$500, MATCH(B1019, 'SAÍDA DE VENDAS'!$B$6:$B$500, 0)), "")&amp; IF(COUNTIF('SAÍDA DE VENDAS'!$B$6:$B$500, B1019)&gt;1, " + " &amp; IFERROR(INDEX('SAÍDA DE VENDAS'!$H$6:$H$500 &amp; "x " &amp; 'SAÍDA DE VENDAS'!$G$6:$G$500, MATCH(B1019, 'SAÍDA DE VENDAS'!$B$6:$B$500, 0)+1), ""), "")&amp; IF(COUNTIF('SAÍDA DE VENDAS'!$B$6:$B$500, B1019)&gt;2, " + " &amp; IFERROR(INDEX('SAÍDA DE VENDAS'!$H$6:$H$500 &amp; "x " &amp; 'SAÍDA DE VENDAS'!$G$6:$G$500, MATCH(B1019, 'SAÍDA DE VENDAS'!$B$6:$B$500, 0)+2), ""), "")&amp; IF(COUNTIF('SAÍDA DE VENDAS'!$B$6:$B$500, B1019)&gt;3, " + " &amp; IFERROR(INDEX('SAÍDA DE VENDAS'!$H$6:$H$500 &amp; "x " &amp; 'SAÍDA DE VENDAS'!$G$6:$G$500, MATCH(B1019, 'SAÍDA DE VENDAS'!$B$6:$B$500, 0)+3), ""), "")&amp; IF(COUNTIF('SAÍDA DE VENDAS'!$B$6:$B$500, B1019)&gt;4, " + " &amp; IFERROR(INDEX('SAÍDA DE VENDAS'!$H$6:$H$500 &amp; "x " &amp; 'SAÍDA DE VENDAS'!$G$6:$G$500, MATCH(B1019, 'SAÍDA DE VENDAS'!$B$6:$B$500, 0)+4), ""), "")&amp; IF(COUNTIF('SAÍDA DE VENDAS'!$B$6:$B$500, B1019)&gt;5, " + " &amp; IFERROR(INDEX('SAÍDA DE VENDAS'!$H$6:$H$500 &amp; "x " &amp; 'SAÍDA DE VENDAS'!$G$6:$G$500, MATCH(B1019, 'SAÍDA DE VENDAS'!$B$6:$B$500, 0)+5), ""), ""))</f>
        <v/>
      </c>
      <c r="G1019" s="34">
        <f>IFERROR(VLOOKUP(B1019,'SAÍDA DE VENDAS'!$B$6:$P$500,10,FALSE),"")</f>
        <v>0</v>
      </c>
      <c r="H1019" s="34" t="str">
        <f>IF(OR(ISBLANK(B1019),B1019=""), "", IF(B1019=B1018, (VALUE(LEFT(H1018,FIND("/",H1018)-1))+1)&amp;"/"&amp;RIGHT(H1018,LEN(H1018)-FIND("/",H1018)), "1/"&amp;IFERROR(VLOOKUP(B1019,'SAÍDA DE VENDAS'!$B$6:$P$500,13,FALSE),"1")))</f>
        <v/>
      </c>
      <c r="I1019" s="35" t="str">
        <f t="shared" si="30"/>
        <v/>
      </c>
      <c r="J1019" s="39" t="str">
        <f>IFERROR(VLOOKUP(B1019,'SAÍDA DE VENDAS'!$B$6:$P$500,15,FALSE),"")</f>
        <v/>
      </c>
      <c r="K1019" s="34" t="str">
        <f t="shared" ca="1" si="31"/>
        <v/>
      </c>
      <c r="L1019" s="34"/>
      <c r="M1019" s="34"/>
    </row>
    <row r="1020" spans="2:13" ht="15" customHeight="1" x14ac:dyDescent="0.3">
      <c r="B1020" s="28" t="str">
        <f>IF(B1019="","", IF(VALUE(LEFT(H1019,FIND("/",H1019)-1)) &lt; VALUE(RIGHT(H1019,LEN(H1019)-FIND("/",H1019))), B1019, IFERROR(INDEX('SAÍDA DE VENDAS'!$B$6:$B$500, MATCH(B1019,'SAÍDA DE VENDAS'!$B$6:$B$500,0)+COUNTIF('SAÍDA DE VENDAS'!$B$6:$B$500, B1019)),"")))</f>
        <v/>
      </c>
      <c r="C1020" s="29">
        <f>IFERROR(VLOOKUP(B1020,'SAÍDA DE VENDAS'!$B$6:$P$500,3,FALSE),"")</f>
        <v>0</v>
      </c>
      <c r="D1020" s="28">
        <f>IFERROR(VLOOKUP(B1020,'SAÍDA DE VENDAS'!$B$6:$P$500,4,FALSE),"")</f>
        <v>0</v>
      </c>
      <c r="E1020" s="28" t="str">
        <f>IFERROR(VLOOKUP(B1020,'SAÍDA DE VENDAS'!$B$6:$P$500,5,FALSE),"")</f>
        <v/>
      </c>
      <c r="F1020" s="28" t="str">
        <f>IF(OR(ISBLANK(B1020),B1020=""), "", IFERROR(INDEX('SAÍDA DE VENDAS'!$H$6:$H$500 &amp; "x " &amp; 'SAÍDA DE VENDAS'!$G$6:$G$500, MATCH(B1020, 'SAÍDA DE VENDAS'!$B$6:$B$500, 0)), "")&amp; IF(COUNTIF('SAÍDA DE VENDAS'!$B$6:$B$500, B1020)&gt;1, " + " &amp; IFERROR(INDEX('SAÍDA DE VENDAS'!$H$6:$H$500 &amp; "x " &amp; 'SAÍDA DE VENDAS'!$G$6:$G$500, MATCH(B1020, 'SAÍDA DE VENDAS'!$B$6:$B$500, 0)+1), ""), "")&amp; IF(COUNTIF('SAÍDA DE VENDAS'!$B$6:$B$500, B1020)&gt;2, " + " &amp; IFERROR(INDEX('SAÍDA DE VENDAS'!$H$6:$H$500 &amp; "x " &amp; 'SAÍDA DE VENDAS'!$G$6:$G$500, MATCH(B1020, 'SAÍDA DE VENDAS'!$B$6:$B$500, 0)+2), ""), "")&amp; IF(COUNTIF('SAÍDA DE VENDAS'!$B$6:$B$500, B1020)&gt;3, " + " &amp; IFERROR(INDEX('SAÍDA DE VENDAS'!$H$6:$H$500 &amp; "x " &amp; 'SAÍDA DE VENDAS'!$G$6:$G$500, MATCH(B1020, 'SAÍDA DE VENDAS'!$B$6:$B$500, 0)+3), ""), "")&amp; IF(COUNTIF('SAÍDA DE VENDAS'!$B$6:$B$500, B1020)&gt;4, " + " &amp; IFERROR(INDEX('SAÍDA DE VENDAS'!$H$6:$H$500 &amp; "x " &amp; 'SAÍDA DE VENDAS'!$G$6:$G$500, MATCH(B1020, 'SAÍDA DE VENDAS'!$B$6:$B$500, 0)+4), ""), "")&amp; IF(COUNTIF('SAÍDA DE VENDAS'!$B$6:$B$500, B1020)&gt;5, " + " &amp; IFERROR(INDEX('SAÍDA DE VENDAS'!$H$6:$H$500 &amp; "x " &amp; 'SAÍDA DE VENDAS'!$G$6:$G$500, MATCH(B1020, 'SAÍDA DE VENDAS'!$B$6:$B$500, 0)+5), ""), ""))</f>
        <v/>
      </c>
      <c r="G1020" s="28">
        <f>IFERROR(VLOOKUP(B1020,'SAÍDA DE VENDAS'!$B$6:$P$500,10,FALSE),"")</f>
        <v>0</v>
      </c>
      <c r="H1020" s="28" t="str">
        <f>IF(OR(ISBLANK(B1020),B1020=""), "", IF(B1020=B1019, (VALUE(LEFT(H1019,FIND("/",H1019)-1))+1)&amp;"/"&amp;RIGHT(H1019,LEN(H1019)-FIND("/",H1019)), "1/"&amp;IFERROR(VLOOKUP(B1020,'SAÍDA DE VENDAS'!$B$6:$P$500,13,FALSE),"1")))</f>
        <v/>
      </c>
      <c r="I1020" s="69" t="str">
        <f t="shared" si="30"/>
        <v/>
      </c>
      <c r="J1020" s="33" t="str">
        <f>IFERROR(VLOOKUP(B1020,'SAÍDA DE VENDAS'!$B$6:$P$500,15,FALSE),"")</f>
        <v/>
      </c>
      <c r="K1020" s="28" t="str">
        <f t="shared" ca="1" si="31"/>
        <v/>
      </c>
      <c r="L1020" s="28"/>
      <c r="M1020" s="28"/>
    </row>
    <row r="1021" spans="2:13" ht="15" customHeight="1" x14ac:dyDescent="0.3">
      <c r="B1021" s="34" t="str">
        <f>IF(B1020="","", IF(VALUE(LEFT(H1020,FIND("/",H1020)-1)) &lt; VALUE(RIGHT(H1020,LEN(H1020)-FIND("/",H1020))), B1020, IFERROR(INDEX('SAÍDA DE VENDAS'!$B$6:$B$500, MATCH(B1020,'SAÍDA DE VENDAS'!$B$6:$B$500,0)+COUNTIF('SAÍDA DE VENDAS'!$B$6:$B$500, B1020)),"")))</f>
        <v/>
      </c>
      <c r="C1021" s="35">
        <f>IFERROR(VLOOKUP(B1021,'SAÍDA DE VENDAS'!$B$6:$P$500,3,FALSE),"")</f>
        <v>0</v>
      </c>
      <c r="D1021" s="34">
        <f>IFERROR(VLOOKUP(B1021,'SAÍDA DE VENDAS'!$B$6:$P$500,4,FALSE),"")</f>
        <v>0</v>
      </c>
      <c r="E1021" s="34" t="str">
        <f>IFERROR(VLOOKUP(B1021,'SAÍDA DE VENDAS'!$B$6:$P$500,5,FALSE),"")</f>
        <v/>
      </c>
      <c r="F1021" s="34" t="str">
        <f>IF(OR(ISBLANK(B1021),B1021=""), "", IFERROR(INDEX('SAÍDA DE VENDAS'!$H$6:$H$500 &amp; "x " &amp; 'SAÍDA DE VENDAS'!$G$6:$G$500, MATCH(B1021, 'SAÍDA DE VENDAS'!$B$6:$B$500, 0)), "")&amp; IF(COUNTIF('SAÍDA DE VENDAS'!$B$6:$B$500, B1021)&gt;1, " + " &amp; IFERROR(INDEX('SAÍDA DE VENDAS'!$H$6:$H$500 &amp; "x " &amp; 'SAÍDA DE VENDAS'!$G$6:$G$500, MATCH(B1021, 'SAÍDA DE VENDAS'!$B$6:$B$500, 0)+1), ""), "")&amp; IF(COUNTIF('SAÍDA DE VENDAS'!$B$6:$B$500, B1021)&gt;2, " + " &amp; IFERROR(INDEX('SAÍDA DE VENDAS'!$H$6:$H$500 &amp; "x " &amp; 'SAÍDA DE VENDAS'!$G$6:$G$500, MATCH(B1021, 'SAÍDA DE VENDAS'!$B$6:$B$500, 0)+2), ""), "")&amp; IF(COUNTIF('SAÍDA DE VENDAS'!$B$6:$B$500, B1021)&gt;3, " + " &amp; IFERROR(INDEX('SAÍDA DE VENDAS'!$H$6:$H$500 &amp; "x " &amp; 'SAÍDA DE VENDAS'!$G$6:$G$500, MATCH(B1021, 'SAÍDA DE VENDAS'!$B$6:$B$500, 0)+3), ""), "")&amp; IF(COUNTIF('SAÍDA DE VENDAS'!$B$6:$B$500, B1021)&gt;4, " + " &amp; IFERROR(INDEX('SAÍDA DE VENDAS'!$H$6:$H$500 &amp; "x " &amp; 'SAÍDA DE VENDAS'!$G$6:$G$500, MATCH(B1021, 'SAÍDA DE VENDAS'!$B$6:$B$500, 0)+4), ""), "")&amp; IF(COUNTIF('SAÍDA DE VENDAS'!$B$6:$B$500, B1021)&gt;5, " + " &amp; IFERROR(INDEX('SAÍDA DE VENDAS'!$H$6:$H$500 &amp; "x " &amp; 'SAÍDA DE VENDAS'!$G$6:$G$500, MATCH(B1021, 'SAÍDA DE VENDAS'!$B$6:$B$500, 0)+5), ""), ""))</f>
        <v/>
      </c>
      <c r="G1021" s="34">
        <f>IFERROR(VLOOKUP(B1021,'SAÍDA DE VENDAS'!$B$6:$P$500,10,FALSE),"")</f>
        <v>0</v>
      </c>
      <c r="H1021" s="34" t="str">
        <f>IF(OR(ISBLANK(B1021),B1021=""), "", IF(B1021=B1020, (VALUE(LEFT(H1020,FIND("/",H1020)-1))+1)&amp;"/"&amp;RIGHT(H1020,LEN(H1020)-FIND("/",H1020)), "1/"&amp;IFERROR(VLOOKUP(B1021,'SAÍDA DE VENDAS'!$B$6:$P$500,13,FALSE),"1")))</f>
        <v/>
      </c>
      <c r="I1021" s="35" t="str">
        <f t="shared" si="30"/>
        <v/>
      </c>
      <c r="J1021" s="39" t="str">
        <f>IFERROR(VLOOKUP(B1021,'SAÍDA DE VENDAS'!$B$6:$P$500,15,FALSE),"")</f>
        <v/>
      </c>
      <c r="K1021" s="34" t="str">
        <f t="shared" ca="1" si="31"/>
        <v/>
      </c>
      <c r="L1021" s="34"/>
      <c r="M1021" s="34"/>
    </row>
    <row r="1022" spans="2:13" ht="15" customHeight="1" x14ac:dyDescent="0.3">
      <c r="B1022" s="28" t="str">
        <f>IF(B1021="","", IF(VALUE(LEFT(H1021,FIND("/",H1021)-1)) &lt; VALUE(RIGHT(H1021,LEN(H1021)-FIND("/",H1021))), B1021, IFERROR(INDEX('SAÍDA DE VENDAS'!$B$6:$B$500, MATCH(B1021,'SAÍDA DE VENDAS'!$B$6:$B$500,0)+COUNTIF('SAÍDA DE VENDAS'!$B$6:$B$500, B1021)),"")))</f>
        <v/>
      </c>
      <c r="C1022" s="29">
        <f>IFERROR(VLOOKUP(B1022,'SAÍDA DE VENDAS'!$B$6:$P$500,3,FALSE),"")</f>
        <v>0</v>
      </c>
      <c r="D1022" s="28">
        <f>IFERROR(VLOOKUP(B1022,'SAÍDA DE VENDAS'!$B$6:$P$500,4,FALSE),"")</f>
        <v>0</v>
      </c>
      <c r="E1022" s="28" t="str">
        <f>IFERROR(VLOOKUP(B1022,'SAÍDA DE VENDAS'!$B$6:$P$500,5,FALSE),"")</f>
        <v/>
      </c>
      <c r="F1022" s="28" t="str">
        <f>IF(OR(ISBLANK(B1022),B1022=""), "", IFERROR(INDEX('SAÍDA DE VENDAS'!$H$6:$H$500 &amp; "x " &amp; 'SAÍDA DE VENDAS'!$G$6:$G$500, MATCH(B1022, 'SAÍDA DE VENDAS'!$B$6:$B$500, 0)), "")&amp; IF(COUNTIF('SAÍDA DE VENDAS'!$B$6:$B$500, B1022)&gt;1, " + " &amp; IFERROR(INDEX('SAÍDA DE VENDAS'!$H$6:$H$500 &amp; "x " &amp; 'SAÍDA DE VENDAS'!$G$6:$G$500, MATCH(B1022, 'SAÍDA DE VENDAS'!$B$6:$B$500, 0)+1), ""), "")&amp; IF(COUNTIF('SAÍDA DE VENDAS'!$B$6:$B$500, B1022)&gt;2, " + " &amp; IFERROR(INDEX('SAÍDA DE VENDAS'!$H$6:$H$500 &amp; "x " &amp; 'SAÍDA DE VENDAS'!$G$6:$G$500, MATCH(B1022, 'SAÍDA DE VENDAS'!$B$6:$B$500, 0)+2), ""), "")&amp; IF(COUNTIF('SAÍDA DE VENDAS'!$B$6:$B$500, B1022)&gt;3, " + " &amp; IFERROR(INDEX('SAÍDA DE VENDAS'!$H$6:$H$500 &amp; "x " &amp; 'SAÍDA DE VENDAS'!$G$6:$G$500, MATCH(B1022, 'SAÍDA DE VENDAS'!$B$6:$B$500, 0)+3), ""), "")&amp; IF(COUNTIF('SAÍDA DE VENDAS'!$B$6:$B$500, B1022)&gt;4, " + " &amp; IFERROR(INDEX('SAÍDA DE VENDAS'!$H$6:$H$500 &amp; "x " &amp; 'SAÍDA DE VENDAS'!$G$6:$G$500, MATCH(B1022, 'SAÍDA DE VENDAS'!$B$6:$B$500, 0)+4), ""), "")&amp; IF(COUNTIF('SAÍDA DE VENDAS'!$B$6:$B$500, B1022)&gt;5, " + " &amp; IFERROR(INDEX('SAÍDA DE VENDAS'!$H$6:$H$500 &amp; "x " &amp; 'SAÍDA DE VENDAS'!$G$6:$G$500, MATCH(B1022, 'SAÍDA DE VENDAS'!$B$6:$B$500, 0)+5), ""), ""))</f>
        <v/>
      </c>
      <c r="G1022" s="28">
        <f>IFERROR(VLOOKUP(B1022,'SAÍDA DE VENDAS'!$B$6:$P$500,10,FALSE),"")</f>
        <v>0</v>
      </c>
      <c r="H1022" s="28" t="str">
        <f>IF(OR(ISBLANK(B1022),B1022=""), "", IF(B1022=B1021, (VALUE(LEFT(H1021,FIND("/",H1021)-1))+1)&amp;"/"&amp;RIGHT(H1021,LEN(H1021)-FIND("/",H1021)), "1/"&amp;IFERROR(VLOOKUP(B1022,'SAÍDA DE VENDAS'!$B$6:$P$500,13,FALSE),"1")))</f>
        <v/>
      </c>
      <c r="I1022" s="69" t="str">
        <f t="shared" si="30"/>
        <v/>
      </c>
      <c r="J1022" s="33" t="str">
        <f>IFERROR(VLOOKUP(B1022,'SAÍDA DE VENDAS'!$B$6:$P$500,15,FALSE),"")</f>
        <v/>
      </c>
      <c r="K1022" s="28" t="str">
        <f t="shared" ca="1" si="31"/>
        <v/>
      </c>
      <c r="L1022" s="28"/>
      <c r="M1022" s="28"/>
    </row>
    <row r="1023" spans="2:13" ht="15" customHeight="1" x14ac:dyDescent="0.3">
      <c r="B1023" s="34" t="str">
        <f>IF(B1022="","", IF(VALUE(LEFT(H1022,FIND("/",H1022)-1)) &lt; VALUE(RIGHT(H1022,LEN(H1022)-FIND("/",H1022))), B1022, IFERROR(INDEX('SAÍDA DE VENDAS'!$B$6:$B$500, MATCH(B1022,'SAÍDA DE VENDAS'!$B$6:$B$500,0)+COUNTIF('SAÍDA DE VENDAS'!$B$6:$B$500, B1022)),"")))</f>
        <v/>
      </c>
      <c r="C1023" s="35">
        <f>IFERROR(VLOOKUP(B1023,'SAÍDA DE VENDAS'!$B$6:$P$500,3,FALSE),"")</f>
        <v>0</v>
      </c>
      <c r="D1023" s="34">
        <f>IFERROR(VLOOKUP(B1023,'SAÍDA DE VENDAS'!$B$6:$P$500,4,FALSE),"")</f>
        <v>0</v>
      </c>
      <c r="E1023" s="34" t="str">
        <f>IFERROR(VLOOKUP(B1023,'SAÍDA DE VENDAS'!$B$6:$P$500,5,FALSE),"")</f>
        <v/>
      </c>
      <c r="F1023" s="34" t="str">
        <f>IF(OR(ISBLANK(B1023),B1023=""), "", IFERROR(INDEX('SAÍDA DE VENDAS'!$H$6:$H$500 &amp; "x " &amp; 'SAÍDA DE VENDAS'!$G$6:$G$500, MATCH(B1023, 'SAÍDA DE VENDAS'!$B$6:$B$500, 0)), "")&amp; IF(COUNTIF('SAÍDA DE VENDAS'!$B$6:$B$500, B1023)&gt;1, " + " &amp; IFERROR(INDEX('SAÍDA DE VENDAS'!$H$6:$H$500 &amp; "x " &amp; 'SAÍDA DE VENDAS'!$G$6:$G$500, MATCH(B1023, 'SAÍDA DE VENDAS'!$B$6:$B$500, 0)+1), ""), "")&amp; IF(COUNTIF('SAÍDA DE VENDAS'!$B$6:$B$500, B1023)&gt;2, " + " &amp; IFERROR(INDEX('SAÍDA DE VENDAS'!$H$6:$H$500 &amp; "x " &amp; 'SAÍDA DE VENDAS'!$G$6:$G$500, MATCH(B1023, 'SAÍDA DE VENDAS'!$B$6:$B$500, 0)+2), ""), "")&amp; IF(COUNTIF('SAÍDA DE VENDAS'!$B$6:$B$500, B1023)&gt;3, " + " &amp; IFERROR(INDEX('SAÍDA DE VENDAS'!$H$6:$H$500 &amp; "x " &amp; 'SAÍDA DE VENDAS'!$G$6:$G$500, MATCH(B1023, 'SAÍDA DE VENDAS'!$B$6:$B$500, 0)+3), ""), "")&amp; IF(COUNTIF('SAÍDA DE VENDAS'!$B$6:$B$500, B1023)&gt;4, " + " &amp; IFERROR(INDEX('SAÍDA DE VENDAS'!$H$6:$H$500 &amp; "x " &amp; 'SAÍDA DE VENDAS'!$G$6:$G$500, MATCH(B1023, 'SAÍDA DE VENDAS'!$B$6:$B$500, 0)+4), ""), "")&amp; IF(COUNTIF('SAÍDA DE VENDAS'!$B$6:$B$500, B1023)&gt;5, " + " &amp; IFERROR(INDEX('SAÍDA DE VENDAS'!$H$6:$H$500 &amp; "x " &amp; 'SAÍDA DE VENDAS'!$G$6:$G$500, MATCH(B1023, 'SAÍDA DE VENDAS'!$B$6:$B$500, 0)+5), ""), ""))</f>
        <v/>
      </c>
      <c r="G1023" s="34">
        <f>IFERROR(VLOOKUP(B1023,'SAÍDA DE VENDAS'!$B$6:$P$500,10,FALSE),"")</f>
        <v>0</v>
      </c>
      <c r="H1023" s="34" t="str">
        <f>IF(OR(ISBLANK(B1023),B1023=""), "", IF(B1023=B1022, (VALUE(LEFT(H1022,FIND("/",H1022)-1))+1)&amp;"/"&amp;RIGHT(H1022,LEN(H1022)-FIND("/",H1022)), "1/"&amp;IFERROR(VLOOKUP(B1023,'SAÍDA DE VENDAS'!$B$6:$P$500,13,FALSE),"1")))</f>
        <v/>
      </c>
      <c r="I1023" s="35" t="str">
        <f t="shared" si="30"/>
        <v/>
      </c>
      <c r="J1023" s="39" t="str">
        <f>IFERROR(VLOOKUP(B1023,'SAÍDA DE VENDAS'!$B$6:$P$500,15,FALSE),"")</f>
        <v/>
      </c>
      <c r="K1023" s="34" t="str">
        <f t="shared" ca="1" si="31"/>
        <v/>
      </c>
      <c r="L1023" s="34"/>
      <c r="M1023" s="34"/>
    </row>
    <row r="1024" spans="2:13" ht="15" customHeight="1" x14ac:dyDescent="0.3">
      <c r="B1024" s="28" t="str">
        <f>IF(B1023="","", IF(VALUE(LEFT(H1023,FIND("/",H1023)-1)) &lt; VALUE(RIGHT(H1023,LEN(H1023)-FIND("/",H1023))), B1023, IFERROR(INDEX('SAÍDA DE VENDAS'!$B$6:$B$500, MATCH(B1023,'SAÍDA DE VENDAS'!$B$6:$B$500,0)+COUNTIF('SAÍDA DE VENDAS'!$B$6:$B$500, B1023)),"")))</f>
        <v/>
      </c>
      <c r="C1024" s="29">
        <f>IFERROR(VLOOKUP(B1024,'SAÍDA DE VENDAS'!$B$6:$P$500,3,FALSE),"")</f>
        <v>0</v>
      </c>
      <c r="D1024" s="28">
        <f>IFERROR(VLOOKUP(B1024,'SAÍDA DE VENDAS'!$B$6:$P$500,4,FALSE),"")</f>
        <v>0</v>
      </c>
      <c r="E1024" s="28" t="str">
        <f>IFERROR(VLOOKUP(B1024,'SAÍDA DE VENDAS'!$B$6:$P$500,5,FALSE),"")</f>
        <v/>
      </c>
      <c r="F1024" s="28" t="str">
        <f>IF(OR(ISBLANK(B1024),B1024=""), "", IFERROR(INDEX('SAÍDA DE VENDAS'!$H$6:$H$500 &amp; "x " &amp; 'SAÍDA DE VENDAS'!$G$6:$G$500, MATCH(B1024, 'SAÍDA DE VENDAS'!$B$6:$B$500, 0)), "")&amp; IF(COUNTIF('SAÍDA DE VENDAS'!$B$6:$B$500, B1024)&gt;1, " + " &amp; IFERROR(INDEX('SAÍDA DE VENDAS'!$H$6:$H$500 &amp; "x " &amp; 'SAÍDA DE VENDAS'!$G$6:$G$500, MATCH(B1024, 'SAÍDA DE VENDAS'!$B$6:$B$500, 0)+1), ""), "")&amp; IF(COUNTIF('SAÍDA DE VENDAS'!$B$6:$B$500, B1024)&gt;2, " + " &amp; IFERROR(INDEX('SAÍDA DE VENDAS'!$H$6:$H$500 &amp; "x " &amp; 'SAÍDA DE VENDAS'!$G$6:$G$500, MATCH(B1024, 'SAÍDA DE VENDAS'!$B$6:$B$500, 0)+2), ""), "")&amp; IF(COUNTIF('SAÍDA DE VENDAS'!$B$6:$B$500, B1024)&gt;3, " + " &amp; IFERROR(INDEX('SAÍDA DE VENDAS'!$H$6:$H$500 &amp; "x " &amp; 'SAÍDA DE VENDAS'!$G$6:$G$500, MATCH(B1024, 'SAÍDA DE VENDAS'!$B$6:$B$500, 0)+3), ""), "")&amp; IF(COUNTIF('SAÍDA DE VENDAS'!$B$6:$B$500, B1024)&gt;4, " + " &amp; IFERROR(INDEX('SAÍDA DE VENDAS'!$H$6:$H$500 &amp; "x " &amp; 'SAÍDA DE VENDAS'!$G$6:$G$500, MATCH(B1024, 'SAÍDA DE VENDAS'!$B$6:$B$500, 0)+4), ""), "")&amp; IF(COUNTIF('SAÍDA DE VENDAS'!$B$6:$B$500, B1024)&gt;5, " + " &amp; IFERROR(INDEX('SAÍDA DE VENDAS'!$H$6:$H$500 &amp; "x " &amp; 'SAÍDA DE VENDAS'!$G$6:$G$500, MATCH(B1024, 'SAÍDA DE VENDAS'!$B$6:$B$500, 0)+5), ""), ""))</f>
        <v/>
      </c>
      <c r="G1024" s="28">
        <f>IFERROR(VLOOKUP(B1024,'SAÍDA DE VENDAS'!$B$6:$P$500,10,FALSE),"")</f>
        <v>0</v>
      </c>
      <c r="H1024" s="28" t="str">
        <f>IF(OR(ISBLANK(B1024),B1024=""), "", IF(B1024=B1023, (VALUE(LEFT(H1023,FIND("/",H1023)-1))+1)&amp;"/"&amp;RIGHT(H1023,LEN(H1023)-FIND("/",H1023)), "1/"&amp;IFERROR(VLOOKUP(B1024,'SAÍDA DE VENDAS'!$B$6:$P$500,13,FALSE),"1")))</f>
        <v/>
      </c>
      <c r="I1024" s="69" t="str">
        <f t="shared" si="30"/>
        <v/>
      </c>
      <c r="J1024" s="33" t="str">
        <f>IFERROR(VLOOKUP(B1024,'SAÍDA DE VENDAS'!$B$6:$P$500,15,FALSE),"")</f>
        <v/>
      </c>
      <c r="K1024" s="28" t="str">
        <f t="shared" ca="1" si="31"/>
        <v/>
      </c>
      <c r="L1024" s="28"/>
      <c r="M1024" s="28"/>
    </row>
    <row r="1025" spans="2:13" ht="15" customHeight="1" x14ac:dyDescent="0.3">
      <c r="B1025" s="34" t="str">
        <f>IF(B1024="","", IF(VALUE(LEFT(H1024,FIND("/",H1024)-1)) &lt; VALUE(RIGHT(H1024,LEN(H1024)-FIND("/",H1024))), B1024, IFERROR(INDEX('SAÍDA DE VENDAS'!$B$6:$B$500, MATCH(B1024,'SAÍDA DE VENDAS'!$B$6:$B$500,0)+COUNTIF('SAÍDA DE VENDAS'!$B$6:$B$500, B1024)),"")))</f>
        <v/>
      </c>
      <c r="C1025" s="35">
        <f>IFERROR(VLOOKUP(B1025,'SAÍDA DE VENDAS'!$B$6:$P$500,3,FALSE),"")</f>
        <v>0</v>
      </c>
      <c r="D1025" s="34">
        <f>IFERROR(VLOOKUP(B1025,'SAÍDA DE VENDAS'!$B$6:$P$500,4,FALSE),"")</f>
        <v>0</v>
      </c>
      <c r="E1025" s="34" t="str">
        <f>IFERROR(VLOOKUP(B1025,'SAÍDA DE VENDAS'!$B$6:$P$500,5,FALSE),"")</f>
        <v/>
      </c>
      <c r="F1025" s="34" t="str">
        <f>IF(OR(ISBLANK(B1025),B1025=""), "", IFERROR(INDEX('SAÍDA DE VENDAS'!$H$6:$H$500 &amp; "x " &amp; 'SAÍDA DE VENDAS'!$G$6:$G$500, MATCH(B1025, 'SAÍDA DE VENDAS'!$B$6:$B$500, 0)), "")&amp; IF(COUNTIF('SAÍDA DE VENDAS'!$B$6:$B$500, B1025)&gt;1, " + " &amp; IFERROR(INDEX('SAÍDA DE VENDAS'!$H$6:$H$500 &amp; "x " &amp; 'SAÍDA DE VENDAS'!$G$6:$G$500, MATCH(B1025, 'SAÍDA DE VENDAS'!$B$6:$B$500, 0)+1), ""), "")&amp; IF(COUNTIF('SAÍDA DE VENDAS'!$B$6:$B$500, B1025)&gt;2, " + " &amp; IFERROR(INDEX('SAÍDA DE VENDAS'!$H$6:$H$500 &amp; "x " &amp; 'SAÍDA DE VENDAS'!$G$6:$G$500, MATCH(B1025, 'SAÍDA DE VENDAS'!$B$6:$B$500, 0)+2), ""), "")&amp; IF(COUNTIF('SAÍDA DE VENDAS'!$B$6:$B$500, B1025)&gt;3, " + " &amp; IFERROR(INDEX('SAÍDA DE VENDAS'!$H$6:$H$500 &amp; "x " &amp; 'SAÍDA DE VENDAS'!$G$6:$G$500, MATCH(B1025, 'SAÍDA DE VENDAS'!$B$6:$B$500, 0)+3), ""), "")&amp; IF(COUNTIF('SAÍDA DE VENDAS'!$B$6:$B$500, B1025)&gt;4, " + " &amp; IFERROR(INDEX('SAÍDA DE VENDAS'!$H$6:$H$500 &amp; "x " &amp; 'SAÍDA DE VENDAS'!$G$6:$G$500, MATCH(B1025, 'SAÍDA DE VENDAS'!$B$6:$B$500, 0)+4), ""), "")&amp; IF(COUNTIF('SAÍDA DE VENDAS'!$B$6:$B$500, B1025)&gt;5, " + " &amp; IFERROR(INDEX('SAÍDA DE VENDAS'!$H$6:$H$500 &amp; "x " &amp; 'SAÍDA DE VENDAS'!$G$6:$G$500, MATCH(B1025, 'SAÍDA DE VENDAS'!$B$6:$B$500, 0)+5), ""), ""))</f>
        <v/>
      </c>
      <c r="G1025" s="34">
        <f>IFERROR(VLOOKUP(B1025,'SAÍDA DE VENDAS'!$B$6:$P$500,10,FALSE),"")</f>
        <v>0</v>
      </c>
      <c r="H1025" s="34" t="str">
        <f>IF(OR(ISBLANK(B1025),B1025=""), "", IF(B1025=B1024, (VALUE(LEFT(H1024,FIND("/",H1024)-1))+1)&amp;"/"&amp;RIGHT(H1024,LEN(H1024)-FIND("/",H1024)), "1/"&amp;IFERROR(VLOOKUP(B1025,'SAÍDA DE VENDAS'!$B$6:$P$500,13,FALSE),"1")))</f>
        <v/>
      </c>
      <c r="I1025" s="35" t="str">
        <f t="shared" si="30"/>
        <v/>
      </c>
      <c r="J1025" s="39" t="str">
        <f>IFERROR(VLOOKUP(B1025,'SAÍDA DE VENDAS'!$B$6:$P$500,15,FALSE),"")</f>
        <v/>
      </c>
      <c r="K1025" s="34" t="str">
        <f t="shared" ca="1" si="31"/>
        <v/>
      </c>
      <c r="L1025" s="34"/>
      <c r="M1025" s="34"/>
    </row>
    <row r="1026" spans="2:13" ht="15" customHeight="1" x14ac:dyDescent="0.3">
      <c r="B1026" s="28" t="str">
        <f>IF(B1025="","", IF(VALUE(LEFT(H1025,FIND("/",H1025)-1)) &lt; VALUE(RIGHT(H1025,LEN(H1025)-FIND("/",H1025))), B1025, IFERROR(INDEX('SAÍDA DE VENDAS'!$B$6:$B$500, MATCH(B1025,'SAÍDA DE VENDAS'!$B$6:$B$500,0)+COUNTIF('SAÍDA DE VENDAS'!$B$6:$B$500, B1025)),"")))</f>
        <v/>
      </c>
      <c r="C1026" s="29">
        <f>IFERROR(VLOOKUP(B1026,'SAÍDA DE VENDAS'!$B$6:$P$500,3,FALSE),"")</f>
        <v>0</v>
      </c>
      <c r="D1026" s="28">
        <f>IFERROR(VLOOKUP(B1026,'SAÍDA DE VENDAS'!$B$6:$P$500,4,FALSE),"")</f>
        <v>0</v>
      </c>
      <c r="E1026" s="28" t="str">
        <f>IFERROR(VLOOKUP(B1026,'SAÍDA DE VENDAS'!$B$6:$P$500,5,FALSE),"")</f>
        <v/>
      </c>
      <c r="F1026" s="28" t="str">
        <f>IF(OR(ISBLANK(B1026),B1026=""), "", IFERROR(INDEX('SAÍDA DE VENDAS'!$H$6:$H$500 &amp; "x " &amp; 'SAÍDA DE VENDAS'!$G$6:$G$500, MATCH(B1026, 'SAÍDA DE VENDAS'!$B$6:$B$500, 0)), "")&amp; IF(COUNTIF('SAÍDA DE VENDAS'!$B$6:$B$500, B1026)&gt;1, " + " &amp; IFERROR(INDEX('SAÍDA DE VENDAS'!$H$6:$H$500 &amp; "x " &amp; 'SAÍDA DE VENDAS'!$G$6:$G$500, MATCH(B1026, 'SAÍDA DE VENDAS'!$B$6:$B$500, 0)+1), ""), "")&amp; IF(COUNTIF('SAÍDA DE VENDAS'!$B$6:$B$500, B1026)&gt;2, " + " &amp; IFERROR(INDEX('SAÍDA DE VENDAS'!$H$6:$H$500 &amp; "x " &amp; 'SAÍDA DE VENDAS'!$G$6:$G$500, MATCH(B1026, 'SAÍDA DE VENDAS'!$B$6:$B$500, 0)+2), ""), "")&amp; IF(COUNTIF('SAÍDA DE VENDAS'!$B$6:$B$500, B1026)&gt;3, " + " &amp; IFERROR(INDEX('SAÍDA DE VENDAS'!$H$6:$H$500 &amp; "x " &amp; 'SAÍDA DE VENDAS'!$G$6:$G$500, MATCH(B1026, 'SAÍDA DE VENDAS'!$B$6:$B$500, 0)+3), ""), "")&amp; IF(COUNTIF('SAÍDA DE VENDAS'!$B$6:$B$500, B1026)&gt;4, " + " &amp; IFERROR(INDEX('SAÍDA DE VENDAS'!$H$6:$H$500 &amp; "x " &amp; 'SAÍDA DE VENDAS'!$G$6:$G$500, MATCH(B1026, 'SAÍDA DE VENDAS'!$B$6:$B$500, 0)+4), ""), "")&amp; IF(COUNTIF('SAÍDA DE VENDAS'!$B$6:$B$500, B1026)&gt;5, " + " &amp; IFERROR(INDEX('SAÍDA DE VENDAS'!$H$6:$H$500 &amp; "x " &amp; 'SAÍDA DE VENDAS'!$G$6:$G$500, MATCH(B1026, 'SAÍDA DE VENDAS'!$B$6:$B$500, 0)+5), ""), ""))</f>
        <v/>
      </c>
      <c r="G1026" s="28">
        <f>IFERROR(VLOOKUP(B1026,'SAÍDA DE VENDAS'!$B$6:$P$500,10,FALSE),"")</f>
        <v>0</v>
      </c>
      <c r="H1026" s="28" t="str">
        <f>IF(OR(ISBLANK(B1026),B1026=""), "", IF(B1026=B1025, (VALUE(LEFT(H1025,FIND("/",H1025)-1))+1)&amp;"/"&amp;RIGHT(H1025,LEN(H1025)-FIND("/",H1025)), "1/"&amp;IFERROR(VLOOKUP(B1026,'SAÍDA DE VENDAS'!$B$6:$P$500,13,FALSE),"1")))</f>
        <v/>
      </c>
      <c r="I1026" s="69" t="str">
        <f t="shared" si="30"/>
        <v/>
      </c>
      <c r="J1026" s="33" t="str">
        <f>IFERROR(VLOOKUP(B1026,'SAÍDA DE VENDAS'!$B$6:$P$500,15,FALSE),"")</f>
        <v/>
      </c>
      <c r="K1026" s="28" t="str">
        <f t="shared" ca="1" si="31"/>
        <v/>
      </c>
      <c r="L1026" s="28"/>
      <c r="M1026" s="28"/>
    </row>
    <row r="1027" spans="2:13" ht="15" customHeight="1" x14ac:dyDescent="0.3">
      <c r="B1027" s="34" t="str">
        <f>IF(B1026="","", IF(VALUE(LEFT(H1026,FIND("/",H1026)-1)) &lt; VALUE(RIGHT(H1026,LEN(H1026)-FIND("/",H1026))), B1026, IFERROR(INDEX('SAÍDA DE VENDAS'!$B$6:$B$500, MATCH(B1026,'SAÍDA DE VENDAS'!$B$6:$B$500,0)+COUNTIF('SAÍDA DE VENDAS'!$B$6:$B$500, B1026)),"")))</f>
        <v/>
      </c>
      <c r="C1027" s="35">
        <f>IFERROR(VLOOKUP(B1027,'SAÍDA DE VENDAS'!$B$6:$P$500,3,FALSE),"")</f>
        <v>0</v>
      </c>
      <c r="D1027" s="34">
        <f>IFERROR(VLOOKUP(B1027,'SAÍDA DE VENDAS'!$B$6:$P$500,4,FALSE),"")</f>
        <v>0</v>
      </c>
      <c r="E1027" s="34" t="str">
        <f>IFERROR(VLOOKUP(B1027,'SAÍDA DE VENDAS'!$B$6:$P$500,5,FALSE),"")</f>
        <v/>
      </c>
      <c r="F1027" s="34" t="str">
        <f>IF(OR(ISBLANK(B1027),B1027=""), "", IFERROR(INDEX('SAÍDA DE VENDAS'!$H$6:$H$500 &amp; "x " &amp; 'SAÍDA DE VENDAS'!$G$6:$G$500, MATCH(B1027, 'SAÍDA DE VENDAS'!$B$6:$B$500, 0)), "")&amp; IF(COUNTIF('SAÍDA DE VENDAS'!$B$6:$B$500, B1027)&gt;1, " + " &amp; IFERROR(INDEX('SAÍDA DE VENDAS'!$H$6:$H$500 &amp; "x " &amp; 'SAÍDA DE VENDAS'!$G$6:$G$500, MATCH(B1027, 'SAÍDA DE VENDAS'!$B$6:$B$500, 0)+1), ""), "")&amp; IF(COUNTIF('SAÍDA DE VENDAS'!$B$6:$B$500, B1027)&gt;2, " + " &amp; IFERROR(INDEX('SAÍDA DE VENDAS'!$H$6:$H$500 &amp; "x " &amp; 'SAÍDA DE VENDAS'!$G$6:$G$500, MATCH(B1027, 'SAÍDA DE VENDAS'!$B$6:$B$500, 0)+2), ""), "")&amp; IF(COUNTIF('SAÍDA DE VENDAS'!$B$6:$B$500, B1027)&gt;3, " + " &amp; IFERROR(INDEX('SAÍDA DE VENDAS'!$H$6:$H$500 &amp; "x " &amp; 'SAÍDA DE VENDAS'!$G$6:$G$500, MATCH(B1027, 'SAÍDA DE VENDAS'!$B$6:$B$500, 0)+3), ""), "")&amp; IF(COUNTIF('SAÍDA DE VENDAS'!$B$6:$B$500, B1027)&gt;4, " + " &amp; IFERROR(INDEX('SAÍDA DE VENDAS'!$H$6:$H$500 &amp; "x " &amp; 'SAÍDA DE VENDAS'!$G$6:$G$500, MATCH(B1027, 'SAÍDA DE VENDAS'!$B$6:$B$500, 0)+4), ""), "")&amp; IF(COUNTIF('SAÍDA DE VENDAS'!$B$6:$B$500, B1027)&gt;5, " + " &amp; IFERROR(INDEX('SAÍDA DE VENDAS'!$H$6:$H$500 &amp; "x " &amp; 'SAÍDA DE VENDAS'!$G$6:$G$500, MATCH(B1027, 'SAÍDA DE VENDAS'!$B$6:$B$500, 0)+5), ""), ""))</f>
        <v/>
      </c>
      <c r="G1027" s="34">
        <f>IFERROR(VLOOKUP(B1027,'SAÍDA DE VENDAS'!$B$6:$P$500,10,FALSE),"")</f>
        <v>0</v>
      </c>
      <c r="H1027" s="34" t="str">
        <f>IF(OR(ISBLANK(B1027),B1027=""), "", IF(B1027=B1026, (VALUE(LEFT(H1026,FIND("/",H1026)-1))+1)&amp;"/"&amp;RIGHT(H1026,LEN(H1026)-FIND("/",H1026)), "1/"&amp;IFERROR(VLOOKUP(B1027,'SAÍDA DE VENDAS'!$B$6:$P$500,13,FALSE),"1")))</f>
        <v/>
      </c>
      <c r="I1027" s="35" t="str">
        <f t="shared" si="30"/>
        <v/>
      </c>
      <c r="J1027" s="39" t="str">
        <f>IFERROR(VLOOKUP(B1027,'SAÍDA DE VENDAS'!$B$6:$P$500,15,FALSE),"")</f>
        <v/>
      </c>
      <c r="K1027" s="34" t="str">
        <f t="shared" ca="1" si="31"/>
        <v/>
      </c>
      <c r="L1027" s="34"/>
      <c r="M1027" s="34"/>
    </row>
    <row r="1028" spans="2:13" ht="15" customHeight="1" x14ac:dyDescent="0.3">
      <c r="B1028" s="28" t="str">
        <f>IF(B1027="","", IF(VALUE(LEFT(H1027,FIND("/",H1027)-1)) &lt; VALUE(RIGHT(H1027,LEN(H1027)-FIND("/",H1027))), B1027, IFERROR(INDEX('SAÍDA DE VENDAS'!$B$6:$B$500, MATCH(B1027,'SAÍDA DE VENDAS'!$B$6:$B$500,0)+COUNTIF('SAÍDA DE VENDAS'!$B$6:$B$500, B1027)),"")))</f>
        <v/>
      </c>
      <c r="C1028" s="29">
        <f>IFERROR(VLOOKUP(B1028,'SAÍDA DE VENDAS'!$B$6:$P$500,3,FALSE),"")</f>
        <v>0</v>
      </c>
      <c r="D1028" s="28">
        <f>IFERROR(VLOOKUP(B1028,'SAÍDA DE VENDAS'!$B$6:$P$500,4,FALSE),"")</f>
        <v>0</v>
      </c>
      <c r="E1028" s="28" t="str">
        <f>IFERROR(VLOOKUP(B1028,'SAÍDA DE VENDAS'!$B$6:$P$500,5,FALSE),"")</f>
        <v/>
      </c>
      <c r="F1028" s="28" t="str">
        <f>IF(OR(ISBLANK(B1028),B1028=""), "", IFERROR(INDEX('SAÍDA DE VENDAS'!$H$6:$H$500 &amp; "x " &amp; 'SAÍDA DE VENDAS'!$G$6:$G$500, MATCH(B1028, 'SAÍDA DE VENDAS'!$B$6:$B$500, 0)), "")&amp; IF(COUNTIF('SAÍDA DE VENDAS'!$B$6:$B$500, B1028)&gt;1, " + " &amp; IFERROR(INDEX('SAÍDA DE VENDAS'!$H$6:$H$500 &amp; "x " &amp; 'SAÍDA DE VENDAS'!$G$6:$G$500, MATCH(B1028, 'SAÍDA DE VENDAS'!$B$6:$B$500, 0)+1), ""), "")&amp; IF(COUNTIF('SAÍDA DE VENDAS'!$B$6:$B$500, B1028)&gt;2, " + " &amp; IFERROR(INDEX('SAÍDA DE VENDAS'!$H$6:$H$500 &amp; "x " &amp; 'SAÍDA DE VENDAS'!$G$6:$G$500, MATCH(B1028, 'SAÍDA DE VENDAS'!$B$6:$B$500, 0)+2), ""), "")&amp; IF(COUNTIF('SAÍDA DE VENDAS'!$B$6:$B$500, B1028)&gt;3, " + " &amp; IFERROR(INDEX('SAÍDA DE VENDAS'!$H$6:$H$500 &amp; "x " &amp; 'SAÍDA DE VENDAS'!$G$6:$G$500, MATCH(B1028, 'SAÍDA DE VENDAS'!$B$6:$B$500, 0)+3), ""), "")&amp; IF(COUNTIF('SAÍDA DE VENDAS'!$B$6:$B$500, B1028)&gt;4, " + " &amp; IFERROR(INDEX('SAÍDA DE VENDAS'!$H$6:$H$500 &amp; "x " &amp; 'SAÍDA DE VENDAS'!$G$6:$G$500, MATCH(B1028, 'SAÍDA DE VENDAS'!$B$6:$B$500, 0)+4), ""), "")&amp; IF(COUNTIF('SAÍDA DE VENDAS'!$B$6:$B$500, B1028)&gt;5, " + " &amp; IFERROR(INDEX('SAÍDA DE VENDAS'!$H$6:$H$500 &amp; "x " &amp; 'SAÍDA DE VENDAS'!$G$6:$G$500, MATCH(B1028, 'SAÍDA DE VENDAS'!$B$6:$B$500, 0)+5), ""), ""))</f>
        <v/>
      </c>
      <c r="G1028" s="28">
        <f>IFERROR(VLOOKUP(B1028,'SAÍDA DE VENDAS'!$B$6:$P$500,10,FALSE),"")</f>
        <v>0</v>
      </c>
      <c r="H1028" s="28" t="str">
        <f>IF(OR(ISBLANK(B1028),B1028=""), "", IF(B1028=B1027, (VALUE(LEFT(H1027,FIND("/",H1027)-1))+1)&amp;"/"&amp;RIGHT(H1027,LEN(H1027)-FIND("/",H1027)), "1/"&amp;IFERROR(VLOOKUP(B1028,'SAÍDA DE VENDAS'!$B$6:$P$500,13,FALSE),"1")))</f>
        <v/>
      </c>
      <c r="I1028" s="69" t="str">
        <f t="shared" si="30"/>
        <v/>
      </c>
      <c r="J1028" s="33" t="str">
        <f>IFERROR(VLOOKUP(B1028,'SAÍDA DE VENDAS'!$B$6:$P$500,15,FALSE),"")</f>
        <v/>
      </c>
      <c r="K1028" s="28" t="str">
        <f t="shared" ca="1" si="31"/>
        <v/>
      </c>
      <c r="L1028" s="28"/>
      <c r="M1028" s="28"/>
    </row>
    <row r="1029" spans="2:13" ht="15" customHeight="1" x14ac:dyDescent="0.3">
      <c r="B1029" s="34" t="str">
        <f>IF(B1028="","", IF(VALUE(LEFT(H1028,FIND("/",H1028)-1)) &lt; VALUE(RIGHT(H1028,LEN(H1028)-FIND("/",H1028))), B1028, IFERROR(INDEX('SAÍDA DE VENDAS'!$B$6:$B$500, MATCH(B1028,'SAÍDA DE VENDAS'!$B$6:$B$500,0)+COUNTIF('SAÍDA DE VENDAS'!$B$6:$B$500, B1028)),"")))</f>
        <v/>
      </c>
      <c r="C1029" s="35">
        <f>IFERROR(VLOOKUP(B1029,'SAÍDA DE VENDAS'!$B$6:$P$500,3,FALSE),"")</f>
        <v>0</v>
      </c>
      <c r="D1029" s="34">
        <f>IFERROR(VLOOKUP(B1029,'SAÍDA DE VENDAS'!$B$6:$P$500,4,FALSE),"")</f>
        <v>0</v>
      </c>
      <c r="E1029" s="34" t="str">
        <f>IFERROR(VLOOKUP(B1029,'SAÍDA DE VENDAS'!$B$6:$P$500,5,FALSE),"")</f>
        <v/>
      </c>
      <c r="F1029" s="34" t="str">
        <f>IF(OR(ISBLANK(B1029),B1029=""), "", IFERROR(INDEX('SAÍDA DE VENDAS'!$H$6:$H$500 &amp; "x " &amp; 'SAÍDA DE VENDAS'!$G$6:$G$500, MATCH(B1029, 'SAÍDA DE VENDAS'!$B$6:$B$500, 0)), "")&amp; IF(COUNTIF('SAÍDA DE VENDAS'!$B$6:$B$500, B1029)&gt;1, " + " &amp; IFERROR(INDEX('SAÍDA DE VENDAS'!$H$6:$H$500 &amp; "x " &amp; 'SAÍDA DE VENDAS'!$G$6:$G$500, MATCH(B1029, 'SAÍDA DE VENDAS'!$B$6:$B$500, 0)+1), ""), "")&amp; IF(COUNTIF('SAÍDA DE VENDAS'!$B$6:$B$500, B1029)&gt;2, " + " &amp; IFERROR(INDEX('SAÍDA DE VENDAS'!$H$6:$H$500 &amp; "x " &amp; 'SAÍDA DE VENDAS'!$G$6:$G$500, MATCH(B1029, 'SAÍDA DE VENDAS'!$B$6:$B$500, 0)+2), ""), "")&amp; IF(COUNTIF('SAÍDA DE VENDAS'!$B$6:$B$500, B1029)&gt;3, " + " &amp; IFERROR(INDEX('SAÍDA DE VENDAS'!$H$6:$H$500 &amp; "x " &amp; 'SAÍDA DE VENDAS'!$G$6:$G$500, MATCH(B1029, 'SAÍDA DE VENDAS'!$B$6:$B$500, 0)+3), ""), "")&amp; IF(COUNTIF('SAÍDA DE VENDAS'!$B$6:$B$500, B1029)&gt;4, " + " &amp; IFERROR(INDEX('SAÍDA DE VENDAS'!$H$6:$H$500 &amp; "x " &amp; 'SAÍDA DE VENDAS'!$G$6:$G$500, MATCH(B1029, 'SAÍDA DE VENDAS'!$B$6:$B$500, 0)+4), ""), "")&amp; IF(COUNTIF('SAÍDA DE VENDAS'!$B$6:$B$500, B1029)&gt;5, " + " &amp; IFERROR(INDEX('SAÍDA DE VENDAS'!$H$6:$H$500 &amp; "x " &amp; 'SAÍDA DE VENDAS'!$G$6:$G$500, MATCH(B1029, 'SAÍDA DE VENDAS'!$B$6:$B$500, 0)+5), ""), ""))</f>
        <v/>
      </c>
      <c r="G1029" s="34">
        <f>IFERROR(VLOOKUP(B1029,'SAÍDA DE VENDAS'!$B$6:$P$500,10,FALSE),"")</f>
        <v>0</v>
      </c>
      <c r="H1029" s="34" t="str">
        <f>IF(OR(ISBLANK(B1029),B1029=""), "", IF(B1029=B1028, (VALUE(LEFT(H1028,FIND("/",H1028)-1))+1)&amp;"/"&amp;RIGHT(H1028,LEN(H1028)-FIND("/",H1028)), "1/"&amp;IFERROR(VLOOKUP(B1029,'SAÍDA DE VENDAS'!$B$6:$P$500,13,FALSE),"1")))</f>
        <v/>
      </c>
      <c r="I1029" s="35" t="str">
        <f t="shared" si="30"/>
        <v/>
      </c>
      <c r="J1029" s="39" t="str">
        <f>IFERROR(VLOOKUP(B1029,'SAÍDA DE VENDAS'!$B$6:$P$500,15,FALSE),"")</f>
        <v/>
      </c>
      <c r="K1029" s="34" t="str">
        <f t="shared" ca="1" si="31"/>
        <v/>
      </c>
      <c r="L1029" s="34"/>
      <c r="M1029" s="34"/>
    </row>
    <row r="1030" spans="2:13" ht="15" customHeight="1" x14ac:dyDescent="0.3">
      <c r="B1030" s="28" t="str">
        <f>IF(B1029="","", IF(VALUE(LEFT(H1029,FIND("/",H1029)-1)) &lt; VALUE(RIGHT(H1029,LEN(H1029)-FIND("/",H1029))), B1029, IFERROR(INDEX('SAÍDA DE VENDAS'!$B$6:$B$500, MATCH(B1029,'SAÍDA DE VENDAS'!$B$6:$B$500,0)+COUNTIF('SAÍDA DE VENDAS'!$B$6:$B$500, B1029)),"")))</f>
        <v/>
      </c>
      <c r="C1030" s="29">
        <f>IFERROR(VLOOKUP(B1030,'SAÍDA DE VENDAS'!$B$6:$P$500,3,FALSE),"")</f>
        <v>0</v>
      </c>
      <c r="D1030" s="28">
        <f>IFERROR(VLOOKUP(B1030,'SAÍDA DE VENDAS'!$B$6:$P$500,4,FALSE),"")</f>
        <v>0</v>
      </c>
      <c r="E1030" s="28" t="str">
        <f>IFERROR(VLOOKUP(B1030,'SAÍDA DE VENDAS'!$B$6:$P$500,5,FALSE),"")</f>
        <v/>
      </c>
      <c r="F1030" s="28" t="str">
        <f>IF(OR(ISBLANK(B1030),B1030=""), "", IFERROR(INDEX('SAÍDA DE VENDAS'!$H$6:$H$500 &amp; "x " &amp; 'SAÍDA DE VENDAS'!$G$6:$G$500, MATCH(B1030, 'SAÍDA DE VENDAS'!$B$6:$B$500, 0)), "")&amp; IF(COUNTIF('SAÍDA DE VENDAS'!$B$6:$B$500, B1030)&gt;1, " + " &amp; IFERROR(INDEX('SAÍDA DE VENDAS'!$H$6:$H$500 &amp; "x " &amp; 'SAÍDA DE VENDAS'!$G$6:$G$500, MATCH(B1030, 'SAÍDA DE VENDAS'!$B$6:$B$500, 0)+1), ""), "")&amp; IF(COUNTIF('SAÍDA DE VENDAS'!$B$6:$B$500, B1030)&gt;2, " + " &amp; IFERROR(INDEX('SAÍDA DE VENDAS'!$H$6:$H$500 &amp; "x " &amp; 'SAÍDA DE VENDAS'!$G$6:$G$500, MATCH(B1030, 'SAÍDA DE VENDAS'!$B$6:$B$500, 0)+2), ""), "")&amp; IF(COUNTIF('SAÍDA DE VENDAS'!$B$6:$B$500, B1030)&gt;3, " + " &amp; IFERROR(INDEX('SAÍDA DE VENDAS'!$H$6:$H$500 &amp; "x " &amp; 'SAÍDA DE VENDAS'!$G$6:$G$500, MATCH(B1030, 'SAÍDA DE VENDAS'!$B$6:$B$500, 0)+3), ""), "")&amp; IF(COUNTIF('SAÍDA DE VENDAS'!$B$6:$B$500, B1030)&gt;4, " + " &amp; IFERROR(INDEX('SAÍDA DE VENDAS'!$H$6:$H$500 &amp; "x " &amp; 'SAÍDA DE VENDAS'!$G$6:$G$500, MATCH(B1030, 'SAÍDA DE VENDAS'!$B$6:$B$500, 0)+4), ""), "")&amp; IF(COUNTIF('SAÍDA DE VENDAS'!$B$6:$B$500, B1030)&gt;5, " + " &amp; IFERROR(INDEX('SAÍDA DE VENDAS'!$H$6:$H$500 &amp; "x " &amp; 'SAÍDA DE VENDAS'!$G$6:$G$500, MATCH(B1030, 'SAÍDA DE VENDAS'!$B$6:$B$500, 0)+5), ""), ""))</f>
        <v/>
      </c>
      <c r="G1030" s="28">
        <f>IFERROR(VLOOKUP(B1030,'SAÍDA DE VENDAS'!$B$6:$P$500,10,FALSE),"")</f>
        <v>0</v>
      </c>
      <c r="H1030" s="28" t="str">
        <f>IF(OR(ISBLANK(B1030),B1030=""), "", IF(B1030=B1029, (VALUE(LEFT(H1029,FIND("/",H1029)-1))+1)&amp;"/"&amp;RIGHT(H1029,LEN(H1029)-FIND("/",H1029)), "1/"&amp;IFERROR(VLOOKUP(B1030,'SAÍDA DE VENDAS'!$B$6:$P$500,13,FALSE),"1")))</f>
        <v/>
      </c>
      <c r="I1030" s="69" t="str">
        <f t="shared" ref="I1030:I1093" si="32">IF(OR(ISBLANK(B1030), B1030="", C1030=""), "", C1030 + (IFERROR(VALUE(LEFT(H1030, FIND("/", H1030)-1)), 1) * 30))</f>
        <v/>
      </c>
      <c r="J1030" s="33" t="str">
        <f>IFERROR(VLOOKUP(B1030,'SAÍDA DE VENDAS'!$B$6:$P$500,15,FALSE),"")</f>
        <v/>
      </c>
      <c r="K1030" s="28" t="str">
        <f t="shared" ref="K1030:K1093" ca="1" si="33">IF(B1030="","", IF(OR(G1030="À Vista", L1030&lt;&gt;""), "Pago", IF(AND(I1030&lt;&gt;"", I1030&lt;TODAY()), "Atrasado", "Pendente")))</f>
        <v/>
      </c>
      <c r="L1030" s="28"/>
      <c r="M1030" s="28"/>
    </row>
    <row r="1031" spans="2:13" ht="15" customHeight="1" x14ac:dyDescent="0.3">
      <c r="B1031" s="34" t="str">
        <f>IF(B1030="","", IF(VALUE(LEFT(H1030,FIND("/",H1030)-1)) &lt; VALUE(RIGHT(H1030,LEN(H1030)-FIND("/",H1030))), B1030, IFERROR(INDEX('SAÍDA DE VENDAS'!$B$6:$B$500, MATCH(B1030,'SAÍDA DE VENDAS'!$B$6:$B$500,0)+COUNTIF('SAÍDA DE VENDAS'!$B$6:$B$500, B1030)),"")))</f>
        <v/>
      </c>
      <c r="C1031" s="35">
        <f>IFERROR(VLOOKUP(B1031,'SAÍDA DE VENDAS'!$B$6:$P$500,3,FALSE),"")</f>
        <v>0</v>
      </c>
      <c r="D1031" s="34">
        <f>IFERROR(VLOOKUP(B1031,'SAÍDA DE VENDAS'!$B$6:$P$500,4,FALSE),"")</f>
        <v>0</v>
      </c>
      <c r="E1031" s="34" t="str">
        <f>IFERROR(VLOOKUP(B1031,'SAÍDA DE VENDAS'!$B$6:$P$500,5,FALSE),"")</f>
        <v/>
      </c>
      <c r="F1031" s="34" t="str">
        <f>IF(OR(ISBLANK(B1031),B1031=""), "", IFERROR(INDEX('SAÍDA DE VENDAS'!$H$6:$H$500 &amp; "x " &amp; 'SAÍDA DE VENDAS'!$G$6:$G$500, MATCH(B1031, 'SAÍDA DE VENDAS'!$B$6:$B$500, 0)), "")&amp; IF(COUNTIF('SAÍDA DE VENDAS'!$B$6:$B$500, B1031)&gt;1, " + " &amp; IFERROR(INDEX('SAÍDA DE VENDAS'!$H$6:$H$500 &amp; "x " &amp; 'SAÍDA DE VENDAS'!$G$6:$G$500, MATCH(B1031, 'SAÍDA DE VENDAS'!$B$6:$B$500, 0)+1), ""), "")&amp; IF(COUNTIF('SAÍDA DE VENDAS'!$B$6:$B$500, B1031)&gt;2, " + " &amp; IFERROR(INDEX('SAÍDA DE VENDAS'!$H$6:$H$500 &amp; "x " &amp; 'SAÍDA DE VENDAS'!$G$6:$G$500, MATCH(B1031, 'SAÍDA DE VENDAS'!$B$6:$B$500, 0)+2), ""), "")&amp; IF(COUNTIF('SAÍDA DE VENDAS'!$B$6:$B$500, B1031)&gt;3, " + " &amp; IFERROR(INDEX('SAÍDA DE VENDAS'!$H$6:$H$500 &amp; "x " &amp; 'SAÍDA DE VENDAS'!$G$6:$G$500, MATCH(B1031, 'SAÍDA DE VENDAS'!$B$6:$B$500, 0)+3), ""), "")&amp; IF(COUNTIF('SAÍDA DE VENDAS'!$B$6:$B$500, B1031)&gt;4, " + " &amp; IFERROR(INDEX('SAÍDA DE VENDAS'!$H$6:$H$500 &amp; "x " &amp; 'SAÍDA DE VENDAS'!$G$6:$G$500, MATCH(B1031, 'SAÍDA DE VENDAS'!$B$6:$B$500, 0)+4), ""), "")&amp; IF(COUNTIF('SAÍDA DE VENDAS'!$B$6:$B$500, B1031)&gt;5, " + " &amp; IFERROR(INDEX('SAÍDA DE VENDAS'!$H$6:$H$500 &amp; "x " &amp; 'SAÍDA DE VENDAS'!$G$6:$G$500, MATCH(B1031, 'SAÍDA DE VENDAS'!$B$6:$B$500, 0)+5), ""), ""))</f>
        <v/>
      </c>
      <c r="G1031" s="34">
        <f>IFERROR(VLOOKUP(B1031,'SAÍDA DE VENDAS'!$B$6:$P$500,10,FALSE),"")</f>
        <v>0</v>
      </c>
      <c r="H1031" s="34" t="str">
        <f>IF(OR(ISBLANK(B1031),B1031=""), "", IF(B1031=B1030, (VALUE(LEFT(H1030,FIND("/",H1030)-1))+1)&amp;"/"&amp;RIGHT(H1030,LEN(H1030)-FIND("/",H1030)), "1/"&amp;IFERROR(VLOOKUP(B1031,'SAÍDA DE VENDAS'!$B$6:$P$500,13,FALSE),"1")))</f>
        <v/>
      </c>
      <c r="I1031" s="35" t="str">
        <f t="shared" si="32"/>
        <v/>
      </c>
      <c r="J1031" s="39" t="str">
        <f>IFERROR(VLOOKUP(B1031,'SAÍDA DE VENDAS'!$B$6:$P$500,15,FALSE),"")</f>
        <v/>
      </c>
      <c r="K1031" s="34" t="str">
        <f t="shared" ca="1" si="33"/>
        <v/>
      </c>
      <c r="L1031" s="34"/>
      <c r="M1031" s="34"/>
    </row>
    <row r="1032" spans="2:13" ht="15" customHeight="1" x14ac:dyDescent="0.3">
      <c r="B1032" s="28" t="str">
        <f>IF(B1031="","", IF(VALUE(LEFT(H1031,FIND("/",H1031)-1)) &lt; VALUE(RIGHT(H1031,LEN(H1031)-FIND("/",H1031))), B1031, IFERROR(INDEX('SAÍDA DE VENDAS'!$B$6:$B$500, MATCH(B1031,'SAÍDA DE VENDAS'!$B$6:$B$500,0)+COUNTIF('SAÍDA DE VENDAS'!$B$6:$B$500, B1031)),"")))</f>
        <v/>
      </c>
      <c r="C1032" s="29">
        <f>IFERROR(VLOOKUP(B1032,'SAÍDA DE VENDAS'!$B$6:$P$500,3,FALSE),"")</f>
        <v>0</v>
      </c>
      <c r="D1032" s="28">
        <f>IFERROR(VLOOKUP(B1032,'SAÍDA DE VENDAS'!$B$6:$P$500,4,FALSE),"")</f>
        <v>0</v>
      </c>
      <c r="E1032" s="28" t="str">
        <f>IFERROR(VLOOKUP(B1032,'SAÍDA DE VENDAS'!$B$6:$P$500,5,FALSE),"")</f>
        <v/>
      </c>
      <c r="F1032" s="28" t="str">
        <f>IF(OR(ISBLANK(B1032),B1032=""), "", IFERROR(INDEX('SAÍDA DE VENDAS'!$H$6:$H$500 &amp; "x " &amp; 'SAÍDA DE VENDAS'!$G$6:$G$500, MATCH(B1032, 'SAÍDA DE VENDAS'!$B$6:$B$500, 0)), "")&amp; IF(COUNTIF('SAÍDA DE VENDAS'!$B$6:$B$500, B1032)&gt;1, " + " &amp; IFERROR(INDEX('SAÍDA DE VENDAS'!$H$6:$H$500 &amp; "x " &amp; 'SAÍDA DE VENDAS'!$G$6:$G$500, MATCH(B1032, 'SAÍDA DE VENDAS'!$B$6:$B$500, 0)+1), ""), "")&amp; IF(COUNTIF('SAÍDA DE VENDAS'!$B$6:$B$500, B1032)&gt;2, " + " &amp; IFERROR(INDEX('SAÍDA DE VENDAS'!$H$6:$H$500 &amp; "x " &amp; 'SAÍDA DE VENDAS'!$G$6:$G$500, MATCH(B1032, 'SAÍDA DE VENDAS'!$B$6:$B$500, 0)+2), ""), "")&amp; IF(COUNTIF('SAÍDA DE VENDAS'!$B$6:$B$500, B1032)&gt;3, " + " &amp; IFERROR(INDEX('SAÍDA DE VENDAS'!$H$6:$H$500 &amp; "x " &amp; 'SAÍDA DE VENDAS'!$G$6:$G$500, MATCH(B1032, 'SAÍDA DE VENDAS'!$B$6:$B$500, 0)+3), ""), "")&amp; IF(COUNTIF('SAÍDA DE VENDAS'!$B$6:$B$500, B1032)&gt;4, " + " &amp; IFERROR(INDEX('SAÍDA DE VENDAS'!$H$6:$H$500 &amp; "x " &amp; 'SAÍDA DE VENDAS'!$G$6:$G$500, MATCH(B1032, 'SAÍDA DE VENDAS'!$B$6:$B$500, 0)+4), ""), "")&amp; IF(COUNTIF('SAÍDA DE VENDAS'!$B$6:$B$500, B1032)&gt;5, " + " &amp; IFERROR(INDEX('SAÍDA DE VENDAS'!$H$6:$H$500 &amp; "x " &amp; 'SAÍDA DE VENDAS'!$G$6:$G$500, MATCH(B1032, 'SAÍDA DE VENDAS'!$B$6:$B$500, 0)+5), ""), ""))</f>
        <v/>
      </c>
      <c r="G1032" s="28">
        <f>IFERROR(VLOOKUP(B1032,'SAÍDA DE VENDAS'!$B$6:$P$500,10,FALSE),"")</f>
        <v>0</v>
      </c>
      <c r="H1032" s="28" t="str">
        <f>IF(OR(ISBLANK(B1032),B1032=""), "", IF(B1032=B1031, (VALUE(LEFT(H1031,FIND("/",H1031)-1))+1)&amp;"/"&amp;RIGHT(H1031,LEN(H1031)-FIND("/",H1031)), "1/"&amp;IFERROR(VLOOKUP(B1032,'SAÍDA DE VENDAS'!$B$6:$P$500,13,FALSE),"1")))</f>
        <v/>
      </c>
      <c r="I1032" s="69" t="str">
        <f t="shared" si="32"/>
        <v/>
      </c>
      <c r="J1032" s="33" t="str">
        <f>IFERROR(VLOOKUP(B1032,'SAÍDA DE VENDAS'!$B$6:$P$500,15,FALSE),"")</f>
        <v/>
      </c>
      <c r="K1032" s="28" t="str">
        <f t="shared" ca="1" si="33"/>
        <v/>
      </c>
      <c r="L1032" s="28"/>
      <c r="M1032" s="28"/>
    </row>
    <row r="1033" spans="2:13" ht="15" customHeight="1" x14ac:dyDescent="0.3">
      <c r="B1033" s="34" t="str">
        <f>IF(B1032="","", IF(VALUE(LEFT(H1032,FIND("/",H1032)-1)) &lt; VALUE(RIGHT(H1032,LEN(H1032)-FIND("/",H1032))), B1032, IFERROR(INDEX('SAÍDA DE VENDAS'!$B$6:$B$500, MATCH(B1032,'SAÍDA DE VENDAS'!$B$6:$B$500,0)+COUNTIF('SAÍDA DE VENDAS'!$B$6:$B$500, B1032)),"")))</f>
        <v/>
      </c>
      <c r="C1033" s="35">
        <f>IFERROR(VLOOKUP(B1033,'SAÍDA DE VENDAS'!$B$6:$P$500,3,FALSE),"")</f>
        <v>0</v>
      </c>
      <c r="D1033" s="34">
        <f>IFERROR(VLOOKUP(B1033,'SAÍDA DE VENDAS'!$B$6:$P$500,4,FALSE),"")</f>
        <v>0</v>
      </c>
      <c r="E1033" s="34" t="str">
        <f>IFERROR(VLOOKUP(B1033,'SAÍDA DE VENDAS'!$B$6:$P$500,5,FALSE),"")</f>
        <v/>
      </c>
      <c r="F1033" s="34" t="str">
        <f>IF(OR(ISBLANK(B1033),B1033=""), "", IFERROR(INDEX('SAÍDA DE VENDAS'!$H$6:$H$500 &amp; "x " &amp; 'SAÍDA DE VENDAS'!$G$6:$G$500, MATCH(B1033, 'SAÍDA DE VENDAS'!$B$6:$B$500, 0)), "")&amp; IF(COUNTIF('SAÍDA DE VENDAS'!$B$6:$B$500, B1033)&gt;1, " + " &amp; IFERROR(INDEX('SAÍDA DE VENDAS'!$H$6:$H$500 &amp; "x " &amp; 'SAÍDA DE VENDAS'!$G$6:$G$500, MATCH(B1033, 'SAÍDA DE VENDAS'!$B$6:$B$500, 0)+1), ""), "")&amp; IF(COUNTIF('SAÍDA DE VENDAS'!$B$6:$B$500, B1033)&gt;2, " + " &amp; IFERROR(INDEX('SAÍDA DE VENDAS'!$H$6:$H$500 &amp; "x " &amp; 'SAÍDA DE VENDAS'!$G$6:$G$500, MATCH(B1033, 'SAÍDA DE VENDAS'!$B$6:$B$500, 0)+2), ""), "")&amp; IF(COUNTIF('SAÍDA DE VENDAS'!$B$6:$B$500, B1033)&gt;3, " + " &amp; IFERROR(INDEX('SAÍDA DE VENDAS'!$H$6:$H$500 &amp; "x " &amp; 'SAÍDA DE VENDAS'!$G$6:$G$500, MATCH(B1033, 'SAÍDA DE VENDAS'!$B$6:$B$500, 0)+3), ""), "")&amp; IF(COUNTIF('SAÍDA DE VENDAS'!$B$6:$B$500, B1033)&gt;4, " + " &amp; IFERROR(INDEX('SAÍDA DE VENDAS'!$H$6:$H$500 &amp; "x " &amp; 'SAÍDA DE VENDAS'!$G$6:$G$500, MATCH(B1033, 'SAÍDA DE VENDAS'!$B$6:$B$500, 0)+4), ""), "")&amp; IF(COUNTIF('SAÍDA DE VENDAS'!$B$6:$B$500, B1033)&gt;5, " + " &amp; IFERROR(INDEX('SAÍDA DE VENDAS'!$H$6:$H$500 &amp; "x " &amp; 'SAÍDA DE VENDAS'!$G$6:$G$500, MATCH(B1033, 'SAÍDA DE VENDAS'!$B$6:$B$500, 0)+5), ""), ""))</f>
        <v/>
      </c>
      <c r="G1033" s="34">
        <f>IFERROR(VLOOKUP(B1033,'SAÍDA DE VENDAS'!$B$6:$P$500,10,FALSE),"")</f>
        <v>0</v>
      </c>
      <c r="H1033" s="34" t="str">
        <f>IF(OR(ISBLANK(B1033),B1033=""), "", IF(B1033=B1032, (VALUE(LEFT(H1032,FIND("/",H1032)-1))+1)&amp;"/"&amp;RIGHT(H1032,LEN(H1032)-FIND("/",H1032)), "1/"&amp;IFERROR(VLOOKUP(B1033,'SAÍDA DE VENDAS'!$B$6:$P$500,13,FALSE),"1")))</f>
        <v/>
      </c>
      <c r="I1033" s="35" t="str">
        <f t="shared" si="32"/>
        <v/>
      </c>
      <c r="J1033" s="39" t="str">
        <f>IFERROR(VLOOKUP(B1033,'SAÍDA DE VENDAS'!$B$6:$P$500,15,FALSE),"")</f>
        <v/>
      </c>
      <c r="K1033" s="34" t="str">
        <f t="shared" ca="1" si="33"/>
        <v/>
      </c>
      <c r="L1033" s="34"/>
      <c r="M1033" s="34"/>
    </row>
    <row r="1034" spans="2:13" ht="15" customHeight="1" x14ac:dyDescent="0.3">
      <c r="B1034" s="28" t="str">
        <f>IF(B1033="","", IF(VALUE(LEFT(H1033,FIND("/",H1033)-1)) &lt; VALUE(RIGHT(H1033,LEN(H1033)-FIND("/",H1033))), B1033, IFERROR(INDEX('SAÍDA DE VENDAS'!$B$6:$B$500, MATCH(B1033,'SAÍDA DE VENDAS'!$B$6:$B$500,0)+COUNTIF('SAÍDA DE VENDAS'!$B$6:$B$500, B1033)),"")))</f>
        <v/>
      </c>
      <c r="C1034" s="29">
        <f>IFERROR(VLOOKUP(B1034,'SAÍDA DE VENDAS'!$B$6:$P$500,3,FALSE),"")</f>
        <v>0</v>
      </c>
      <c r="D1034" s="28">
        <f>IFERROR(VLOOKUP(B1034,'SAÍDA DE VENDAS'!$B$6:$P$500,4,FALSE),"")</f>
        <v>0</v>
      </c>
      <c r="E1034" s="28" t="str">
        <f>IFERROR(VLOOKUP(B1034,'SAÍDA DE VENDAS'!$B$6:$P$500,5,FALSE),"")</f>
        <v/>
      </c>
      <c r="F1034" s="28" t="str">
        <f>IF(OR(ISBLANK(B1034),B1034=""), "", IFERROR(INDEX('SAÍDA DE VENDAS'!$H$6:$H$500 &amp; "x " &amp; 'SAÍDA DE VENDAS'!$G$6:$G$500, MATCH(B1034, 'SAÍDA DE VENDAS'!$B$6:$B$500, 0)), "")&amp; IF(COUNTIF('SAÍDA DE VENDAS'!$B$6:$B$500, B1034)&gt;1, " + " &amp; IFERROR(INDEX('SAÍDA DE VENDAS'!$H$6:$H$500 &amp; "x " &amp; 'SAÍDA DE VENDAS'!$G$6:$G$500, MATCH(B1034, 'SAÍDA DE VENDAS'!$B$6:$B$500, 0)+1), ""), "")&amp; IF(COUNTIF('SAÍDA DE VENDAS'!$B$6:$B$500, B1034)&gt;2, " + " &amp; IFERROR(INDEX('SAÍDA DE VENDAS'!$H$6:$H$500 &amp; "x " &amp; 'SAÍDA DE VENDAS'!$G$6:$G$500, MATCH(B1034, 'SAÍDA DE VENDAS'!$B$6:$B$500, 0)+2), ""), "")&amp; IF(COUNTIF('SAÍDA DE VENDAS'!$B$6:$B$500, B1034)&gt;3, " + " &amp; IFERROR(INDEX('SAÍDA DE VENDAS'!$H$6:$H$500 &amp; "x " &amp; 'SAÍDA DE VENDAS'!$G$6:$G$500, MATCH(B1034, 'SAÍDA DE VENDAS'!$B$6:$B$500, 0)+3), ""), "")&amp; IF(COUNTIF('SAÍDA DE VENDAS'!$B$6:$B$500, B1034)&gt;4, " + " &amp; IFERROR(INDEX('SAÍDA DE VENDAS'!$H$6:$H$500 &amp; "x " &amp; 'SAÍDA DE VENDAS'!$G$6:$G$500, MATCH(B1034, 'SAÍDA DE VENDAS'!$B$6:$B$500, 0)+4), ""), "")&amp; IF(COUNTIF('SAÍDA DE VENDAS'!$B$6:$B$500, B1034)&gt;5, " + " &amp; IFERROR(INDEX('SAÍDA DE VENDAS'!$H$6:$H$500 &amp; "x " &amp; 'SAÍDA DE VENDAS'!$G$6:$G$500, MATCH(B1034, 'SAÍDA DE VENDAS'!$B$6:$B$500, 0)+5), ""), ""))</f>
        <v/>
      </c>
      <c r="G1034" s="28">
        <f>IFERROR(VLOOKUP(B1034,'SAÍDA DE VENDAS'!$B$6:$P$500,10,FALSE),"")</f>
        <v>0</v>
      </c>
      <c r="H1034" s="28" t="str">
        <f>IF(OR(ISBLANK(B1034),B1034=""), "", IF(B1034=B1033, (VALUE(LEFT(H1033,FIND("/",H1033)-1))+1)&amp;"/"&amp;RIGHT(H1033,LEN(H1033)-FIND("/",H1033)), "1/"&amp;IFERROR(VLOOKUP(B1034,'SAÍDA DE VENDAS'!$B$6:$P$500,13,FALSE),"1")))</f>
        <v/>
      </c>
      <c r="I1034" s="69" t="str">
        <f t="shared" si="32"/>
        <v/>
      </c>
      <c r="J1034" s="33" t="str">
        <f>IFERROR(VLOOKUP(B1034,'SAÍDA DE VENDAS'!$B$6:$P$500,15,FALSE),"")</f>
        <v/>
      </c>
      <c r="K1034" s="28" t="str">
        <f t="shared" ca="1" si="33"/>
        <v/>
      </c>
      <c r="L1034" s="28"/>
      <c r="M1034" s="28"/>
    </row>
    <row r="1035" spans="2:13" ht="15" customHeight="1" x14ac:dyDescent="0.3">
      <c r="B1035" s="34" t="str">
        <f>IF(B1034="","", IF(VALUE(LEFT(H1034,FIND("/",H1034)-1)) &lt; VALUE(RIGHT(H1034,LEN(H1034)-FIND("/",H1034))), B1034, IFERROR(INDEX('SAÍDA DE VENDAS'!$B$6:$B$500, MATCH(B1034,'SAÍDA DE VENDAS'!$B$6:$B$500,0)+COUNTIF('SAÍDA DE VENDAS'!$B$6:$B$500, B1034)),"")))</f>
        <v/>
      </c>
      <c r="C1035" s="35">
        <f>IFERROR(VLOOKUP(B1035,'SAÍDA DE VENDAS'!$B$6:$P$500,3,FALSE),"")</f>
        <v>0</v>
      </c>
      <c r="D1035" s="34">
        <f>IFERROR(VLOOKUP(B1035,'SAÍDA DE VENDAS'!$B$6:$P$500,4,FALSE),"")</f>
        <v>0</v>
      </c>
      <c r="E1035" s="34" t="str">
        <f>IFERROR(VLOOKUP(B1035,'SAÍDA DE VENDAS'!$B$6:$P$500,5,FALSE),"")</f>
        <v/>
      </c>
      <c r="F1035" s="34" t="str">
        <f>IF(OR(ISBLANK(B1035),B1035=""), "", IFERROR(INDEX('SAÍDA DE VENDAS'!$H$6:$H$500 &amp; "x " &amp; 'SAÍDA DE VENDAS'!$G$6:$G$500, MATCH(B1035, 'SAÍDA DE VENDAS'!$B$6:$B$500, 0)), "")&amp; IF(COUNTIF('SAÍDA DE VENDAS'!$B$6:$B$500, B1035)&gt;1, " + " &amp; IFERROR(INDEX('SAÍDA DE VENDAS'!$H$6:$H$500 &amp; "x " &amp; 'SAÍDA DE VENDAS'!$G$6:$G$500, MATCH(B1035, 'SAÍDA DE VENDAS'!$B$6:$B$500, 0)+1), ""), "")&amp; IF(COUNTIF('SAÍDA DE VENDAS'!$B$6:$B$500, B1035)&gt;2, " + " &amp; IFERROR(INDEX('SAÍDA DE VENDAS'!$H$6:$H$500 &amp; "x " &amp; 'SAÍDA DE VENDAS'!$G$6:$G$500, MATCH(B1035, 'SAÍDA DE VENDAS'!$B$6:$B$500, 0)+2), ""), "")&amp; IF(COUNTIF('SAÍDA DE VENDAS'!$B$6:$B$500, B1035)&gt;3, " + " &amp; IFERROR(INDEX('SAÍDA DE VENDAS'!$H$6:$H$500 &amp; "x " &amp; 'SAÍDA DE VENDAS'!$G$6:$G$500, MATCH(B1035, 'SAÍDA DE VENDAS'!$B$6:$B$500, 0)+3), ""), "")&amp; IF(COUNTIF('SAÍDA DE VENDAS'!$B$6:$B$500, B1035)&gt;4, " + " &amp; IFERROR(INDEX('SAÍDA DE VENDAS'!$H$6:$H$500 &amp; "x " &amp; 'SAÍDA DE VENDAS'!$G$6:$G$500, MATCH(B1035, 'SAÍDA DE VENDAS'!$B$6:$B$500, 0)+4), ""), "")&amp; IF(COUNTIF('SAÍDA DE VENDAS'!$B$6:$B$500, B1035)&gt;5, " + " &amp; IFERROR(INDEX('SAÍDA DE VENDAS'!$H$6:$H$500 &amp; "x " &amp; 'SAÍDA DE VENDAS'!$G$6:$G$500, MATCH(B1035, 'SAÍDA DE VENDAS'!$B$6:$B$500, 0)+5), ""), ""))</f>
        <v/>
      </c>
      <c r="G1035" s="34">
        <f>IFERROR(VLOOKUP(B1035,'SAÍDA DE VENDAS'!$B$6:$P$500,10,FALSE),"")</f>
        <v>0</v>
      </c>
      <c r="H1035" s="34" t="str">
        <f>IF(OR(ISBLANK(B1035),B1035=""), "", IF(B1035=B1034, (VALUE(LEFT(H1034,FIND("/",H1034)-1))+1)&amp;"/"&amp;RIGHT(H1034,LEN(H1034)-FIND("/",H1034)), "1/"&amp;IFERROR(VLOOKUP(B1035,'SAÍDA DE VENDAS'!$B$6:$P$500,13,FALSE),"1")))</f>
        <v/>
      </c>
      <c r="I1035" s="35" t="str">
        <f t="shared" si="32"/>
        <v/>
      </c>
      <c r="J1035" s="39" t="str">
        <f>IFERROR(VLOOKUP(B1035,'SAÍDA DE VENDAS'!$B$6:$P$500,15,FALSE),"")</f>
        <v/>
      </c>
      <c r="K1035" s="34" t="str">
        <f t="shared" ca="1" si="33"/>
        <v/>
      </c>
      <c r="L1035" s="34"/>
      <c r="M1035" s="34"/>
    </row>
    <row r="1036" spans="2:13" ht="15" customHeight="1" x14ac:dyDescent="0.3">
      <c r="B1036" s="28" t="str">
        <f>IF(B1035="","", IF(VALUE(LEFT(H1035,FIND("/",H1035)-1)) &lt; VALUE(RIGHT(H1035,LEN(H1035)-FIND("/",H1035))), B1035, IFERROR(INDEX('SAÍDA DE VENDAS'!$B$6:$B$500, MATCH(B1035,'SAÍDA DE VENDAS'!$B$6:$B$500,0)+COUNTIF('SAÍDA DE VENDAS'!$B$6:$B$500, B1035)),"")))</f>
        <v/>
      </c>
      <c r="C1036" s="29">
        <f>IFERROR(VLOOKUP(B1036,'SAÍDA DE VENDAS'!$B$6:$P$500,3,FALSE),"")</f>
        <v>0</v>
      </c>
      <c r="D1036" s="28">
        <f>IFERROR(VLOOKUP(B1036,'SAÍDA DE VENDAS'!$B$6:$P$500,4,FALSE),"")</f>
        <v>0</v>
      </c>
      <c r="E1036" s="28" t="str">
        <f>IFERROR(VLOOKUP(B1036,'SAÍDA DE VENDAS'!$B$6:$P$500,5,FALSE),"")</f>
        <v/>
      </c>
      <c r="F1036" s="28" t="str">
        <f>IF(OR(ISBLANK(B1036),B1036=""), "", IFERROR(INDEX('SAÍDA DE VENDAS'!$H$6:$H$500 &amp; "x " &amp; 'SAÍDA DE VENDAS'!$G$6:$G$500, MATCH(B1036, 'SAÍDA DE VENDAS'!$B$6:$B$500, 0)), "")&amp; IF(COUNTIF('SAÍDA DE VENDAS'!$B$6:$B$500, B1036)&gt;1, " + " &amp; IFERROR(INDEX('SAÍDA DE VENDAS'!$H$6:$H$500 &amp; "x " &amp; 'SAÍDA DE VENDAS'!$G$6:$G$500, MATCH(B1036, 'SAÍDA DE VENDAS'!$B$6:$B$500, 0)+1), ""), "")&amp; IF(COUNTIF('SAÍDA DE VENDAS'!$B$6:$B$500, B1036)&gt;2, " + " &amp; IFERROR(INDEX('SAÍDA DE VENDAS'!$H$6:$H$500 &amp; "x " &amp; 'SAÍDA DE VENDAS'!$G$6:$G$500, MATCH(B1036, 'SAÍDA DE VENDAS'!$B$6:$B$500, 0)+2), ""), "")&amp; IF(COUNTIF('SAÍDA DE VENDAS'!$B$6:$B$500, B1036)&gt;3, " + " &amp; IFERROR(INDEX('SAÍDA DE VENDAS'!$H$6:$H$500 &amp; "x " &amp; 'SAÍDA DE VENDAS'!$G$6:$G$500, MATCH(B1036, 'SAÍDA DE VENDAS'!$B$6:$B$500, 0)+3), ""), "")&amp; IF(COUNTIF('SAÍDA DE VENDAS'!$B$6:$B$500, B1036)&gt;4, " + " &amp; IFERROR(INDEX('SAÍDA DE VENDAS'!$H$6:$H$500 &amp; "x " &amp; 'SAÍDA DE VENDAS'!$G$6:$G$500, MATCH(B1036, 'SAÍDA DE VENDAS'!$B$6:$B$500, 0)+4), ""), "")&amp; IF(COUNTIF('SAÍDA DE VENDAS'!$B$6:$B$500, B1036)&gt;5, " + " &amp; IFERROR(INDEX('SAÍDA DE VENDAS'!$H$6:$H$500 &amp; "x " &amp; 'SAÍDA DE VENDAS'!$G$6:$G$500, MATCH(B1036, 'SAÍDA DE VENDAS'!$B$6:$B$500, 0)+5), ""), ""))</f>
        <v/>
      </c>
      <c r="G1036" s="28">
        <f>IFERROR(VLOOKUP(B1036,'SAÍDA DE VENDAS'!$B$6:$P$500,10,FALSE),"")</f>
        <v>0</v>
      </c>
      <c r="H1036" s="28" t="str">
        <f>IF(OR(ISBLANK(B1036),B1036=""), "", IF(B1036=B1035, (VALUE(LEFT(H1035,FIND("/",H1035)-1))+1)&amp;"/"&amp;RIGHT(H1035,LEN(H1035)-FIND("/",H1035)), "1/"&amp;IFERROR(VLOOKUP(B1036,'SAÍDA DE VENDAS'!$B$6:$P$500,13,FALSE),"1")))</f>
        <v/>
      </c>
      <c r="I1036" s="69" t="str">
        <f t="shared" si="32"/>
        <v/>
      </c>
      <c r="J1036" s="33" t="str">
        <f>IFERROR(VLOOKUP(B1036,'SAÍDA DE VENDAS'!$B$6:$P$500,15,FALSE),"")</f>
        <v/>
      </c>
      <c r="K1036" s="28" t="str">
        <f t="shared" ca="1" si="33"/>
        <v/>
      </c>
      <c r="L1036" s="28"/>
      <c r="M1036" s="28"/>
    </row>
    <row r="1037" spans="2:13" ht="15" customHeight="1" x14ac:dyDescent="0.3">
      <c r="B1037" s="34" t="str">
        <f>IF(B1036="","", IF(VALUE(LEFT(H1036,FIND("/",H1036)-1)) &lt; VALUE(RIGHT(H1036,LEN(H1036)-FIND("/",H1036))), B1036, IFERROR(INDEX('SAÍDA DE VENDAS'!$B$6:$B$500, MATCH(B1036,'SAÍDA DE VENDAS'!$B$6:$B$500,0)+COUNTIF('SAÍDA DE VENDAS'!$B$6:$B$500, B1036)),"")))</f>
        <v/>
      </c>
      <c r="C1037" s="35">
        <f>IFERROR(VLOOKUP(B1037,'SAÍDA DE VENDAS'!$B$6:$P$500,3,FALSE),"")</f>
        <v>0</v>
      </c>
      <c r="D1037" s="34">
        <f>IFERROR(VLOOKUP(B1037,'SAÍDA DE VENDAS'!$B$6:$P$500,4,FALSE),"")</f>
        <v>0</v>
      </c>
      <c r="E1037" s="34" t="str">
        <f>IFERROR(VLOOKUP(B1037,'SAÍDA DE VENDAS'!$B$6:$P$500,5,FALSE),"")</f>
        <v/>
      </c>
      <c r="F1037" s="34" t="str">
        <f>IF(OR(ISBLANK(B1037),B1037=""), "", IFERROR(INDEX('SAÍDA DE VENDAS'!$H$6:$H$500 &amp; "x " &amp; 'SAÍDA DE VENDAS'!$G$6:$G$500, MATCH(B1037, 'SAÍDA DE VENDAS'!$B$6:$B$500, 0)), "")&amp; IF(COUNTIF('SAÍDA DE VENDAS'!$B$6:$B$500, B1037)&gt;1, " + " &amp; IFERROR(INDEX('SAÍDA DE VENDAS'!$H$6:$H$500 &amp; "x " &amp; 'SAÍDA DE VENDAS'!$G$6:$G$500, MATCH(B1037, 'SAÍDA DE VENDAS'!$B$6:$B$500, 0)+1), ""), "")&amp; IF(COUNTIF('SAÍDA DE VENDAS'!$B$6:$B$500, B1037)&gt;2, " + " &amp; IFERROR(INDEX('SAÍDA DE VENDAS'!$H$6:$H$500 &amp; "x " &amp; 'SAÍDA DE VENDAS'!$G$6:$G$500, MATCH(B1037, 'SAÍDA DE VENDAS'!$B$6:$B$500, 0)+2), ""), "")&amp; IF(COUNTIF('SAÍDA DE VENDAS'!$B$6:$B$500, B1037)&gt;3, " + " &amp; IFERROR(INDEX('SAÍDA DE VENDAS'!$H$6:$H$500 &amp; "x " &amp; 'SAÍDA DE VENDAS'!$G$6:$G$500, MATCH(B1037, 'SAÍDA DE VENDAS'!$B$6:$B$500, 0)+3), ""), "")&amp; IF(COUNTIF('SAÍDA DE VENDAS'!$B$6:$B$500, B1037)&gt;4, " + " &amp; IFERROR(INDEX('SAÍDA DE VENDAS'!$H$6:$H$500 &amp; "x " &amp; 'SAÍDA DE VENDAS'!$G$6:$G$500, MATCH(B1037, 'SAÍDA DE VENDAS'!$B$6:$B$500, 0)+4), ""), "")&amp; IF(COUNTIF('SAÍDA DE VENDAS'!$B$6:$B$500, B1037)&gt;5, " + " &amp; IFERROR(INDEX('SAÍDA DE VENDAS'!$H$6:$H$500 &amp; "x " &amp; 'SAÍDA DE VENDAS'!$G$6:$G$500, MATCH(B1037, 'SAÍDA DE VENDAS'!$B$6:$B$500, 0)+5), ""), ""))</f>
        <v/>
      </c>
      <c r="G1037" s="34">
        <f>IFERROR(VLOOKUP(B1037,'SAÍDA DE VENDAS'!$B$6:$P$500,10,FALSE),"")</f>
        <v>0</v>
      </c>
      <c r="H1037" s="34" t="str">
        <f>IF(OR(ISBLANK(B1037),B1037=""), "", IF(B1037=B1036, (VALUE(LEFT(H1036,FIND("/",H1036)-1))+1)&amp;"/"&amp;RIGHT(H1036,LEN(H1036)-FIND("/",H1036)), "1/"&amp;IFERROR(VLOOKUP(B1037,'SAÍDA DE VENDAS'!$B$6:$P$500,13,FALSE),"1")))</f>
        <v/>
      </c>
      <c r="I1037" s="35" t="str">
        <f t="shared" si="32"/>
        <v/>
      </c>
      <c r="J1037" s="39" t="str">
        <f>IFERROR(VLOOKUP(B1037,'SAÍDA DE VENDAS'!$B$6:$P$500,15,FALSE),"")</f>
        <v/>
      </c>
      <c r="K1037" s="34" t="str">
        <f t="shared" ca="1" si="33"/>
        <v/>
      </c>
      <c r="L1037" s="34"/>
      <c r="M1037" s="34"/>
    </row>
    <row r="1038" spans="2:13" ht="15" customHeight="1" x14ac:dyDescent="0.3">
      <c r="B1038" s="28" t="str">
        <f>IF(B1037="","", IF(VALUE(LEFT(H1037,FIND("/",H1037)-1)) &lt; VALUE(RIGHT(H1037,LEN(H1037)-FIND("/",H1037))), B1037, IFERROR(INDEX('SAÍDA DE VENDAS'!$B$6:$B$500, MATCH(B1037,'SAÍDA DE VENDAS'!$B$6:$B$500,0)+COUNTIF('SAÍDA DE VENDAS'!$B$6:$B$500, B1037)),"")))</f>
        <v/>
      </c>
      <c r="C1038" s="29">
        <f>IFERROR(VLOOKUP(B1038,'SAÍDA DE VENDAS'!$B$6:$P$500,3,FALSE),"")</f>
        <v>0</v>
      </c>
      <c r="D1038" s="28">
        <f>IFERROR(VLOOKUP(B1038,'SAÍDA DE VENDAS'!$B$6:$P$500,4,FALSE),"")</f>
        <v>0</v>
      </c>
      <c r="E1038" s="28" t="str">
        <f>IFERROR(VLOOKUP(B1038,'SAÍDA DE VENDAS'!$B$6:$P$500,5,FALSE),"")</f>
        <v/>
      </c>
      <c r="F1038" s="28" t="str">
        <f>IF(OR(ISBLANK(B1038),B1038=""), "", IFERROR(INDEX('SAÍDA DE VENDAS'!$H$6:$H$500 &amp; "x " &amp; 'SAÍDA DE VENDAS'!$G$6:$G$500, MATCH(B1038, 'SAÍDA DE VENDAS'!$B$6:$B$500, 0)), "")&amp; IF(COUNTIF('SAÍDA DE VENDAS'!$B$6:$B$500, B1038)&gt;1, " + " &amp; IFERROR(INDEX('SAÍDA DE VENDAS'!$H$6:$H$500 &amp; "x " &amp; 'SAÍDA DE VENDAS'!$G$6:$G$500, MATCH(B1038, 'SAÍDA DE VENDAS'!$B$6:$B$500, 0)+1), ""), "")&amp; IF(COUNTIF('SAÍDA DE VENDAS'!$B$6:$B$500, B1038)&gt;2, " + " &amp; IFERROR(INDEX('SAÍDA DE VENDAS'!$H$6:$H$500 &amp; "x " &amp; 'SAÍDA DE VENDAS'!$G$6:$G$500, MATCH(B1038, 'SAÍDA DE VENDAS'!$B$6:$B$500, 0)+2), ""), "")&amp; IF(COUNTIF('SAÍDA DE VENDAS'!$B$6:$B$500, B1038)&gt;3, " + " &amp; IFERROR(INDEX('SAÍDA DE VENDAS'!$H$6:$H$500 &amp; "x " &amp; 'SAÍDA DE VENDAS'!$G$6:$G$500, MATCH(B1038, 'SAÍDA DE VENDAS'!$B$6:$B$500, 0)+3), ""), "")&amp; IF(COUNTIF('SAÍDA DE VENDAS'!$B$6:$B$500, B1038)&gt;4, " + " &amp; IFERROR(INDEX('SAÍDA DE VENDAS'!$H$6:$H$500 &amp; "x " &amp; 'SAÍDA DE VENDAS'!$G$6:$G$500, MATCH(B1038, 'SAÍDA DE VENDAS'!$B$6:$B$500, 0)+4), ""), "")&amp; IF(COUNTIF('SAÍDA DE VENDAS'!$B$6:$B$500, B1038)&gt;5, " + " &amp; IFERROR(INDEX('SAÍDA DE VENDAS'!$H$6:$H$500 &amp; "x " &amp; 'SAÍDA DE VENDAS'!$G$6:$G$500, MATCH(B1038, 'SAÍDA DE VENDAS'!$B$6:$B$500, 0)+5), ""), ""))</f>
        <v/>
      </c>
      <c r="G1038" s="28">
        <f>IFERROR(VLOOKUP(B1038,'SAÍDA DE VENDAS'!$B$6:$P$500,10,FALSE),"")</f>
        <v>0</v>
      </c>
      <c r="H1038" s="28" t="str">
        <f>IF(OR(ISBLANK(B1038),B1038=""), "", IF(B1038=B1037, (VALUE(LEFT(H1037,FIND("/",H1037)-1))+1)&amp;"/"&amp;RIGHT(H1037,LEN(H1037)-FIND("/",H1037)), "1/"&amp;IFERROR(VLOOKUP(B1038,'SAÍDA DE VENDAS'!$B$6:$P$500,13,FALSE),"1")))</f>
        <v/>
      </c>
      <c r="I1038" s="69" t="str">
        <f t="shared" si="32"/>
        <v/>
      </c>
      <c r="J1038" s="33" t="str">
        <f>IFERROR(VLOOKUP(B1038,'SAÍDA DE VENDAS'!$B$6:$P$500,15,FALSE),"")</f>
        <v/>
      </c>
      <c r="K1038" s="28" t="str">
        <f t="shared" ca="1" si="33"/>
        <v/>
      </c>
      <c r="L1038" s="28"/>
      <c r="M1038" s="28"/>
    </row>
    <row r="1039" spans="2:13" ht="15" customHeight="1" x14ac:dyDescent="0.3">
      <c r="B1039" s="34" t="str">
        <f>IF(B1038="","", IF(VALUE(LEFT(H1038,FIND("/",H1038)-1)) &lt; VALUE(RIGHT(H1038,LEN(H1038)-FIND("/",H1038))), B1038, IFERROR(INDEX('SAÍDA DE VENDAS'!$B$6:$B$500, MATCH(B1038,'SAÍDA DE VENDAS'!$B$6:$B$500,0)+COUNTIF('SAÍDA DE VENDAS'!$B$6:$B$500, B1038)),"")))</f>
        <v/>
      </c>
      <c r="C1039" s="35">
        <f>IFERROR(VLOOKUP(B1039,'SAÍDA DE VENDAS'!$B$6:$P$500,3,FALSE),"")</f>
        <v>0</v>
      </c>
      <c r="D1039" s="34">
        <f>IFERROR(VLOOKUP(B1039,'SAÍDA DE VENDAS'!$B$6:$P$500,4,FALSE),"")</f>
        <v>0</v>
      </c>
      <c r="E1039" s="34" t="str">
        <f>IFERROR(VLOOKUP(B1039,'SAÍDA DE VENDAS'!$B$6:$P$500,5,FALSE),"")</f>
        <v/>
      </c>
      <c r="F1039" s="34" t="str">
        <f>IF(OR(ISBLANK(B1039),B1039=""), "", IFERROR(INDEX('SAÍDA DE VENDAS'!$H$6:$H$500 &amp; "x " &amp; 'SAÍDA DE VENDAS'!$G$6:$G$500, MATCH(B1039, 'SAÍDA DE VENDAS'!$B$6:$B$500, 0)), "")&amp; IF(COUNTIF('SAÍDA DE VENDAS'!$B$6:$B$500, B1039)&gt;1, " + " &amp; IFERROR(INDEX('SAÍDA DE VENDAS'!$H$6:$H$500 &amp; "x " &amp; 'SAÍDA DE VENDAS'!$G$6:$G$500, MATCH(B1039, 'SAÍDA DE VENDAS'!$B$6:$B$500, 0)+1), ""), "")&amp; IF(COUNTIF('SAÍDA DE VENDAS'!$B$6:$B$500, B1039)&gt;2, " + " &amp; IFERROR(INDEX('SAÍDA DE VENDAS'!$H$6:$H$500 &amp; "x " &amp; 'SAÍDA DE VENDAS'!$G$6:$G$500, MATCH(B1039, 'SAÍDA DE VENDAS'!$B$6:$B$500, 0)+2), ""), "")&amp; IF(COUNTIF('SAÍDA DE VENDAS'!$B$6:$B$500, B1039)&gt;3, " + " &amp; IFERROR(INDEX('SAÍDA DE VENDAS'!$H$6:$H$500 &amp; "x " &amp; 'SAÍDA DE VENDAS'!$G$6:$G$500, MATCH(B1039, 'SAÍDA DE VENDAS'!$B$6:$B$500, 0)+3), ""), "")&amp; IF(COUNTIF('SAÍDA DE VENDAS'!$B$6:$B$500, B1039)&gt;4, " + " &amp; IFERROR(INDEX('SAÍDA DE VENDAS'!$H$6:$H$500 &amp; "x " &amp; 'SAÍDA DE VENDAS'!$G$6:$G$500, MATCH(B1039, 'SAÍDA DE VENDAS'!$B$6:$B$500, 0)+4), ""), "")&amp; IF(COUNTIF('SAÍDA DE VENDAS'!$B$6:$B$500, B1039)&gt;5, " + " &amp; IFERROR(INDEX('SAÍDA DE VENDAS'!$H$6:$H$500 &amp; "x " &amp; 'SAÍDA DE VENDAS'!$G$6:$G$500, MATCH(B1039, 'SAÍDA DE VENDAS'!$B$6:$B$500, 0)+5), ""), ""))</f>
        <v/>
      </c>
      <c r="G1039" s="34">
        <f>IFERROR(VLOOKUP(B1039,'SAÍDA DE VENDAS'!$B$6:$P$500,10,FALSE),"")</f>
        <v>0</v>
      </c>
      <c r="H1039" s="34" t="str">
        <f>IF(OR(ISBLANK(B1039),B1039=""), "", IF(B1039=B1038, (VALUE(LEFT(H1038,FIND("/",H1038)-1))+1)&amp;"/"&amp;RIGHT(H1038,LEN(H1038)-FIND("/",H1038)), "1/"&amp;IFERROR(VLOOKUP(B1039,'SAÍDA DE VENDAS'!$B$6:$P$500,13,FALSE),"1")))</f>
        <v/>
      </c>
      <c r="I1039" s="35" t="str">
        <f t="shared" si="32"/>
        <v/>
      </c>
      <c r="J1039" s="39" t="str">
        <f>IFERROR(VLOOKUP(B1039,'SAÍDA DE VENDAS'!$B$6:$P$500,15,FALSE),"")</f>
        <v/>
      </c>
      <c r="K1039" s="34" t="str">
        <f t="shared" ca="1" si="33"/>
        <v/>
      </c>
      <c r="L1039" s="34"/>
      <c r="M1039" s="34"/>
    </row>
    <row r="1040" spans="2:13" ht="15" customHeight="1" x14ac:dyDescent="0.3">
      <c r="B1040" s="28" t="str">
        <f>IF(B1039="","", IF(VALUE(LEFT(H1039,FIND("/",H1039)-1)) &lt; VALUE(RIGHT(H1039,LEN(H1039)-FIND("/",H1039))), B1039, IFERROR(INDEX('SAÍDA DE VENDAS'!$B$6:$B$500, MATCH(B1039,'SAÍDA DE VENDAS'!$B$6:$B$500,0)+COUNTIF('SAÍDA DE VENDAS'!$B$6:$B$500, B1039)),"")))</f>
        <v/>
      </c>
      <c r="C1040" s="29">
        <f>IFERROR(VLOOKUP(B1040,'SAÍDA DE VENDAS'!$B$6:$P$500,3,FALSE),"")</f>
        <v>0</v>
      </c>
      <c r="D1040" s="28">
        <f>IFERROR(VLOOKUP(B1040,'SAÍDA DE VENDAS'!$B$6:$P$500,4,FALSE),"")</f>
        <v>0</v>
      </c>
      <c r="E1040" s="28" t="str">
        <f>IFERROR(VLOOKUP(B1040,'SAÍDA DE VENDAS'!$B$6:$P$500,5,FALSE),"")</f>
        <v/>
      </c>
      <c r="F1040" s="28" t="str">
        <f>IF(OR(ISBLANK(B1040),B1040=""), "", IFERROR(INDEX('SAÍDA DE VENDAS'!$H$6:$H$500 &amp; "x " &amp; 'SAÍDA DE VENDAS'!$G$6:$G$500, MATCH(B1040, 'SAÍDA DE VENDAS'!$B$6:$B$500, 0)), "")&amp; IF(COUNTIF('SAÍDA DE VENDAS'!$B$6:$B$500, B1040)&gt;1, " + " &amp; IFERROR(INDEX('SAÍDA DE VENDAS'!$H$6:$H$500 &amp; "x " &amp; 'SAÍDA DE VENDAS'!$G$6:$G$500, MATCH(B1040, 'SAÍDA DE VENDAS'!$B$6:$B$500, 0)+1), ""), "")&amp; IF(COUNTIF('SAÍDA DE VENDAS'!$B$6:$B$500, B1040)&gt;2, " + " &amp; IFERROR(INDEX('SAÍDA DE VENDAS'!$H$6:$H$500 &amp; "x " &amp; 'SAÍDA DE VENDAS'!$G$6:$G$500, MATCH(B1040, 'SAÍDA DE VENDAS'!$B$6:$B$500, 0)+2), ""), "")&amp; IF(COUNTIF('SAÍDA DE VENDAS'!$B$6:$B$500, B1040)&gt;3, " + " &amp; IFERROR(INDEX('SAÍDA DE VENDAS'!$H$6:$H$500 &amp; "x " &amp; 'SAÍDA DE VENDAS'!$G$6:$G$500, MATCH(B1040, 'SAÍDA DE VENDAS'!$B$6:$B$500, 0)+3), ""), "")&amp; IF(COUNTIF('SAÍDA DE VENDAS'!$B$6:$B$500, B1040)&gt;4, " + " &amp; IFERROR(INDEX('SAÍDA DE VENDAS'!$H$6:$H$500 &amp; "x " &amp; 'SAÍDA DE VENDAS'!$G$6:$G$500, MATCH(B1040, 'SAÍDA DE VENDAS'!$B$6:$B$500, 0)+4), ""), "")&amp; IF(COUNTIF('SAÍDA DE VENDAS'!$B$6:$B$500, B1040)&gt;5, " + " &amp; IFERROR(INDEX('SAÍDA DE VENDAS'!$H$6:$H$500 &amp; "x " &amp; 'SAÍDA DE VENDAS'!$G$6:$G$500, MATCH(B1040, 'SAÍDA DE VENDAS'!$B$6:$B$500, 0)+5), ""), ""))</f>
        <v/>
      </c>
      <c r="G1040" s="28">
        <f>IFERROR(VLOOKUP(B1040,'SAÍDA DE VENDAS'!$B$6:$P$500,10,FALSE),"")</f>
        <v>0</v>
      </c>
      <c r="H1040" s="28" t="str">
        <f>IF(OR(ISBLANK(B1040),B1040=""), "", IF(B1040=B1039, (VALUE(LEFT(H1039,FIND("/",H1039)-1))+1)&amp;"/"&amp;RIGHT(H1039,LEN(H1039)-FIND("/",H1039)), "1/"&amp;IFERROR(VLOOKUP(B1040,'SAÍDA DE VENDAS'!$B$6:$P$500,13,FALSE),"1")))</f>
        <v/>
      </c>
      <c r="I1040" s="69" t="str">
        <f t="shared" si="32"/>
        <v/>
      </c>
      <c r="J1040" s="33" t="str">
        <f>IFERROR(VLOOKUP(B1040,'SAÍDA DE VENDAS'!$B$6:$P$500,15,FALSE),"")</f>
        <v/>
      </c>
      <c r="K1040" s="28" t="str">
        <f t="shared" ca="1" si="33"/>
        <v/>
      </c>
      <c r="L1040" s="28"/>
      <c r="M1040" s="28"/>
    </row>
    <row r="1041" spans="2:13" ht="15" customHeight="1" x14ac:dyDescent="0.3">
      <c r="B1041" s="34" t="str">
        <f>IF(B1040="","", IF(VALUE(LEFT(H1040,FIND("/",H1040)-1)) &lt; VALUE(RIGHT(H1040,LEN(H1040)-FIND("/",H1040))), B1040, IFERROR(INDEX('SAÍDA DE VENDAS'!$B$6:$B$500, MATCH(B1040,'SAÍDA DE VENDAS'!$B$6:$B$500,0)+COUNTIF('SAÍDA DE VENDAS'!$B$6:$B$500, B1040)),"")))</f>
        <v/>
      </c>
      <c r="C1041" s="35">
        <f>IFERROR(VLOOKUP(B1041,'SAÍDA DE VENDAS'!$B$6:$P$500,3,FALSE),"")</f>
        <v>0</v>
      </c>
      <c r="D1041" s="34">
        <f>IFERROR(VLOOKUP(B1041,'SAÍDA DE VENDAS'!$B$6:$P$500,4,FALSE),"")</f>
        <v>0</v>
      </c>
      <c r="E1041" s="34" t="str">
        <f>IFERROR(VLOOKUP(B1041,'SAÍDA DE VENDAS'!$B$6:$P$500,5,FALSE),"")</f>
        <v/>
      </c>
      <c r="F1041" s="34" t="str">
        <f>IF(OR(ISBLANK(B1041),B1041=""), "", IFERROR(INDEX('SAÍDA DE VENDAS'!$H$6:$H$500 &amp; "x " &amp; 'SAÍDA DE VENDAS'!$G$6:$G$500, MATCH(B1041, 'SAÍDA DE VENDAS'!$B$6:$B$500, 0)), "")&amp; IF(COUNTIF('SAÍDA DE VENDAS'!$B$6:$B$500, B1041)&gt;1, " + " &amp; IFERROR(INDEX('SAÍDA DE VENDAS'!$H$6:$H$500 &amp; "x " &amp; 'SAÍDA DE VENDAS'!$G$6:$G$500, MATCH(B1041, 'SAÍDA DE VENDAS'!$B$6:$B$500, 0)+1), ""), "")&amp; IF(COUNTIF('SAÍDA DE VENDAS'!$B$6:$B$500, B1041)&gt;2, " + " &amp; IFERROR(INDEX('SAÍDA DE VENDAS'!$H$6:$H$500 &amp; "x " &amp; 'SAÍDA DE VENDAS'!$G$6:$G$500, MATCH(B1041, 'SAÍDA DE VENDAS'!$B$6:$B$500, 0)+2), ""), "")&amp; IF(COUNTIF('SAÍDA DE VENDAS'!$B$6:$B$500, B1041)&gt;3, " + " &amp; IFERROR(INDEX('SAÍDA DE VENDAS'!$H$6:$H$500 &amp; "x " &amp; 'SAÍDA DE VENDAS'!$G$6:$G$500, MATCH(B1041, 'SAÍDA DE VENDAS'!$B$6:$B$500, 0)+3), ""), "")&amp; IF(COUNTIF('SAÍDA DE VENDAS'!$B$6:$B$500, B1041)&gt;4, " + " &amp; IFERROR(INDEX('SAÍDA DE VENDAS'!$H$6:$H$500 &amp; "x " &amp; 'SAÍDA DE VENDAS'!$G$6:$G$500, MATCH(B1041, 'SAÍDA DE VENDAS'!$B$6:$B$500, 0)+4), ""), "")&amp; IF(COUNTIF('SAÍDA DE VENDAS'!$B$6:$B$500, B1041)&gt;5, " + " &amp; IFERROR(INDEX('SAÍDA DE VENDAS'!$H$6:$H$500 &amp; "x " &amp; 'SAÍDA DE VENDAS'!$G$6:$G$500, MATCH(B1041, 'SAÍDA DE VENDAS'!$B$6:$B$500, 0)+5), ""), ""))</f>
        <v/>
      </c>
      <c r="G1041" s="34">
        <f>IFERROR(VLOOKUP(B1041,'SAÍDA DE VENDAS'!$B$6:$P$500,10,FALSE),"")</f>
        <v>0</v>
      </c>
      <c r="H1041" s="34" t="str">
        <f>IF(OR(ISBLANK(B1041),B1041=""), "", IF(B1041=B1040, (VALUE(LEFT(H1040,FIND("/",H1040)-1))+1)&amp;"/"&amp;RIGHT(H1040,LEN(H1040)-FIND("/",H1040)), "1/"&amp;IFERROR(VLOOKUP(B1041,'SAÍDA DE VENDAS'!$B$6:$P$500,13,FALSE),"1")))</f>
        <v/>
      </c>
      <c r="I1041" s="35" t="str">
        <f t="shared" si="32"/>
        <v/>
      </c>
      <c r="J1041" s="39" t="str">
        <f>IFERROR(VLOOKUP(B1041,'SAÍDA DE VENDAS'!$B$6:$P$500,15,FALSE),"")</f>
        <v/>
      </c>
      <c r="K1041" s="34" t="str">
        <f t="shared" ca="1" si="33"/>
        <v/>
      </c>
      <c r="L1041" s="34"/>
      <c r="M1041" s="34"/>
    </row>
    <row r="1042" spans="2:13" ht="15" customHeight="1" x14ac:dyDescent="0.3">
      <c r="B1042" s="28" t="str">
        <f>IF(B1041="","", IF(VALUE(LEFT(H1041,FIND("/",H1041)-1)) &lt; VALUE(RIGHT(H1041,LEN(H1041)-FIND("/",H1041))), B1041, IFERROR(INDEX('SAÍDA DE VENDAS'!$B$6:$B$500, MATCH(B1041,'SAÍDA DE VENDAS'!$B$6:$B$500,0)+COUNTIF('SAÍDA DE VENDAS'!$B$6:$B$500, B1041)),"")))</f>
        <v/>
      </c>
      <c r="C1042" s="29">
        <f>IFERROR(VLOOKUP(B1042,'SAÍDA DE VENDAS'!$B$6:$P$500,3,FALSE),"")</f>
        <v>0</v>
      </c>
      <c r="D1042" s="28">
        <f>IFERROR(VLOOKUP(B1042,'SAÍDA DE VENDAS'!$B$6:$P$500,4,FALSE),"")</f>
        <v>0</v>
      </c>
      <c r="E1042" s="28" t="str">
        <f>IFERROR(VLOOKUP(B1042,'SAÍDA DE VENDAS'!$B$6:$P$500,5,FALSE),"")</f>
        <v/>
      </c>
      <c r="F1042" s="28" t="str">
        <f>IF(OR(ISBLANK(B1042),B1042=""), "", IFERROR(INDEX('SAÍDA DE VENDAS'!$H$6:$H$500 &amp; "x " &amp; 'SAÍDA DE VENDAS'!$G$6:$G$500, MATCH(B1042, 'SAÍDA DE VENDAS'!$B$6:$B$500, 0)), "")&amp; IF(COUNTIF('SAÍDA DE VENDAS'!$B$6:$B$500, B1042)&gt;1, " + " &amp; IFERROR(INDEX('SAÍDA DE VENDAS'!$H$6:$H$500 &amp; "x " &amp; 'SAÍDA DE VENDAS'!$G$6:$G$500, MATCH(B1042, 'SAÍDA DE VENDAS'!$B$6:$B$500, 0)+1), ""), "")&amp; IF(COUNTIF('SAÍDA DE VENDAS'!$B$6:$B$500, B1042)&gt;2, " + " &amp; IFERROR(INDEX('SAÍDA DE VENDAS'!$H$6:$H$500 &amp; "x " &amp; 'SAÍDA DE VENDAS'!$G$6:$G$500, MATCH(B1042, 'SAÍDA DE VENDAS'!$B$6:$B$500, 0)+2), ""), "")&amp; IF(COUNTIF('SAÍDA DE VENDAS'!$B$6:$B$500, B1042)&gt;3, " + " &amp; IFERROR(INDEX('SAÍDA DE VENDAS'!$H$6:$H$500 &amp; "x " &amp; 'SAÍDA DE VENDAS'!$G$6:$G$500, MATCH(B1042, 'SAÍDA DE VENDAS'!$B$6:$B$500, 0)+3), ""), "")&amp; IF(COUNTIF('SAÍDA DE VENDAS'!$B$6:$B$500, B1042)&gt;4, " + " &amp; IFERROR(INDEX('SAÍDA DE VENDAS'!$H$6:$H$500 &amp; "x " &amp; 'SAÍDA DE VENDAS'!$G$6:$G$500, MATCH(B1042, 'SAÍDA DE VENDAS'!$B$6:$B$500, 0)+4), ""), "")&amp; IF(COUNTIF('SAÍDA DE VENDAS'!$B$6:$B$500, B1042)&gt;5, " + " &amp; IFERROR(INDEX('SAÍDA DE VENDAS'!$H$6:$H$500 &amp; "x " &amp; 'SAÍDA DE VENDAS'!$G$6:$G$500, MATCH(B1042, 'SAÍDA DE VENDAS'!$B$6:$B$500, 0)+5), ""), ""))</f>
        <v/>
      </c>
      <c r="G1042" s="28">
        <f>IFERROR(VLOOKUP(B1042,'SAÍDA DE VENDAS'!$B$6:$P$500,10,FALSE),"")</f>
        <v>0</v>
      </c>
      <c r="H1042" s="28" t="str">
        <f>IF(OR(ISBLANK(B1042),B1042=""), "", IF(B1042=B1041, (VALUE(LEFT(H1041,FIND("/",H1041)-1))+1)&amp;"/"&amp;RIGHT(H1041,LEN(H1041)-FIND("/",H1041)), "1/"&amp;IFERROR(VLOOKUP(B1042,'SAÍDA DE VENDAS'!$B$6:$P$500,13,FALSE),"1")))</f>
        <v/>
      </c>
      <c r="I1042" s="69" t="str">
        <f t="shared" si="32"/>
        <v/>
      </c>
      <c r="J1042" s="33" t="str">
        <f>IFERROR(VLOOKUP(B1042,'SAÍDA DE VENDAS'!$B$6:$P$500,15,FALSE),"")</f>
        <v/>
      </c>
      <c r="K1042" s="28" t="str">
        <f t="shared" ca="1" si="33"/>
        <v/>
      </c>
      <c r="L1042" s="28"/>
      <c r="M1042" s="28"/>
    </row>
    <row r="1043" spans="2:13" ht="15" customHeight="1" x14ac:dyDescent="0.3">
      <c r="B1043" s="34" t="str">
        <f>IF(B1042="","", IF(VALUE(LEFT(H1042,FIND("/",H1042)-1)) &lt; VALUE(RIGHT(H1042,LEN(H1042)-FIND("/",H1042))), B1042, IFERROR(INDEX('SAÍDA DE VENDAS'!$B$6:$B$500, MATCH(B1042,'SAÍDA DE VENDAS'!$B$6:$B$500,0)+COUNTIF('SAÍDA DE VENDAS'!$B$6:$B$500, B1042)),"")))</f>
        <v/>
      </c>
      <c r="C1043" s="35">
        <f>IFERROR(VLOOKUP(B1043,'SAÍDA DE VENDAS'!$B$6:$P$500,3,FALSE),"")</f>
        <v>0</v>
      </c>
      <c r="D1043" s="34">
        <f>IFERROR(VLOOKUP(B1043,'SAÍDA DE VENDAS'!$B$6:$P$500,4,FALSE),"")</f>
        <v>0</v>
      </c>
      <c r="E1043" s="34" t="str">
        <f>IFERROR(VLOOKUP(B1043,'SAÍDA DE VENDAS'!$B$6:$P$500,5,FALSE),"")</f>
        <v/>
      </c>
      <c r="F1043" s="34" t="str">
        <f>IF(OR(ISBLANK(B1043),B1043=""), "", IFERROR(INDEX('SAÍDA DE VENDAS'!$H$6:$H$500 &amp; "x " &amp; 'SAÍDA DE VENDAS'!$G$6:$G$500, MATCH(B1043, 'SAÍDA DE VENDAS'!$B$6:$B$500, 0)), "")&amp; IF(COUNTIF('SAÍDA DE VENDAS'!$B$6:$B$500, B1043)&gt;1, " + " &amp; IFERROR(INDEX('SAÍDA DE VENDAS'!$H$6:$H$500 &amp; "x " &amp; 'SAÍDA DE VENDAS'!$G$6:$G$500, MATCH(B1043, 'SAÍDA DE VENDAS'!$B$6:$B$500, 0)+1), ""), "")&amp; IF(COUNTIF('SAÍDA DE VENDAS'!$B$6:$B$500, B1043)&gt;2, " + " &amp; IFERROR(INDEX('SAÍDA DE VENDAS'!$H$6:$H$500 &amp; "x " &amp; 'SAÍDA DE VENDAS'!$G$6:$G$500, MATCH(B1043, 'SAÍDA DE VENDAS'!$B$6:$B$500, 0)+2), ""), "")&amp; IF(COUNTIF('SAÍDA DE VENDAS'!$B$6:$B$500, B1043)&gt;3, " + " &amp; IFERROR(INDEX('SAÍDA DE VENDAS'!$H$6:$H$500 &amp; "x " &amp; 'SAÍDA DE VENDAS'!$G$6:$G$500, MATCH(B1043, 'SAÍDA DE VENDAS'!$B$6:$B$500, 0)+3), ""), "")&amp; IF(COUNTIF('SAÍDA DE VENDAS'!$B$6:$B$500, B1043)&gt;4, " + " &amp; IFERROR(INDEX('SAÍDA DE VENDAS'!$H$6:$H$500 &amp; "x " &amp; 'SAÍDA DE VENDAS'!$G$6:$G$500, MATCH(B1043, 'SAÍDA DE VENDAS'!$B$6:$B$500, 0)+4), ""), "")&amp; IF(COUNTIF('SAÍDA DE VENDAS'!$B$6:$B$500, B1043)&gt;5, " + " &amp; IFERROR(INDEX('SAÍDA DE VENDAS'!$H$6:$H$500 &amp; "x " &amp; 'SAÍDA DE VENDAS'!$G$6:$G$500, MATCH(B1043, 'SAÍDA DE VENDAS'!$B$6:$B$500, 0)+5), ""), ""))</f>
        <v/>
      </c>
      <c r="G1043" s="34">
        <f>IFERROR(VLOOKUP(B1043,'SAÍDA DE VENDAS'!$B$6:$P$500,10,FALSE),"")</f>
        <v>0</v>
      </c>
      <c r="H1043" s="34" t="str">
        <f>IF(OR(ISBLANK(B1043),B1043=""), "", IF(B1043=B1042, (VALUE(LEFT(H1042,FIND("/",H1042)-1))+1)&amp;"/"&amp;RIGHT(H1042,LEN(H1042)-FIND("/",H1042)), "1/"&amp;IFERROR(VLOOKUP(B1043,'SAÍDA DE VENDAS'!$B$6:$P$500,13,FALSE),"1")))</f>
        <v/>
      </c>
      <c r="I1043" s="35" t="str">
        <f t="shared" si="32"/>
        <v/>
      </c>
      <c r="J1043" s="39" t="str">
        <f>IFERROR(VLOOKUP(B1043,'SAÍDA DE VENDAS'!$B$6:$P$500,15,FALSE),"")</f>
        <v/>
      </c>
      <c r="K1043" s="34" t="str">
        <f t="shared" ca="1" si="33"/>
        <v/>
      </c>
      <c r="L1043" s="34"/>
      <c r="M1043" s="34"/>
    </row>
    <row r="1044" spans="2:13" ht="15" customHeight="1" x14ac:dyDescent="0.3">
      <c r="B1044" s="28" t="str">
        <f>IF(B1043="","", IF(VALUE(LEFT(H1043,FIND("/",H1043)-1)) &lt; VALUE(RIGHT(H1043,LEN(H1043)-FIND("/",H1043))), B1043, IFERROR(INDEX('SAÍDA DE VENDAS'!$B$6:$B$500, MATCH(B1043,'SAÍDA DE VENDAS'!$B$6:$B$500,0)+COUNTIF('SAÍDA DE VENDAS'!$B$6:$B$500, B1043)),"")))</f>
        <v/>
      </c>
      <c r="C1044" s="29">
        <f>IFERROR(VLOOKUP(B1044,'SAÍDA DE VENDAS'!$B$6:$P$500,3,FALSE),"")</f>
        <v>0</v>
      </c>
      <c r="D1044" s="28">
        <f>IFERROR(VLOOKUP(B1044,'SAÍDA DE VENDAS'!$B$6:$P$500,4,FALSE),"")</f>
        <v>0</v>
      </c>
      <c r="E1044" s="28" t="str">
        <f>IFERROR(VLOOKUP(B1044,'SAÍDA DE VENDAS'!$B$6:$P$500,5,FALSE),"")</f>
        <v/>
      </c>
      <c r="F1044" s="28" t="str">
        <f>IF(OR(ISBLANK(B1044),B1044=""), "", IFERROR(INDEX('SAÍDA DE VENDAS'!$H$6:$H$500 &amp; "x " &amp; 'SAÍDA DE VENDAS'!$G$6:$G$500, MATCH(B1044, 'SAÍDA DE VENDAS'!$B$6:$B$500, 0)), "")&amp; IF(COUNTIF('SAÍDA DE VENDAS'!$B$6:$B$500, B1044)&gt;1, " + " &amp; IFERROR(INDEX('SAÍDA DE VENDAS'!$H$6:$H$500 &amp; "x " &amp; 'SAÍDA DE VENDAS'!$G$6:$G$500, MATCH(B1044, 'SAÍDA DE VENDAS'!$B$6:$B$500, 0)+1), ""), "")&amp; IF(COUNTIF('SAÍDA DE VENDAS'!$B$6:$B$500, B1044)&gt;2, " + " &amp; IFERROR(INDEX('SAÍDA DE VENDAS'!$H$6:$H$500 &amp; "x " &amp; 'SAÍDA DE VENDAS'!$G$6:$G$500, MATCH(B1044, 'SAÍDA DE VENDAS'!$B$6:$B$500, 0)+2), ""), "")&amp; IF(COUNTIF('SAÍDA DE VENDAS'!$B$6:$B$500, B1044)&gt;3, " + " &amp; IFERROR(INDEX('SAÍDA DE VENDAS'!$H$6:$H$500 &amp; "x " &amp; 'SAÍDA DE VENDAS'!$G$6:$G$500, MATCH(B1044, 'SAÍDA DE VENDAS'!$B$6:$B$500, 0)+3), ""), "")&amp; IF(COUNTIF('SAÍDA DE VENDAS'!$B$6:$B$500, B1044)&gt;4, " + " &amp; IFERROR(INDEX('SAÍDA DE VENDAS'!$H$6:$H$500 &amp; "x " &amp; 'SAÍDA DE VENDAS'!$G$6:$G$500, MATCH(B1044, 'SAÍDA DE VENDAS'!$B$6:$B$500, 0)+4), ""), "")&amp; IF(COUNTIF('SAÍDA DE VENDAS'!$B$6:$B$500, B1044)&gt;5, " + " &amp; IFERROR(INDEX('SAÍDA DE VENDAS'!$H$6:$H$500 &amp; "x " &amp; 'SAÍDA DE VENDAS'!$G$6:$G$500, MATCH(B1044, 'SAÍDA DE VENDAS'!$B$6:$B$500, 0)+5), ""), ""))</f>
        <v/>
      </c>
      <c r="G1044" s="28">
        <f>IFERROR(VLOOKUP(B1044,'SAÍDA DE VENDAS'!$B$6:$P$500,10,FALSE),"")</f>
        <v>0</v>
      </c>
      <c r="H1044" s="28" t="str">
        <f>IF(OR(ISBLANK(B1044),B1044=""), "", IF(B1044=B1043, (VALUE(LEFT(H1043,FIND("/",H1043)-1))+1)&amp;"/"&amp;RIGHT(H1043,LEN(H1043)-FIND("/",H1043)), "1/"&amp;IFERROR(VLOOKUP(B1044,'SAÍDA DE VENDAS'!$B$6:$P$500,13,FALSE),"1")))</f>
        <v/>
      </c>
      <c r="I1044" s="69" t="str">
        <f t="shared" si="32"/>
        <v/>
      </c>
      <c r="J1044" s="33" t="str">
        <f>IFERROR(VLOOKUP(B1044,'SAÍDA DE VENDAS'!$B$6:$P$500,15,FALSE),"")</f>
        <v/>
      </c>
      <c r="K1044" s="28" t="str">
        <f t="shared" ca="1" si="33"/>
        <v/>
      </c>
      <c r="L1044" s="28"/>
      <c r="M1044" s="28"/>
    </row>
    <row r="1045" spans="2:13" ht="15" customHeight="1" x14ac:dyDescent="0.3">
      <c r="B1045" s="34" t="str">
        <f>IF(B1044="","", IF(VALUE(LEFT(H1044,FIND("/",H1044)-1)) &lt; VALUE(RIGHT(H1044,LEN(H1044)-FIND("/",H1044))), B1044, IFERROR(INDEX('SAÍDA DE VENDAS'!$B$6:$B$500, MATCH(B1044,'SAÍDA DE VENDAS'!$B$6:$B$500,0)+COUNTIF('SAÍDA DE VENDAS'!$B$6:$B$500, B1044)),"")))</f>
        <v/>
      </c>
      <c r="C1045" s="35">
        <f>IFERROR(VLOOKUP(B1045,'SAÍDA DE VENDAS'!$B$6:$P$500,3,FALSE),"")</f>
        <v>0</v>
      </c>
      <c r="D1045" s="34">
        <f>IFERROR(VLOOKUP(B1045,'SAÍDA DE VENDAS'!$B$6:$P$500,4,FALSE),"")</f>
        <v>0</v>
      </c>
      <c r="E1045" s="34" t="str">
        <f>IFERROR(VLOOKUP(B1045,'SAÍDA DE VENDAS'!$B$6:$P$500,5,FALSE),"")</f>
        <v/>
      </c>
      <c r="F1045" s="34" t="str">
        <f>IF(OR(ISBLANK(B1045),B1045=""), "", IFERROR(INDEX('SAÍDA DE VENDAS'!$H$6:$H$500 &amp; "x " &amp; 'SAÍDA DE VENDAS'!$G$6:$G$500, MATCH(B1045, 'SAÍDA DE VENDAS'!$B$6:$B$500, 0)), "")&amp; IF(COUNTIF('SAÍDA DE VENDAS'!$B$6:$B$500, B1045)&gt;1, " + " &amp; IFERROR(INDEX('SAÍDA DE VENDAS'!$H$6:$H$500 &amp; "x " &amp; 'SAÍDA DE VENDAS'!$G$6:$G$500, MATCH(B1045, 'SAÍDA DE VENDAS'!$B$6:$B$500, 0)+1), ""), "")&amp; IF(COUNTIF('SAÍDA DE VENDAS'!$B$6:$B$500, B1045)&gt;2, " + " &amp; IFERROR(INDEX('SAÍDA DE VENDAS'!$H$6:$H$500 &amp; "x " &amp; 'SAÍDA DE VENDAS'!$G$6:$G$500, MATCH(B1045, 'SAÍDA DE VENDAS'!$B$6:$B$500, 0)+2), ""), "")&amp; IF(COUNTIF('SAÍDA DE VENDAS'!$B$6:$B$500, B1045)&gt;3, " + " &amp; IFERROR(INDEX('SAÍDA DE VENDAS'!$H$6:$H$500 &amp; "x " &amp; 'SAÍDA DE VENDAS'!$G$6:$G$500, MATCH(B1045, 'SAÍDA DE VENDAS'!$B$6:$B$500, 0)+3), ""), "")&amp; IF(COUNTIF('SAÍDA DE VENDAS'!$B$6:$B$500, B1045)&gt;4, " + " &amp; IFERROR(INDEX('SAÍDA DE VENDAS'!$H$6:$H$500 &amp; "x " &amp; 'SAÍDA DE VENDAS'!$G$6:$G$500, MATCH(B1045, 'SAÍDA DE VENDAS'!$B$6:$B$500, 0)+4), ""), "")&amp; IF(COUNTIF('SAÍDA DE VENDAS'!$B$6:$B$500, B1045)&gt;5, " + " &amp; IFERROR(INDEX('SAÍDA DE VENDAS'!$H$6:$H$500 &amp; "x " &amp; 'SAÍDA DE VENDAS'!$G$6:$G$500, MATCH(B1045, 'SAÍDA DE VENDAS'!$B$6:$B$500, 0)+5), ""), ""))</f>
        <v/>
      </c>
      <c r="G1045" s="34">
        <f>IFERROR(VLOOKUP(B1045,'SAÍDA DE VENDAS'!$B$6:$P$500,10,FALSE),"")</f>
        <v>0</v>
      </c>
      <c r="H1045" s="34" t="str">
        <f>IF(OR(ISBLANK(B1045),B1045=""), "", IF(B1045=B1044, (VALUE(LEFT(H1044,FIND("/",H1044)-1))+1)&amp;"/"&amp;RIGHT(H1044,LEN(H1044)-FIND("/",H1044)), "1/"&amp;IFERROR(VLOOKUP(B1045,'SAÍDA DE VENDAS'!$B$6:$P$500,13,FALSE),"1")))</f>
        <v/>
      </c>
      <c r="I1045" s="35" t="str">
        <f t="shared" si="32"/>
        <v/>
      </c>
      <c r="J1045" s="39" t="str">
        <f>IFERROR(VLOOKUP(B1045,'SAÍDA DE VENDAS'!$B$6:$P$500,15,FALSE),"")</f>
        <v/>
      </c>
      <c r="K1045" s="34" t="str">
        <f t="shared" ca="1" si="33"/>
        <v/>
      </c>
      <c r="L1045" s="34"/>
      <c r="M1045" s="34"/>
    </row>
    <row r="1046" spans="2:13" ht="15" customHeight="1" x14ac:dyDescent="0.3">
      <c r="B1046" s="28" t="str">
        <f>IF(B1045="","", IF(VALUE(LEFT(H1045,FIND("/",H1045)-1)) &lt; VALUE(RIGHT(H1045,LEN(H1045)-FIND("/",H1045))), B1045, IFERROR(INDEX('SAÍDA DE VENDAS'!$B$6:$B$500, MATCH(B1045,'SAÍDA DE VENDAS'!$B$6:$B$500,0)+COUNTIF('SAÍDA DE VENDAS'!$B$6:$B$500, B1045)),"")))</f>
        <v/>
      </c>
      <c r="C1046" s="29">
        <f>IFERROR(VLOOKUP(B1046,'SAÍDA DE VENDAS'!$B$6:$P$500,3,FALSE),"")</f>
        <v>0</v>
      </c>
      <c r="D1046" s="28">
        <f>IFERROR(VLOOKUP(B1046,'SAÍDA DE VENDAS'!$B$6:$P$500,4,FALSE),"")</f>
        <v>0</v>
      </c>
      <c r="E1046" s="28" t="str">
        <f>IFERROR(VLOOKUP(B1046,'SAÍDA DE VENDAS'!$B$6:$P$500,5,FALSE),"")</f>
        <v/>
      </c>
      <c r="F1046" s="28" t="str">
        <f>IF(OR(ISBLANK(B1046),B1046=""), "", IFERROR(INDEX('SAÍDA DE VENDAS'!$H$6:$H$500 &amp; "x " &amp; 'SAÍDA DE VENDAS'!$G$6:$G$500, MATCH(B1046, 'SAÍDA DE VENDAS'!$B$6:$B$500, 0)), "")&amp; IF(COUNTIF('SAÍDA DE VENDAS'!$B$6:$B$500, B1046)&gt;1, " + " &amp; IFERROR(INDEX('SAÍDA DE VENDAS'!$H$6:$H$500 &amp; "x " &amp; 'SAÍDA DE VENDAS'!$G$6:$G$500, MATCH(B1046, 'SAÍDA DE VENDAS'!$B$6:$B$500, 0)+1), ""), "")&amp; IF(COUNTIF('SAÍDA DE VENDAS'!$B$6:$B$500, B1046)&gt;2, " + " &amp; IFERROR(INDEX('SAÍDA DE VENDAS'!$H$6:$H$500 &amp; "x " &amp; 'SAÍDA DE VENDAS'!$G$6:$G$500, MATCH(B1046, 'SAÍDA DE VENDAS'!$B$6:$B$500, 0)+2), ""), "")&amp; IF(COUNTIF('SAÍDA DE VENDAS'!$B$6:$B$500, B1046)&gt;3, " + " &amp; IFERROR(INDEX('SAÍDA DE VENDAS'!$H$6:$H$500 &amp; "x " &amp; 'SAÍDA DE VENDAS'!$G$6:$G$500, MATCH(B1046, 'SAÍDA DE VENDAS'!$B$6:$B$500, 0)+3), ""), "")&amp; IF(COUNTIF('SAÍDA DE VENDAS'!$B$6:$B$500, B1046)&gt;4, " + " &amp; IFERROR(INDEX('SAÍDA DE VENDAS'!$H$6:$H$500 &amp; "x " &amp; 'SAÍDA DE VENDAS'!$G$6:$G$500, MATCH(B1046, 'SAÍDA DE VENDAS'!$B$6:$B$500, 0)+4), ""), "")&amp; IF(COUNTIF('SAÍDA DE VENDAS'!$B$6:$B$500, B1046)&gt;5, " + " &amp; IFERROR(INDEX('SAÍDA DE VENDAS'!$H$6:$H$500 &amp; "x " &amp; 'SAÍDA DE VENDAS'!$G$6:$G$500, MATCH(B1046, 'SAÍDA DE VENDAS'!$B$6:$B$500, 0)+5), ""), ""))</f>
        <v/>
      </c>
      <c r="G1046" s="28">
        <f>IFERROR(VLOOKUP(B1046,'SAÍDA DE VENDAS'!$B$6:$P$500,10,FALSE),"")</f>
        <v>0</v>
      </c>
      <c r="H1046" s="28" t="str">
        <f>IF(OR(ISBLANK(B1046),B1046=""), "", IF(B1046=B1045, (VALUE(LEFT(H1045,FIND("/",H1045)-1))+1)&amp;"/"&amp;RIGHT(H1045,LEN(H1045)-FIND("/",H1045)), "1/"&amp;IFERROR(VLOOKUP(B1046,'SAÍDA DE VENDAS'!$B$6:$P$500,13,FALSE),"1")))</f>
        <v/>
      </c>
      <c r="I1046" s="69" t="str">
        <f t="shared" si="32"/>
        <v/>
      </c>
      <c r="J1046" s="33" t="str">
        <f>IFERROR(VLOOKUP(B1046,'SAÍDA DE VENDAS'!$B$6:$P$500,15,FALSE),"")</f>
        <v/>
      </c>
      <c r="K1046" s="28" t="str">
        <f t="shared" ca="1" si="33"/>
        <v/>
      </c>
      <c r="L1046" s="28"/>
      <c r="M1046" s="28"/>
    </row>
    <row r="1047" spans="2:13" ht="15" customHeight="1" x14ac:dyDescent="0.3">
      <c r="B1047" s="34" t="str">
        <f>IF(B1046="","", IF(VALUE(LEFT(H1046,FIND("/",H1046)-1)) &lt; VALUE(RIGHT(H1046,LEN(H1046)-FIND("/",H1046))), B1046, IFERROR(INDEX('SAÍDA DE VENDAS'!$B$6:$B$500, MATCH(B1046,'SAÍDA DE VENDAS'!$B$6:$B$500,0)+COUNTIF('SAÍDA DE VENDAS'!$B$6:$B$500, B1046)),"")))</f>
        <v/>
      </c>
      <c r="C1047" s="35">
        <f>IFERROR(VLOOKUP(B1047,'SAÍDA DE VENDAS'!$B$6:$P$500,3,FALSE),"")</f>
        <v>0</v>
      </c>
      <c r="D1047" s="34">
        <f>IFERROR(VLOOKUP(B1047,'SAÍDA DE VENDAS'!$B$6:$P$500,4,FALSE),"")</f>
        <v>0</v>
      </c>
      <c r="E1047" s="34" t="str">
        <f>IFERROR(VLOOKUP(B1047,'SAÍDA DE VENDAS'!$B$6:$P$500,5,FALSE),"")</f>
        <v/>
      </c>
      <c r="F1047" s="34" t="str">
        <f>IF(OR(ISBLANK(B1047),B1047=""), "", IFERROR(INDEX('SAÍDA DE VENDAS'!$H$6:$H$500 &amp; "x " &amp; 'SAÍDA DE VENDAS'!$G$6:$G$500, MATCH(B1047, 'SAÍDA DE VENDAS'!$B$6:$B$500, 0)), "")&amp; IF(COUNTIF('SAÍDA DE VENDAS'!$B$6:$B$500, B1047)&gt;1, " + " &amp; IFERROR(INDEX('SAÍDA DE VENDAS'!$H$6:$H$500 &amp; "x " &amp; 'SAÍDA DE VENDAS'!$G$6:$G$500, MATCH(B1047, 'SAÍDA DE VENDAS'!$B$6:$B$500, 0)+1), ""), "")&amp; IF(COUNTIF('SAÍDA DE VENDAS'!$B$6:$B$500, B1047)&gt;2, " + " &amp; IFERROR(INDEX('SAÍDA DE VENDAS'!$H$6:$H$500 &amp; "x " &amp; 'SAÍDA DE VENDAS'!$G$6:$G$500, MATCH(B1047, 'SAÍDA DE VENDAS'!$B$6:$B$500, 0)+2), ""), "")&amp; IF(COUNTIF('SAÍDA DE VENDAS'!$B$6:$B$500, B1047)&gt;3, " + " &amp; IFERROR(INDEX('SAÍDA DE VENDAS'!$H$6:$H$500 &amp; "x " &amp; 'SAÍDA DE VENDAS'!$G$6:$G$500, MATCH(B1047, 'SAÍDA DE VENDAS'!$B$6:$B$500, 0)+3), ""), "")&amp; IF(COUNTIF('SAÍDA DE VENDAS'!$B$6:$B$500, B1047)&gt;4, " + " &amp; IFERROR(INDEX('SAÍDA DE VENDAS'!$H$6:$H$500 &amp; "x " &amp; 'SAÍDA DE VENDAS'!$G$6:$G$500, MATCH(B1047, 'SAÍDA DE VENDAS'!$B$6:$B$500, 0)+4), ""), "")&amp; IF(COUNTIF('SAÍDA DE VENDAS'!$B$6:$B$500, B1047)&gt;5, " + " &amp; IFERROR(INDEX('SAÍDA DE VENDAS'!$H$6:$H$500 &amp; "x " &amp; 'SAÍDA DE VENDAS'!$G$6:$G$500, MATCH(B1047, 'SAÍDA DE VENDAS'!$B$6:$B$500, 0)+5), ""), ""))</f>
        <v/>
      </c>
      <c r="G1047" s="34">
        <f>IFERROR(VLOOKUP(B1047,'SAÍDA DE VENDAS'!$B$6:$P$500,10,FALSE),"")</f>
        <v>0</v>
      </c>
      <c r="H1047" s="34" t="str">
        <f>IF(OR(ISBLANK(B1047),B1047=""), "", IF(B1047=B1046, (VALUE(LEFT(H1046,FIND("/",H1046)-1))+1)&amp;"/"&amp;RIGHT(H1046,LEN(H1046)-FIND("/",H1046)), "1/"&amp;IFERROR(VLOOKUP(B1047,'SAÍDA DE VENDAS'!$B$6:$P$500,13,FALSE),"1")))</f>
        <v/>
      </c>
      <c r="I1047" s="35" t="str">
        <f t="shared" si="32"/>
        <v/>
      </c>
      <c r="J1047" s="39" t="str">
        <f>IFERROR(VLOOKUP(B1047,'SAÍDA DE VENDAS'!$B$6:$P$500,15,FALSE),"")</f>
        <v/>
      </c>
      <c r="K1047" s="34" t="str">
        <f t="shared" ca="1" si="33"/>
        <v/>
      </c>
      <c r="L1047" s="34"/>
      <c r="M1047" s="34"/>
    </row>
    <row r="1048" spans="2:13" ht="15" customHeight="1" x14ac:dyDescent="0.3">
      <c r="B1048" s="28" t="str">
        <f>IF(B1047="","", IF(VALUE(LEFT(H1047,FIND("/",H1047)-1)) &lt; VALUE(RIGHT(H1047,LEN(H1047)-FIND("/",H1047))), B1047, IFERROR(INDEX('SAÍDA DE VENDAS'!$B$6:$B$500, MATCH(B1047,'SAÍDA DE VENDAS'!$B$6:$B$500,0)+COUNTIF('SAÍDA DE VENDAS'!$B$6:$B$500, B1047)),"")))</f>
        <v/>
      </c>
      <c r="C1048" s="29">
        <f>IFERROR(VLOOKUP(B1048,'SAÍDA DE VENDAS'!$B$6:$P$500,3,FALSE),"")</f>
        <v>0</v>
      </c>
      <c r="D1048" s="28">
        <f>IFERROR(VLOOKUP(B1048,'SAÍDA DE VENDAS'!$B$6:$P$500,4,FALSE),"")</f>
        <v>0</v>
      </c>
      <c r="E1048" s="28" t="str">
        <f>IFERROR(VLOOKUP(B1048,'SAÍDA DE VENDAS'!$B$6:$P$500,5,FALSE),"")</f>
        <v/>
      </c>
      <c r="F1048" s="28" t="str">
        <f>IF(OR(ISBLANK(B1048),B1048=""), "", IFERROR(INDEX('SAÍDA DE VENDAS'!$H$6:$H$500 &amp; "x " &amp; 'SAÍDA DE VENDAS'!$G$6:$G$500, MATCH(B1048, 'SAÍDA DE VENDAS'!$B$6:$B$500, 0)), "")&amp; IF(COUNTIF('SAÍDA DE VENDAS'!$B$6:$B$500, B1048)&gt;1, " + " &amp; IFERROR(INDEX('SAÍDA DE VENDAS'!$H$6:$H$500 &amp; "x " &amp; 'SAÍDA DE VENDAS'!$G$6:$G$500, MATCH(B1048, 'SAÍDA DE VENDAS'!$B$6:$B$500, 0)+1), ""), "")&amp; IF(COUNTIF('SAÍDA DE VENDAS'!$B$6:$B$500, B1048)&gt;2, " + " &amp; IFERROR(INDEX('SAÍDA DE VENDAS'!$H$6:$H$500 &amp; "x " &amp; 'SAÍDA DE VENDAS'!$G$6:$G$500, MATCH(B1048, 'SAÍDA DE VENDAS'!$B$6:$B$500, 0)+2), ""), "")&amp; IF(COUNTIF('SAÍDA DE VENDAS'!$B$6:$B$500, B1048)&gt;3, " + " &amp; IFERROR(INDEX('SAÍDA DE VENDAS'!$H$6:$H$500 &amp; "x " &amp; 'SAÍDA DE VENDAS'!$G$6:$G$500, MATCH(B1048, 'SAÍDA DE VENDAS'!$B$6:$B$500, 0)+3), ""), "")&amp; IF(COUNTIF('SAÍDA DE VENDAS'!$B$6:$B$500, B1048)&gt;4, " + " &amp; IFERROR(INDEX('SAÍDA DE VENDAS'!$H$6:$H$500 &amp; "x " &amp; 'SAÍDA DE VENDAS'!$G$6:$G$500, MATCH(B1048, 'SAÍDA DE VENDAS'!$B$6:$B$500, 0)+4), ""), "")&amp; IF(COUNTIF('SAÍDA DE VENDAS'!$B$6:$B$500, B1048)&gt;5, " + " &amp; IFERROR(INDEX('SAÍDA DE VENDAS'!$H$6:$H$500 &amp; "x " &amp; 'SAÍDA DE VENDAS'!$G$6:$G$500, MATCH(B1048, 'SAÍDA DE VENDAS'!$B$6:$B$500, 0)+5), ""), ""))</f>
        <v/>
      </c>
      <c r="G1048" s="28">
        <f>IFERROR(VLOOKUP(B1048,'SAÍDA DE VENDAS'!$B$6:$P$500,10,FALSE),"")</f>
        <v>0</v>
      </c>
      <c r="H1048" s="28" t="str">
        <f>IF(OR(ISBLANK(B1048),B1048=""), "", IF(B1048=B1047, (VALUE(LEFT(H1047,FIND("/",H1047)-1))+1)&amp;"/"&amp;RIGHT(H1047,LEN(H1047)-FIND("/",H1047)), "1/"&amp;IFERROR(VLOOKUP(B1048,'SAÍDA DE VENDAS'!$B$6:$P$500,13,FALSE),"1")))</f>
        <v/>
      </c>
      <c r="I1048" s="69" t="str">
        <f t="shared" si="32"/>
        <v/>
      </c>
      <c r="J1048" s="33" t="str">
        <f>IFERROR(VLOOKUP(B1048,'SAÍDA DE VENDAS'!$B$6:$P$500,15,FALSE),"")</f>
        <v/>
      </c>
      <c r="K1048" s="28" t="str">
        <f t="shared" ca="1" si="33"/>
        <v/>
      </c>
      <c r="L1048" s="28"/>
      <c r="M1048" s="28"/>
    </row>
    <row r="1049" spans="2:13" ht="15" customHeight="1" x14ac:dyDescent="0.3">
      <c r="B1049" s="34" t="str">
        <f>IF(B1048="","", IF(VALUE(LEFT(H1048,FIND("/",H1048)-1)) &lt; VALUE(RIGHT(H1048,LEN(H1048)-FIND("/",H1048))), B1048, IFERROR(INDEX('SAÍDA DE VENDAS'!$B$6:$B$500, MATCH(B1048,'SAÍDA DE VENDAS'!$B$6:$B$500,0)+COUNTIF('SAÍDA DE VENDAS'!$B$6:$B$500, B1048)),"")))</f>
        <v/>
      </c>
      <c r="C1049" s="35">
        <f>IFERROR(VLOOKUP(B1049,'SAÍDA DE VENDAS'!$B$6:$P$500,3,FALSE),"")</f>
        <v>0</v>
      </c>
      <c r="D1049" s="34">
        <f>IFERROR(VLOOKUP(B1049,'SAÍDA DE VENDAS'!$B$6:$P$500,4,FALSE),"")</f>
        <v>0</v>
      </c>
      <c r="E1049" s="34" t="str">
        <f>IFERROR(VLOOKUP(B1049,'SAÍDA DE VENDAS'!$B$6:$P$500,5,FALSE),"")</f>
        <v/>
      </c>
      <c r="F1049" s="34" t="str">
        <f>IF(OR(ISBLANK(B1049),B1049=""), "", IFERROR(INDEX('SAÍDA DE VENDAS'!$H$6:$H$500 &amp; "x " &amp; 'SAÍDA DE VENDAS'!$G$6:$G$500, MATCH(B1049, 'SAÍDA DE VENDAS'!$B$6:$B$500, 0)), "")&amp; IF(COUNTIF('SAÍDA DE VENDAS'!$B$6:$B$500, B1049)&gt;1, " + " &amp; IFERROR(INDEX('SAÍDA DE VENDAS'!$H$6:$H$500 &amp; "x " &amp; 'SAÍDA DE VENDAS'!$G$6:$G$500, MATCH(B1049, 'SAÍDA DE VENDAS'!$B$6:$B$500, 0)+1), ""), "")&amp; IF(COUNTIF('SAÍDA DE VENDAS'!$B$6:$B$500, B1049)&gt;2, " + " &amp; IFERROR(INDEX('SAÍDA DE VENDAS'!$H$6:$H$500 &amp; "x " &amp; 'SAÍDA DE VENDAS'!$G$6:$G$500, MATCH(B1049, 'SAÍDA DE VENDAS'!$B$6:$B$500, 0)+2), ""), "")&amp; IF(COUNTIF('SAÍDA DE VENDAS'!$B$6:$B$500, B1049)&gt;3, " + " &amp; IFERROR(INDEX('SAÍDA DE VENDAS'!$H$6:$H$500 &amp; "x " &amp; 'SAÍDA DE VENDAS'!$G$6:$G$500, MATCH(B1049, 'SAÍDA DE VENDAS'!$B$6:$B$500, 0)+3), ""), "")&amp; IF(COUNTIF('SAÍDA DE VENDAS'!$B$6:$B$500, B1049)&gt;4, " + " &amp; IFERROR(INDEX('SAÍDA DE VENDAS'!$H$6:$H$500 &amp; "x " &amp; 'SAÍDA DE VENDAS'!$G$6:$G$500, MATCH(B1049, 'SAÍDA DE VENDAS'!$B$6:$B$500, 0)+4), ""), "")&amp; IF(COUNTIF('SAÍDA DE VENDAS'!$B$6:$B$500, B1049)&gt;5, " + " &amp; IFERROR(INDEX('SAÍDA DE VENDAS'!$H$6:$H$500 &amp; "x " &amp; 'SAÍDA DE VENDAS'!$G$6:$G$500, MATCH(B1049, 'SAÍDA DE VENDAS'!$B$6:$B$500, 0)+5), ""), ""))</f>
        <v/>
      </c>
      <c r="G1049" s="34">
        <f>IFERROR(VLOOKUP(B1049,'SAÍDA DE VENDAS'!$B$6:$P$500,10,FALSE),"")</f>
        <v>0</v>
      </c>
      <c r="H1049" s="34" t="str">
        <f>IF(OR(ISBLANK(B1049),B1049=""), "", IF(B1049=B1048, (VALUE(LEFT(H1048,FIND("/",H1048)-1))+1)&amp;"/"&amp;RIGHT(H1048,LEN(H1048)-FIND("/",H1048)), "1/"&amp;IFERROR(VLOOKUP(B1049,'SAÍDA DE VENDAS'!$B$6:$P$500,13,FALSE),"1")))</f>
        <v/>
      </c>
      <c r="I1049" s="35" t="str">
        <f t="shared" si="32"/>
        <v/>
      </c>
      <c r="J1049" s="39" t="str">
        <f>IFERROR(VLOOKUP(B1049,'SAÍDA DE VENDAS'!$B$6:$P$500,15,FALSE),"")</f>
        <v/>
      </c>
      <c r="K1049" s="34" t="str">
        <f t="shared" ca="1" si="33"/>
        <v/>
      </c>
      <c r="L1049" s="34"/>
      <c r="M1049" s="34"/>
    </row>
    <row r="1050" spans="2:13" ht="15" customHeight="1" x14ac:dyDescent="0.3">
      <c r="B1050" s="28" t="str">
        <f>IF(B1049="","", IF(VALUE(LEFT(H1049,FIND("/",H1049)-1)) &lt; VALUE(RIGHT(H1049,LEN(H1049)-FIND("/",H1049))), B1049, IFERROR(INDEX('SAÍDA DE VENDAS'!$B$6:$B$500, MATCH(B1049,'SAÍDA DE VENDAS'!$B$6:$B$500,0)+COUNTIF('SAÍDA DE VENDAS'!$B$6:$B$500, B1049)),"")))</f>
        <v/>
      </c>
      <c r="C1050" s="29">
        <f>IFERROR(VLOOKUP(B1050,'SAÍDA DE VENDAS'!$B$6:$P$500,3,FALSE),"")</f>
        <v>0</v>
      </c>
      <c r="D1050" s="28">
        <f>IFERROR(VLOOKUP(B1050,'SAÍDA DE VENDAS'!$B$6:$P$500,4,FALSE),"")</f>
        <v>0</v>
      </c>
      <c r="E1050" s="28" t="str">
        <f>IFERROR(VLOOKUP(B1050,'SAÍDA DE VENDAS'!$B$6:$P$500,5,FALSE),"")</f>
        <v/>
      </c>
      <c r="F1050" s="28" t="str">
        <f>IF(OR(ISBLANK(B1050),B1050=""), "", IFERROR(INDEX('SAÍDA DE VENDAS'!$H$6:$H$500 &amp; "x " &amp; 'SAÍDA DE VENDAS'!$G$6:$G$500, MATCH(B1050, 'SAÍDA DE VENDAS'!$B$6:$B$500, 0)), "")&amp; IF(COUNTIF('SAÍDA DE VENDAS'!$B$6:$B$500, B1050)&gt;1, " + " &amp; IFERROR(INDEX('SAÍDA DE VENDAS'!$H$6:$H$500 &amp; "x " &amp; 'SAÍDA DE VENDAS'!$G$6:$G$500, MATCH(B1050, 'SAÍDA DE VENDAS'!$B$6:$B$500, 0)+1), ""), "")&amp; IF(COUNTIF('SAÍDA DE VENDAS'!$B$6:$B$500, B1050)&gt;2, " + " &amp; IFERROR(INDEX('SAÍDA DE VENDAS'!$H$6:$H$500 &amp; "x " &amp; 'SAÍDA DE VENDAS'!$G$6:$G$500, MATCH(B1050, 'SAÍDA DE VENDAS'!$B$6:$B$500, 0)+2), ""), "")&amp; IF(COUNTIF('SAÍDA DE VENDAS'!$B$6:$B$500, B1050)&gt;3, " + " &amp; IFERROR(INDEX('SAÍDA DE VENDAS'!$H$6:$H$500 &amp; "x " &amp; 'SAÍDA DE VENDAS'!$G$6:$G$500, MATCH(B1050, 'SAÍDA DE VENDAS'!$B$6:$B$500, 0)+3), ""), "")&amp; IF(COUNTIF('SAÍDA DE VENDAS'!$B$6:$B$500, B1050)&gt;4, " + " &amp; IFERROR(INDEX('SAÍDA DE VENDAS'!$H$6:$H$500 &amp; "x " &amp; 'SAÍDA DE VENDAS'!$G$6:$G$500, MATCH(B1050, 'SAÍDA DE VENDAS'!$B$6:$B$500, 0)+4), ""), "")&amp; IF(COUNTIF('SAÍDA DE VENDAS'!$B$6:$B$500, B1050)&gt;5, " + " &amp; IFERROR(INDEX('SAÍDA DE VENDAS'!$H$6:$H$500 &amp; "x " &amp; 'SAÍDA DE VENDAS'!$G$6:$G$500, MATCH(B1050, 'SAÍDA DE VENDAS'!$B$6:$B$500, 0)+5), ""), ""))</f>
        <v/>
      </c>
      <c r="G1050" s="28">
        <f>IFERROR(VLOOKUP(B1050,'SAÍDA DE VENDAS'!$B$6:$P$500,10,FALSE),"")</f>
        <v>0</v>
      </c>
      <c r="H1050" s="28" t="str">
        <f>IF(OR(ISBLANK(B1050),B1050=""), "", IF(B1050=B1049, (VALUE(LEFT(H1049,FIND("/",H1049)-1))+1)&amp;"/"&amp;RIGHT(H1049,LEN(H1049)-FIND("/",H1049)), "1/"&amp;IFERROR(VLOOKUP(B1050,'SAÍDA DE VENDAS'!$B$6:$P$500,13,FALSE),"1")))</f>
        <v/>
      </c>
      <c r="I1050" s="69" t="str">
        <f t="shared" si="32"/>
        <v/>
      </c>
      <c r="J1050" s="33" t="str">
        <f>IFERROR(VLOOKUP(B1050,'SAÍDA DE VENDAS'!$B$6:$P$500,15,FALSE),"")</f>
        <v/>
      </c>
      <c r="K1050" s="28" t="str">
        <f t="shared" ca="1" si="33"/>
        <v/>
      </c>
      <c r="L1050" s="28"/>
      <c r="M1050" s="28"/>
    </row>
    <row r="1051" spans="2:13" ht="15" customHeight="1" x14ac:dyDescent="0.3">
      <c r="B1051" s="34" t="str">
        <f>IF(B1050="","", IF(VALUE(LEFT(H1050,FIND("/",H1050)-1)) &lt; VALUE(RIGHT(H1050,LEN(H1050)-FIND("/",H1050))), B1050, IFERROR(INDEX('SAÍDA DE VENDAS'!$B$6:$B$500, MATCH(B1050,'SAÍDA DE VENDAS'!$B$6:$B$500,0)+COUNTIF('SAÍDA DE VENDAS'!$B$6:$B$500, B1050)),"")))</f>
        <v/>
      </c>
      <c r="C1051" s="35">
        <f>IFERROR(VLOOKUP(B1051,'SAÍDA DE VENDAS'!$B$6:$P$500,3,FALSE),"")</f>
        <v>0</v>
      </c>
      <c r="D1051" s="34">
        <f>IFERROR(VLOOKUP(B1051,'SAÍDA DE VENDAS'!$B$6:$P$500,4,FALSE),"")</f>
        <v>0</v>
      </c>
      <c r="E1051" s="34" t="str">
        <f>IFERROR(VLOOKUP(B1051,'SAÍDA DE VENDAS'!$B$6:$P$500,5,FALSE),"")</f>
        <v/>
      </c>
      <c r="F1051" s="34" t="str">
        <f>IF(OR(ISBLANK(B1051),B1051=""), "", IFERROR(INDEX('SAÍDA DE VENDAS'!$H$6:$H$500 &amp; "x " &amp; 'SAÍDA DE VENDAS'!$G$6:$G$500, MATCH(B1051, 'SAÍDA DE VENDAS'!$B$6:$B$500, 0)), "")&amp; IF(COUNTIF('SAÍDA DE VENDAS'!$B$6:$B$500, B1051)&gt;1, " + " &amp; IFERROR(INDEX('SAÍDA DE VENDAS'!$H$6:$H$500 &amp; "x " &amp; 'SAÍDA DE VENDAS'!$G$6:$G$500, MATCH(B1051, 'SAÍDA DE VENDAS'!$B$6:$B$500, 0)+1), ""), "")&amp; IF(COUNTIF('SAÍDA DE VENDAS'!$B$6:$B$500, B1051)&gt;2, " + " &amp; IFERROR(INDEX('SAÍDA DE VENDAS'!$H$6:$H$500 &amp; "x " &amp; 'SAÍDA DE VENDAS'!$G$6:$G$500, MATCH(B1051, 'SAÍDA DE VENDAS'!$B$6:$B$500, 0)+2), ""), "")&amp; IF(COUNTIF('SAÍDA DE VENDAS'!$B$6:$B$500, B1051)&gt;3, " + " &amp; IFERROR(INDEX('SAÍDA DE VENDAS'!$H$6:$H$500 &amp; "x " &amp; 'SAÍDA DE VENDAS'!$G$6:$G$500, MATCH(B1051, 'SAÍDA DE VENDAS'!$B$6:$B$500, 0)+3), ""), "")&amp; IF(COUNTIF('SAÍDA DE VENDAS'!$B$6:$B$500, B1051)&gt;4, " + " &amp; IFERROR(INDEX('SAÍDA DE VENDAS'!$H$6:$H$500 &amp; "x " &amp; 'SAÍDA DE VENDAS'!$G$6:$G$500, MATCH(B1051, 'SAÍDA DE VENDAS'!$B$6:$B$500, 0)+4), ""), "")&amp; IF(COUNTIF('SAÍDA DE VENDAS'!$B$6:$B$500, B1051)&gt;5, " + " &amp; IFERROR(INDEX('SAÍDA DE VENDAS'!$H$6:$H$500 &amp; "x " &amp; 'SAÍDA DE VENDAS'!$G$6:$G$500, MATCH(B1051, 'SAÍDA DE VENDAS'!$B$6:$B$500, 0)+5), ""), ""))</f>
        <v/>
      </c>
      <c r="G1051" s="34">
        <f>IFERROR(VLOOKUP(B1051,'SAÍDA DE VENDAS'!$B$6:$P$500,10,FALSE),"")</f>
        <v>0</v>
      </c>
      <c r="H1051" s="34" t="str">
        <f>IF(OR(ISBLANK(B1051),B1051=""), "", IF(B1051=B1050, (VALUE(LEFT(H1050,FIND("/",H1050)-1))+1)&amp;"/"&amp;RIGHT(H1050,LEN(H1050)-FIND("/",H1050)), "1/"&amp;IFERROR(VLOOKUP(B1051,'SAÍDA DE VENDAS'!$B$6:$P$500,13,FALSE),"1")))</f>
        <v/>
      </c>
      <c r="I1051" s="35" t="str">
        <f t="shared" si="32"/>
        <v/>
      </c>
      <c r="J1051" s="39" t="str">
        <f>IFERROR(VLOOKUP(B1051,'SAÍDA DE VENDAS'!$B$6:$P$500,15,FALSE),"")</f>
        <v/>
      </c>
      <c r="K1051" s="34" t="str">
        <f t="shared" ca="1" si="33"/>
        <v/>
      </c>
      <c r="L1051" s="34"/>
      <c r="M1051" s="34"/>
    </row>
    <row r="1052" spans="2:13" ht="15" customHeight="1" x14ac:dyDescent="0.3">
      <c r="B1052" s="28" t="str">
        <f>IF(B1051="","", IF(VALUE(LEFT(H1051,FIND("/",H1051)-1)) &lt; VALUE(RIGHT(H1051,LEN(H1051)-FIND("/",H1051))), B1051, IFERROR(INDEX('SAÍDA DE VENDAS'!$B$6:$B$500, MATCH(B1051,'SAÍDA DE VENDAS'!$B$6:$B$500,0)+COUNTIF('SAÍDA DE VENDAS'!$B$6:$B$500, B1051)),"")))</f>
        <v/>
      </c>
      <c r="C1052" s="29">
        <f>IFERROR(VLOOKUP(B1052,'SAÍDA DE VENDAS'!$B$6:$P$500,3,FALSE),"")</f>
        <v>0</v>
      </c>
      <c r="D1052" s="28">
        <f>IFERROR(VLOOKUP(B1052,'SAÍDA DE VENDAS'!$B$6:$P$500,4,FALSE),"")</f>
        <v>0</v>
      </c>
      <c r="E1052" s="28" t="str">
        <f>IFERROR(VLOOKUP(B1052,'SAÍDA DE VENDAS'!$B$6:$P$500,5,FALSE),"")</f>
        <v/>
      </c>
      <c r="F1052" s="28" t="str">
        <f>IF(OR(ISBLANK(B1052),B1052=""), "", IFERROR(INDEX('SAÍDA DE VENDAS'!$H$6:$H$500 &amp; "x " &amp; 'SAÍDA DE VENDAS'!$G$6:$G$500, MATCH(B1052, 'SAÍDA DE VENDAS'!$B$6:$B$500, 0)), "")&amp; IF(COUNTIF('SAÍDA DE VENDAS'!$B$6:$B$500, B1052)&gt;1, " + " &amp; IFERROR(INDEX('SAÍDA DE VENDAS'!$H$6:$H$500 &amp; "x " &amp; 'SAÍDA DE VENDAS'!$G$6:$G$500, MATCH(B1052, 'SAÍDA DE VENDAS'!$B$6:$B$500, 0)+1), ""), "")&amp; IF(COUNTIF('SAÍDA DE VENDAS'!$B$6:$B$500, B1052)&gt;2, " + " &amp; IFERROR(INDEX('SAÍDA DE VENDAS'!$H$6:$H$500 &amp; "x " &amp; 'SAÍDA DE VENDAS'!$G$6:$G$500, MATCH(B1052, 'SAÍDA DE VENDAS'!$B$6:$B$500, 0)+2), ""), "")&amp; IF(COUNTIF('SAÍDA DE VENDAS'!$B$6:$B$500, B1052)&gt;3, " + " &amp; IFERROR(INDEX('SAÍDA DE VENDAS'!$H$6:$H$500 &amp; "x " &amp; 'SAÍDA DE VENDAS'!$G$6:$G$500, MATCH(B1052, 'SAÍDA DE VENDAS'!$B$6:$B$500, 0)+3), ""), "")&amp; IF(COUNTIF('SAÍDA DE VENDAS'!$B$6:$B$500, B1052)&gt;4, " + " &amp; IFERROR(INDEX('SAÍDA DE VENDAS'!$H$6:$H$500 &amp; "x " &amp; 'SAÍDA DE VENDAS'!$G$6:$G$500, MATCH(B1052, 'SAÍDA DE VENDAS'!$B$6:$B$500, 0)+4), ""), "")&amp; IF(COUNTIF('SAÍDA DE VENDAS'!$B$6:$B$500, B1052)&gt;5, " + " &amp; IFERROR(INDEX('SAÍDA DE VENDAS'!$H$6:$H$500 &amp; "x " &amp; 'SAÍDA DE VENDAS'!$G$6:$G$500, MATCH(B1052, 'SAÍDA DE VENDAS'!$B$6:$B$500, 0)+5), ""), ""))</f>
        <v/>
      </c>
      <c r="G1052" s="28">
        <f>IFERROR(VLOOKUP(B1052,'SAÍDA DE VENDAS'!$B$6:$P$500,10,FALSE),"")</f>
        <v>0</v>
      </c>
      <c r="H1052" s="28" t="str">
        <f>IF(OR(ISBLANK(B1052),B1052=""), "", IF(B1052=B1051, (VALUE(LEFT(H1051,FIND("/",H1051)-1))+1)&amp;"/"&amp;RIGHT(H1051,LEN(H1051)-FIND("/",H1051)), "1/"&amp;IFERROR(VLOOKUP(B1052,'SAÍDA DE VENDAS'!$B$6:$P$500,13,FALSE),"1")))</f>
        <v/>
      </c>
      <c r="I1052" s="69" t="str">
        <f t="shared" si="32"/>
        <v/>
      </c>
      <c r="J1052" s="33" t="str">
        <f>IFERROR(VLOOKUP(B1052,'SAÍDA DE VENDAS'!$B$6:$P$500,15,FALSE),"")</f>
        <v/>
      </c>
      <c r="K1052" s="28" t="str">
        <f t="shared" ca="1" si="33"/>
        <v/>
      </c>
      <c r="L1052" s="28"/>
      <c r="M1052" s="28"/>
    </row>
    <row r="1053" spans="2:13" ht="15" customHeight="1" x14ac:dyDescent="0.3">
      <c r="B1053" s="34" t="str">
        <f>IF(B1052="","", IF(VALUE(LEFT(H1052,FIND("/",H1052)-1)) &lt; VALUE(RIGHT(H1052,LEN(H1052)-FIND("/",H1052))), B1052, IFERROR(INDEX('SAÍDA DE VENDAS'!$B$6:$B$500, MATCH(B1052,'SAÍDA DE VENDAS'!$B$6:$B$500,0)+COUNTIF('SAÍDA DE VENDAS'!$B$6:$B$500, B1052)),"")))</f>
        <v/>
      </c>
      <c r="C1053" s="35">
        <f>IFERROR(VLOOKUP(B1053,'SAÍDA DE VENDAS'!$B$6:$P$500,3,FALSE),"")</f>
        <v>0</v>
      </c>
      <c r="D1053" s="34">
        <f>IFERROR(VLOOKUP(B1053,'SAÍDA DE VENDAS'!$B$6:$P$500,4,FALSE),"")</f>
        <v>0</v>
      </c>
      <c r="E1053" s="34" t="str">
        <f>IFERROR(VLOOKUP(B1053,'SAÍDA DE VENDAS'!$B$6:$P$500,5,FALSE),"")</f>
        <v/>
      </c>
      <c r="F1053" s="34" t="str">
        <f>IF(OR(ISBLANK(B1053),B1053=""), "", IFERROR(INDEX('SAÍDA DE VENDAS'!$H$6:$H$500 &amp; "x " &amp; 'SAÍDA DE VENDAS'!$G$6:$G$500, MATCH(B1053, 'SAÍDA DE VENDAS'!$B$6:$B$500, 0)), "")&amp; IF(COUNTIF('SAÍDA DE VENDAS'!$B$6:$B$500, B1053)&gt;1, " + " &amp; IFERROR(INDEX('SAÍDA DE VENDAS'!$H$6:$H$500 &amp; "x " &amp; 'SAÍDA DE VENDAS'!$G$6:$G$500, MATCH(B1053, 'SAÍDA DE VENDAS'!$B$6:$B$500, 0)+1), ""), "")&amp; IF(COUNTIF('SAÍDA DE VENDAS'!$B$6:$B$500, B1053)&gt;2, " + " &amp; IFERROR(INDEX('SAÍDA DE VENDAS'!$H$6:$H$500 &amp; "x " &amp; 'SAÍDA DE VENDAS'!$G$6:$G$500, MATCH(B1053, 'SAÍDA DE VENDAS'!$B$6:$B$500, 0)+2), ""), "")&amp; IF(COUNTIF('SAÍDA DE VENDAS'!$B$6:$B$500, B1053)&gt;3, " + " &amp; IFERROR(INDEX('SAÍDA DE VENDAS'!$H$6:$H$500 &amp; "x " &amp; 'SAÍDA DE VENDAS'!$G$6:$G$500, MATCH(B1053, 'SAÍDA DE VENDAS'!$B$6:$B$500, 0)+3), ""), "")&amp; IF(COUNTIF('SAÍDA DE VENDAS'!$B$6:$B$500, B1053)&gt;4, " + " &amp; IFERROR(INDEX('SAÍDA DE VENDAS'!$H$6:$H$500 &amp; "x " &amp; 'SAÍDA DE VENDAS'!$G$6:$G$500, MATCH(B1053, 'SAÍDA DE VENDAS'!$B$6:$B$500, 0)+4), ""), "")&amp; IF(COUNTIF('SAÍDA DE VENDAS'!$B$6:$B$500, B1053)&gt;5, " + " &amp; IFERROR(INDEX('SAÍDA DE VENDAS'!$H$6:$H$500 &amp; "x " &amp; 'SAÍDA DE VENDAS'!$G$6:$G$500, MATCH(B1053, 'SAÍDA DE VENDAS'!$B$6:$B$500, 0)+5), ""), ""))</f>
        <v/>
      </c>
      <c r="G1053" s="34">
        <f>IFERROR(VLOOKUP(B1053,'SAÍDA DE VENDAS'!$B$6:$P$500,10,FALSE),"")</f>
        <v>0</v>
      </c>
      <c r="H1053" s="34" t="str">
        <f>IF(OR(ISBLANK(B1053),B1053=""), "", IF(B1053=B1052, (VALUE(LEFT(H1052,FIND("/",H1052)-1))+1)&amp;"/"&amp;RIGHT(H1052,LEN(H1052)-FIND("/",H1052)), "1/"&amp;IFERROR(VLOOKUP(B1053,'SAÍDA DE VENDAS'!$B$6:$P$500,13,FALSE),"1")))</f>
        <v/>
      </c>
      <c r="I1053" s="35" t="str">
        <f t="shared" si="32"/>
        <v/>
      </c>
      <c r="J1053" s="39" t="str">
        <f>IFERROR(VLOOKUP(B1053,'SAÍDA DE VENDAS'!$B$6:$P$500,15,FALSE),"")</f>
        <v/>
      </c>
      <c r="K1053" s="34" t="str">
        <f t="shared" ca="1" si="33"/>
        <v/>
      </c>
      <c r="L1053" s="34"/>
      <c r="M1053" s="34"/>
    </row>
    <row r="1054" spans="2:13" ht="15" customHeight="1" x14ac:dyDescent="0.3">
      <c r="B1054" s="28" t="str">
        <f>IF(B1053="","", IF(VALUE(LEFT(H1053,FIND("/",H1053)-1)) &lt; VALUE(RIGHT(H1053,LEN(H1053)-FIND("/",H1053))), B1053, IFERROR(INDEX('SAÍDA DE VENDAS'!$B$6:$B$500, MATCH(B1053,'SAÍDA DE VENDAS'!$B$6:$B$500,0)+COUNTIF('SAÍDA DE VENDAS'!$B$6:$B$500, B1053)),"")))</f>
        <v/>
      </c>
      <c r="C1054" s="29">
        <f>IFERROR(VLOOKUP(B1054,'SAÍDA DE VENDAS'!$B$6:$P$500,3,FALSE),"")</f>
        <v>0</v>
      </c>
      <c r="D1054" s="28">
        <f>IFERROR(VLOOKUP(B1054,'SAÍDA DE VENDAS'!$B$6:$P$500,4,FALSE),"")</f>
        <v>0</v>
      </c>
      <c r="E1054" s="28" t="str">
        <f>IFERROR(VLOOKUP(B1054,'SAÍDA DE VENDAS'!$B$6:$P$500,5,FALSE),"")</f>
        <v/>
      </c>
      <c r="F1054" s="28" t="str">
        <f>IF(OR(ISBLANK(B1054),B1054=""), "", IFERROR(INDEX('SAÍDA DE VENDAS'!$H$6:$H$500 &amp; "x " &amp; 'SAÍDA DE VENDAS'!$G$6:$G$500, MATCH(B1054, 'SAÍDA DE VENDAS'!$B$6:$B$500, 0)), "")&amp; IF(COUNTIF('SAÍDA DE VENDAS'!$B$6:$B$500, B1054)&gt;1, " + " &amp; IFERROR(INDEX('SAÍDA DE VENDAS'!$H$6:$H$500 &amp; "x " &amp; 'SAÍDA DE VENDAS'!$G$6:$G$500, MATCH(B1054, 'SAÍDA DE VENDAS'!$B$6:$B$500, 0)+1), ""), "")&amp; IF(COUNTIF('SAÍDA DE VENDAS'!$B$6:$B$500, B1054)&gt;2, " + " &amp; IFERROR(INDEX('SAÍDA DE VENDAS'!$H$6:$H$500 &amp; "x " &amp; 'SAÍDA DE VENDAS'!$G$6:$G$500, MATCH(B1054, 'SAÍDA DE VENDAS'!$B$6:$B$500, 0)+2), ""), "")&amp; IF(COUNTIF('SAÍDA DE VENDAS'!$B$6:$B$500, B1054)&gt;3, " + " &amp; IFERROR(INDEX('SAÍDA DE VENDAS'!$H$6:$H$500 &amp; "x " &amp; 'SAÍDA DE VENDAS'!$G$6:$G$500, MATCH(B1054, 'SAÍDA DE VENDAS'!$B$6:$B$500, 0)+3), ""), "")&amp; IF(COUNTIF('SAÍDA DE VENDAS'!$B$6:$B$500, B1054)&gt;4, " + " &amp; IFERROR(INDEX('SAÍDA DE VENDAS'!$H$6:$H$500 &amp; "x " &amp; 'SAÍDA DE VENDAS'!$G$6:$G$500, MATCH(B1054, 'SAÍDA DE VENDAS'!$B$6:$B$500, 0)+4), ""), "")&amp; IF(COUNTIF('SAÍDA DE VENDAS'!$B$6:$B$500, B1054)&gt;5, " + " &amp; IFERROR(INDEX('SAÍDA DE VENDAS'!$H$6:$H$500 &amp; "x " &amp; 'SAÍDA DE VENDAS'!$G$6:$G$500, MATCH(B1054, 'SAÍDA DE VENDAS'!$B$6:$B$500, 0)+5), ""), ""))</f>
        <v/>
      </c>
      <c r="G1054" s="28">
        <f>IFERROR(VLOOKUP(B1054,'SAÍDA DE VENDAS'!$B$6:$P$500,10,FALSE),"")</f>
        <v>0</v>
      </c>
      <c r="H1054" s="28" t="str">
        <f>IF(OR(ISBLANK(B1054),B1054=""), "", IF(B1054=B1053, (VALUE(LEFT(H1053,FIND("/",H1053)-1))+1)&amp;"/"&amp;RIGHT(H1053,LEN(H1053)-FIND("/",H1053)), "1/"&amp;IFERROR(VLOOKUP(B1054,'SAÍDA DE VENDAS'!$B$6:$P$500,13,FALSE),"1")))</f>
        <v/>
      </c>
      <c r="I1054" s="69" t="str">
        <f t="shared" si="32"/>
        <v/>
      </c>
      <c r="J1054" s="33" t="str">
        <f>IFERROR(VLOOKUP(B1054,'SAÍDA DE VENDAS'!$B$6:$P$500,15,FALSE),"")</f>
        <v/>
      </c>
      <c r="K1054" s="28" t="str">
        <f t="shared" ca="1" si="33"/>
        <v/>
      </c>
      <c r="L1054" s="28"/>
      <c r="M1054" s="28"/>
    </row>
    <row r="1055" spans="2:13" ht="15" customHeight="1" x14ac:dyDescent="0.3">
      <c r="B1055" s="34" t="str">
        <f>IF(B1054="","", IF(VALUE(LEFT(H1054,FIND("/",H1054)-1)) &lt; VALUE(RIGHT(H1054,LEN(H1054)-FIND("/",H1054))), B1054, IFERROR(INDEX('SAÍDA DE VENDAS'!$B$6:$B$500, MATCH(B1054,'SAÍDA DE VENDAS'!$B$6:$B$500,0)+COUNTIF('SAÍDA DE VENDAS'!$B$6:$B$500, B1054)),"")))</f>
        <v/>
      </c>
      <c r="C1055" s="35">
        <f>IFERROR(VLOOKUP(B1055,'SAÍDA DE VENDAS'!$B$6:$P$500,3,FALSE),"")</f>
        <v>0</v>
      </c>
      <c r="D1055" s="34">
        <f>IFERROR(VLOOKUP(B1055,'SAÍDA DE VENDAS'!$B$6:$P$500,4,FALSE),"")</f>
        <v>0</v>
      </c>
      <c r="E1055" s="34" t="str">
        <f>IFERROR(VLOOKUP(B1055,'SAÍDA DE VENDAS'!$B$6:$P$500,5,FALSE),"")</f>
        <v/>
      </c>
      <c r="F1055" s="34" t="str">
        <f>IF(OR(ISBLANK(B1055),B1055=""), "", IFERROR(INDEX('SAÍDA DE VENDAS'!$H$6:$H$500 &amp; "x " &amp; 'SAÍDA DE VENDAS'!$G$6:$G$500, MATCH(B1055, 'SAÍDA DE VENDAS'!$B$6:$B$500, 0)), "")&amp; IF(COUNTIF('SAÍDA DE VENDAS'!$B$6:$B$500, B1055)&gt;1, " + " &amp; IFERROR(INDEX('SAÍDA DE VENDAS'!$H$6:$H$500 &amp; "x " &amp; 'SAÍDA DE VENDAS'!$G$6:$G$500, MATCH(B1055, 'SAÍDA DE VENDAS'!$B$6:$B$500, 0)+1), ""), "")&amp; IF(COUNTIF('SAÍDA DE VENDAS'!$B$6:$B$500, B1055)&gt;2, " + " &amp; IFERROR(INDEX('SAÍDA DE VENDAS'!$H$6:$H$500 &amp; "x " &amp; 'SAÍDA DE VENDAS'!$G$6:$G$500, MATCH(B1055, 'SAÍDA DE VENDAS'!$B$6:$B$500, 0)+2), ""), "")&amp; IF(COUNTIF('SAÍDA DE VENDAS'!$B$6:$B$500, B1055)&gt;3, " + " &amp; IFERROR(INDEX('SAÍDA DE VENDAS'!$H$6:$H$500 &amp; "x " &amp; 'SAÍDA DE VENDAS'!$G$6:$G$500, MATCH(B1055, 'SAÍDA DE VENDAS'!$B$6:$B$500, 0)+3), ""), "")&amp; IF(COUNTIF('SAÍDA DE VENDAS'!$B$6:$B$500, B1055)&gt;4, " + " &amp; IFERROR(INDEX('SAÍDA DE VENDAS'!$H$6:$H$500 &amp; "x " &amp; 'SAÍDA DE VENDAS'!$G$6:$G$500, MATCH(B1055, 'SAÍDA DE VENDAS'!$B$6:$B$500, 0)+4), ""), "")&amp; IF(COUNTIF('SAÍDA DE VENDAS'!$B$6:$B$500, B1055)&gt;5, " + " &amp; IFERROR(INDEX('SAÍDA DE VENDAS'!$H$6:$H$500 &amp; "x " &amp; 'SAÍDA DE VENDAS'!$G$6:$G$500, MATCH(B1055, 'SAÍDA DE VENDAS'!$B$6:$B$500, 0)+5), ""), ""))</f>
        <v/>
      </c>
      <c r="G1055" s="34">
        <f>IFERROR(VLOOKUP(B1055,'SAÍDA DE VENDAS'!$B$6:$P$500,10,FALSE),"")</f>
        <v>0</v>
      </c>
      <c r="H1055" s="34" t="str">
        <f>IF(OR(ISBLANK(B1055),B1055=""), "", IF(B1055=B1054, (VALUE(LEFT(H1054,FIND("/",H1054)-1))+1)&amp;"/"&amp;RIGHT(H1054,LEN(H1054)-FIND("/",H1054)), "1/"&amp;IFERROR(VLOOKUP(B1055,'SAÍDA DE VENDAS'!$B$6:$P$500,13,FALSE),"1")))</f>
        <v/>
      </c>
      <c r="I1055" s="35" t="str">
        <f t="shared" si="32"/>
        <v/>
      </c>
      <c r="J1055" s="39" t="str">
        <f>IFERROR(VLOOKUP(B1055,'SAÍDA DE VENDAS'!$B$6:$P$500,15,FALSE),"")</f>
        <v/>
      </c>
      <c r="K1055" s="34" t="str">
        <f t="shared" ca="1" si="33"/>
        <v/>
      </c>
      <c r="L1055" s="34"/>
      <c r="M1055" s="34"/>
    </row>
    <row r="1056" spans="2:13" ht="15" customHeight="1" x14ac:dyDescent="0.3">
      <c r="B1056" s="28" t="str">
        <f>IF(B1055="","", IF(VALUE(LEFT(H1055,FIND("/",H1055)-1)) &lt; VALUE(RIGHT(H1055,LEN(H1055)-FIND("/",H1055))), B1055, IFERROR(INDEX('SAÍDA DE VENDAS'!$B$6:$B$500, MATCH(B1055,'SAÍDA DE VENDAS'!$B$6:$B$500,0)+COUNTIF('SAÍDA DE VENDAS'!$B$6:$B$500, B1055)),"")))</f>
        <v/>
      </c>
      <c r="C1056" s="29">
        <f>IFERROR(VLOOKUP(B1056,'SAÍDA DE VENDAS'!$B$6:$P$500,3,FALSE),"")</f>
        <v>0</v>
      </c>
      <c r="D1056" s="28">
        <f>IFERROR(VLOOKUP(B1056,'SAÍDA DE VENDAS'!$B$6:$P$500,4,FALSE),"")</f>
        <v>0</v>
      </c>
      <c r="E1056" s="28" t="str">
        <f>IFERROR(VLOOKUP(B1056,'SAÍDA DE VENDAS'!$B$6:$P$500,5,FALSE),"")</f>
        <v/>
      </c>
      <c r="F1056" s="28" t="str">
        <f>IF(OR(ISBLANK(B1056),B1056=""), "", IFERROR(INDEX('SAÍDA DE VENDAS'!$H$6:$H$500 &amp; "x " &amp; 'SAÍDA DE VENDAS'!$G$6:$G$500, MATCH(B1056, 'SAÍDA DE VENDAS'!$B$6:$B$500, 0)), "")&amp; IF(COUNTIF('SAÍDA DE VENDAS'!$B$6:$B$500, B1056)&gt;1, " + " &amp; IFERROR(INDEX('SAÍDA DE VENDAS'!$H$6:$H$500 &amp; "x " &amp; 'SAÍDA DE VENDAS'!$G$6:$G$500, MATCH(B1056, 'SAÍDA DE VENDAS'!$B$6:$B$500, 0)+1), ""), "")&amp; IF(COUNTIF('SAÍDA DE VENDAS'!$B$6:$B$500, B1056)&gt;2, " + " &amp; IFERROR(INDEX('SAÍDA DE VENDAS'!$H$6:$H$500 &amp; "x " &amp; 'SAÍDA DE VENDAS'!$G$6:$G$500, MATCH(B1056, 'SAÍDA DE VENDAS'!$B$6:$B$500, 0)+2), ""), "")&amp; IF(COUNTIF('SAÍDA DE VENDAS'!$B$6:$B$500, B1056)&gt;3, " + " &amp; IFERROR(INDEX('SAÍDA DE VENDAS'!$H$6:$H$500 &amp; "x " &amp; 'SAÍDA DE VENDAS'!$G$6:$G$500, MATCH(B1056, 'SAÍDA DE VENDAS'!$B$6:$B$500, 0)+3), ""), "")&amp; IF(COUNTIF('SAÍDA DE VENDAS'!$B$6:$B$500, B1056)&gt;4, " + " &amp; IFERROR(INDEX('SAÍDA DE VENDAS'!$H$6:$H$500 &amp; "x " &amp; 'SAÍDA DE VENDAS'!$G$6:$G$500, MATCH(B1056, 'SAÍDA DE VENDAS'!$B$6:$B$500, 0)+4), ""), "")&amp; IF(COUNTIF('SAÍDA DE VENDAS'!$B$6:$B$500, B1056)&gt;5, " + " &amp; IFERROR(INDEX('SAÍDA DE VENDAS'!$H$6:$H$500 &amp; "x " &amp; 'SAÍDA DE VENDAS'!$G$6:$G$500, MATCH(B1056, 'SAÍDA DE VENDAS'!$B$6:$B$500, 0)+5), ""), ""))</f>
        <v/>
      </c>
      <c r="G1056" s="28">
        <f>IFERROR(VLOOKUP(B1056,'SAÍDA DE VENDAS'!$B$6:$P$500,10,FALSE),"")</f>
        <v>0</v>
      </c>
      <c r="H1056" s="28" t="str">
        <f>IF(OR(ISBLANK(B1056),B1056=""), "", IF(B1056=B1055, (VALUE(LEFT(H1055,FIND("/",H1055)-1))+1)&amp;"/"&amp;RIGHT(H1055,LEN(H1055)-FIND("/",H1055)), "1/"&amp;IFERROR(VLOOKUP(B1056,'SAÍDA DE VENDAS'!$B$6:$P$500,13,FALSE),"1")))</f>
        <v/>
      </c>
      <c r="I1056" s="69" t="str">
        <f t="shared" si="32"/>
        <v/>
      </c>
      <c r="J1056" s="33" t="str">
        <f>IFERROR(VLOOKUP(B1056,'SAÍDA DE VENDAS'!$B$6:$P$500,15,FALSE),"")</f>
        <v/>
      </c>
      <c r="K1056" s="28" t="str">
        <f t="shared" ca="1" si="33"/>
        <v/>
      </c>
      <c r="L1056" s="28"/>
      <c r="M1056" s="28"/>
    </row>
    <row r="1057" spans="2:13" ht="15" customHeight="1" x14ac:dyDescent="0.3">
      <c r="B1057" s="34" t="str">
        <f>IF(B1056="","", IF(VALUE(LEFT(H1056,FIND("/",H1056)-1)) &lt; VALUE(RIGHT(H1056,LEN(H1056)-FIND("/",H1056))), B1056, IFERROR(INDEX('SAÍDA DE VENDAS'!$B$6:$B$500, MATCH(B1056,'SAÍDA DE VENDAS'!$B$6:$B$500,0)+COUNTIF('SAÍDA DE VENDAS'!$B$6:$B$500, B1056)),"")))</f>
        <v/>
      </c>
      <c r="C1057" s="35">
        <f>IFERROR(VLOOKUP(B1057,'SAÍDA DE VENDAS'!$B$6:$P$500,3,FALSE),"")</f>
        <v>0</v>
      </c>
      <c r="D1057" s="34">
        <f>IFERROR(VLOOKUP(B1057,'SAÍDA DE VENDAS'!$B$6:$P$500,4,FALSE),"")</f>
        <v>0</v>
      </c>
      <c r="E1057" s="34" t="str">
        <f>IFERROR(VLOOKUP(B1057,'SAÍDA DE VENDAS'!$B$6:$P$500,5,FALSE),"")</f>
        <v/>
      </c>
      <c r="F1057" s="34" t="str">
        <f>IF(OR(ISBLANK(B1057),B1057=""), "", IFERROR(INDEX('SAÍDA DE VENDAS'!$H$6:$H$500 &amp; "x " &amp; 'SAÍDA DE VENDAS'!$G$6:$G$500, MATCH(B1057, 'SAÍDA DE VENDAS'!$B$6:$B$500, 0)), "")&amp; IF(COUNTIF('SAÍDA DE VENDAS'!$B$6:$B$500, B1057)&gt;1, " + " &amp; IFERROR(INDEX('SAÍDA DE VENDAS'!$H$6:$H$500 &amp; "x " &amp; 'SAÍDA DE VENDAS'!$G$6:$G$500, MATCH(B1057, 'SAÍDA DE VENDAS'!$B$6:$B$500, 0)+1), ""), "")&amp; IF(COUNTIF('SAÍDA DE VENDAS'!$B$6:$B$500, B1057)&gt;2, " + " &amp; IFERROR(INDEX('SAÍDA DE VENDAS'!$H$6:$H$500 &amp; "x " &amp; 'SAÍDA DE VENDAS'!$G$6:$G$500, MATCH(B1057, 'SAÍDA DE VENDAS'!$B$6:$B$500, 0)+2), ""), "")&amp; IF(COUNTIF('SAÍDA DE VENDAS'!$B$6:$B$500, B1057)&gt;3, " + " &amp; IFERROR(INDEX('SAÍDA DE VENDAS'!$H$6:$H$500 &amp; "x " &amp; 'SAÍDA DE VENDAS'!$G$6:$G$500, MATCH(B1057, 'SAÍDA DE VENDAS'!$B$6:$B$500, 0)+3), ""), "")&amp; IF(COUNTIF('SAÍDA DE VENDAS'!$B$6:$B$500, B1057)&gt;4, " + " &amp; IFERROR(INDEX('SAÍDA DE VENDAS'!$H$6:$H$500 &amp; "x " &amp; 'SAÍDA DE VENDAS'!$G$6:$G$500, MATCH(B1057, 'SAÍDA DE VENDAS'!$B$6:$B$500, 0)+4), ""), "")&amp; IF(COUNTIF('SAÍDA DE VENDAS'!$B$6:$B$500, B1057)&gt;5, " + " &amp; IFERROR(INDEX('SAÍDA DE VENDAS'!$H$6:$H$500 &amp; "x " &amp; 'SAÍDA DE VENDAS'!$G$6:$G$500, MATCH(B1057, 'SAÍDA DE VENDAS'!$B$6:$B$500, 0)+5), ""), ""))</f>
        <v/>
      </c>
      <c r="G1057" s="34">
        <f>IFERROR(VLOOKUP(B1057,'SAÍDA DE VENDAS'!$B$6:$P$500,10,FALSE),"")</f>
        <v>0</v>
      </c>
      <c r="H1057" s="34" t="str">
        <f>IF(OR(ISBLANK(B1057),B1057=""), "", IF(B1057=B1056, (VALUE(LEFT(H1056,FIND("/",H1056)-1))+1)&amp;"/"&amp;RIGHT(H1056,LEN(H1056)-FIND("/",H1056)), "1/"&amp;IFERROR(VLOOKUP(B1057,'SAÍDA DE VENDAS'!$B$6:$P$500,13,FALSE),"1")))</f>
        <v/>
      </c>
      <c r="I1057" s="35" t="str">
        <f t="shared" si="32"/>
        <v/>
      </c>
      <c r="J1057" s="39" t="str">
        <f>IFERROR(VLOOKUP(B1057,'SAÍDA DE VENDAS'!$B$6:$P$500,15,FALSE),"")</f>
        <v/>
      </c>
      <c r="K1057" s="34" t="str">
        <f t="shared" ca="1" si="33"/>
        <v/>
      </c>
      <c r="L1057" s="34"/>
      <c r="M1057" s="34"/>
    </row>
    <row r="1058" spans="2:13" ht="15" customHeight="1" x14ac:dyDescent="0.3">
      <c r="B1058" s="28" t="str">
        <f>IF(B1057="","", IF(VALUE(LEFT(H1057,FIND("/",H1057)-1)) &lt; VALUE(RIGHT(H1057,LEN(H1057)-FIND("/",H1057))), B1057, IFERROR(INDEX('SAÍDA DE VENDAS'!$B$6:$B$500, MATCH(B1057,'SAÍDA DE VENDAS'!$B$6:$B$500,0)+COUNTIF('SAÍDA DE VENDAS'!$B$6:$B$500, B1057)),"")))</f>
        <v/>
      </c>
      <c r="C1058" s="29">
        <f>IFERROR(VLOOKUP(B1058,'SAÍDA DE VENDAS'!$B$6:$P$500,3,FALSE),"")</f>
        <v>0</v>
      </c>
      <c r="D1058" s="28">
        <f>IFERROR(VLOOKUP(B1058,'SAÍDA DE VENDAS'!$B$6:$P$500,4,FALSE),"")</f>
        <v>0</v>
      </c>
      <c r="E1058" s="28" t="str">
        <f>IFERROR(VLOOKUP(B1058,'SAÍDA DE VENDAS'!$B$6:$P$500,5,FALSE),"")</f>
        <v/>
      </c>
      <c r="F1058" s="28" t="str">
        <f>IF(OR(ISBLANK(B1058),B1058=""), "", IFERROR(INDEX('SAÍDA DE VENDAS'!$H$6:$H$500 &amp; "x " &amp; 'SAÍDA DE VENDAS'!$G$6:$G$500, MATCH(B1058, 'SAÍDA DE VENDAS'!$B$6:$B$500, 0)), "")&amp; IF(COUNTIF('SAÍDA DE VENDAS'!$B$6:$B$500, B1058)&gt;1, " + " &amp; IFERROR(INDEX('SAÍDA DE VENDAS'!$H$6:$H$500 &amp; "x " &amp; 'SAÍDA DE VENDAS'!$G$6:$G$500, MATCH(B1058, 'SAÍDA DE VENDAS'!$B$6:$B$500, 0)+1), ""), "")&amp; IF(COUNTIF('SAÍDA DE VENDAS'!$B$6:$B$500, B1058)&gt;2, " + " &amp; IFERROR(INDEX('SAÍDA DE VENDAS'!$H$6:$H$500 &amp; "x " &amp; 'SAÍDA DE VENDAS'!$G$6:$G$500, MATCH(B1058, 'SAÍDA DE VENDAS'!$B$6:$B$500, 0)+2), ""), "")&amp; IF(COUNTIF('SAÍDA DE VENDAS'!$B$6:$B$500, B1058)&gt;3, " + " &amp; IFERROR(INDEX('SAÍDA DE VENDAS'!$H$6:$H$500 &amp; "x " &amp; 'SAÍDA DE VENDAS'!$G$6:$G$500, MATCH(B1058, 'SAÍDA DE VENDAS'!$B$6:$B$500, 0)+3), ""), "")&amp; IF(COUNTIF('SAÍDA DE VENDAS'!$B$6:$B$500, B1058)&gt;4, " + " &amp; IFERROR(INDEX('SAÍDA DE VENDAS'!$H$6:$H$500 &amp; "x " &amp; 'SAÍDA DE VENDAS'!$G$6:$G$500, MATCH(B1058, 'SAÍDA DE VENDAS'!$B$6:$B$500, 0)+4), ""), "")&amp; IF(COUNTIF('SAÍDA DE VENDAS'!$B$6:$B$500, B1058)&gt;5, " + " &amp; IFERROR(INDEX('SAÍDA DE VENDAS'!$H$6:$H$500 &amp; "x " &amp; 'SAÍDA DE VENDAS'!$G$6:$G$500, MATCH(B1058, 'SAÍDA DE VENDAS'!$B$6:$B$500, 0)+5), ""), ""))</f>
        <v/>
      </c>
      <c r="G1058" s="28">
        <f>IFERROR(VLOOKUP(B1058,'SAÍDA DE VENDAS'!$B$6:$P$500,10,FALSE),"")</f>
        <v>0</v>
      </c>
      <c r="H1058" s="28" t="str">
        <f>IF(OR(ISBLANK(B1058),B1058=""), "", IF(B1058=B1057, (VALUE(LEFT(H1057,FIND("/",H1057)-1))+1)&amp;"/"&amp;RIGHT(H1057,LEN(H1057)-FIND("/",H1057)), "1/"&amp;IFERROR(VLOOKUP(B1058,'SAÍDA DE VENDAS'!$B$6:$P$500,13,FALSE),"1")))</f>
        <v/>
      </c>
      <c r="I1058" s="69" t="str">
        <f t="shared" si="32"/>
        <v/>
      </c>
      <c r="J1058" s="33" t="str">
        <f>IFERROR(VLOOKUP(B1058,'SAÍDA DE VENDAS'!$B$6:$P$500,15,FALSE),"")</f>
        <v/>
      </c>
      <c r="K1058" s="28" t="str">
        <f t="shared" ca="1" si="33"/>
        <v/>
      </c>
      <c r="L1058" s="28"/>
      <c r="M1058" s="28"/>
    </row>
    <row r="1059" spans="2:13" ht="15" customHeight="1" x14ac:dyDescent="0.3">
      <c r="B1059" s="34" t="str">
        <f>IF(B1058="","", IF(VALUE(LEFT(H1058,FIND("/",H1058)-1)) &lt; VALUE(RIGHT(H1058,LEN(H1058)-FIND("/",H1058))), B1058, IFERROR(INDEX('SAÍDA DE VENDAS'!$B$6:$B$500, MATCH(B1058,'SAÍDA DE VENDAS'!$B$6:$B$500,0)+COUNTIF('SAÍDA DE VENDAS'!$B$6:$B$500, B1058)),"")))</f>
        <v/>
      </c>
      <c r="C1059" s="35">
        <f>IFERROR(VLOOKUP(B1059,'SAÍDA DE VENDAS'!$B$6:$P$500,3,FALSE),"")</f>
        <v>0</v>
      </c>
      <c r="D1059" s="34">
        <f>IFERROR(VLOOKUP(B1059,'SAÍDA DE VENDAS'!$B$6:$P$500,4,FALSE),"")</f>
        <v>0</v>
      </c>
      <c r="E1059" s="34" t="str">
        <f>IFERROR(VLOOKUP(B1059,'SAÍDA DE VENDAS'!$B$6:$P$500,5,FALSE),"")</f>
        <v/>
      </c>
      <c r="F1059" s="34" t="str">
        <f>IF(OR(ISBLANK(B1059),B1059=""), "", IFERROR(INDEX('SAÍDA DE VENDAS'!$H$6:$H$500 &amp; "x " &amp; 'SAÍDA DE VENDAS'!$G$6:$G$500, MATCH(B1059, 'SAÍDA DE VENDAS'!$B$6:$B$500, 0)), "")&amp; IF(COUNTIF('SAÍDA DE VENDAS'!$B$6:$B$500, B1059)&gt;1, " + " &amp; IFERROR(INDEX('SAÍDA DE VENDAS'!$H$6:$H$500 &amp; "x " &amp; 'SAÍDA DE VENDAS'!$G$6:$G$500, MATCH(B1059, 'SAÍDA DE VENDAS'!$B$6:$B$500, 0)+1), ""), "")&amp; IF(COUNTIF('SAÍDA DE VENDAS'!$B$6:$B$500, B1059)&gt;2, " + " &amp; IFERROR(INDEX('SAÍDA DE VENDAS'!$H$6:$H$500 &amp; "x " &amp; 'SAÍDA DE VENDAS'!$G$6:$G$500, MATCH(B1059, 'SAÍDA DE VENDAS'!$B$6:$B$500, 0)+2), ""), "")&amp; IF(COUNTIF('SAÍDA DE VENDAS'!$B$6:$B$500, B1059)&gt;3, " + " &amp; IFERROR(INDEX('SAÍDA DE VENDAS'!$H$6:$H$500 &amp; "x " &amp; 'SAÍDA DE VENDAS'!$G$6:$G$500, MATCH(B1059, 'SAÍDA DE VENDAS'!$B$6:$B$500, 0)+3), ""), "")&amp; IF(COUNTIF('SAÍDA DE VENDAS'!$B$6:$B$500, B1059)&gt;4, " + " &amp; IFERROR(INDEX('SAÍDA DE VENDAS'!$H$6:$H$500 &amp; "x " &amp; 'SAÍDA DE VENDAS'!$G$6:$G$500, MATCH(B1059, 'SAÍDA DE VENDAS'!$B$6:$B$500, 0)+4), ""), "")&amp; IF(COUNTIF('SAÍDA DE VENDAS'!$B$6:$B$500, B1059)&gt;5, " + " &amp; IFERROR(INDEX('SAÍDA DE VENDAS'!$H$6:$H$500 &amp; "x " &amp; 'SAÍDA DE VENDAS'!$G$6:$G$500, MATCH(B1059, 'SAÍDA DE VENDAS'!$B$6:$B$500, 0)+5), ""), ""))</f>
        <v/>
      </c>
      <c r="G1059" s="34">
        <f>IFERROR(VLOOKUP(B1059,'SAÍDA DE VENDAS'!$B$6:$P$500,10,FALSE),"")</f>
        <v>0</v>
      </c>
      <c r="H1059" s="34" t="str">
        <f>IF(OR(ISBLANK(B1059),B1059=""), "", IF(B1059=B1058, (VALUE(LEFT(H1058,FIND("/",H1058)-1))+1)&amp;"/"&amp;RIGHT(H1058,LEN(H1058)-FIND("/",H1058)), "1/"&amp;IFERROR(VLOOKUP(B1059,'SAÍDA DE VENDAS'!$B$6:$P$500,13,FALSE),"1")))</f>
        <v/>
      </c>
      <c r="I1059" s="35" t="str">
        <f t="shared" si="32"/>
        <v/>
      </c>
      <c r="J1059" s="39" t="str">
        <f>IFERROR(VLOOKUP(B1059,'SAÍDA DE VENDAS'!$B$6:$P$500,15,FALSE),"")</f>
        <v/>
      </c>
      <c r="K1059" s="34" t="str">
        <f t="shared" ca="1" si="33"/>
        <v/>
      </c>
      <c r="L1059" s="34"/>
      <c r="M1059" s="34"/>
    </row>
    <row r="1060" spans="2:13" ht="15" customHeight="1" x14ac:dyDescent="0.3">
      <c r="B1060" s="28" t="str">
        <f>IF(B1059="","", IF(VALUE(LEFT(H1059,FIND("/",H1059)-1)) &lt; VALUE(RIGHT(H1059,LEN(H1059)-FIND("/",H1059))), B1059, IFERROR(INDEX('SAÍDA DE VENDAS'!$B$6:$B$500, MATCH(B1059,'SAÍDA DE VENDAS'!$B$6:$B$500,0)+COUNTIF('SAÍDA DE VENDAS'!$B$6:$B$500, B1059)),"")))</f>
        <v/>
      </c>
      <c r="C1060" s="29">
        <f>IFERROR(VLOOKUP(B1060,'SAÍDA DE VENDAS'!$B$6:$P$500,3,FALSE),"")</f>
        <v>0</v>
      </c>
      <c r="D1060" s="28">
        <f>IFERROR(VLOOKUP(B1060,'SAÍDA DE VENDAS'!$B$6:$P$500,4,FALSE),"")</f>
        <v>0</v>
      </c>
      <c r="E1060" s="28" t="str">
        <f>IFERROR(VLOOKUP(B1060,'SAÍDA DE VENDAS'!$B$6:$P$500,5,FALSE),"")</f>
        <v/>
      </c>
      <c r="F1060" s="28" t="str">
        <f>IF(OR(ISBLANK(B1060),B1060=""), "", IFERROR(INDEX('SAÍDA DE VENDAS'!$H$6:$H$500 &amp; "x " &amp; 'SAÍDA DE VENDAS'!$G$6:$G$500, MATCH(B1060, 'SAÍDA DE VENDAS'!$B$6:$B$500, 0)), "")&amp; IF(COUNTIF('SAÍDA DE VENDAS'!$B$6:$B$500, B1060)&gt;1, " + " &amp; IFERROR(INDEX('SAÍDA DE VENDAS'!$H$6:$H$500 &amp; "x " &amp; 'SAÍDA DE VENDAS'!$G$6:$G$500, MATCH(B1060, 'SAÍDA DE VENDAS'!$B$6:$B$500, 0)+1), ""), "")&amp; IF(COUNTIF('SAÍDA DE VENDAS'!$B$6:$B$500, B1060)&gt;2, " + " &amp; IFERROR(INDEX('SAÍDA DE VENDAS'!$H$6:$H$500 &amp; "x " &amp; 'SAÍDA DE VENDAS'!$G$6:$G$500, MATCH(B1060, 'SAÍDA DE VENDAS'!$B$6:$B$500, 0)+2), ""), "")&amp; IF(COUNTIF('SAÍDA DE VENDAS'!$B$6:$B$500, B1060)&gt;3, " + " &amp; IFERROR(INDEX('SAÍDA DE VENDAS'!$H$6:$H$500 &amp; "x " &amp; 'SAÍDA DE VENDAS'!$G$6:$G$500, MATCH(B1060, 'SAÍDA DE VENDAS'!$B$6:$B$500, 0)+3), ""), "")&amp; IF(COUNTIF('SAÍDA DE VENDAS'!$B$6:$B$500, B1060)&gt;4, " + " &amp; IFERROR(INDEX('SAÍDA DE VENDAS'!$H$6:$H$500 &amp; "x " &amp; 'SAÍDA DE VENDAS'!$G$6:$G$500, MATCH(B1060, 'SAÍDA DE VENDAS'!$B$6:$B$500, 0)+4), ""), "")&amp; IF(COUNTIF('SAÍDA DE VENDAS'!$B$6:$B$500, B1060)&gt;5, " + " &amp; IFERROR(INDEX('SAÍDA DE VENDAS'!$H$6:$H$500 &amp; "x " &amp; 'SAÍDA DE VENDAS'!$G$6:$G$500, MATCH(B1060, 'SAÍDA DE VENDAS'!$B$6:$B$500, 0)+5), ""), ""))</f>
        <v/>
      </c>
      <c r="G1060" s="28">
        <f>IFERROR(VLOOKUP(B1060,'SAÍDA DE VENDAS'!$B$6:$P$500,10,FALSE),"")</f>
        <v>0</v>
      </c>
      <c r="H1060" s="28" t="str">
        <f>IF(OR(ISBLANK(B1060),B1060=""), "", IF(B1060=B1059, (VALUE(LEFT(H1059,FIND("/",H1059)-1))+1)&amp;"/"&amp;RIGHT(H1059,LEN(H1059)-FIND("/",H1059)), "1/"&amp;IFERROR(VLOOKUP(B1060,'SAÍDA DE VENDAS'!$B$6:$P$500,13,FALSE),"1")))</f>
        <v/>
      </c>
      <c r="I1060" s="69" t="str">
        <f t="shared" si="32"/>
        <v/>
      </c>
      <c r="J1060" s="33" t="str">
        <f>IFERROR(VLOOKUP(B1060,'SAÍDA DE VENDAS'!$B$6:$P$500,15,FALSE),"")</f>
        <v/>
      </c>
      <c r="K1060" s="28" t="str">
        <f t="shared" ca="1" si="33"/>
        <v/>
      </c>
      <c r="L1060" s="28"/>
      <c r="M1060" s="28"/>
    </row>
    <row r="1061" spans="2:13" ht="15" customHeight="1" x14ac:dyDescent="0.3">
      <c r="B1061" s="34" t="str">
        <f>IF(B1060="","", IF(VALUE(LEFT(H1060,FIND("/",H1060)-1)) &lt; VALUE(RIGHT(H1060,LEN(H1060)-FIND("/",H1060))), B1060, IFERROR(INDEX('SAÍDA DE VENDAS'!$B$6:$B$500, MATCH(B1060,'SAÍDA DE VENDAS'!$B$6:$B$500,0)+COUNTIF('SAÍDA DE VENDAS'!$B$6:$B$500, B1060)),"")))</f>
        <v/>
      </c>
      <c r="C1061" s="35">
        <f>IFERROR(VLOOKUP(B1061,'SAÍDA DE VENDAS'!$B$6:$P$500,3,FALSE),"")</f>
        <v>0</v>
      </c>
      <c r="D1061" s="34">
        <f>IFERROR(VLOOKUP(B1061,'SAÍDA DE VENDAS'!$B$6:$P$500,4,FALSE),"")</f>
        <v>0</v>
      </c>
      <c r="E1061" s="34" t="str">
        <f>IFERROR(VLOOKUP(B1061,'SAÍDA DE VENDAS'!$B$6:$P$500,5,FALSE),"")</f>
        <v/>
      </c>
      <c r="F1061" s="34" t="str">
        <f>IF(OR(ISBLANK(B1061),B1061=""), "", IFERROR(INDEX('SAÍDA DE VENDAS'!$H$6:$H$500 &amp; "x " &amp; 'SAÍDA DE VENDAS'!$G$6:$G$500, MATCH(B1061, 'SAÍDA DE VENDAS'!$B$6:$B$500, 0)), "")&amp; IF(COUNTIF('SAÍDA DE VENDAS'!$B$6:$B$500, B1061)&gt;1, " + " &amp; IFERROR(INDEX('SAÍDA DE VENDAS'!$H$6:$H$500 &amp; "x " &amp; 'SAÍDA DE VENDAS'!$G$6:$G$500, MATCH(B1061, 'SAÍDA DE VENDAS'!$B$6:$B$500, 0)+1), ""), "")&amp; IF(COUNTIF('SAÍDA DE VENDAS'!$B$6:$B$500, B1061)&gt;2, " + " &amp; IFERROR(INDEX('SAÍDA DE VENDAS'!$H$6:$H$500 &amp; "x " &amp; 'SAÍDA DE VENDAS'!$G$6:$G$500, MATCH(B1061, 'SAÍDA DE VENDAS'!$B$6:$B$500, 0)+2), ""), "")&amp; IF(COUNTIF('SAÍDA DE VENDAS'!$B$6:$B$500, B1061)&gt;3, " + " &amp; IFERROR(INDEX('SAÍDA DE VENDAS'!$H$6:$H$500 &amp; "x " &amp; 'SAÍDA DE VENDAS'!$G$6:$G$500, MATCH(B1061, 'SAÍDA DE VENDAS'!$B$6:$B$500, 0)+3), ""), "")&amp; IF(COUNTIF('SAÍDA DE VENDAS'!$B$6:$B$500, B1061)&gt;4, " + " &amp; IFERROR(INDEX('SAÍDA DE VENDAS'!$H$6:$H$500 &amp; "x " &amp; 'SAÍDA DE VENDAS'!$G$6:$G$500, MATCH(B1061, 'SAÍDA DE VENDAS'!$B$6:$B$500, 0)+4), ""), "")&amp; IF(COUNTIF('SAÍDA DE VENDAS'!$B$6:$B$500, B1061)&gt;5, " + " &amp; IFERROR(INDEX('SAÍDA DE VENDAS'!$H$6:$H$500 &amp; "x " &amp; 'SAÍDA DE VENDAS'!$G$6:$G$500, MATCH(B1061, 'SAÍDA DE VENDAS'!$B$6:$B$500, 0)+5), ""), ""))</f>
        <v/>
      </c>
      <c r="G1061" s="34">
        <f>IFERROR(VLOOKUP(B1061,'SAÍDA DE VENDAS'!$B$6:$P$500,10,FALSE),"")</f>
        <v>0</v>
      </c>
      <c r="H1061" s="34" t="str">
        <f>IF(OR(ISBLANK(B1061),B1061=""), "", IF(B1061=B1060, (VALUE(LEFT(H1060,FIND("/",H1060)-1))+1)&amp;"/"&amp;RIGHT(H1060,LEN(H1060)-FIND("/",H1060)), "1/"&amp;IFERROR(VLOOKUP(B1061,'SAÍDA DE VENDAS'!$B$6:$P$500,13,FALSE),"1")))</f>
        <v/>
      </c>
      <c r="I1061" s="35" t="str">
        <f t="shared" si="32"/>
        <v/>
      </c>
      <c r="J1061" s="39" t="str">
        <f>IFERROR(VLOOKUP(B1061,'SAÍDA DE VENDAS'!$B$6:$P$500,15,FALSE),"")</f>
        <v/>
      </c>
      <c r="K1061" s="34" t="str">
        <f t="shared" ca="1" si="33"/>
        <v/>
      </c>
      <c r="L1061" s="34"/>
      <c r="M1061" s="34"/>
    </row>
    <row r="1062" spans="2:13" ht="15" customHeight="1" x14ac:dyDescent="0.3">
      <c r="B1062" s="28" t="str">
        <f>IF(B1061="","", IF(VALUE(LEFT(H1061,FIND("/",H1061)-1)) &lt; VALUE(RIGHT(H1061,LEN(H1061)-FIND("/",H1061))), B1061, IFERROR(INDEX('SAÍDA DE VENDAS'!$B$6:$B$500, MATCH(B1061,'SAÍDA DE VENDAS'!$B$6:$B$500,0)+COUNTIF('SAÍDA DE VENDAS'!$B$6:$B$500, B1061)),"")))</f>
        <v/>
      </c>
      <c r="C1062" s="29">
        <f>IFERROR(VLOOKUP(B1062,'SAÍDA DE VENDAS'!$B$6:$P$500,3,FALSE),"")</f>
        <v>0</v>
      </c>
      <c r="D1062" s="28">
        <f>IFERROR(VLOOKUP(B1062,'SAÍDA DE VENDAS'!$B$6:$P$500,4,FALSE),"")</f>
        <v>0</v>
      </c>
      <c r="E1062" s="28" t="str">
        <f>IFERROR(VLOOKUP(B1062,'SAÍDA DE VENDAS'!$B$6:$P$500,5,FALSE),"")</f>
        <v/>
      </c>
      <c r="F1062" s="28" t="str">
        <f>IF(OR(ISBLANK(B1062),B1062=""), "", IFERROR(INDEX('SAÍDA DE VENDAS'!$H$6:$H$500 &amp; "x " &amp; 'SAÍDA DE VENDAS'!$G$6:$G$500, MATCH(B1062, 'SAÍDA DE VENDAS'!$B$6:$B$500, 0)), "")&amp; IF(COUNTIF('SAÍDA DE VENDAS'!$B$6:$B$500, B1062)&gt;1, " + " &amp; IFERROR(INDEX('SAÍDA DE VENDAS'!$H$6:$H$500 &amp; "x " &amp; 'SAÍDA DE VENDAS'!$G$6:$G$500, MATCH(B1062, 'SAÍDA DE VENDAS'!$B$6:$B$500, 0)+1), ""), "")&amp; IF(COUNTIF('SAÍDA DE VENDAS'!$B$6:$B$500, B1062)&gt;2, " + " &amp; IFERROR(INDEX('SAÍDA DE VENDAS'!$H$6:$H$500 &amp; "x " &amp; 'SAÍDA DE VENDAS'!$G$6:$G$500, MATCH(B1062, 'SAÍDA DE VENDAS'!$B$6:$B$500, 0)+2), ""), "")&amp; IF(COUNTIF('SAÍDA DE VENDAS'!$B$6:$B$500, B1062)&gt;3, " + " &amp; IFERROR(INDEX('SAÍDA DE VENDAS'!$H$6:$H$500 &amp; "x " &amp; 'SAÍDA DE VENDAS'!$G$6:$G$500, MATCH(B1062, 'SAÍDA DE VENDAS'!$B$6:$B$500, 0)+3), ""), "")&amp; IF(COUNTIF('SAÍDA DE VENDAS'!$B$6:$B$500, B1062)&gt;4, " + " &amp; IFERROR(INDEX('SAÍDA DE VENDAS'!$H$6:$H$500 &amp; "x " &amp; 'SAÍDA DE VENDAS'!$G$6:$G$500, MATCH(B1062, 'SAÍDA DE VENDAS'!$B$6:$B$500, 0)+4), ""), "")&amp; IF(COUNTIF('SAÍDA DE VENDAS'!$B$6:$B$500, B1062)&gt;5, " + " &amp; IFERROR(INDEX('SAÍDA DE VENDAS'!$H$6:$H$500 &amp; "x " &amp; 'SAÍDA DE VENDAS'!$G$6:$G$500, MATCH(B1062, 'SAÍDA DE VENDAS'!$B$6:$B$500, 0)+5), ""), ""))</f>
        <v/>
      </c>
      <c r="G1062" s="28">
        <f>IFERROR(VLOOKUP(B1062,'SAÍDA DE VENDAS'!$B$6:$P$500,10,FALSE),"")</f>
        <v>0</v>
      </c>
      <c r="H1062" s="28" t="str">
        <f>IF(OR(ISBLANK(B1062),B1062=""), "", IF(B1062=B1061, (VALUE(LEFT(H1061,FIND("/",H1061)-1))+1)&amp;"/"&amp;RIGHT(H1061,LEN(H1061)-FIND("/",H1061)), "1/"&amp;IFERROR(VLOOKUP(B1062,'SAÍDA DE VENDAS'!$B$6:$P$500,13,FALSE),"1")))</f>
        <v/>
      </c>
      <c r="I1062" s="69" t="str">
        <f t="shared" si="32"/>
        <v/>
      </c>
      <c r="J1062" s="33" t="str">
        <f>IFERROR(VLOOKUP(B1062,'SAÍDA DE VENDAS'!$B$6:$P$500,15,FALSE),"")</f>
        <v/>
      </c>
      <c r="K1062" s="28" t="str">
        <f t="shared" ca="1" si="33"/>
        <v/>
      </c>
      <c r="L1062" s="28"/>
      <c r="M1062" s="28"/>
    </row>
    <row r="1063" spans="2:13" ht="15" customHeight="1" x14ac:dyDescent="0.3">
      <c r="B1063" s="34" t="str">
        <f>IF(B1062="","", IF(VALUE(LEFT(H1062,FIND("/",H1062)-1)) &lt; VALUE(RIGHT(H1062,LEN(H1062)-FIND("/",H1062))), B1062, IFERROR(INDEX('SAÍDA DE VENDAS'!$B$6:$B$500, MATCH(B1062,'SAÍDA DE VENDAS'!$B$6:$B$500,0)+COUNTIF('SAÍDA DE VENDAS'!$B$6:$B$500, B1062)),"")))</f>
        <v/>
      </c>
      <c r="C1063" s="35">
        <f>IFERROR(VLOOKUP(B1063,'SAÍDA DE VENDAS'!$B$6:$P$500,3,FALSE),"")</f>
        <v>0</v>
      </c>
      <c r="D1063" s="34">
        <f>IFERROR(VLOOKUP(B1063,'SAÍDA DE VENDAS'!$B$6:$P$500,4,FALSE),"")</f>
        <v>0</v>
      </c>
      <c r="E1063" s="34" t="str">
        <f>IFERROR(VLOOKUP(B1063,'SAÍDA DE VENDAS'!$B$6:$P$500,5,FALSE),"")</f>
        <v/>
      </c>
      <c r="F1063" s="34" t="str">
        <f>IF(OR(ISBLANK(B1063),B1063=""), "", IFERROR(INDEX('SAÍDA DE VENDAS'!$H$6:$H$500 &amp; "x " &amp; 'SAÍDA DE VENDAS'!$G$6:$G$500, MATCH(B1063, 'SAÍDA DE VENDAS'!$B$6:$B$500, 0)), "")&amp; IF(COUNTIF('SAÍDA DE VENDAS'!$B$6:$B$500, B1063)&gt;1, " + " &amp; IFERROR(INDEX('SAÍDA DE VENDAS'!$H$6:$H$500 &amp; "x " &amp; 'SAÍDA DE VENDAS'!$G$6:$G$500, MATCH(B1063, 'SAÍDA DE VENDAS'!$B$6:$B$500, 0)+1), ""), "")&amp; IF(COUNTIF('SAÍDA DE VENDAS'!$B$6:$B$500, B1063)&gt;2, " + " &amp; IFERROR(INDEX('SAÍDA DE VENDAS'!$H$6:$H$500 &amp; "x " &amp; 'SAÍDA DE VENDAS'!$G$6:$G$500, MATCH(B1063, 'SAÍDA DE VENDAS'!$B$6:$B$500, 0)+2), ""), "")&amp; IF(COUNTIF('SAÍDA DE VENDAS'!$B$6:$B$500, B1063)&gt;3, " + " &amp; IFERROR(INDEX('SAÍDA DE VENDAS'!$H$6:$H$500 &amp; "x " &amp; 'SAÍDA DE VENDAS'!$G$6:$G$500, MATCH(B1063, 'SAÍDA DE VENDAS'!$B$6:$B$500, 0)+3), ""), "")&amp; IF(COUNTIF('SAÍDA DE VENDAS'!$B$6:$B$500, B1063)&gt;4, " + " &amp; IFERROR(INDEX('SAÍDA DE VENDAS'!$H$6:$H$500 &amp; "x " &amp; 'SAÍDA DE VENDAS'!$G$6:$G$500, MATCH(B1063, 'SAÍDA DE VENDAS'!$B$6:$B$500, 0)+4), ""), "")&amp; IF(COUNTIF('SAÍDA DE VENDAS'!$B$6:$B$500, B1063)&gt;5, " + " &amp; IFERROR(INDEX('SAÍDA DE VENDAS'!$H$6:$H$500 &amp; "x " &amp; 'SAÍDA DE VENDAS'!$G$6:$G$500, MATCH(B1063, 'SAÍDA DE VENDAS'!$B$6:$B$500, 0)+5), ""), ""))</f>
        <v/>
      </c>
      <c r="G1063" s="34">
        <f>IFERROR(VLOOKUP(B1063,'SAÍDA DE VENDAS'!$B$6:$P$500,10,FALSE),"")</f>
        <v>0</v>
      </c>
      <c r="H1063" s="34" t="str">
        <f>IF(OR(ISBLANK(B1063),B1063=""), "", IF(B1063=B1062, (VALUE(LEFT(H1062,FIND("/",H1062)-1))+1)&amp;"/"&amp;RIGHT(H1062,LEN(H1062)-FIND("/",H1062)), "1/"&amp;IFERROR(VLOOKUP(B1063,'SAÍDA DE VENDAS'!$B$6:$P$500,13,FALSE),"1")))</f>
        <v/>
      </c>
      <c r="I1063" s="35" t="str">
        <f t="shared" si="32"/>
        <v/>
      </c>
      <c r="J1063" s="39" t="str">
        <f>IFERROR(VLOOKUP(B1063,'SAÍDA DE VENDAS'!$B$6:$P$500,15,FALSE),"")</f>
        <v/>
      </c>
      <c r="K1063" s="34" t="str">
        <f t="shared" ca="1" si="33"/>
        <v/>
      </c>
      <c r="L1063" s="34"/>
      <c r="M1063" s="34"/>
    </row>
    <row r="1064" spans="2:13" ht="15" customHeight="1" x14ac:dyDescent="0.3">
      <c r="B1064" s="28" t="str">
        <f>IF(B1063="","", IF(VALUE(LEFT(H1063,FIND("/",H1063)-1)) &lt; VALUE(RIGHT(H1063,LEN(H1063)-FIND("/",H1063))), B1063, IFERROR(INDEX('SAÍDA DE VENDAS'!$B$6:$B$500, MATCH(B1063,'SAÍDA DE VENDAS'!$B$6:$B$500,0)+COUNTIF('SAÍDA DE VENDAS'!$B$6:$B$500, B1063)),"")))</f>
        <v/>
      </c>
      <c r="C1064" s="29">
        <f>IFERROR(VLOOKUP(B1064,'SAÍDA DE VENDAS'!$B$6:$P$500,3,FALSE),"")</f>
        <v>0</v>
      </c>
      <c r="D1064" s="28">
        <f>IFERROR(VLOOKUP(B1064,'SAÍDA DE VENDAS'!$B$6:$P$500,4,FALSE),"")</f>
        <v>0</v>
      </c>
      <c r="E1064" s="28" t="str">
        <f>IFERROR(VLOOKUP(B1064,'SAÍDA DE VENDAS'!$B$6:$P$500,5,FALSE),"")</f>
        <v/>
      </c>
      <c r="F1064" s="28" t="str">
        <f>IF(OR(ISBLANK(B1064),B1064=""), "", IFERROR(INDEX('SAÍDA DE VENDAS'!$H$6:$H$500 &amp; "x " &amp; 'SAÍDA DE VENDAS'!$G$6:$G$500, MATCH(B1064, 'SAÍDA DE VENDAS'!$B$6:$B$500, 0)), "")&amp; IF(COUNTIF('SAÍDA DE VENDAS'!$B$6:$B$500, B1064)&gt;1, " + " &amp; IFERROR(INDEX('SAÍDA DE VENDAS'!$H$6:$H$500 &amp; "x " &amp; 'SAÍDA DE VENDAS'!$G$6:$G$500, MATCH(B1064, 'SAÍDA DE VENDAS'!$B$6:$B$500, 0)+1), ""), "")&amp; IF(COUNTIF('SAÍDA DE VENDAS'!$B$6:$B$500, B1064)&gt;2, " + " &amp; IFERROR(INDEX('SAÍDA DE VENDAS'!$H$6:$H$500 &amp; "x " &amp; 'SAÍDA DE VENDAS'!$G$6:$G$500, MATCH(B1064, 'SAÍDA DE VENDAS'!$B$6:$B$500, 0)+2), ""), "")&amp; IF(COUNTIF('SAÍDA DE VENDAS'!$B$6:$B$500, B1064)&gt;3, " + " &amp; IFERROR(INDEX('SAÍDA DE VENDAS'!$H$6:$H$500 &amp; "x " &amp; 'SAÍDA DE VENDAS'!$G$6:$G$500, MATCH(B1064, 'SAÍDA DE VENDAS'!$B$6:$B$500, 0)+3), ""), "")&amp; IF(COUNTIF('SAÍDA DE VENDAS'!$B$6:$B$500, B1064)&gt;4, " + " &amp; IFERROR(INDEX('SAÍDA DE VENDAS'!$H$6:$H$500 &amp; "x " &amp; 'SAÍDA DE VENDAS'!$G$6:$G$500, MATCH(B1064, 'SAÍDA DE VENDAS'!$B$6:$B$500, 0)+4), ""), "")&amp; IF(COUNTIF('SAÍDA DE VENDAS'!$B$6:$B$500, B1064)&gt;5, " + " &amp; IFERROR(INDEX('SAÍDA DE VENDAS'!$H$6:$H$500 &amp; "x " &amp; 'SAÍDA DE VENDAS'!$G$6:$G$500, MATCH(B1064, 'SAÍDA DE VENDAS'!$B$6:$B$500, 0)+5), ""), ""))</f>
        <v/>
      </c>
      <c r="G1064" s="28">
        <f>IFERROR(VLOOKUP(B1064,'SAÍDA DE VENDAS'!$B$6:$P$500,10,FALSE),"")</f>
        <v>0</v>
      </c>
      <c r="H1064" s="28" t="str">
        <f>IF(OR(ISBLANK(B1064),B1064=""), "", IF(B1064=B1063, (VALUE(LEFT(H1063,FIND("/",H1063)-1))+1)&amp;"/"&amp;RIGHT(H1063,LEN(H1063)-FIND("/",H1063)), "1/"&amp;IFERROR(VLOOKUP(B1064,'SAÍDA DE VENDAS'!$B$6:$P$500,13,FALSE),"1")))</f>
        <v/>
      </c>
      <c r="I1064" s="69" t="str">
        <f t="shared" si="32"/>
        <v/>
      </c>
      <c r="J1064" s="33" t="str">
        <f>IFERROR(VLOOKUP(B1064,'SAÍDA DE VENDAS'!$B$6:$P$500,15,FALSE),"")</f>
        <v/>
      </c>
      <c r="K1064" s="28" t="str">
        <f t="shared" ca="1" si="33"/>
        <v/>
      </c>
      <c r="L1064" s="28"/>
      <c r="M1064" s="28"/>
    </row>
    <row r="1065" spans="2:13" ht="15" customHeight="1" x14ac:dyDescent="0.3">
      <c r="B1065" s="34" t="str">
        <f>IF(B1064="","", IF(VALUE(LEFT(H1064,FIND("/",H1064)-1)) &lt; VALUE(RIGHT(H1064,LEN(H1064)-FIND("/",H1064))), B1064, IFERROR(INDEX('SAÍDA DE VENDAS'!$B$6:$B$500, MATCH(B1064,'SAÍDA DE VENDAS'!$B$6:$B$500,0)+COUNTIF('SAÍDA DE VENDAS'!$B$6:$B$500, B1064)),"")))</f>
        <v/>
      </c>
      <c r="C1065" s="35">
        <f>IFERROR(VLOOKUP(B1065,'SAÍDA DE VENDAS'!$B$6:$P$500,3,FALSE),"")</f>
        <v>0</v>
      </c>
      <c r="D1065" s="34">
        <f>IFERROR(VLOOKUP(B1065,'SAÍDA DE VENDAS'!$B$6:$P$500,4,FALSE),"")</f>
        <v>0</v>
      </c>
      <c r="E1065" s="34" t="str">
        <f>IFERROR(VLOOKUP(B1065,'SAÍDA DE VENDAS'!$B$6:$P$500,5,FALSE),"")</f>
        <v/>
      </c>
      <c r="F1065" s="34" t="str">
        <f>IF(OR(ISBLANK(B1065),B1065=""), "", IFERROR(INDEX('SAÍDA DE VENDAS'!$H$6:$H$500 &amp; "x " &amp; 'SAÍDA DE VENDAS'!$G$6:$G$500, MATCH(B1065, 'SAÍDA DE VENDAS'!$B$6:$B$500, 0)), "")&amp; IF(COUNTIF('SAÍDA DE VENDAS'!$B$6:$B$500, B1065)&gt;1, " + " &amp; IFERROR(INDEX('SAÍDA DE VENDAS'!$H$6:$H$500 &amp; "x " &amp; 'SAÍDA DE VENDAS'!$G$6:$G$500, MATCH(B1065, 'SAÍDA DE VENDAS'!$B$6:$B$500, 0)+1), ""), "")&amp; IF(COUNTIF('SAÍDA DE VENDAS'!$B$6:$B$500, B1065)&gt;2, " + " &amp; IFERROR(INDEX('SAÍDA DE VENDAS'!$H$6:$H$500 &amp; "x " &amp; 'SAÍDA DE VENDAS'!$G$6:$G$500, MATCH(B1065, 'SAÍDA DE VENDAS'!$B$6:$B$500, 0)+2), ""), "")&amp; IF(COUNTIF('SAÍDA DE VENDAS'!$B$6:$B$500, B1065)&gt;3, " + " &amp; IFERROR(INDEX('SAÍDA DE VENDAS'!$H$6:$H$500 &amp; "x " &amp; 'SAÍDA DE VENDAS'!$G$6:$G$500, MATCH(B1065, 'SAÍDA DE VENDAS'!$B$6:$B$500, 0)+3), ""), "")&amp; IF(COUNTIF('SAÍDA DE VENDAS'!$B$6:$B$500, B1065)&gt;4, " + " &amp; IFERROR(INDEX('SAÍDA DE VENDAS'!$H$6:$H$500 &amp; "x " &amp; 'SAÍDA DE VENDAS'!$G$6:$G$500, MATCH(B1065, 'SAÍDA DE VENDAS'!$B$6:$B$500, 0)+4), ""), "")&amp; IF(COUNTIF('SAÍDA DE VENDAS'!$B$6:$B$500, B1065)&gt;5, " + " &amp; IFERROR(INDEX('SAÍDA DE VENDAS'!$H$6:$H$500 &amp; "x " &amp; 'SAÍDA DE VENDAS'!$G$6:$G$500, MATCH(B1065, 'SAÍDA DE VENDAS'!$B$6:$B$500, 0)+5), ""), ""))</f>
        <v/>
      </c>
      <c r="G1065" s="34">
        <f>IFERROR(VLOOKUP(B1065,'SAÍDA DE VENDAS'!$B$6:$P$500,10,FALSE),"")</f>
        <v>0</v>
      </c>
      <c r="H1065" s="34" t="str">
        <f>IF(OR(ISBLANK(B1065),B1065=""), "", IF(B1065=B1064, (VALUE(LEFT(H1064,FIND("/",H1064)-1))+1)&amp;"/"&amp;RIGHT(H1064,LEN(H1064)-FIND("/",H1064)), "1/"&amp;IFERROR(VLOOKUP(B1065,'SAÍDA DE VENDAS'!$B$6:$P$500,13,FALSE),"1")))</f>
        <v/>
      </c>
      <c r="I1065" s="35" t="str">
        <f t="shared" si="32"/>
        <v/>
      </c>
      <c r="J1065" s="39" t="str">
        <f>IFERROR(VLOOKUP(B1065,'SAÍDA DE VENDAS'!$B$6:$P$500,15,FALSE),"")</f>
        <v/>
      </c>
      <c r="K1065" s="34" t="str">
        <f t="shared" ca="1" si="33"/>
        <v/>
      </c>
      <c r="L1065" s="34"/>
      <c r="M1065" s="34"/>
    </row>
    <row r="1066" spans="2:13" ht="15" customHeight="1" x14ac:dyDescent="0.3">
      <c r="B1066" s="28" t="str">
        <f>IF(B1065="","", IF(VALUE(LEFT(H1065,FIND("/",H1065)-1)) &lt; VALUE(RIGHT(H1065,LEN(H1065)-FIND("/",H1065))), B1065, IFERROR(INDEX('SAÍDA DE VENDAS'!$B$6:$B$500, MATCH(B1065,'SAÍDA DE VENDAS'!$B$6:$B$500,0)+COUNTIF('SAÍDA DE VENDAS'!$B$6:$B$500, B1065)),"")))</f>
        <v/>
      </c>
      <c r="C1066" s="29">
        <f>IFERROR(VLOOKUP(B1066,'SAÍDA DE VENDAS'!$B$6:$P$500,3,FALSE),"")</f>
        <v>0</v>
      </c>
      <c r="D1066" s="28">
        <f>IFERROR(VLOOKUP(B1066,'SAÍDA DE VENDAS'!$B$6:$P$500,4,FALSE),"")</f>
        <v>0</v>
      </c>
      <c r="E1066" s="28" t="str">
        <f>IFERROR(VLOOKUP(B1066,'SAÍDA DE VENDAS'!$B$6:$P$500,5,FALSE),"")</f>
        <v/>
      </c>
      <c r="F1066" s="28" t="str">
        <f>IF(OR(ISBLANK(B1066),B1066=""), "", IFERROR(INDEX('SAÍDA DE VENDAS'!$H$6:$H$500 &amp; "x " &amp; 'SAÍDA DE VENDAS'!$G$6:$G$500, MATCH(B1066, 'SAÍDA DE VENDAS'!$B$6:$B$500, 0)), "")&amp; IF(COUNTIF('SAÍDA DE VENDAS'!$B$6:$B$500, B1066)&gt;1, " + " &amp; IFERROR(INDEX('SAÍDA DE VENDAS'!$H$6:$H$500 &amp; "x " &amp; 'SAÍDA DE VENDAS'!$G$6:$G$500, MATCH(B1066, 'SAÍDA DE VENDAS'!$B$6:$B$500, 0)+1), ""), "")&amp; IF(COUNTIF('SAÍDA DE VENDAS'!$B$6:$B$500, B1066)&gt;2, " + " &amp; IFERROR(INDEX('SAÍDA DE VENDAS'!$H$6:$H$500 &amp; "x " &amp; 'SAÍDA DE VENDAS'!$G$6:$G$500, MATCH(B1066, 'SAÍDA DE VENDAS'!$B$6:$B$500, 0)+2), ""), "")&amp; IF(COUNTIF('SAÍDA DE VENDAS'!$B$6:$B$500, B1066)&gt;3, " + " &amp; IFERROR(INDEX('SAÍDA DE VENDAS'!$H$6:$H$500 &amp; "x " &amp; 'SAÍDA DE VENDAS'!$G$6:$G$500, MATCH(B1066, 'SAÍDA DE VENDAS'!$B$6:$B$500, 0)+3), ""), "")&amp; IF(COUNTIF('SAÍDA DE VENDAS'!$B$6:$B$500, B1066)&gt;4, " + " &amp; IFERROR(INDEX('SAÍDA DE VENDAS'!$H$6:$H$500 &amp; "x " &amp; 'SAÍDA DE VENDAS'!$G$6:$G$500, MATCH(B1066, 'SAÍDA DE VENDAS'!$B$6:$B$500, 0)+4), ""), "")&amp; IF(COUNTIF('SAÍDA DE VENDAS'!$B$6:$B$500, B1066)&gt;5, " + " &amp; IFERROR(INDEX('SAÍDA DE VENDAS'!$H$6:$H$500 &amp; "x " &amp; 'SAÍDA DE VENDAS'!$G$6:$G$500, MATCH(B1066, 'SAÍDA DE VENDAS'!$B$6:$B$500, 0)+5), ""), ""))</f>
        <v/>
      </c>
      <c r="G1066" s="28">
        <f>IFERROR(VLOOKUP(B1066,'SAÍDA DE VENDAS'!$B$6:$P$500,10,FALSE),"")</f>
        <v>0</v>
      </c>
      <c r="H1066" s="28" t="str">
        <f>IF(OR(ISBLANK(B1066),B1066=""), "", IF(B1066=B1065, (VALUE(LEFT(H1065,FIND("/",H1065)-1))+1)&amp;"/"&amp;RIGHT(H1065,LEN(H1065)-FIND("/",H1065)), "1/"&amp;IFERROR(VLOOKUP(B1066,'SAÍDA DE VENDAS'!$B$6:$P$500,13,FALSE),"1")))</f>
        <v/>
      </c>
      <c r="I1066" s="69" t="str">
        <f t="shared" si="32"/>
        <v/>
      </c>
      <c r="J1066" s="33" t="str">
        <f>IFERROR(VLOOKUP(B1066,'SAÍDA DE VENDAS'!$B$6:$P$500,15,FALSE),"")</f>
        <v/>
      </c>
      <c r="K1066" s="28" t="str">
        <f t="shared" ca="1" si="33"/>
        <v/>
      </c>
      <c r="L1066" s="28"/>
      <c r="M1066" s="28"/>
    </row>
    <row r="1067" spans="2:13" ht="15" customHeight="1" x14ac:dyDescent="0.3">
      <c r="B1067" s="34" t="str">
        <f>IF(B1066="","", IF(VALUE(LEFT(H1066,FIND("/",H1066)-1)) &lt; VALUE(RIGHT(H1066,LEN(H1066)-FIND("/",H1066))), B1066, IFERROR(INDEX('SAÍDA DE VENDAS'!$B$6:$B$500, MATCH(B1066,'SAÍDA DE VENDAS'!$B$6:$B$500,0)+COUNTIF('SAÍDA DE VENDAS'!$B$6:$B$500, B1066)),"")))</f>
        <v/>
      </c>
      <c r="C1067" s="35">
        <f>IFERROR(VLOOKUP(B1067,'SAÍDA DE VENDAS'!$B$6:$P$500,3,FALSE),"")</f>
        <v>0</v>
      </c>
      <c r="D1067" s="34">
        <f>IFERROR(VLOOKUP(B1067,'SAÍDA DE VENDAS'!$B$6:$P$500,4,FALSE),"")</f>
        <v>0</v>
      </c>
      <c r="E1067" s="34" t="str">
        <f>IFERROR(VLOOKUP(B1067,'SAÍDA DE VENDAS'!$B$6:$P$500,5,FALSE),"")</f>
        <v/>
      </c>
      <c r="F1067" s="34" t="str">
        <f>IF(OR(ISBLANK(B1067),B1067=""), "", IFERROR(INDEX('SAÍDA DE VENDAS'!$H$6:$H$500 &amp; "x " &amp; 'SAÍDA DE VENDAS'!$G$6:$G$500, MATCH(B1067, 'SAÍDA DE VENDAS'!$B$6:$B$500, 0)), "")&amp; IF(COUNTIF('SAÍDA DE VENDAS'!$B$6:$B$500, B1067)&gt;1, " + " &amp; IFERROR(INDEX('SAÍDA DE VENDAS'!$H$6:$H$500 &amp; "x " &amp; 'SAÍDA DE VENDAS'!$G$6:$G$500, MATCH(B1067, 'SAÍDA DE VENDAS'!$B$6:$B$500, 0)+1), ""), "")&amp; IF(COUNTIF('SAÍDA DE VENDAS'!$B$6:$B$500, B1067)&gt;2, " + " &amp; IFERROR(INDEX('SAÍDA DE VENDAS'!$H$6:$H$500 &amp; "x " &amp; 'SAÍDA DE VENDAS'!$G$6:$G$500, MATCH(B1067, 'SAÍDA DE VENDAS'!$B$6:$B$500, 0)+2), ""), "")&amp; IF(COUNTIF('SAÍDA DE VENDAS'!$B$6:$B$500, B1067)&gt;3, " + " &amp; IFERROR(INDEX('SAÍDA DE VENDAS'!$H$6:$H$500 &amp; "x " &amp; 'SAÍDA DE VENDAS'!$G$6:$G$500, MATCH(B1067, 'SAÍDA DE VENDAS'!$B$6:$B$500, 0)+3), ""), "")&amp; IF(COUNTIF('SAÍDA DE VENDAS'!$B$6:$B$500, B1067)&gt;4, " + " &amp; IFERROR(INDEX('SAÍDA DE VENDAS'!$H$6:$H$500 &amp; "x " &amp; 'SAÍDA DE VENDAS'!$G$6:$G$500, MATCH(B1067, 'SAÍDA DE VENDAS'!$B$6:$B$500, 0)+4), ""), "")&amp; IF(COUNTIF('SAÍDA DE VENDAS'!$B$6:$B$500, B1067)&gt;5, " + " &amp; IFERROR(INDEX('SAÍDA DE VENDAS'!$H$6:$H$500 &amp; "x " &amp; 'SAÍDA DE VENDAS'!$G$6:$G$500, MATCH(B1067, 'SAÍDA DE VENDAS'!$B$6:$B$500, 0)+5), ""), ""))</f>
        <v/>
      </c>
      <c r="G1067" s="34">
        <f>IFERROR(VLOOKUP(B1067,'SAÍDA DE VENDAS'!$B$6:$P$500,10,FALSE),"")</f>
        <v>0</v>
      </c>
      <c r="H1067" s="34" t="str">
        <f>IF(OR(ISBLANK(B1067),B1067=""), "", IF(B1067=B1066, (VALUE(LEFT(H1066,FIND("/",H1066)-1))+1)&amp;"/"&amp;RIGHT(H1066,LEN(H1066)-FIND("/",H1066)), "1/"&amp;IFERROR(VLOOKUP(B1067,'SAÍDA DE VENDAS'!$B$6:$P$500,13,FALSE),"1")))</f>
        <v/>
      </c>
      <c r="I1067" s="35" t="str">
        <f t="shared" si="32"/>
        <v/>
      </c>
      <c r="J1067" s="39" t="str">
        <f>IFERROR(VLOOKUP(B1067,'SAÍDA DE VENDAS'!$B$6:$P$500,15,FALSE),"")</f>
        <v/>
      </c>
      <c r="K1067" s="34" t="str">
        <f t="shared" ca="1" si="33"/>
        <v/>
      </c>
      <c r="L1067" s="34"/>
      <c r="M1067" s="34"/>
    </row>
    <row r="1068" spans="2:13" ht="15" customHeight="1" x14ac:dyDescent="0.3">
      <c r="B1068" s="28" t="str">
        <f>IF(B1067="","", IF(VALUE(LEFT(H1067,FIND("/",H1067)-1)) &lt; VALUE(RIGHT(H1067,LEN(H1067)-FIND("/",H1067))), B1067, IFERROR(INDEX('SAÍDA DE VENDAS'!$B$6:$B$500, MATCH(B1067,'SAÍDA DE VENDAS'!$B$6:$B$500,0)+COUNTIF('SAÍDA DE VENDAS'!$B$6:$B$500, B1067)),"")))</f>
        <v/>
      </c>
      <c r="C1068" s="29">
        <f>IFERROR(VLOOKUP(B1068,'SAÍDA DE VENDAS'!$B$6:$P$500,3,FALSE),"")</f>
        <v>0</v>
      </c>
      <c r="D1068" s="28">
        <f>IFERROR(VLOOKUP(B1068,'SAÍDA DE VENDAS'!$B$6:$P$500,4,FALSE),"")</f>
        <v>0</v>
      </c>
      <c r="E1068" s="28" t="str">
        <f>IFERROR(VLOOKUP(B1068,'SAÍDA DE VENDAS'!$B$6:$P$500,5,FALSE),"")</f>
        <v/>
      </c>
      <c r="F1068" s="28" t="str">
        <f>IF(OR(ISBLANK(B1068),B1068=""), "", IFERROR(INDEX('SAÍDA DE VENDAS'!$H$6:$H$500 &amp; "x " &amp; 'SAÍDA DE VENDAS'!$G$6:$G$500, MATCH(B1068, 'SAÍDA DE VENDAS'!$B$6:$B$500, 0)), "")&amp; IF(COUNTIF('SAÍDA DE VENDAS'!$B$6:$B$500, B1068)&gt;1, " + " &amp; IFERROR(INDEX('SAÍDA DE VENDAS'!$H$6:$H$500 &amp; "x " &amp; 'SAÍDA DE VENDAS'!$G$6:$G$500, MATCH(B1068, 'SAÍDA DE VENDAS'!$B$6:$B$500, 0)+1), ""), "")&amp; IF(COUNTIF('SAÍDA DE VENDAS'!$B$6:$B$500, B1068)&gt;2, " + " &amp; IFERROR(INDEX('SAÍDA DE VENDAS'!$H$6:$H$500 &amp; "x " &amp; 'SAÍDA DE VENDAS'!$G$6:$G$500, MATCH(B1068, 'SAÍDA DE VENDAS'!$B$6:$B$500, 0)+2), ""), "")&amp; IF(COUNTIF('SAÍDA DE VENDAS'!$B$6:$B$500, B1068)&gt;3, " + " &amp; IFERROR(INDEX('SAÍDA DE VENDAS'!$H$6:$H$500 &amp; "x " &amp; 'SAÍDA DE VENDAS'!$G$6:$G$500, MATCH(B1068, 'SAÍDA DE VENDAS'!$B$6:$B$500, 0)+3), ""), "")&amp; IF(COUNTIF('SAÍDA DE VENDAS'!$B$6:$B$500, B1068)&gt;4, " + " &amp; IFERROR(INDEX('SAÍDA DE VENDAS'!$H$6:$H$500 &amp; "x " &amp; 'SAÍDA DE VENDAS'!$G$6:$G$500, MATCH(B1068, 'SAÍDA DE VENDAS'!$B$6:$B$500, 0)+4), ""), "")&amp; IF(COUNTIF('SAÍDA DE VENDAS'!$B$6:$B$500, B1068)&gt;5, " + " &amp; IFERROR(INDEX('SAÍDA DE VENDAS'!$H$6:$H$500 &amp; "x " &amp; 'SAÍDA DE VENDAS'!$G$6:$G$500, MATCH(B1068, 'SAÍDA DE VENDAS'!$B$6:$B$500, 0)+5), ""), ""))</f>
        <v/>
      </c>
      <c r="G1068" s="28">
        <f>IFERROR(VLOOKUP(B1068,'SAÍDA DE VENDAS'!$B$6:$P$500,10,FALSE),"")</f>
        <v>0</v>
      </c>
      <c r="H1068" s="28" t="str">
        <f>IF(OR(ISBLANK(B1068),B1068=""), "", IF(B1068=B1067, (VALUE(LEFT(H1067,FIND("/",H1067)-1))+1)&amp;"/"&amp;RIGHT(H1067,LEN(H1067)-FIND("/",H1067)), "1/"&amp;IFERROR(VLOOKUP(B1068,'SAÍDA DE VENDAS'!$B$6:$P$500,13,FALSE),"1")))</f>
        <v/>
      </c>
      <c r="I1068" s="69" t="str">
        <f t="shared" si="32"/>
        <v/>
      </c>
      <c r="J1068" s="33" t="str">
        <f>IFERROR(VLOOKUP(B1068,'SAÍDA DE VENDAS'!$B$6:$P$500,15,FALSE),"")</f>
        <v/>
      </c>
      <c r="K1068" s="28" t="str">
        <f t="shared" ca="1" si="33"/>
        <v/>
      </c>
      <c r="L1068" s="28"/>
      <c r="M1068" s="28"/>
    </row>
    <row r="1069" spans="2:13" ht="15" customHeight="1" x14ac:dyDescent="0.3">
      <c r="B1069" s="34" t="str">
        <f>IF(B1068="","", IF(VALUE(LEFT(H1068,FIND("/",H1068)-1)) &lt; VALUE(RIGHT(H1068,LEN(H1068)-FIND("/",H1068))), B1068, IFERROR(INDEX('SAÍDA DE VENDAS'!$B$6:$B$500, MATCH(B1068,'SAÍDA DE VENDAS'!$B$6:$B$500,0)+COUNTIF('SAÍDA DE VENDAS'!$B$6:$B$500, B1068)),"")))</f>
        <v/>
      </c>
      <c r="C1069" s="35">
        <f>IFERROR(VLOOKUP(B1069,'SAÍDA DE VENDAS'!$B$6:$P$500,3,FALSE),"")</f>
        <v>0</v>
      </c>
      <c r="D1069" s="34">
        <f>IFERROR(VLOOKUP(B1069,'SAÍDA DE VENDAS'!$B$6:$P$500,4,FALSE),"")</f>
        <v>0</v>
      </c>
      <c r="E1069" s="34" t="str">
        <f>IFERROR(VLOOKUP(B1069,'SAÍDA DE VENDAS'!$B$6:$P$500,5,FALSE),"")</f>
        <v/>
      </c>
      <c r="F1069" s="34" t="str">
        <f>IF(OR(ISBLANK(B1069),B1069=""), "", IFERROR(INDEX('SAÍDA DE VENDAS'!$H$6:$H$500 &amp; "x " &amp; 'SAÍDA DE VENDAS'!$G$6:$G$500, MATCH(B1069, 'SAÍDA DE VENDAS'!$B$6:$B$500, 0)), "")&amp; IF(COUNTIF('SAÍDA DE VENDAS'!$B$6:$B$500, B1069)&gt;1, " + " &amp; IFERROR(INDEX('SAÍDA DE VENDAS'!$H$6:$H$500 &amp; "x " &amp; 'SAÍDA DE VENDAS'!$G$6:$G$500, MATCH(B1069, 'SAÍDA DE VENDAS'!$B$6:$B$500, 0)+1), ""), "")&amp; IF(COUNTIF('SAÍDA DE VENDAS'!$B$6:$B$500, B1069)&gt;2, " + " &amp; IFERROR(INDEX('SAÍDA DE VENDAS'!$H$6:$H$500 &amp; "x " &amp; 'SAÍDA DE VENDAS'!$G$6:$G$500, MATCH(B1069, 'SAÍDA DE VENDAS'!$B$6:$B$500, 0)+2), ""), "")&amp; IF(COUNTIF('SAÍDA DE VENDAS'!$B$6:$B$500, B1069)&gt;3, " + " &amp; IFERROR(INDEX('SAÍDA DE VENDAS'!$H$6:$H$500 &amp; "x " &amp; 'SAÍDA DE VENDAS'!$G$6:$G$500, MATCH(B1069, 'SAÍDA DE VENDAS'!$B$6:$B$500, 0)+3), ""), "")&amp; IF(COUNTIF('SAÍDA DE VENDAS'!$B$6:$B$500, B1069)&gt;4, " + " &amp; IFERROR(INDEX('SAÍDA DE VENDAS'!$H$6:$H$500 &amp; "x " &amp; 'SAÍDA DE VENDAS'!$G$6:$G$500, MATCH(B1069, 'SAÍDA DE VENDAS'!$B$6:$B$500, 0)+4), ""), "")&amp; IF(COUNTIF('SAÍDA DE VENDAS'!$B$6:$B$500, B1069)&gt;5, " + " &amp; IFERROR(INDEX('SAÍDA DE VENDAS'!$H$6:$H$500 &amp; "x " &amp; 'SAÍDA DE VENDAS'!$G$6:$G$500, MATCH(B1069, 'SAÍDA DE VENDAS'!$B$6:$B$500, 0)+5), ""), ""))</f>
        <v/>
      </c>
      <c r="G1069" s="34">
        <f>IFERROR(VLOOKUP(B1069,'SAÍDA DE VENDAS'!$B$6:$P$500,10,FALSE),"")</f>
        <v>0</v>
      </c>
      <c r="H1069" s="34" t="str">
        <f>IF(OR(ISBLANK(B1069),B1069=""), "", IF(B1069=B1068, (VALUE(LEFT(H1068,FIND("/",H1068)-1))+1)&amp;"/"&amp;RIGHT(H1068,LEN(H1068)-FIND("/",H1068)), "1/"&amp;IFERROR(VLOOKUP(B1069,'SAÍDA DE VENDAS'!$B$6:$P$500,13,FALSE),"1")))</f>
        <v/>
      </c>
      <c r="I1069" s="35" t="str">
        <f t="shared" si="32"/>
        <v/>
      </c>
      <c r="J1069" s="39" t="str">
        <f>IFERROR(VLOOKUP(B1069,'SAÍDA DE VENDAS'!$B$6:$P$500,15,FALSE),"")</f>
        <v/>
      </c>
      <c r="K1069" s="34" t="str">
        <f t="shared" ca="1" si="33"/>
        <v/>
      </c>
      <c r="L1069" s="34"/>
      <c r="M1069" s="34"/>
    </row>
    <row r="1070" spans="2:13" ht="15" customHeight="1" x14ac:dyDescent="0.3">
      <c r="B1070" s="28" t="str">
        <f>IF(B1069="","", IF(VALUE(LEFT(H1069,FIND("/",H1069)-1)) &lt; VALUE(RIGHT(H1069,LEN(H1069)-FIND("/",H1069))), B1069, IFERROR(INDEX('SAÍDA DE VENDAS'!$B$6:$B$500, MATCH(B1069,'SAÍDA DE VENDAS'!$B$6:$B$500,0)+COUNTIF('SAÍDA DE VENDAS'!$B$6:$B$500, B1069)),"")))</f>
        <v/>
      </c>
      <c r="C1070" s="29">
        <f>IFERROR(VLOOKUP(B1070,'SAÍDA DE VENDAS'!$B$6:$P$500,3,FALSE),"")</f>
        <v>0</v>
      </c>
      <c r="D1070" s="28">
        <f>IFERROR(VLOOKUP(B1070,'SAÍDA DE VENDAS'!$B$6:$P$500,4,FALSE),"")</f>
        <v>0</v>
      </c>
      <c r="E1070" s="28" t="str">
        <f>IFERROR(VLOOKUP(B1070,'SAÍDA DE VENDAS'!$B$6:$P$500,5,FALSE),"")</f>
        <v/>
      </c>
      <c r="F1070" s="28" t="str">
        <f>IF(OR(ISBLANK(B1070),B1070=""), "", IFERROR(INDEX('SAÍDA DE VENDAS'!$H$6:$H$500 &amp; "x " &amp; 'SAÍDA DE VENDAS'!$G$6:$G$500, MATCH(B1070, 'SAÍDA DE VENDAS'!$B$6:$B$500, 0)), "")&amp; IF(COUNTIF('SAÍDA DE VENDAS'!$B$6:$B$500, B1070)&gt;1, " + " &amp; IFERROR(INDEX('SAÍDA DE VENDAS'!$H$6:$H$500 &amp; "x " &amp; 'SAÍDA DE VENDAS'!$G$6:$G$500, MATCH(B1070, 'SAÍDA DE VENDAS'!$B$6:$B$500, 0)+1), ""), "")&amp; IF(COUNTIF('SAÍDA DE VENDAS'!$B$6:$B$500, B1070)&gt;2, " + " &amp; IFERROR(INDEX('SAÍDA DE VENDAS'!$H$6:$H$500 &amp; "x " &amp; 'SAÍDA DE VENDAS'!$G$6:$G$500, MATCH(B1070, 'SAÍDA DE VENDAS'!$B$6:$B$500, 0)+2), ""), "")&amp; IF(COUNTIF('SAÍDA DE VENDAS'!$B$6:$B$500, B1070)&gt;3, " + " &amp; IFERROR(INDEX('SAÍDA DE VENDAS'!$H$6:$H$500 &amp; "x " &amp; 'SAÍDA DE VENDAS'!$G$6:$G$500, MATCH(B1070, 'SAÍDA DE VENDAS'!$B$6:$B$500, 0)+3), ""), "")&amp; IF(COUNTIF('SAÍDA DE VENDAS'!$B$6:$B$500, B1070)&gt;4, " + " &amp; IFERROR(INDEX('SAÍDA DE VENDAS'!$H$6:$H$500 &amp; "x " &amp; 'SAÍDA DE VENDAS'!$G$6:$G$500, MATCH(B1070, 'SAÍDA DE VENDAS'!$B$6:$B$500, 0)+4), ""), "")&amp; IF(COUNTIF('SAÍDA DE VENDAS'!$B$6:$B$500, B1070)&gt;5, " + " &amp; IFERROR(INDEX('SAÍDA DE VENDAS'!$H$6:$H$500 &amp; "x " &amp; 'SAÍDA DE VENDAS'!$G$6:$G$500, MATCH(B1070, 'SAÍDA DE VENDAS'!$B$6:$B$500, 0)+5), ""), ""))</f>
        <v/>
      </c>
      <c r="G1070" s="28">
        <f>IFERROR(VLOOKUP(B1070,'SAÍDA DE VENDAS'!$B$6:$P$500,10,FALSE),"")</f>
        <v>0</v>
      </c>
      <c r="H1070" s="28" t="str">
        <f>IF(OR(ISBLANK(B1070),B1070=""), "", IF(B1070=B1069, (VALUE(LEFT(H1069,FIND("/",H1069)-1))+1)&amp;"/"&amp;RIGHT(H1069,LEN(H1069)-FIND("/",H1069)), "1/"&amp;IFERROR(VLOOKUP(B1070,'SAÍDA DE VENDAS'!$B$6:$P$500,13,FALSE),"1")))</f>
        <v/>
      </c>
      <c r="I1070" s="69" t="str">
        <f t="shared" si="32"/>
        <v/>
      </c>
      <c r="J1070" s="33" t="str">
        <f>IFERROR(VLOOKUP(B1070,'SAÍDA DE VENDAS'!$B$6:$P$500,15,FALSE),"")</f>
        <v/>
      </c>
      <c r="K1070" s="28" t="str">
        <f t="shared" ca="1" si="33"/>
        <v/>
      </c>
      <c r="L1070" s="28"/>
      <c r="M1070" s="28"/>
    </row>
    <row r="1071" spans="2:13" ht="15" customHeight="1" x14ac:dyDescent="0.3">
      <c r="B1071" s="34" t="str">
        <f>IF(B1070="","", IF(VALUE(LEFT(H1070,FIND("/",H1070)-1)) &lt; VALUE(RIGHT(H1070,LEN(H1070)-FIND("/",H1070))), B1070, IFERROR(INDEX('SAÍDA DE VENDAS'!$B$6:$B$500, MATCH(B1070,'SAÍDA DE VENDAS'!$B$6:$B$500,0)+COUNTIF('SAÍDA DE VENDAS'!$B$6:$B$500, B1070)),"")))</f>
        <v/>
      </c>
      <c r="C1071" s="35">
        <f>IFERROR(VLOOKUP(B1071,'SAÍDA DE VENDAS'!$B$6:$P$500,3,FALSE),"")</f>
        <v>0</v>
      </c>
      <c r="D1071" s="34">
        <f>IFERROR(VLOOKUP(B1071,'SAÍDA DE VENDAS'!$B$6:$P$500,4,FALSE),"")</f>
        <v>0</v>
      </c>
      <c r="E1071" s="34" t="str">
        <f>IFERROR(VLOOKUP(B1071,'SAÍDA DE VENDAS'!$B$6:$P$500,5,FALSE),"")</f>
        <v/>
      </c>
      <c r="F1071" s="34" t="str">
        <f>IF(OR(ISBLANK(B1071),B1071=""), "", IFERROR(INDEX('SAÍDA DE VENDAS'!$H$6:$H$500 &amp; "x " &amp; 'SAÍDA DE VENDAS'!$G$6:$G$500, MATCH(B1071, 'SAÍDA DE VENDAS'!$B$6:$B$500, 0)), "")&amp; IF(COUNTIF('SAÍDA DE VENDAS'!$B$6:$B$500, B1071)&gt;1, " + " &amp; IFERROR(INDEX('SAÍDA DE VENDAS'!$H$6:$H$500 &amp; "x " &amp; 'SAÍDA DE VENDAS'!$G$6:$G$500, MATCH(B1071, 'SAÍDA DE VENDAS'!$B$6:$B$500, 0)+1), ""), "")&amp; IF(COUNTIF('SAÍDA DE VENDAS'!$B$6:$B$500, B1071)&gt;2, " + " &amp; IFERROR(INDEX('SAÍDA DE VENDAS'!$H$6:$H$500 &amp; "x " &amp; 'SAÍDA DE VENDAS'!$G$6:$G$500, MATCH(B1071, 'SAÍDA DE VENDAS'!$B$6:$B$500, 0)+2), ""), "")&amp; IF(COUNTIF('SAÍDA DE VENDAS'!$B$6:$B$500, B1071)&gt;3, " + " &amp; IFERROR(INDEX('SAÍDA DE VENDAS'!$H$6:$H$500 &amp; "x " &amp; 'SAÍDA DE VENDAS'!$G$6:$G$500, MATCH(B1071, 'SAÍDA DE VENDAS'!$B$6:$B$500, 0)+3), ""), "")&amp; IF(COUNTIF('SAÍDA DE VENDAS'!$B$6:$B$500, B1071)&gt;4, " + " &amp; IFERROR(INDEX('SAÍDA DE VENDAS'!$H$6:$H$500 &amp; "x " &amp; 'SAÍDA DE VENDAS'!$G$6:$G$500, MATCH(B1071, 'SAÍDA DE VENDAS'!$B$6:$B$500, 0)+4), ""), "")&amp; IF(COUNTIF('SAÍDA DE VENDAS'!$B$6:$B$500, B1071)&gt;5, " + " &amp; IFERROR(INDEX('SAÍDA DE VENDAS'!$H$6:$H$500 &amp; "x " &amp; 'SAÍDA DE VENDAS'!$G$6:$G$500, MATCH(B1071, 'SAÍDA DE VENDAS'!$B$6:$B$500, 0)+5), ""), ""))</f>
        <v/>
      </c>
      <c r="G1071" s="34">
        <f>IFERROR(VLOOKUP(B1071,'SAÍDA DE VENDAS'!$B$6:$P$500,10,FALSE),"")</f>
        <v>0</v>
      </c>
      <c r="H1071" s="34" t="str">
        <f>IF(OR(ISBLANK(B1071),B1071=""), "", IF(B1071=B1070, (VALUE(LEFT(H1070,FIND("/",H1070)-1))+1)&amp;"/"&amp;RIGHT(H1070,LEN(H1070)-FIND("/",H1070)), "1/"&amp;IFERROR(VLOOKUP(B1071,'SAÍDA DE VENDAS'!$B$6:$P$500,13,FALSE),"1")))</f>
        <v/>
      </c>
      <c r="I1071" s="35" t="str">
        <f t="shared" si="32"/>
        <v/>
      </c>
      <c r="J1071" s="39" t="str">
        <f>IFERROR(VLOOKUP(B1071,'SAÍDA DE VENDAS'!$B$6:$P$500,15,FALSE),"")</f>
        <v/>
      </c>
      <c r="K1071" s="34" t="str">
        <f t="shared" ca="1" si="33"/>
        <v/>
      </c>
      <c r="L1071" s="34"/>
      <c r="M1071" s="34"/>
    </row>
    <row r="1072" spans="2:13" ht="15" customHeight="1" x14ac:dyDescent="0.3">
      <c r="B1072" s="28" t="str">
        <f>IF(B1071="","", IF(VALUE(LEFT(H1071,FIND("/",H1071)-1)) &lt; VALUE(RIGHT(H1071,LEN(H1071)-FIND("/",H1071))), B1071, IFERROR(INDEX('SAÍDA DE VENDAS'!$B$6:$B$500, MATCH(B1071,'SAÍDA DE VENDAS'!$B$6:$B$500,0)+COUNTIF('SAÍDA DE VENDAS'!$B$6:$B$500, B1071)),"")))</f>
        <v/>
      </c>
      <c r="C1072" s="29">
        <f>IFERROR(VLOOKUP(B1072,'SAÍDA DE VENDAS'!$B$6:$P$500,3,FALSE),"")</f>
        <v>0</v>
      </c>
      <c r="D1072" s="28">
        <f>IFERROR(VLOOKUP(B1072,'SAÍDA DE VENDAS'!$B$6:$P$500,4,FALSE),"")</f>
        <v>0</v>
      </c>
      <c r="E1072" s="28" t="str">
        <f>IFERROR(VLOOKUP(B1072,'SAÍDA DE VENDAS'!$B$6:$P$500,5,FALSE),"")</f>
        <v/>
      </c>
      <c r="F1072" s="28" t="str">
        <f>IF(OR(ISBLANK(B1072),B1072=""), "", IFERROR(INDEX('SAÍDA DE VENDAS'!$H$6:$H$500 &amp; "x " &amp; 'SAÍDA DE VENDAS'!$G$6:$G$500, MATCH(B1072, 'SAÍDA DE VENDAS'!$B$6:$B$500, 0)), "")&amp; IF(COUNTIF('SAÍDA DE VENDAS'!$B$6:$B$500, B1072)&gt;1, " + " &amp; IFERROR(INDEX('SAÍDA DE VENDAS'!$H$6:$H$500 &amp; "x " &amp; 'SAÍDA DE VENDAS'!$G$6:$G$500, MATCH(B1072, 'SAÍDA DE VENDAS'!$B$6:$B$500, 0)+1), ""), "")&amp; IF(COUNTIF('SAÍDA DE VENDAS'!$B$6:$B$500, B1072)&gt;2, " + " &amp; IFERROR(INDEX('SAÍDA DE VENDAS'!$H$6:$H$500 &amp; "x " &amp; 'SAÍDA DE VENDAS'!$G$6:$G$500, MATCH(B1072, 'SAÍDA DE VENDAS'!$B$6:$B$500, 0)+2), ""), "")&amp; IF(COUNTIF('SAÍDA DE VENDAS'!$B$6:$B$500, B1072)&gt;3, " + " &amp; IFERROR(INDEX('SAÍDA DE VENDAS'!$H$6:$H$500 &amp; "x " &amp; 'SAÍDA DE VENDAS'!$G$6:$G$500, MATCH(B1072, 'SAÍDA DE VENDAS'!$B$6:$B$500, 0)+3), ""), "")&amp; IF(COUNTIF('SAÍDA DE VENDAS'!$B$6:$B$500, B1072)&gt;4, " + " &amp; IFERROR(INDEX('SAÍDA DE VENDAS'!$H$6:$H$500 &amp; "x " &amp; 'SAÍDA DE VENDAS'!$G$6:$G$500, MATCH(B1072, 'SAÍDA DE VENDAS'!$B$6:$B$500, 0)+4), ""), "")&amp; IF(COUNTIF('SAÍDA DE VENDAS'!$B$6:$B$500, B1072)&gt;5, " + " &amp; IFERROR(INDEX('SAÍDA DE VENDAS'!$H$6:$H$500 &amp; "x " &amp; 'SAÍDA DE VENDAS'!$G$6:$G$500, MATCH(B1072, 'SAÍDA DE VENDAS'!$B$6:$B$500, 0)+5), ""), ""))</f>
        <v/>
      </c>
      <c r="G1072" s="28">
        <f>IFERROR(VLOOKUP(B1072,'SAÍDA DE VENDAS'!$B$6:$P$500,10,FALSE),"")</f>
        <v>0</v>
      </c>
      <c r="H1072" s="28" t="str">
        <f>IF(OR(ISBLANK(B1072),B1072=""), "", IF(B1072=B1071, (VALUE(LEFT(H1071,FIND("/",H1071)-1))+1)&amp;"/"&amp;RIGHT(H1071,LEN(H1071)-FIND("/",H1071)), "1/"&amp;IFERROR(VLOOKUP(B1072,'SAÍDA DE VENDAS'!$B$6:$P$500,13,FALSE),"1")))</f>
        <v/>
      </c>
      <c r="I1072" s="69" t="str">
        <f t="shared" si="32"/>
        <v/>
      </c>
      <c r="J1072" s="33" t="str">
        <f>IFERROR(VLOOKUP(B1072,'SAÍDA DE VENDAS'!$B$6:$P$500,15,FALSE),"")</f>
        <v/>
      </c>
      <c r="K1072" s="28" t="str">
        <f t="shared" ca="1" si="33"/>
        <v/>
      </c>
      <c r="L1072" s="28"/>
      <c r="M1072" s="28"/>
    </row>
    <row r="1073" spans="2:13" ht="15" customHeight="1" x14ac:dyDescent="0.3">
      <c r="B1073" s="34" t="str">
        <f>IF(B1072="","", IF(VALUE(LEFT(H1072,FIND("/",H1072)-1)) &lt; VALUE(RIGHT(H1072,LEN(H1072)-FIND("/",H1072))), B1072, IFERROR(INDEX('SAÍDA DE VENDAS'!$B$6:$B$500, MATCH(B1072,'SAÍDA DE VENDAS'!$B$6:$B$500,0)+COUNTIF('SAÍDA DE VENDAS'!$B$6:$B$500, B1072)),"")))</f>
        <v/>
      </c>
      <c r="C1073" s="35">
        <f>IFERROR(VLOOKUP(B1073,'SAÍDA DE VENDAS'!$B$6:$P$500,3,FALSE),"")</f>
        <v>0</v>
      </c>
      <c r="D1073" s="34">
        <f>IFERROR(VLOOKUP(B1073,'SAÍDA DE VENDAS'!$B$6:$P$500,4,FALSE),"")</f>
        <v>0</v>
      </c>
      <c r="E1073" s="34" t="str">
        <f>IFERROR(VLOOKUP(B1073,'SAÍDA DE VENDAS'!$B$6:$P$500,5,FALSE),"")</f>
        <v/>
      </c>
      <c r="F1073" s="34" t="str">
        <f>IF(OR(ISBLANK(B1073),B1073=""), "", IFERROR(INDEX('SAÍDA DE VENDAS'!$H$6:$H$500 &amp; "x " &amp; 'SAÍDA DE VENDAS'!$G$6:$G$500, MATCH(B1073, 'SAÍDA DE VENDAS'!$B$6:$B$500, 0)), "")&amp; IF(COUNTIF('SAÍDA DE VENDAS'!$B$6:$B$500, B1073)&gt;1, " + " &amp; IFERROR(INDEX('SAÍDA DE VENDAS'!$H$6:$H$500 &amp; "x " &amp; 'SAÍDA DE VENDAS'!$G$6:$G$500, MATCH(B1073, 'SAÍDA DE VENDAS'!$B$6:$B$500, 0)+1), ""), "")&amp; IF(COUNTIF('SAÍDA DE VENDAS'!$B$6:$B$500, B1073)&gt;2, " + " &amp; IFERROR(INDEX('SAÍDA DE VENDAS'!$H$6:$H$500 &amp; "x " &amp; 'SAÍDA DE VENDAS'!$G$6:$G$500, MATCH(B1073, 'SAÍDA DE VENDAS'!$B$6:$B$500, 0)+2), ""), "")&amp; IF(COUNTIF('SAÍDA DE VENDAS'!$B$6:$B$500, B1073)&gt;3, " + " &amp; IFERROR(INDEX('SAÍDA DE VENDAS'!$H$6:$H$500 &amp; "x " &amp; 'SAÍDA DE VENDAS'!$G$6:$G$500, MATCH(B1073, 'SAÍDA DE VENDAS'!$B$6:$B$500, 0)+3), ""), "")&amp; IF(COUNTIF('SAÍDA DE VENDAS'!$B$6:$B$500, B1073)&gt;4, " + " &amp; IFERROR(INDEX('SAÍDA DE VENDAS'!$H$6:$H$500 &amp; "x " &amp; 'SAÍDA DE VENDAS'!$G$6:$G$500, MATCH(B1073, 'SAÍDA DE VENDAS'!$B$6:$B$500, 0)+4), ""), "")&amp; IF(COUNTIF('SAÍDA DE VENDAS'!$B$6:$B$500, B1073)&gt;5, " + " &amp; IFERROR(INDEX('SAÍDA DE VENDAS'!$H$6:$H$500 &amp; "x " &amp; 'SAÍDA DE VENDAS'!$G$6:$G$500, MATCH(B1073, 'SAÍDA DE VENDAS'!$B$6:$B$500, 0)+5), ""), ""))</f>
        <v/>
      </c>
      <c r="G1073" s="34">
        <f>IFERROR(VLOOKUP(B1073,'SAÍDA DE VENDAS'!$B$6:$P$500,10,FALSE),"")</f>
        <v>0</v>
      </c>
      <c r="H1073" s="34" t="str">
        <f>IF(OR(ISBLANK(B1073),B1073=""), "", IF(B1073=B1072, (VALUE(LEFT(H1072,FIND("/",H1072)-1))+1)&amp;"/"&amp;RIGHT(H1072,LEN(H1072)-FIND("/",H1072)), "1/"&amp;IFERROR(VLOOKUP(B1073,'SAÍDA DE VENDAS'!$B$6:$P$500,13,FALSE),"1")))</f>
        <v/>
      </c>
      <c r="I1073" s="35" t="str">
        <f t="shared" si="32"/>
        <v/>
      </c>
      <c r="J1073" s="39" t="str">
        <f>IFERROR(VLOOKUP(B1073,'SAÍDA DE VENDAS'!$B$6:$P$500,15,FALSE),"")</f>
        <v/>
      </c>
      <c r="K1073" s="34" t="str">
        <f t="shared" ca="1" si="33"/>
        <v/>
      </c>
      <c r="L1073" s="34"/>
      <c r="M1073" s="34"/>
    </row>
    <row r="1074" spans="2:13" ht="15" customHeight="1" x14ac:dyDescent="0.3">
      <c r="B1074" s="28" t="str">
        <f>IF(B1073="","", IF(VALUE(LEFT(H1073,FIND("/",H1073)-1)) &lt; VALUE(RIGHT(H1073,LEN(H1073)-FIND("/",H1073))), B1073, IFERROR(INDEX('SAÍDA DE VENDAS'!$B$6:$B$500, MATCH(B1073,'SAÍDA DE VENDAS'!$B$6:$B$500,0)+COUNTIF('SAÍDA DE VENDAS'!$B$6:$B$500, B1073)),"")))</f>
        <v/>
      </c>
      <c r="C1074" s="29">
        <f>IFERROR(VLOOKUP(B1074,'SAÍDA DE VENDAS'!$B$6:$P$500,3,FALSE),"")</f>
        <v>0</v>
      </c>
      <c r="D1074" s="28">
        <f>IFERROR(VLOOKUP(B1074,'SAÍDA DE VENDAS'!$B$6:$P$500,4,FALSE),"")</f>
        <v>0</v>
      </c>
      <c r="E1074" s="28" t="str">
        <f>IFERROR(VLOOKUP(B1074,'SAÍDA DE VENDAS'!$B$6:$P$500,5,FALSE),"")</f>
        <v/>
      </c>
      <c r="F1074" s="28" t="str">
        <f>IF(OR(ISBLANK(B1074),B1074=""), "", IFERROR(INDEX('SAÍDA DE VENDAS'!$H$6:$H$500 &amp; "x " &amp; 'SAÍDA DE VENDAS'!$G$6:$G$500, MATCH(B1074, 'SAÍDA DE VENDAS'!$B$6:$B$500, 0)), "")&amp; IF(COUNTIF('SAÍDA DE VENDAS'!$B$6:$B$500, B1074)&gt;1, " + " &amp; IFERROR(INDEX('SAÍDA DE VENDAS'!$H$6:$H$500 &amp; "x " &amp; 'SAÍDA DE VENDAS'!$G$6:$G$500, MATCH(B1074, 'SAÍDA DE VENDAS'!$B$6:$B$500, 0)+1), ""), "")&amp; IF(COUNTIF('SAÍDA DE VENDAS'!$B$6:$B$500, B1074)&gt;2, " + " &amp; IFERROR(INDEX('SAÍDA DE VENDAS'!$H$6:$H$500 &amp; "x " &amp; 'SAÍDA DE VENDAS'!$G$6:$G$500, MATCH(B1074, 'SAÍDA DE VENDAS'!$B$6:$B$500, 0)+2), ""), "")&amp; IF(COUNTIF('SAÍDA DE VENDAS'!$B$6:$B$500, B1074)&gt;3, " + " &amp; IFERROR(INDEX('SAÍDA DE VENDAS'!$H$6:$H$500 &amp; "x " &amp; 'SAÍDA DE VENDAS'!$G$6:$G$500, MATCH(B1074, 'SAÍDA DE VENDAS'!$B$6:$B$500, 0)+3), ""), "")&amp; IF(COUNTIF('SAÍDA DE VENDAS'!$B$6:$B$500, B1074)&gt;4, " + " &amp; IFERROR(INDEX('SAÍDA DE VENDAS'!$H$6:$H$500 &amp; "x " &amp; 'SAÍDA DE VENDAS'!$G$6:$G$500, MATCH(B1074, 'SAÍDA DE VENDAS'!$B$6:$B$500, 0)+4), ""), "")&amp; IF(COUNTIF('SAÍDA DE VENDAS'!$B$6:$B$500, B1074)&gt;5, " + " &amp; IFERROR(INDEX('SAÍDA DE VENDAS'!$H$6:$H$500 &amp; "x " &amp; 'SAÍDA DE VENDAS'!$G$6:$G$500, MATCH(B1074, 'SAÍDA DE VENDAS'!$B$6:$B$500, 0)+5), ""), ""))</f>
        <v/>
      </c>
      <c r="G1074" s="28">
        <f>IFERROR(VLOOKUP(B1074,'SAÍDA DE VENDAS'!$B$6:$P$500,10,FALSE),"")</f>
        <v>0</v>
      </c>
      <c r="H1074" s="28" t="str">
        <f>IF(OR(ISBLANK(B1074),B1074=""), "", IF(B1074=B1073, (VALUE(LEFT(H1073,FIND("/",H1073)-1))+1)&amp;"/"&amp;RIGHT(H1073,LEN(H1073)-FIND("/",H1073)), "1/"&amp;IFERROR(VLOOKUP(B1074,'SAÍDA DE VENDAS'!$B$6:$P$500,13,FALSE),"1")))</f>
        <v/>
      </c>
      <c r="I1074" s="69" t="str">
        <f t="shared" si="32"/>
        <v/>
      </c>
      <c r="J1074" s="33" t="str">
        <f>IFERROR(VLOOKUP(B1074,'SAÍDA DE VENDAS'!$B$6:$P$500,15,FALSE),"")</f>
        <v/>
      </c>
      <c r="K1074" s="28" t="str">
        <f t="shared" ca="1" si="33"/>
        <v/>
      </c>
      <c r="L1074" s="28"/>
      <c r="M1074" s="28"/>
    </row>
    <row r="1075" spans="2:13" ht="15" customHeight="1" x14ac:dyDescent="0.3">
      <c r="B1075" s="34" t="str">
        <f>IF(B1074="","", IF(VALUE(LEFT(H1074,FIND("/",H1074)-1)) &lt; VALUE(RIGHT(H1074,LEN(H1074)-FIND("/",H1074))), B1074, IFERROR(INDEX('SAÍDA DE VENDAS'!$B$6:$B$500, MATCH(B1074,'SAÍDA DE VENDAS'!$B$6:$B$500,0)+COUNTIF('SAÍDA DE VENDAS'!$B$6:$B$500, B1074)),"")))</f>
        <v/>
      </c>
      <c r="C1075" s="35">
        <f>IFERROR(VLOOKUP(B1075,'SAÍDA DE VENDAS'!$B$6:$P$500,3,FALSE),"")</f>
        <v>0</v>
      </c>
      <c r="D1075" s="34">
        <f>IFERROR(VLOOKUP(B1075,'SAÍDA DE VENDAS'!$B$6:$P$500,4,FALSE),"")</f>
        <v>0</v>
      </c>
      <c r="E1075" s="34" t="str">
        <f>IFERROR(VLOOKUP(B1075,'SAÍDA DE VENDAS'!$B$6:$P$500,5,FALSE),"")</f>
        <v/>
      </c>
      <c r="F1075" s="34" t="str">
        <f>IF(OR(ISBLANK(B1075),B1075=""), "", IFERROR(INDEX('SAÍDA DE VENDAS'!$H$6:$H$500 &amp; "x " &amp; 'SAÍDA DE VENDAS'!$G$6:$G$500, MATCH(B1075, 'SAÍDA DE VENDAS'!$B$6:$B$500, 0)), "")&amp; IF(COUNTIF('SAÍDA DE VENDAS'!$B$6:$B$500, B1075)&gt;1, " + " &amp; IFERROR(INDEX('SAÍDA DE VENDAS'!$H$6:$H$500 &amp; "x " &amp; 'SAÍDA DE VENDAS'!$G$6:$G$500, MATCH(B1075, 'SAÍDA DE VENDAS'!$B$6:$B$500, 0)+1), ""), "")&amp; IF(COUNTIF('SAÍDA DE VENDAS'!$B$6:$B$500, B1075)&gt;2, " + " &amp; IFERROR(INDEX('SAÍDA DE VENDAS'!$H$6:$H$500 &amp; "x " &amp; 'SAÍDA DE VENDAS'!$G$6:$G$500, MATCH(B1075, 'SAÍDA DE VENDAS'!$B$6:$B$500, 0)+2), ""), "")&amp; IF(COUNTIF('SAÍDA DE VENDAS'!$B$6:$B$500, B1075)&gt;3, " + " &amp; IFERROR(INDEX('SAÍDA DE VENDAS'!$H$6:$H$500 &amp; "x " &amp; 'SAÍDA DE VENDAS'!$G$6:$G$500, MATCH(B1075, 'SAÍDA DE VENDAS'!$B$6:$B$500, 0)+3), ""), "")&amp; IF(COUNTIF('SAÍDA DE VENDAS'!$B$6:$B$500, B1075)&gt;4, " + " &amp; IFERROR(INDEX('SAÍDA DE VENDAS'!$H$6:$H$500 &amp; "x " &amp; 'SAÍDA DE VENDAS'!$G$6:$G$500, MATCH(B1075, 'SAÍDA DE VENDAS'!$B$6:$B$500, 0)+4), ""), "")&amp; IF(COUNTIF('SAÍDA DE VENDAS'!$B$6:$B$500, B1075)&gt;5, " + " &amp; IFERROR(INDEX('SAÍDA DE VENDAS'!$H$6:$H$500 &amp; "x " &amp; 'SAÍDA DE VENDAS'!$G$6:$G$500, MATCH(B1075, 'SAÍDA DE VENDAS'!$B$6:$B$500, 0)+5), ""), ""))</f>
        <v/>
      </c>
      <c r="G1075" s="34">
        <f>IFERROR(VLOOKUP(B1075,'SAÍDA DE VENDAS'!$B$6:$P$500,10,FALSE),"")</f>
        <v>0</v>
      </c>
      <c r="H1075" s="34" t="str">
        <f>IF(OR(ISBLANK(B1075),B1075=""), "", IF(B1075=B1074, (VALUE(LEFT(H1074,FIND("/",H1074)-1))+1)&amp;"/"&amp;RIGHT(H1074,LEN(H1074)-FIND("/",H1074)), "1/"&amp;IFERROR(VLOOKUP(B1075,'SAÍDA DE VENDAS'!$B$6:$P$500,13,FALSE),"1")))</f>
        <v/>
      </c>
      <c r="I1075" s="35" t="str">
        <f t="shared" si="32"/>
        <v/>
      </c>
      <c r="J1075" s="39" t="str">
        <f>IFERROR(VLOOKUP(B1075,'SAÍDA DE VENDAS'!$B$6:$P$500,15,FALSE),"")</f>
        <v/>
      </c>
      <c r="K1075" s="34" t="str">
        <f t="shared" ca="1" si="33"/>
        <v/>
      </c>
      <c r="L1075" s="34"/>
      <c r="M1075" s="34"/>
    </row>
    <row r="1076" spans="2:13" ht="15" customHeight="1" x14ac:dyDescent="0.3">
      <c r="B1076" s="28" t="str">
        <f>IF(B1075="","", IF(VALUE(LEFT(H1075,FIND("/",H1075)-1)) &lt; VALUE(RIGHT(H1075,LEN(H1075)-FIND("/",H1075))), B1075, IFERROR(INDEX('SAÍDA DE VENDAS'!$B$6:$B$500, MATCH(B1075,'SAÍDA DE VENDAS'!$B$6:$B$500,0)+COUNTIF('SAÍDA DE VENDAS'!$B$6:$B$500, B1075)),"")))</f>
        <v/>
      </c>
      <c r="C1076" s="29">
        <f>IFERROR(VLOOKUP(B1076,'SAÍDA DE VENDAS'!$B$6:$P$500,3,FALSE),"")</f>
        <v>0</v>
      </c>
      <c r="D1076" s="28">
        <f>IFERROR(VLOOKUP(B1076,'SAÍDA DE VENDAS'!$B$6:$P$500,4,FALSE),"")</f>
        <v>0</v>
      </c>
      <c r="E1076" s="28" t="str">
        <f>IFERROR(VLOOKUP(B1076,'SAÍDA DE VENDAS'!$B$6:$P$500,5,FALSE),"")</f>
        <v/>
      </c>
      <c r="F1076" s="28" t="str">
        <f>IF(OR(ISBLANK(B1076),B1076=""), "", IFERROR(INDEX('SAÍDA DE VENDAS'!$H$6:$H$500 &amp; "x " &amp; 'SAÍDA DE VENDAS'!$G$6:$G$500, MATCH(B1076, 'SAÍDA DE VENDAS'!$B$6:$B$500, 0)), "")&amp; IF(COUNTIF('SAÍDA DE VENDAS'!$B$6:$B$500, B1076)&gt;1, " + " &amp; IFERROR(INDEX('SAÍDA DE VENDAS'!$H$6:$H$500 &amp; "x " &amp; 'SAÍDA DE VENDAS'!$G$6:$G$500, MATCH(B1076, 'SAÍDA DE VENDAS'!$B$6:$B$500, 0)+1), ""), "")&amp; IF(COUNTIF('SAÍDA DE VENDAS'!$B$6:$B$500, B1076)&gt;2, " + " &amp; IFERROR(INDEX('SAÍDA DE VENDAS'!$H$6:$H$500 &amp; "x " &amp; 'SAÍDA DE VENDAS'!$G$6:$G$500, MATCH(B1076, 'SAÍDA DE VENDAS'!$B$6:$B$500, 0)+2), ""), "")&amp; IF(COUNTIF('SAÍDA DE VENDAS'!$B$6:$B$500, B1076)&gt;3, " + " &amp; IFERROR(INDEX('SAÍDA DE VENDAS'!$H$6:$H$500 &amp; "x " &amp; 'SAÍDA DE VENDAS'!$G$6:$G$500, MATCH(B1076, 'SAÍDA DE VENDAS'!$B$6:$B$500, 0)+3), ""), "")&amp; IF(COUNTIF('SAÍDA DE VENDAS'!$B$6:$B$500, B1076)&gt;4, " + " &amp; IFERROR(INDEX('SAÍDA DE VENDAS'!$H$6:$H$500 &amp; "x " &amp; 'SAÍDA DE VENDAS'!$G$6:$G$500, MATCH(B1076, 'SAÍDA DE VENDAS'!$B$6:$B$500, 0)+4), ""), "")&amp; IF(COUNTIF('SAÍDA DE VENDAS'!$B$6:$B$500, B1076)&gt;5, " + " &amp; IFERROR(INDEX('SAÍDA DE VENDAS'!$H$6:$H$500 &amp; "x " &amp; 'SAÍDA DE VENDAS'!$G$6:$G$500, MATCH(B1076, 'SAÍDA DE VENDAS'!$B$6:$B$500, 0)+5), ""), ""))</f>
        <v/>
      </c>
      <c r="G1076" s="28">
        <f>IFERROR(VLOOKUP(B1076,'SAÍDA DE VENDAS'!$B$6:$P$500,10,FALSE),"")</f>
        <v>0</v>
      </c>
      <c r="H1076" s="28" t="str">
        <f>IF(OR(ISBLANK(B1076),B1076=""), "", IF(B1076=B1075, (VALUE(LEFT(H1075,FIND("/",H1075)-1))+1)&amp;"/"&amp;RIGHT(H1075,LEN(H1075)-FIND("/",H1075)), "1/"&amp;IFERROR(VLOOKUP(B1076,'SAÍDA DE VENDAS'!$B$6:$P$500,13,FALSE),"1")))</f>
        <v/>
      </c>
      <c r="I1076" s="69" t="str">
        <f t="shared" si="32"/>
        <v/>
      </c>
      <c r="J1076" s="33" t="str">
        <f>IFERROR(VLOOKUP(B1076,'SAÍDA DE VENDAS'!$B$6:$P$500,15,FALSE),"")</f>
        <v/>
      </c>
      <c r="K1076" s="28" t="str">
        <f t="shared" ca="1" si="33"/>
        <v/>
      </c>
      <c r="L1076" s="28"/>
      <c r="M1076" s="28"/>
    </row>
    <row r="1077" spans="2:13" ht="15" customHeight="1" x14ac:dyDescent="0.3">
      <c r="B1077" s="34" t="str">
        <f>IF(B1076="","", IF(VALUE(LEFT(H1076,FIND("/",H1076)-1)) &lt; VALUE(RIGHT(H1076,LEN(H1076)-FIND("/",H1076))), B1076, IFERROR(INDEX('SAÍDA DE VENDAS'!$B$6:$B$500, MATCH(B1076,'SAÍDA DE VENDAS'!$B$6:$B$500,0)+COUNTIF('SAÍDA DE VENDAS'!$B$6:$B$500, B1076)),"")))</f>
        <v/>
      </c>
      <c r="C1077" s="35">
        <f>IFERROR(VLOOKUP(B1077,'SAÍDA DE VENDAS'!$B$6:$P$500,3,FALSE),"")</f>
        <v>0</v>
      </c>
      <c r="D1077" s="34">
        <f>IFERROR(VLOOKUP(B1077,'SAÍDA DE VENDAS'!$B$6:$P$500,4,FALSE),"")</f>
        <v>0</v>
      </c>
      <c r="E1077" s="34" t="str">
        <f>IFERROR(VLOOKUP(B1077,'SAÍDA DE VENDAS'!$B$6:$P$500,5,FALSE),"")</f>
        <v/>
      </c>
      <c r="F1077" s="34" t="str">
        <f>IF(OR(ISBLANK(B1077),B1077=""), "", IFERROR(INDEX('SAÍDA DE VENDAS'!$H$6:$H$500 &amp; "x " &amp; 'SAÍDA DE VENDAS'!$G$6:$G$500, MATCH(B1077, 'SAÍDA DE VENDAS'!$B$6:$B$500, 0)), "")&amp; IF(COUNTIF('SAÍDA DE VENDAS'!$B$6:$B$500, B1077)&gt;1, " + " &amp; IFERROR(INDEX('SAÍDA DE VENDAS'!$H$6:$H$500 &amp; "x " &amp; 'SAÍDA DE VENDAS'!$G$6:$G$500, MATCH(B1077, 'SAÍDA DE VENDAS'!$B$6:$B$500, 0)+1), ""), "")&amp; IF(COUNTIF('SAÍDA DE VENDAS'!$B$6:$B$500, B1077)&gt;2, " + " &amp; IFERROR(INDEX('SAÍDA DE VENDAS'!$H$6:$H$500 &amp; "x " &amp; 'SAÍDA DE VENDAS'!$G$6:$G$500, MATCH(B1077, 'SAÍDA DE VENDAS'!$B$6:$B$500, 0)+2), ""), "")&amp; IF(COUNTIF('SAÍDA DE VENDAS'!$B$6:$B$500, B1077)&gt;3, " + " &amp; IFERROR(INDEX('SAÍDA DE VENDAS'!$H$6:$H$500 &amp; "x " &amp; 'SAÍDA DE VENDAS'!$G$6:$G$500, MATCH(B1077, 'SAÍDA DE VENDAS'!$B$6:$B$500, 0)+3), ""), "")&amp; IF(COUNTIF('SAÍDA DE VENDAS'!$B$6:$B$500, B1077)&gt;4, " + " &amp; IFERROR(INDEX('SAÍDA DE VENDAS'!$H$6:$H$500 &amp; "x " &amp; 'SAÍDA DE VENDAS'!$G$6:$G$500, MATCH(B1077, 'SAÍDA DE VENDAS'!$B$6:$B$500, 0)+4), ""), "")&amp; IF(COUNTIF('SAÍDA DE VENDAS'!$B$6:$B$500, B1077)&gt;5, " + " &amp; IFERROR(INDEX('SAÍDA DE VENDAS'!$H$6:$H$500 &amp; "x " &amp; 'SAÍDA DE VENDAS'!$G$6:$G$500, MATCH(B1077, 'SAÍDA DE VENDAS'!$B$6:$B$500, 0)+5), ""), ""))</f>
        <v/>
      </c>
      <c r="G1077" s="34">
        <f>IFERROR(VLOOKUP(B1077,'SAÍDA DE VENDAS'!$B$6:$P$500,10,FALSE),"")</f>
        <v>0</v>
      </c>
      <c r="H1077" s="34" t="str">
        <f>IF(OR(ISBLANK(B1077),B1077=""), "", IF(B1077=B1076, (VALUE(LEFT(H1076,FIND("/",H1076)-1))+1)&amp;"/"&amp;RIGHT(H1076,LEN(H1076)-FIND("/",H1076)), "1/"&amp;IFERROR(VLOOKUP(B1077,'SAÍDA DE VENDAS'!$B$6:$P$500,13,FALSE),"1")))</f>
        <v/>
      </c>
      <c r="I1077" s="35" t="str">
        <f t="shared" si="32"/>
        <v/>
      </c>
      <c r="J1077" s="39" t="str">
        <f>IFERROR(VLOOKUP(B1077,'SAÍDA DE VENDAS'!$B$6:$P$500,15,FALSE),"")</f>
        <v/>
      </c>
      <c r="K1077" s="34" t="str">
        <f t="shared" ca="1" si="33"/>
        <v/>
      </c>
      <c r="L1077" s="34"/>
      <c r="M1077" s="34"/>
    </row>
    <row r="1078" spans="2:13" ht="15" customHeight="1" x14ac:dyDescent="0.3">
      <c r="B1078" s="28" t="str">
        <f>IF(B1077="","", IF(VALUE(LEFT(H1077,FIND("/",H1077)-1)) &lt; VALUE(RIGHT(H1077,LEN(H1077)-FIND("/",H1077))), B1077, IFERROR(INDEX('SAÍDA DE VENDAS'!$B$6:$B$500, MATCH(B1077,'SAÍDA DE VENDAS'!$B$6:$B$500,0)+COUNTIF('SAÍDA DE VENDAS'!$B$6:$B$500, B1077)),"")))</f>
        <v/>
      </c>
      <c r="C1078" s="29">
        <f>IFERROR(VLOOKUP(B1078,'SAÍDA DE VENDAS'!$B$6:$P$500,3,FALSE),"")</f>
        <v>0</v>
      </c>
      <c r="D1078" s="28">
        <f>IFERROR(VLOOKUP(B1078,'SAÍDA DE VENDAS'!$B$6:$P$500,4,FALSE),"")</f>
        <v>0</v>
      </c>
      <c r="E1078" s="28" t="str">
        <f>IFERROR(VLOOKUP(B1078,'SAÍDA DE VENDAS'!$B$6:$P$500,5,FALSE),"")</f>
        <v/>
      </c>
      <c r="F1078" s="28" t="str">
        <f>IF(OR(ISBLANK(B1078),B1078=""), "", IFERROR(INDEX('SAÍDA DE VENDAS'!$H$6:$H$500 &amp; "x " &amp; 'SAÍDA DE VENDAS'!$G$6:$G$500, MATCH(B1078, 'SAÍDA DE VENDAS'!$B$6:$B$500, 0)), "")&amp; IF(COUNTIF('SAÍDA DE VENDAS'!$B$6:$B$500, B1078)&gt;1, " + " &amp; IFERROR(INDEX('SAÍDA DE VENDAS'!$H$6:$H$500 &amp; "x " &amp; 'SAÍDA DE VENDAS'!$G$6:$G$500, MATCH(B1078, 'SAÍDA DE VENDAS'!$B$6:$B$500, 0)+1), ""), "")&amp; IF(COUNTIF('SAÍDA DE VENDAS'!$B$6:$B$500, B1078)&gt;2, " + " &amp; IFERROR(INDEX('SAÍDA DE VENDAS'!$H$6:$H$500 &amp; "x " &amp; 'SAÍDA DE VENDAS'!$G$6:$G$500, MATCH(B1078, 'SAÍDA DE VENDAS'!$B$6:$B$500, 0)+2), ""), "")&amp; IF(COUNTIF('SAÍDA DE VENDAS'!$B$6:$B$500, B1078)&gt;3, " + " &amp; IFERROR(INDEX('SAÍDA DE VENDAS'!$H$6:$H$500 &amp; "x " &amp; 'SAÍDA DE VENDAS'!$G$6:$G$500, MATCH(B1078, 'SAÍDA DE VENDAS'!$B$6:$B$500, 0)+3), ""), "")&amp; IF(COUNTIF('SAÍDA DE VENDAS'!$B$6:$B$500, B1078)&gt;4, " + " &amp; IFERROR(INDEX('SAÍDA DE VENDAS'!$H$6:$H$500 &amp; "x " &amp; 'SAÍDA DE VENDAS'!$G$6:$G$500, MATCH(B1078, 'SAÍDA DE VENDAS'!$B$6:$B$500, 0)+4), ""), "")&amp; IF(COUNTIF('SAÍDA DE VENDAS'!$B$6:$B$500, B1078)&gt;5, " + " &amp; IFERROR(INDEX('SAÍDA DE VENDAS'!$H$6:$H$500 &amp; "x " &amp; 'SAÍDA DE VENDAS'!$G$6:$G$500, MATCH(B1078, 'SAÍDA DE VENDAS'!$B$6:$B$500, 0)+5), ""), ""))</f>
        <v/>
      </c>
      <c r="G1078" s="28">
        <f>IFERROR(VLOOKUP(B1078,'SAÍDA DE VENDAS'!$B$6:$P$500,10,FALSE),"")</f>
        <v>0</v>
      </c>
      <c r="H1078" s="28" t="str">
        <f>IF(OR(ISBLANK(B1078),B1078=""), "", IF(B1078=B1077, (VALUE(LEFT(H1077,FIND("/",H1077)-1))+1)&amp;"/"&amp;RIGHT(H1077,LEN(H1077)-FIND("/",H1077)), "1/"&amp;IFERROR(VLOOKUP(B1078,'SAÍDA DE VENDAS'!$B$6:$P$500,13,FALSE),"1")))</f>
        <v/>
      </c>
      <c r="I1078" s="69" t="str">
        <f t="shared" si="32"/>
        <v/>
      </c>
      <c r="J1078" s="33" t="str">
        <f>IFERROR(VLOOKUP(B1078,'SAÍDA DE VENDAS'!$B$6:$P$500,15,FALSE),"")</f>
        <v/>
      </c>
      <c r="K1078" s="28" t="str">
        <f t="shared" ca="1" si="33"/>
        <v/>
      </c>
      <c r="L1078" s="28"/>
      <c r="M1078" s="28"/>
    </row>
    <row r="1079" spans="2:13" ht="15" customHeight="1" x14ac:dyDescent="0.3">
      <c r="B1079" s="34" t="str">
        <f>IF(B1078="","", IF(VALUE(LEFT(H1078,FIND("/",H1078)-1)) &lt; VALUE(RIGHT(H1078,LEN(H1078)-FIND("/",H1078))), B1078, IFERROR(INDEX('SAÍDA DE VENDAS'!$B$6:$B$500, MATCH(B1078,'SAÍDA DE VENDAS'!$B$6:$B$500,0)+COUNTIF('SAÍDA DE VENDAS'!$B$6:$B$500, B1078)),"")))</f>
        <v/>
      </c>
      <c r="C1079" s="35">
        <f>IFERROR(VLOOKUP(B1079,'SAÍDA DE VENDAS'!$B$6:$P$500,3,FALSE),"")</f>
        <v>0</v>
      </c>
      <c r="D1079" s="34">
        <f>IFERROR(VLOOKUP(B1079,'SAÍDA DE VENDAS'!$B$6:$P$500,4,FALSE),"")</f>
        <v>0</v>
      </c>
      <c r="E1079" s="34" t="str">
        <f>IFERROR(VLOOKUP(B1079,'SAÍDA DE VENDAS'!$B$6:$P$500,5,FALSE),"")</f>
        <v/>
      </c>
      <c r="F1079" s="34" t="str">
        <f>IF(OR(ISBLANK(B1079),B1079=""), "", IFERROR(INDEX('SAÍDA DE VENDAS'!$H$6:$H$500 &amp; "x " &amp; 'SAÍDA DE VENDAS'!$G$6:$G$500, MATCH(B1079, 'SAÍDA DE VENDAS'!$B$6:$B$500, 0)), "")&amp; IF(COUNTIF('SAÍDA DE VENDAS'!$B$6:$B$500, B1079)&gt;1, " + " &amp; IFERROR(INDEX('SAÍDA DE VENDAS'!$H$6:$H$500 &amp; "x " &amp; 'SAÍDA DE VENDAS'!$G$6:$G$500, MATCH(B1079, 'SAÍDA DE VENDAS'!$B$6:$B$500, 0)+1), ""), "")&amp; IF(COUNTIF('SAÍDA DE VENDAS'!$B$6:$B$500, B1079)&gt;2, " + " &amp; IFERROR(INDEX('SAÍDA DE VENDAS'!$H$6:$H$500 &amp; "x " &amp; 'SAÍDA DE VENDAS'!$G$6:$G$500, MATCH(B1079, 'SAÍDA DE VENDAS'!$B$6:$B$500, 0)+2), ""), "")&amp; IF(COUNTIF('SAÍDA DE VENDAS'!$B$6:$B$500, B1079)&gt;3, " + " &amp; IFERROR(INDEX('SAÍDA DE VENDAS'!$H$6:$H$500 &amp; "x " &amp; 'SAÍDA DE VENDAS'!$G$6:$G$500, MATCH(B1079, 'SAÍDA DE VENDAS'!$B$6:$B$500, 0)+3), ""), "")&amp; IF(COUNTIF('SAÍDA DE VENDAS'!$B$6:$B$500, B1079)&gt;4, " + " &amp; IFERROR(INDEX('SAÍDA DE VENDAS'!$H$6:$H$500 &amp; "x " &amp; 'SAÍDA DE VENDAS'!$G$6:$G$500, MATCH(B1079, 'SAÍDA DE VENDAS'!$B$6:$B$500, 0)+4), ""), "")&amp; IF(COUNTIF('SAÍDA DE VENDAS'!$B$6:$B$500, B1079)&gt;5, " + " &amp; IFERROR(INDEX('SAÍDA DE VENDAS'!$H$6:$H$500 &amp; "x " &amp; 'SAÍDA DE VENDAS'!$G$6:$G$500, MATCH(B1079, 'SAÍDA DE VENDAS'!$B$6:$B$500, 0)+5), ""), ""))</f>
        <v/>
      </c>
      <c r="G1079" s="34">
        <f>IFERROR(VLOOKUP(B1079,'SAÍDA DE VENDAS'!$B$6:$P$500,10,FALSE),"")</f>
        <v>0</v>
      </c>
      <c r="H1079" s="34" t="str">
        <f>IF(OR(ISBLANK(B1079),B1079=""), "", IF(B1079=B1078, (VALUE(LEFT(H1078,FIND("/",H1078)-1))+1)&amp;"/"&amp;RIGHT(H1078,LEN(H1078)-FIND("/",H1078)), "1/"&amp;IFERROR(VLOOKUP(B1079,'SAÍDA DE VENDAS'!$B$6:$P$500,13,FALSE),"1")))</f>
        <v/>
      </c>
      <c r="I1079" s="35" t="str">
        <f t="shared" si="32"/>
        <v/>
      </c>
      <c r="J1079" s="39" t="str">
        <f>IFERROR(VLOOKUP(B1079,'SAÍDA DE VENDAS'!$B$6:$P$500,15,FALSE),"")</f>
        <v/>
      </c>
      <c r="K1079" s="34" t="str">
        <f t="shared" ca="1" si="33"/>
        <v/>
      </c>
      <c r="L1079" s="34"/>
      <c r="M1079" s="34"/>
    </row>
    <row r="1080" spans="2:13" ht="15" customHeight="1" x14ac:dyDescent="0.3">
      <c r="B1080" s="28" t="str">
        <f>IF(B1079="","", IF(VALUE(LEFT(H1079,FIND("/",H1079)-1)) &lt; VALUE(RIGHT(H1079,LEN(H1079)-FIND("/",H1079))), B1079, IFERROR(INDEX('SAÍDA DE VENDAS'!$B$6:$B$500, MATCH(B1079,'SAÍDA DE VENDAS'!$B$6:$B$500,0)+COUNTIF('SAÍDA DE VENDAS'!$B$6:$B$500, B1079)),"")))</f>
        <v/>
      </c>
      <c r="C1080" s="29">
        <f>IFERROR(VLOOKUP(B1080,'SAÍDA DE VENDAS'!$B$6:$P$500,3,FALSE),"")</f>
        <v>0</v>
      </c>
      <c r="D1080" s="28">
        <f>IFERROR(VLOOKUP(B1080,'SAÍDA DE VENDAS'!$B$6:$P$500,4,FALSE),"")</f>
        <v>0</v>
      </c>
      <c r="E1080" s="28" t="str">
        <f>IFERROR(VLOOKUP(B1080,'SAÍDA DE VENDAS'!$B$6:$P$500,5,FALSE),"")</f>
        <v/>
      </c>
      <c r="F1080" s="28" t="str">
        <f>IF(OR(ISBLANK(B1080),B1080=""), "", IFERROR(INDEX('SAÍDA DE VENDAS'!$H$6:$H$500 &amp; "x " &amp; 'SAÍDA DE VENDAS'!$G$6:$G$500, MATCH(B1080, 'SAÍDA DE VENDAS'!$B$6:$B$500, 0)), "")&amp; IF(COUNTIF('SAÍDA DE VENDAS'!$B$6:$B$500, B1080)&gt;1, " + " &amp; IFERROR(INDEX('SAÍDA DE VENDAS'!$H$6:$H$500 &amp; "x " &amp; 'SAÍDA DE VENDAS'!$G$6:$G$500, MATCH(B1080, 'SAÍDA DE VENDAS'!$B$6:$B$500, 0)+1), ""), "")&amp; IF(COUNTIF('SAÍDA DE VENDAS'!$B$6:$B$500, B1080)&gt;2, " + " &amp; IFERROR(INDEX('SAÍDA DE VENDAS'!$H$6:$H$500 &amp; "x " &amp; 'SAÍDA DE VENDAS'!$G$6:$G$500, MATCH(B1080, 'SAÍDA DE VENDAS'!$B$6:$B$500, 0)+2), ""), "")&amp; IF(COUNTIF('SAÍDA DE VENDAS'!$B$6:$B$500, B1080)&gt;3, " + " &amp; IFERROR(INDEX('SAÍDA DE VENDAS'!$H$6:$H$500 &amp; "x " &amp; 'SAÍDA DE VENDAS'!$G$6:$G$500, MATCH(B1080, 'SAÍDA DE VENDAS'!$B$6:$B$500, 0)+3), ""), "")&amp; IF(COUNTIF('SAÍDA DE VENDAS'!$B$6:$B$500, B1080)&gt;4, " + " &amp; IFERROR(INDEX('SAÍDA DE VENDAS'!$H$6:$H$500 &amp; "x " &amp; 'SAÍDA DE VENDAS'!$G$6:$G$500, MATCH(B1080, 'SAÍDA DE VENDAS'!$B$6:$B$500, 0)+4), ""), "")&amp; IF(COUNTIF('SAÍDA DE VENDAS'!$B$6:$B$500, B1080)&gt;5, " + " &amp; IFERROR(INDEX('SAÍDA DE VENDAS'!$H$6:$H$500 &amp; "x " &amp; 'SAÍDA DE VENDAS'!$G$6:$G$500, MATCH(B1080, 'SAÍDA DE VENDAS'!$B$6:$B$500, 0)+5), ""), ""))</f>
        <v/>
      </c>
      <c r="G1080" s="28">
        <f>IFERROR(VLOOKUP(B1080,'SAÍDA DE VENDAS'!$B$6:$P$500,10,FALSE),"")</f>
        <v>0</v>
      </c>
      <c r="H1080" s="28" t="str">
        <f>IF(OR(ISBLANK(B1080),B1080=""), "", IF(B1080=B1079, (VALUE(LEFT(H1079,FIND("/",H1079)-1))+1)&amp;"/"&amp;RIGHT(H1079,LEN(H1079)-FIND("/",H1079)), "1/"&amp;IFERROR(VLOOKUP(B1080,'SAÍDA DE VENDAS'!$B$6:$P$500,13,FALSE),"1")))</f>
        <v/>
      </c>
      <c r="I1080" s="69" t="str">
        <f t="shared" si="32"/>
        <v/>
      </c>
      <c r="J1080" s="33" t="str">
        <f>IFERROR(VLOOKUP(B1080,'SAÍDA DE VENDAS'!$B$6:$P$500,15,FALSE),"")</f>
        <v/>
      </c>
      <c r="K1080" s="28" t="str">
        <f t="shared" ca="1" si="33"/>
        <v/>
      </c>
      <c r="L1080" s="28"/>
      <c r="M1080" s="28"/>
    </row>
    <row r="1081" spans="2:13" ht="15" customHeight="1" x14ac:dyDescent="0.3">
      <c r="B1081" s="34" t="str">
        <f>IF(B1080="","", IF(VALUE(LEFT(H1080,FIND("/",H1080)-1)) &lt; VALUE(RIGHT(H1080,LEN(H1080)-FIND("/",H1080))), B1080, IFERROR(INDEX('SAÍDA DE VENDAS'!$B$6:$B$500, MATCH(B1080,'SAÍDA DE VENDAS'!$B$6:$B$500,0)+COUNTIF('SAÍDA DE VENDAS'!$B$6:$B$500, B1080)),"")))</f>
        <v/>
      </c>
      <c r="C1081" s="35">
        <f>IFERROR(VLOOKUP(B1081,'SAÍDA DE VENDAS'!$B$6:$P$500,3,FALSE),"")</f>
        <v>0</v>
      </c>
      <c r="D1081" s="34">
        <f>IFERROR(VLOOKUP(B1081,'SAÍDA DE VENDAS'!$B$6:$P$500,4,FALSE),"")</f>
        <v>0</v>
      </c>
      <c r="E1081" s="34" t="str">
        <f>IFERROR(VLOOKUP(B1081,'SAÍDA DE VENDAS'!$B$6:$P$500,5,FALSE),"")</f>
        <v/>
      </c>
      <c r="F1081" s="34" t="str">
        <f>IF(OR(ISBLANK(B1081),B1081=""), "", IFERROR(INDEX('SAÍDA DE VENDAS'!$H$6:$H$500 &amp; "x " &amp; 'SAÍDA DE VENDAS'!$G$6:$G$500, MATCH(B1081, 'SAÍDA DE VENDAS'!$B$6:$B$500, 0)), "")&amp; IF(COUNTIF('SAÍDA DE VENDAS'!$B$6:$B$500, B1081)&gt;1, " + " &amp; IFERROR(INDEX('SAÍDA DE VENDAS'!$H$6:$H$500 &amp; "x " &amp; 'SAÍDA DE VENDAS'!$G$6:$G$500, MATCH(B1081, 'SAÍDA DE VENDAS'!$B$6:$B$500, 0)+1), ""), "")&amp; IF(COUNTIF('SAÍDA DE VENDAS'!$B$6:$B$500, B1081)&gt;2, " + " &amp; IFERROR(INDEX('SAÍDA DE VENDAS'!$H$6:$H$500 &amp; "x " &amp; 'SAÍDA DE VENDAS'!$G$6:$G$500, MATCH(B1081, 'SAÍDA DE VENDAS'!$B$6:$B$500, 0)+2), ""), "")&amp; IF(COUNTIF('SAÍDA DE VENDAS'!$B$6:$B$500, B1081)&gt;3, " + " &amp; IFERROR(INDEX('SAÍDA DE VENDAS'!$H$6:$H$500 &amp; "x " &amp; 'SAÍDA DE VENDAS'!$G$6:$G$500, MATCH(B1081, 'SAÍDA DE VENDAS'!$B$6:$B$500, 0)+3), ""), "")&amp; IF(COUNTIF('SAÍDA DE VENDAS'!$B$6:$B$500, B1081)&gt;4, " + " &amp; IFERROR(INDEX('SAÍDA DE VENDAS'!$H$6:$H$500 &amp; "x " &amp; 'SAÍDA DE VENDAS'!$G$6:$G$500, MATCH(B1081, 'SAÍDA DE VENDAS'!$B$6:$B$500, 0)+4), ""), "")&amp; IF(COUNTIF('SAÍDA DE VENDAS'!$B$6:$B$500, B1081)&gt;5, " + " &amp; IFERROR(INDEX('SAÍDA DE VENDAS'!$H$6:$H$500 &amp; "x " &amp; 'SAÍDA DE VENDAS'!$G$6:$G$500, MATCH(B1081, 'SAÍDA DE VENDAS'!$B$6:$B$500, 0)+5), ""), ""))</f>
        <v/>
      </c>
      <c r="G1081" s="34">
        <f>IFERROR(VLOOKUP(B1081,'SAÍDA DE VENDAS'!$B$6:$P$500,10,FALSE),"")</f>
        <v>0</v>
      </c>
      <c r="H1081" s="34" t="str">
        <f>IF(OR(ISBLANK(B1081),B1081=""), "", IF(B1081=B1080, (VALUE(LEFT(H1080,FIND("/",H1080)-1))+1)&amp;"/"&amp;RIGHT(H1080,LEN(H1080)-FIND("/",H1080)), "1/"&amp;IFERROR(VLOOKUP(B1081,'SAÍDA DE VENDAS'!$B$6:$P$500,13,FALSE),"1")))</f>
        <v/>
      </c>
      <c r="I1081" s="35" t="str">
        <f t="shared" si="32"/>
        <v/>
      </c>
      <c r="J1081" s="39" t="str">
        <f>IFERROR(VLOOKUP(B1081,'SAÍDA DE VENDAS'!$B$6:$P$500,15,FALSE),"")</f>
        <v/>
      </c>
      <c r="K1081" s="34" t="str">
        <f t="shared" ca="1" si="33"/>
        <v/>
      </c>
      <c r="L1081" s="34"/>
      <c r="M1081" s="34"/>
    </row>
    <row r="1082" spans="2:13" ht="15" customHeight="1" x14ac:dyDescent="0.3">
      <c r="B1082" s="28" t="str">
        <f>IF(B1081="","", IF(VALUE(LEFT(H1081,FIND("/",H1081)-1)) &lt; VALUE(RIGHT(H1081,LEN(H1081)-FIND("/",H1081))), B1081, IFERROR(INDEX('SAÍDA DE VENDAS'!$B$6:$B$500, MATCH(B1081,'SAÍDA DE VENDAS'!$B$6:$B$500,0)+COUNTIF('SAÍDA DE VENDAS'!$B$6:$B$500, B1081)),"")))</f>
        <v/>
      </c>
      <c r="C1082" s="29">
        <f>IFERROR(VLOOKUP(B1082,'SAÍDA DE VENDAS'!$B$6:$P$500,3,FALSE),"")</f>
        <v>0</v>
      </c>
      <c r="D1082" s="28">
        <f>IFERROR(VLOOKUP(B1082,'SAÍDA DE VENDAS'!$B$6:$P$500,4,FALSE),"")</f>
        <v>0</v>
      </c>
      <c r="E1082" s="28" t="str">
        <f>IFERROR(VLOOKUP(B1082,'SAÍDA DE VENDAS'!$B$6:$P$500,5,FALSE),"")</f>
        <v/>
      </c>
      <c r="F1082" s="28" t="str">
        <f>IF(OR(ISBLANK(B1082),B1082=""), "", IFERROR(INDEX('SAÍDA DE VENDAS'!$H$6:$H$500 &amp; "x " &amp; 'SAÍDA DE VENDAS'!$G$6:$G$500, MATCH(B1082, 'SAÍDA DE VENDAS'!$B$6:$B$500, 0)), "")&amp; IF(COUNTIF('SAÍDA DE VENDAS'!$B$6:$B$500, B1082)&gt;1, " + " &amp; IFERROR(INDEX('SAÍDA DE VENDAS'!$H$6:$H$500 &amp; "x " &amp; 'SAÍDA DE VENDAS'!$G$6:$G$500, MATCH(B1082, 'SAÍDA DE VENDAS'!$B$6:$B$500, 0)+1), ""), "")&amp; IF(COUNTIF('SAÍDA DE VENDAS'!$B$6:$B$500, B1082)&gt;2, " + " &amp; IFERROR(INDEX('SAÍDA DE VENDAS'!$H$6:$H$500 &amp; "x " &amp; 'SAÍDA DE VENDAS'!$G$6:$G$500, MATCH(B1082, 'SAÍDA DE VENDAS'!$B$6:$B$500, 0)+2), ""), "")&amp; IF(COUNTIF('SAÍDA DE VENDAS'!$B$6:$B$500, B1082)&gt;3, " + " &amp; IFERROR(INDEX('SAÍDA DE VENDAS'!$H$6:$H$500 &amp; "x " &amp; 'SAÍDA DE VENDAS'!$G$6:$G$500, MATCH(B1082, 'SAÍDA DE VENDAS'!$B$6:$B$500, 0)+3), ""), "")&amp; IF(COUNTIF('SAÍDA DE VENDAS'!$B$6:$B$500, B1082)&gt;4, " + " &amp; IFERROR(INDEX('SAÍDA DE VENDAS'!$H$6:$H$500 &amp; "x " &amp; 'SAÍDA DE VENDAS'!$G$6:$G$500, MATCH(B1082, 'SAÍDA DE VENDAS'!$B$6:$B$500, 0)+4), ""), "")&amp; IF(COUNTIF('SAÍDA DE VENDAS'!$B$6:$B$500, B1082)&gt;5, " + " &amp; IFERROR(INDEX('SAÍDA DE VENDAS'!$H$6:$H$500 &amp; "x " &amp; 'SAÍDA DE VENDAS'!$G$6:$G$500, MATCH(B1082, 'SAÍDA DE VENDAS'!$B$6:$B$500, 0)+5), ""), ""))</f>
        <v/>
      </c>
      <c r="G1082" s="28">
        <f>IFERROR(VLOOKUP(B1082,'SAÍDA DE VENDAS'!$B$6:$P$500,10,FALSE),"")</f>
        <v>0</v>
      </c>
      <c r="H1082" s="28" t="str">
        <f>IF(OR(ISBLANK(B1082),B1082=""), "", IF(B1082=B1081, (VALUE(LEFT(H1081,FIND("/",H1081)-1))+1)&amp;"/"&amp;RIGHT(H1081,LEN(H1081)-FIND("/",H1081)), "1/"&amp;IFERROR(VLOOKUP(B1082,'SAÍDA DE VENDAS'!$B$6:$P$500,13,FALSE),"1")))</f>
        <v/>
      </c>
      <c r="I1082" s="69" t="str">
        <f t="shared" si="32"/>
        <v/>
      </c>
      <c r="J1082" s="33" t="str">
        <f>IFERROR(VLOOKUP(B1082,'SAÍDA DE VENDAS'!$B$6:$P$500,15,FALSE),"")</f>
        <v/>
      </c>
      <c r="K1082" s="28" t="str">
        <f t="shared" ca="1" si="33"/>
        <v/>
      </c>
      <c r="L1082" s="28"/>
      <c r="M1082" s="28"/>
    </row>
    <row r="1083" spans="2:13" ht="15" customHeight="1" x14ac:dyDescent="0.3">
      <c r="B1083" s="34" t="str">
        <f>IF(B1082="","", IF(VALUE(LEFT(H1082,FIND("/",H1082)-1)) &lt; VALUE(RIGHT(H1082,LEN(H1082)-FIND("/",H1082))), B1082, IFERROR(INDEX('SAÍDA DE VENDAS'!$B$6:$B$500, MATCH(B1082,'SAÍDA DE VENDAS'!$B$6:$B$500,0)+COUNTIF('SAÍDA DE VENDAS'!$B$6:$B$500, B1082)),"")))</f>
        <v/>
      </c>
      <c r="C1083" s="35">
        <f>IFERROR(VLOOKUP(B1083,'SAÍDA DE VENDAS'!$B$6:$P$500,3,FALSE),"")</f>
        <v>0</v>
      </c>
      <c r="D1083" s="34">
        <f>IFERROR(VLOOKUP(B1083,'SAÍDA DE VENDAS'!$B$6:$P$500,4,FALSE),"")</f>
        <v>0</v>
      </c>
      <c r="E1083" s="34" t="str">
        <f>IFERROR(VLOOKUP(B1083,'SAÍDA DE VENDAS'!$B$6:$P$500,5,FALSE),"")</f>
        <v/>
      </c>
      <c r="F1083" s="34" t="str">
        <f>IF(OR(ISBLANK(B1083),B1083=""), "", IFERROR(INDEX('SAÍDA DE VENDAS'!$H$6:$H$500 &amp; "x " &amp; 'SAÍDA DE VENDAS'!$G$6:$G$500, MATCH(B1083, 'SAÍDA DE VENDAS'!$B$6:$B$500, 0)), "")&amp; IF(COUNTIF('SAÍDA DE VENDAS'!$B$6:$B$500, B1083)&gt;1, " + " &amp; IFERROR(INDEX('SAÍDA DE VENDAS'!$H$6:$H$500 &amp; "x " &amp; 'SAÍDA DE VENDAS'!$G$6:$G$500, MATCH(B1083, 'SAÍDA DE VENDAS'!$B$6:$B$500, 0)+1), ""), "")&amp; IF(COUNTIF('SAÍDA DE VENDAS'!$B$6:$B$500, B1083)&gt;2, " + " &amp; IFERROR(INDEX('SAÍDA DE VENDAS'!$H$6:$H$500 &amp; "x " &amp; 'SAÍDA DE VENDAS'!$G$6:$G$500, MATCH(B1083, 'SAÍDA DE VENDAS'!$B$6:$B$500, 0)+2), ""), "")&amp; IF(COUNTIF('SAÍDA DE VENDAS'!$B$6:$B$500, B1083)&gt;3, " + " &amp; IFERROR(INDEX('SAÍDA DE VENDAS'!$H$6:$H$500 &amp; "x " &amp; 'SAÍDA DE VENDAS'!$G$6:$G$500, MATCH(B1083, 'SAÍDA DE VENDAS'!$B$6:$B$500, 0)+3), ""), "")&amp; IF(COUNTIF('SAÍDA DE VENDAS'!$B$6:$B$500, B1083)&gt;4, " + " &amp; IFERROR(INDEX('SAÍDA DE VENDAS'!$H$6:$H$500 &amp; "x " &amp; 'SAÍDA DE VENDAS'!$G$6:$G$500, MATCH(B1083, 'SAÍDA DE VENDAS'!$B$6:$B$500, 0)+4), ""), "")&amp; IF(COUNTIF('SAÍDA DE VENDAS'!$B$6:$B$500, B1083)&gt;5, " + " &amp; IFERROR(INDEX('SAÍDA DE VENDAS'!$H$6:$H$500 &amp; "x " &amp; 'SAÍDA DE VENDAS'!$G$6:$G$500, MATCH(B1083, 'SAÍDA DE VENDAS'!$B$6:$B$500, 0)+5), ""), ""))</f>
        <v/>
      </c>
      <c r="G1083" s="34">
        <f>IFERROR(VLOOKUP(B1083,'SAÍDA DE VENDAS'!$B$6:$P$500,10,FALSE),"")</f>
        <v>0</v>
      </c>
      <c r="H1083" s="34" t="str">
        <f>IF(OR(ISBLANK(B1083),B1083=""), "", IF(B1083=B1082, (VALUE(LEFT(H1082,FIND("/",H1082)-1))+1)&amp;"/"&amp;RIGHT(H1082,LEN(H1082)-FIND("/",H1082)), "1/"&amp;IFERROR(VLOOKUP(B1083,'SAÍDA DE VENDAS'!$B$6:$P$500,13,FALSE),"1")))</f>
        <v/>
      </c>
      <c r="I1083" s="35" t="str">
        <f t="shared" si="32"/>
        <v/>
      </c>
      <c r="J1083" s="39" t="str">
        <f>IFERROR(VLOOKUP(B1083,'SAÍDA DE VENDAS'!$B$6:$P$500,15,FALSE),"")</f>
        <v/>
      </c>
      <c r="K1083" s="34" t="str">
        <f t="shared" ca="1" si="33"/>
        <v/>
      </c>
      <c r="L1083" s="34"/>
      <c r="M1083" s="34"/>
    </row>
    <row r="1084" spans="2:13" ht="15" customHeight="1" x14ac:dyDescent="0.3">
      <c r="B1084" s="28" t="str">
        <f>IF(B1083="","", IF(VALUE(LEFT(H1083,FIND("/",H1083)-1)) &lt; VALUE(RIGHT(H1083,LEN(H1083)-FIND("/",H1083))), B1083, IFERROR(INDEX('SAÍDA DE VENDAS'!$B$6:$B$500, MATCH(B1083,'SAÍDA DE VENDAS'!$B$6:$B$500,0)+COUNTIF('SAÍDA DE VENDAS'!$B$6:$B$500, B1083)),"")))</f>
        <v/>
      </c>
      <c r="C1084" s="29">
        <f>IFERROR(VLOOKUP(B1084,'SAÍDA DE VENDAS'!$B$6:$P$500,3,FALSE),"")</f>
        <v>0</v>
      </c>
      <c r="D1084" s="28">
        <f>IFERROR(VLOOKUP(B1084,'SAÍDA DE VENDAS'!$B$6:$P$500,4,FALSE),"")</f>
        <v>0</v>
      </c>
      <c r="E1084" s="28" t="str">
        <f>IFERROR(VLOOKUP(B1084,'SAÍDA DE VENDAS'!$B$6:$P$500,5,FALSE),"")</f>
        <v/>
      </c>
      <c r="F1084" s="28" t="str">
        <f>IF(OR(ISBLANK(B1084),B1084=""), "", IFERROR(INDEX('SAÍDA DE VENDAS'!$H$6:$H$500 &amp; "x " &amp; 'SAÍDA DE VENDAS'!$G$6:$G$500, MATCH(B1084, 'SAÍDA DE VENDAS'!$B$6:$B$500, 0)), "")&amp; IF(COUNTIF('SAÍDA DE VENDAS'!$B$6:$B$500, B1084)&gt;1, " + " &amp; IFERROR(INDEX('SAÍDA DE VENDAS'!$H$6:$H$500 &amp; "x " &amp; 'SAÍDA DE VENDAS'!$G$6:$G$500, MATCH(B1084, 'SAÍDA DE VENDAS'!$B$6:$B$500, 0)+1), ""), "")&amp; IF(COUNTIF('SAÍDA DE VENDAS'!$B$6:$B$500, B1084)&gt;2, " + " &amp; IFERROR(INDEX('SAÍDA DE VENDAS'!$H$6:$H$500 &amp; "x " &amp; 'SAÍDA DE VENDAS'!$G$6:$G$500, MATCH(B1084, 'SAÍDA DE VENDAS'!$B$6:$B$500, 0)+2), ""), "")&amp; IF(COUNTIF('SAÍDA DE VENDAS'!$B$6:$B$500, B1084)&gt;3, " + " &amp; IFERROR(INDEX('SAÍDA DE VENDAS'!$H$6:$H$500 &amp; "x " &amp; 'SAÍDA DE VENDAS'!$G$6:$G$500, MATCH(B1084, 'SAÍDA DE VENDAS'!$B$6:$B$500, 0)+3), ""), "")&amp; IF(COUNTIF('SAÍDA DE VENDAS'!$B$6:$B$500, B1084)&gt;4, " + " &amp; IFERROR(INDEX('SAÍDA DE VENDAS'!$H$6:$H$500 &amp; "x " &amp; 'SAÍDA DE VENDAS'!$G$6:$G$500, MATCH(B1084, 'SAÍDA DE VENDAS'!$B$6:$B$500, 0)+4), ""), "")&amp; IF(COUNTIF('SAÍDA DE VENDAS'!$B$6:$B$500, B1084)&gt;5, " + " &amp; IFERROR(INDEX('SAÍDA DE VENDAS'!$H$6:$H$500 &amp; "x " &amp; 'SAÍDA DE VENDAS'!$G$6:$G$500, MATCH(B1084, 'SAÍDA DE VENDAS'!$B$6:$B$500, 0)+5), ""), ""))</f>
        <v/>
      </c>
      <c r="G1084" s="28">
        <f>IFERROR(VLOOKUP(B1084,'SAÍDA DE VENDAS'!$B$6:$P$500,10,FALSE),"")</f>
        <v>0</v>
      </c>
      <c r="H1084" s="28" t="str">
        <f>IF(OR(ISBLANK(B1084),B1084=""), "", IF(B1084=B1083, (VALUE(LEFT(H1083,FIND("/",H1083)-1))+1)&amp;"/"&amp;RIGHT(H1083,LEN(H1083)-FIND("/",H1083)), "1/"&amp;IFERROR(VLOOKUP(B1084,'SAÍDA DE VENDAS'!$B$6:$P$500,13,FALSE),"1")))</f>
        <v/>
      </c>
      <c r="I1084" s="69" t="str">
        <f t="shared" si="32"/>
        <v/>
      </c>
      <c r="J1084" s="33" t="str">
        <f>IFERROR(VLOOKUP(B1084,'SAÍDA DE VENDAS'!$B$6:$P$500,15,FALSE),"")</f>
        <v/>
      </c>
      <c r="K1084" s="28" t="str">
        <f t="shared" ca="1" si="33"/>
        <v/>
      </c>
      <c r="L1084" s="28"/>
      <c r="M1084" s="28"/>
    </row>
    <row r="1085" spans="2:13" ht="15" customHeight="1" x14ac:dyDescent="0.3">
      <c r="B1085" s="34" t="str">
        <f>IF(B1084="","", IF(VALUE(LEFT(H1084,FIND("/",H1084)-1)) &lt; VALUE(RIGHT(H1084,LEN(H1084)-FIND("/",H1084))), B1084, IFERROR(INDEX('SAÍDA DE VENDAS'!$B$6:$B$500, MATCH(B1084,'SAÍDA DE VENDAS'!$B$6:$B$500,0)+COUNTIF('SAÍDA DE VENDAS'!$B$6:$B$500, B1084)),"")))</f>
        <v/>
      </c>
      <c r="C1085" s="35">
        <f>IFERROR(VLOOKUP(B1085,'SAÍDA DE VENDAS'!$B$6:$P$500,3,FALSE),"")</f>
        <v>0</v>
      </c>
      <c r="D1085" s="34">
        <f>IFERROR(VLOOKUP(B1085,'SAÍDA DE VENDAS'!$B$6:$P$500,4,FALSE),"")</f>
        <v>0</v>
      </c>
      <c r="E1085" s="34" t="str">
        <f>IFERROR(VLOOKUP(B1085,'SAÍDA DE VENDAS'!$B$6:$P$500,5,FALSE),"")</f>
        <v/>
      </c>
      <c r="F1085" s="34" t="str">
        <f>IF(OR(ISBLANK(B1085),B1085=""), "", IFERROR(INDEX('SAÍDA DE VENDAS'!$H$6:$H$500 &amp; "x " &amp; 'SAÍDA DE VENDAS'!$G$6:$G$500, MATCH(B1085, 'SAÍDA DE VENDAS'!$B$6:$B$500, 0)), "")&amp; IF(COUNTIF('SAÍDA DE VENDAS'!$B$6:$B$500, B1085)&gt;1, " + " &amp; IFERROR(INDEX('SAÍDA DE VENDAS'!$H$6:$H$500 &amp; "x " &amp; 'SAÍDA DE VENDAS'!$G$6:$G$500, MATCH(B1085, 'SAÍDA DE VENDAS'!$B$6:$B$500, 0)+1), ""), "")&amp; IF(COUNTIF('SAÍDA DE VENDAS'!$B$6:$B$500, B1085)&gt;2, " + " &amp; IFERROR(INDEX('SAÍDA DE VENDAS'!$H$6:$H$500 &amp; "x " &amp; 'SAÍDA DE VENDAS'!$G$6:$G$500, MATCH(B1085, 'SAÍDA DE VENDAS'!$B$6:$B$500, 0)+2), ""), "")&amp; IF(COUNTIF('SAÍDA DE VENDAS'!$B$6:$B$500, B1085)&gt;3, " + " &amp; IFERROR(INDEX('SAÍDA DE VENDAS'!$H$6:$H$500 &amp; "x " &amp; 'SAÍDA DE VENDAS'!$G$6:$G$500, MATCH(B1085, 'SAÍDA DE VENDAS'!$B$6:$B$500, 0)+3), ""), "")&amp; IF(COUNTIF('SAÍDA DE VENDAS'!$B$6:$B$500, B1085)&gt;4, " + " &amp; IFERROR(INDEX('SAÍDA DE VENDAS'!$H$6:$H$500 &amp; "x " &amp; 'SAÍDA DE VENDAS'!$G$6:$G$500, MATCH(B1085, 'SAÍDA DE VENDAS'!$B$6:$B$500, 0)+4), ""), "")&amp; IF(COUNTIF('SAÍDA DE VENDAS'!$B$6:$B$500, B1085)&gt;5, " + " &amp; IFERROR(INDEX('SAÍDA DE VENDAS'!$H$6:$H$500 &amp; "x " &amp; 'SAÍDA DE VENDAS'!$G$6:$G$500, MATCH(B1085, 'SAÍDA DE VENDAS'!$B$6:$B$500, 0)+5), ""), ""))</f>
        <v/>
      </c>
      <c r="G1085" s="34">
        <f>IFERROR(VLOOKUP(B1085,'SAÍDA DE VENDAS'!$B$6:$P$500,10,FALSE),"")</f>
        <v>0</v>
      </c>
      <c r="H1085" s="34" t="str">
        <f>IF(OR(ISBLANK(B1085),B1085=""), "", IF(B1085=B1084, (VALUE(LEFT(H1084,FIND("/",H1084)-1))+1)&amp;"/"&amp;RIGHT(H1084,LEN(H1084)-FIND("/",H1084)), "1/"&amp;IFERROR(VLOOKUP(B1085,'SAÍDA DE VENDAS'!$B$6:$P$500,13,FALSE),"1")))</f>
        <v/>
      </c>
      <c r="I1085" s="35" t="str">
        <f t="shared" si="32"/>
        <v/>
      </c>
      <c r="J1085" s="39" t="str">
        <f>IFERROR(VLOOKUP(B1085,'SAÍDA DE VENDAS'!$B$6:$P$500,15,FALSE),"")</f>
        <v/>
      </c>
      <c r="K1085" s="34" t="str">
        <f t="shared" ca="1" si="33"/>
        <v/>
      </c>
      <c r="L1085" s="34"/>
      <c r="M1085" s="34"/>
    </row>
    <row r="1086" spans="2:13" ht="15" customHeight="1" x14ac:dyDescent="0.3">
      <c r="B1086" s="28" t="str">
        <f>IF(B1085="","", IF(VALUE(LEFT(H1085,FIND("/",H1085)-1)) &lt; VALUE(RIGHT(H1085,LEN(H1085)-FIND("/",H1085))), B1085, IFERROR(INDEX('SAÍDA DE VENDAS'!$B$6:$B$500, MATCH(B1085,'SAÍDA DE VENDAS'!$B$6:$B$500,0)+COUNTIF('SAÍDA DE VENDAS'!$B$6:$B$500, B1085)),"")))</f>
        <v/>
      </c>
      <c r="C1086" s="29">
        <f>IFERROR(VLOOKUP(B1086,'SAÍDA DE VENDAS'!$B$6:$P$500,3,FALSE),"")</f>
        <v>0</v>
      </c>
      <c r="D1086" s="28">
        <f>IFERROR(VLOOKUP(B1086,'SAÍDA DE VENDAS'!$B$6:$P$500,4,FALSE),"")</f>
        <v>0</v>
      </c>
      <c r="E1086" s="28" t="str">
        <f>IFERROR(VLOOKUP(B1086,'SAÍDA DE VENDAS'!$B$6:$P$500,5,FALSE),"")</f>
        <v/>
      </c>
      <c r="F1086" s="28" t="str">
        <f>IF(OR(ISBLANK(B1086),B1086=""), "", IFERROR(INDEX('SAÍDA DE VENDAS'!$H$6:$H$500 &amp; "x " &amp; 'SAÍDA DE VENDAS'!$G$6:$G$500, MATCH(B1086, 'SAÍDA DE VENDAS'!$B$6:$B$500, 0)), "")&amp; IF(COUNTIF('SAÍDA DE VENDAS'!$B$6:$B$500, B1086)&gt;1, " + " &amp; IFERROR(INDEX('SAÍDA DE VENDAS'!$H$6:$H$500 &amp; "x " &amp; 'SAÍDA DE VENDAS'!$G$6:$G$500, MATCH(B1086, 'SAÍDA DE VENDAS'!$B$6:$B$500, 0)+1), ""), "")&amp; IF(COUNTIF('SAÍDA DE VENDAS'!$B$6:$B$500, B1086)&gt;2, " + " &amp; IFERROR(INDEX('SAÍDA DE VENDAS'!$H$6:$H$500 &amp; "x " &amp; 'SAÍDA DE VENDAS'!$G$6:$G$500, MATCH(B1086, 'SAÍDA DE VENDAS'!$B$6:$B$500, 0)+2), ""), "")&amp; IF(COUNTIF('SAÍDA DE VENDAS'!$B$6:$B$500, B1086)&gt;3, " + " &amp; IFERROR(INDEX('SAÍDA DE VENDAS'!$H$6:$H$500 &amp; "x " &amp; 'SAÍDA DE VENDAS'!$G$6:$G$500, MATCH(B1086, 'SAÍDA DE VENDAS'!$B$6:$B$500, 0)+3), ""), "")&amp; IF(COUNTIF('SAÍDA DE VENDAS'!$B$6:$B$500, B1086)&gt;4, " + " &amp; IFERROR(INDEX('SAÍDA DE VENDAS'!$H$6:$H$500 &amp; "x " &amp; 'SAÍDA DE VENDAS'!$G$6:$G$500, MATCH(B1086, 'SAÍDA DE VENDAS'!$B$6:$B$500, 0)+4), ""), "")&amp; IF(COUNTIF('SAÍDA DE VENDAS'!$B$6:$B$500, B1086)&gt;5, " + " &amp; IFERROR(INDEX('SAÍDA DE VENDAS'!$H$6:$H$500 &amp; "x " &amp; 'SAÍDA DE VENDAS'!$G$6:$G$500, MATCH(B1086, 'SAÍDA DE VENDAS'!$B$6:$B$500, 0)+5), ""), ""))</f>
        <v/>
      </c>
      <c r="G1086" s="28">
        <f>IFERROR(VLOOKUP(B1086,'SAÍDA DE VENDAS'!$B$6:$P$500,10,FALSE),"")</f>
        <v>0</v>
      </c>
      <c r="H1086" s="28" t="str">
        <f>IF(OR(ISBLANK(B1086),B1086=""), "", IF(B1086=B1085, (VALUE(LEFT(H1085,FIND("/",H1085)-1))+1)&amp;"/"&amp;RIGHT(H1085,LEN(H1085)-FIND("/",H1085)), "1/"&amp;IFERROR(VLOOKUP(B1086,'SAÍDA DE VENDAS'!$B$6:$P$500,13,FALSE),"1")))</f>
        <v/>
      </c>
      <c r="I1086" s="69" t="str">
        <f t="shared" si="32"/>
        <v/>
      </c>
      <c r="J1086" s="33" t="str">
        <f>IFERROR(VLOOKUP(B1086,'SAÍDA DE VENDAS'!$B$6:$P$500,15,FALSE),"")</f>
        <v/>
      </c>
      <c r="K1086" s="28" t="str">
        <f t="shared" ca="1" si="33"/>
        <v/>
      </c>
      <c r="L1086" s="28"/>
      <c r="M1086" s="28"/>
    </row>
    <row r="1087" spans="2:13" ht="15" customHeight="1" x14ac:dyDescent="0.3">
      <c r="B1087" s="34" t="str">
        <f>IF(B1086="","", IF(VALUE(LEFT(H1086,FIND("/",H1086)-1)) &lt; VALUE(RIGHT(H1086,LEN(H1086)-FIND("/",H1086))), B1086, IFERROR(INDEX('SAÍDA DE VENDAS'!$B$6:$B$500, MATCH(B1086,'SAÍDA DE VENDAS'!$B$6:$B$500,0)+COUNTIF('SAÍDA DE VENDAS'!$B$6:$B$500, B1086)),"")))</f>
        <v/>
      </c>
      <c r="C1087" s="35">
        <f>IFERROR(VLOOKUP(B1087,'SAÍDA DE VENDAS'!$B$6:$P$500,3,FALSE),"")</f>
        <v>0</v>
      </c>
      <c r="D1087" s="34">
        <f>IFERROR(VLOOKUP(B1087,'SAÍDA DE VENDAS'!$B$6:$P$500,4,FALSE),"")</f>
        <v>0</v>
      </c>
      <c r="E1087" s="34" t="str">
        <f>IFERROR(VLOOKUP(B1087,'SAÍDA DE VENDAS'!$B$6:$P$500,5,FALSE),"")</f>
        <v/>
      </c>
      <c r="F1087" s="34" t="str">
        <f>IF(OR(ISBLANK(B1087),B1087=""), "", IFERROR(INDEX('SAÍDA DE VENDAS'!$H$6:$H$500 &amp; "x " &amp; 'SAÍDA DE VENDAS'!$G$6:$G$500, MATCH(B1087, 'SAÍDA DE VENDAS'!$B$6:$B$500, 0)), "")&amp; IF(COUNTIF('SAÍDA DE VENDAS'!$B$6:$B$500, B1087)&gt;1, " + " &amp; IFERROR(INDEX('SAÍDA DE VENDAS'!$H$6:$H$500 &amp; "x " &amp; 'SAÍDA DE VENDAS'!$G$6:$G$500, MATCH(B1087, 'SAÍDA DE VENDAS'!$B$6:$B$500, 0)+1), ""), "")&amp; IF(COUNTIF('SAÍDA DE VENDAS'!$B$6:$B$500, B1087)&gt;2, " + " &amp; IFERROR(INDEX('SAÍDA DE VENDAS'!$H$6:$H$500 &amp; "x " &amp; 'SAÍDA DE VENDAS'!$G$6:$G$500, MATCH(B1087, 'SAÍDA DE VENDAS'!$B$6:$B$500, 0)+2), ""), "")&amp; IF(COUNTIF('SAÍDA DE VENDAS'!$B$6:$B$500, B1087)&gt;3, " + " &amp; IFERROR(INDEX('SAÍDA DE VENDAS'!$H$6:$H$500 &amp; "x " &amp; 'SAÍDA DE VENDAS'!$G$6:$G$500, MATCH(B1087, 'SAÍDA DE VENDAS'!$B$6:$B$500, 0)+3), ""), "")&amp; IF(COUNTIF('SAÍDA DE VENDAS'!$B$6:$B$500, B1087)&gt;4, " + " &amp; IFERROR(INDEX('SAÍDA DE VENDAS'!$H$6:$H$500 &amp; "x " &amp; 'SAÍDA DE VENDAS'!$G$6:$G$500, MATCH(B1087, 'SAÍDA DE VENDAS'!$B$6:$B$500, 0)+4), ""), "")&amp; IF(COUNTIF('SAÍDA DE VENDAS'!$B$6:$B$500, B1087)&gt;5, " + " &amp; IFERROR(INDEX('SAÍDA DE VENDAS'!$H$6:$H$500 &amp; "x " &amp; 'SAÍDA DE VENDAS'!$G$6:$G$500, MATCH(B1087, 'SAÍDA DE VENDAS'!$B$6:$B$500, 0)+5), ""), ""))</f>
        <v/>
      </c>
      <c r="G1087" s="34">
        <f>IFERROR(VLOOKUP(B1087,'SAÍDA DE VENDAS'!$B$6:$P$500,10,FALSE),"")</f>
        <v>0</v>
      </c>
      <c r="H1087" s="34" t="str">
        <f>IF(OR(ISBLANK(B1087),B1087=""), "", IF(B1087=B1086, (VALUE(LEFT(H1086,FIND("/",H1086)-1))+1)&amp;"/"&amp;RIGHT(H1086,LEN(H1086)-FIND("/",H1086)), "1/"&amp;IFERROR(VLOOKUP(B1087,'SAÍDA DE VENDAS'!$B$6:$P$500,13,FALSE),"1")))</f>
        <v/>
      </c>
      <c r="I1087" s="35" t="str">
        <f t="shared" si="32"/>
        <v/>
      </c>
      <c r="J1087" s="39" t="str">
        <f>IFERROR(VLOOKUP(B1087,'SAÍDA DE VENDAS'!$B$6:$P$500,15,FALSE),"")</f>
        <v/>
      </c>
      <c r="K1087" s="34" t="str">
        <f t="shared" ca="1" si="33"/>
        <v/>
      </c>
      <c r="L1087" s="34"/>
      <c r="M1087" s="34"/>
    </row>
    <row r="1088" spans="2:13" ht="15" customHeight="1" x14ac:dyDescent="0.3">
      <c r="B1088" s="28" t="str">
        <f>IF(B1087="","", IF(VALUE(LEFT(H1087,FIND("/",H1087)-1)) &lt; VALUE(RIGHT(H1087,LEN(H1087)-FIND("/",H1087))), B1087, IFERROR(INDEX('SAÍDA DE VENDAS'!$B$6:$B$500, MATCH(B1087,'SAÍDA DE VENDAS'!$B$6:$B$500,0)+COUNTIF('SAÍDA DE VENDAS'!$B$6:$B$500, B1087)),"")))</f>
        <v/>
      </c>
      <c r="C1088" s="29">
        <f>IFERROR(VLOOKUP(B1088,'SAÍDA DE VENDAS'!$B$6:$P$500,3,FALSE),"")</f>
        <v>0</v>
      </c>
      <c r="D1088" s="28">
        <f>IFERROR(VLOOKUP(B1088,'SAÍDA DE VENDAS'!$B$6:$P$500,4,FALSE),"")</f>
        <v>0</v>
      </c>
      <c r="E1088" s="28" t="str">
        <f>IFERROR(VLOOKUP(B1088,'SAÍDA DE VENDAS'!$B$6:$P$500,5,FALSE),"")</f>
        <v/>
      </c>
      <c r="F1088" s="28" t="str">
        <f>IF(OR(ISBLANK(B1088),B1088=""), "", IFERROR(INDEX('SAÍDA DE VENDAS'!$H$6:$H$500 &amp; "x " &amp; 'SAÍDA DE VENDAS'!$G$6:$G$500, MATCH(B1088, 'SAÍDA DE VENDAS'!$B$6:$B$500, 0)), "")&amp; IF(COUNTIF('SAÍDA DE VENDAS'!$B$6:$B$500, B1088)&gt;1, " + " &amp; IFERROR(INDEX('SAÍDA DE VENDAS'!$H$6:$H$500 &amp; "x " &amp; 'SAÍDA DE VENDAS'!$G$6:$G$500, MATCH(B1088, 'SAÍDA DE VENDAS'!$B$6:$B$500, 0)+1), ""), "")&amp; IF(COUNTIF('SAÍDA DE VENDAS'!$B$6:$B$500, B1088)&gt;2, " + " &amp; IFERROR(INDEX('SAÍDA DE VENDAS'!$H$6:$H$500 &amp; "x " &amp; 'SAÍDA DE VENDAS'!$G$6:$G$500, MATCH(B1088, 'SAÍDA DE VENDAS'!$B$6:$B$500, 0)+2), ""), "")&amp; IF(COUNTIF('SAÍDA DE VENDAS'!$B$6:$B$500, B1088)&gt;3, " + " &amp; IFERROR(INDEX('SAÍDA DE VENDAS'!$H$6:$H$500 &amp; "x " &amp; 'SAÍDA DE VENDAS'!$G$6:$G$500, MATCH(B1088, 'SAÍDA DE VENDAS'!$B$6:$B$500, 0)+3), ""), "")&amp; IF(COUNTIF('SAÍDA DE VENDAS'!$B$6:$B$500, B1088)&gt;4, " + " &amp; IFERROR(INDEX('SAÍDA DE VENDAS'!$H$6:$H$500 &amp; "x " &amp; 'SAÍDA DE VENDAS'!$G$6:$G$500, MATCH(B1088, 'SAÍDA DE VENDAS'!$B$6:$B$500, 0)+4), ""), "")&amp; IF(COUNTIF('SAÍDA DE VENDAS'!$B$6:$B$500, B1088)&gt;5, " + " &amp; IFERROR(INDEX('SAÍDA DE VENDAS'!$H$6:$H$500 &amp; "x " &amp; 'SAÍDA DE VENDAS'!$G$6:$G$500, MATCH(B1088, 'SAÍDA DE VENDAS'!$B$6:$B$500, 0)+5), ""), ""))</f>
        <v/>
      </c>
      <c r="G1088" s="28">
        <f>IFERROR(VLOOKUP(B1088,'SAÍDA DE VENDAS'!$B$6:$P$500,10,FALSE),"")</f>
        <v>0</v>
      </c>
      <c r="H1088" s="28" t="str">
        <f>IF(OR(ISBLANK(B1088),B1088=""), "", IF(B1088=B1087, (VALUE(LEFT(H1087,FIND("/",H1087)-1))+1)&amp;"/"&amp;RIGHT(H1087,LEN(H1087)-FIND("/",H1087)), "1/"&amp;IFERROR(VLOOKUP(B1088,'SAÍDA DE VENDAS'!$B$6:$P$500,13,FALSE),"1")))</f>
        <v/>
      </c>
      <c r="I1088" s="69" t="str">
        <f t="shared" si="32"/>
        <v/>
      </c>
      <c r="J1088" s="33" t="str">
        <f>IFERROR(VLOOKUP(B1088,'SAÍDA DE VENDAS'!$B$6:$P$500,15,FALSE),"")</f>
        <v/>
      </c>
      <c r="K1088" s="28" t="str">
        <f t="shared" ca="1" si="33"/>
        <v/>
      </c>
      <c r="L1088" s="28"/>
      <c r="M1088" s="28"/>
    </row>
    <row r="1089" spans="2:13" ht="15" customHeight="1" x14ac:dyDescent="0.3">
      <c r="B1089" s="34" t="str">
        <f>IF(B1088="","", IF(VALUE(LEFT(H1088,FIND("/",H1088)-1)) &lt; VALUE(RIGHT(H1088,LEN(H1088)-FIND("/",H1088))), B1088, IFERROR(INDEX('SAÍDA DE VENDAS'!$B$6:$B$500, MATCH(B1088,'SAÍDA DE VENDAS'!$B$6:$B$500,0)+COUNTIF('SAÍDA DE VENDAS'!$B$6:$B$500, B1088)),"")))</f>
        <v/>
      </c>
      <c r="C1089" s="35">
        <f>IFERROR(VLOOKUP(B1089,'SAÍDA DE VENDAS'!$B$6:$P$500,3,FALSE),"")</f>
        <v>0</v>
      </c>
      <c r="D1089" s="34">
        <f>IFERROR(VLOOKUP(B1089,'SAÍDA DE VENDAS'!$B$6:$P$500,4,FALSE),"")</f>
        <v>0</v>
      </c>
      <c r="E1089" s="34" t="str">
        <f>IFERROR(VLOOKUP(B1089,'SAÍDA DE VENDAS'!$B$6:$P$500,5,FALSE),"")</f>
        <v/>
      </c>
      <c r="F1089" s="34" t="str">
        <f>IF(OR(ISBLANK(B1089),B1089=""), "", IFERROR(INDEX('SAÍDA DE VENDAS'!$H$6:$H$500 &amp; "x " &amp; 'SAÍDA DE VENDAS'!$G$6:$G$500, MATCH(B1089, 'SAÍDA DE VENDAS'!$B$6:$B$500, 0)), "")&amp; IF(COUNTIF('SAÍDA DE VENDAS'!$B$6:$B$500, B1089)&gt;1, " + " &amp; IFERROR(INDEX('SAÍDA DE VENDAS'!$H$6:$H$500 &amp; "x " &amp; 'SAÍDA DE VENDAS'!$G$6:$G$500, MATCH(B1089, 'SAÍDA DE VENDAS'!$B$6:$B$500, 0)+1), ""), "")&amp; IF(COUNTIF('SAÍDA DE VENDAS'!$B$6:$B$500, B1089)&gt;2, " + " &amp; IFERROR(INDEX('SAÍDA DE VENDAS'!$H$6:$H$500 &amp; "x " &amp; 'SAÍDA DE VENDAS'!$G$6:$G$500, MATCH(B1089, 'SAÍDA DE VENDAS'!$B$6:$B$500, 0)+2), ""), "")&amp; IF(COUNTIF('SAÍDA DE VENDAS'!$B$6:$B$500, B1089)&gt;3, " + " &amp; IFERROR(INDEX('SAÍDA DE VENDAS'!$H$6:$H$500 &amp; "x " &amp; 'SAÍDA DE VENDAS'!$G$6:$G$500, MATCH(B1089, 'SAÍDA DE VENDAS'!$B$6:$B$500, 0)+3), ""), "")&amp; IF(COUNTIF('SAÍDA DE VENDAS'!$B$6:$B$500, B1089)&gt;4, " + " &amp; IFERROR(INDEX('SAÍDA DE VENDAS'!$H$6:$H$500 &amp; "x " &amp; 'SAÍDA DE VENDAS'!$G$6:$G$500, MATCH(B1089, 'SAÍDA DE VENDAS'!$B$6:$B$500, 0)+4), ""), "")&amp; IF(COUNTIF('SAÍDA DE VENDAS'!$B$6:$B$500, B1089)&gt;5, " + " &amp; IFERROR(INDEX('SAÍDA DE VENDAS'!$H$6:$H$500 &amp; "x " &amp; 'SAÍDA DE VENDAS'!$G$6:$G$500, MATCH(B1089, 'SAÍDA DE VENDAS'!$B$6:$B$500, 0)+5), ""), ""))</f>
        <v/>
      </c>
      <c r="G1089" s="34">
        <f>IFERROR(VLOOKUP(B1089,'SAÍDA DE VENDAS'!$B$6:$P$500,10,FALSE),"")</f>
        <v>0</v>
      </c>
      <c r="H1089" s="34" t="str">
        <f>IF(OR(ISBLANK(B1089),B1089=""), "", IF(B1089=B1088, (VALUE(LEFT(H1088,FIND("/",H1088)-1))+1)&amp;"/"&amp;RIGHT(H1088,LEN(H1088)-FIND("/",H1088)), "1/"&amp;IFERROR(VLOOKUP(B1089,'SAÍDA DE VENDAS'!$B$6:$P$500,13,FALSE),"1")))</f>
        <v/>
      </c>
      <c r="I1089" s="35" t="str">
        <f t="shared" si="32"/>
        <v/>
      </c>
      <c r="J1089" s="39" t="str">
        <f>IFERROR(VLOOKUP(B1089,'SAÍDA DE VENDAS'!$B$6:$P$500,15,FALSE),"")</f>
        <v/>
      </c>
      <c r="K1089" s="34" t="str">
        <f t="shared" ca="1" si="33"/>
        <v/>
      </c>
      <c r="L1089" s="34"/>
      <c r="M1089" s="34"/>
    </row>
    <row r="1090" spans="2:13" ht="15" customHeight="1" x14ac:dyDescent="0.3">
      <c r="B1090" s="28" t="str">
        <f>IF(B1089="","", IF(VALUE(LEFT(H1089,FIND("/",H1089)-1)) &lt; VALUE(RIGHT(H1089,LEN(H1089)-FIND("/",H1089))), B1089, IFERROR(INDEX('SAÍDA DE VENDAS'!$B$6:$B$500, MATCH(B1089,'SAÍDA DE VENDAS'!$B$6:$B$500,0)+COUNTIF('SAÍDA DE VENDAS'!$B$6:$B$500, B1089)),"")))</f>
        <v/>
      </c>
      <c r="C1090" s="29">
        <f>IFERROR(VLOOKUP(B1090,'SAÍDA DE VENDAS'!$B$6:$P$500,3,FALSE),"")</f>
        <v>0</v>
      </c>
      <c r="D1090" s="28">
        <f>IFERROR(VLOOKUP(B1090,'SAÍDA DE VENDAS'!$B$6:$P$500,4,FALSE),"")</f>
        <v>0</v>
      </c>
      <c r="E1090" s="28" t="str">
        <f>IFERROR(VLOOKUP(B1090,'SAÍDA DE VENDAS'!$B$6:$P$500,5,FALSE),"")</f>
        <v/>
      </c>
      <c r="F1090" s="28" t="str">
        <f>IF(OR(ISBLANK(B1090),B1090=""), "", IFERROR(INDEX('SAÍDA DE VENDAS'!$H$6:$H$500 &amp; "x " &amp; 'SAÍDA DE VENDAS'!$G$6:$G$500, MATCH(B1090, 'SAÍDA DE VENDAS'!$B$6:$B$500, 0)), "")&amp; IF(COUNTIF('SAÍDA DE VENDAS'!$B$6:$B$500, B1090)&gt;1, " + " &amp; IFERROR(INDEX('SAÍDA DE VENDAS'!$H$6:$H$500 &amp; "x " &amp; 'SAÍDA DE VENDAS'!$G$6:$G$500, MATCH(B1090, 'SAÍDA DE VENDAS'!$B$6:$B$500, 0)+1), ""), "")&amp; IF(COUNTIF('SAÍDA DE VENDAS'!$B$6:$B$500, B1090)&gt;2, " + " &amp; IFERROR(INDEX('SAÍDA DE VENDAS'!$H$6:$H$500 &amp; "x " &amp; 'SAÍDA DE VENDAS'!$G$6:$G$500, MATCH(B1090, 'SAÍDA DE VENDAS'!$B$6:$B$500, 0)+2), ""), "")&amp; IF(COUNTIF('SAÍDA DE VENDAS'!$B$6:$B$500, B1090)&gt;3, " + " &amp; IFERROR(INDEX('SAÍDA DE VENDAS'!$H$6:$H$500 &amp; "x " &amp; 'SAÍDA DE VENDAS'!$G$6:$G$500, MATCH(B1090, 'SAÍDA DE VENDAS'!$B$6:$B$500, 0)+3), ""), "")&amp; IF(COUNTIF('SAÍDA DE VENDAS'!$B$6:$B$500, B1090)&gt;4, " + " &amp; IFERROR(INDEX('SAÍDA DE VENDAS'!$H$6:$H$500 &amp; "x " &amp; 'SAÍDA DE VENDAS'!$G$6:$G$500, MATCH(B1090, 'SAÍDA DE VENDAS'!$B$6:$B$500, 0)+4), ""), "")&amp; IF(COUNTIF('SAÍDA DE VENDAS'!$B$6:$B$500, B1090)&gt;5, " + " &amp; IFERROR(INDEX('SAÍDA DE VENDAS'!$H$6:$H$500 &amp; "x " &amp; 'SAÍDA DE VENDAS'!$G$6:$G$500, MATCH(B1090, 'SAÍDA DE VENDAS'!$B$6:$B$500, 0)+5), ""), ""))</f>
        <v/>
      </c>
      <c r="G1090" s="28">
        <f>IFERROR(VLOOKUP(B1090,'SAÍDA DE VENDAS'!$B$6:$P$500,10,FALSE),"")</f>
        <v>0</v>
      </c>
      <c r="H1090" s="28" t="str">
        <f>IF(OR(ISBLANK(B1090),B1090=""), "", IF(B1090=B1089, (VALUE(LEFT(H1089,FIND("/",H1089)-1))+1)&amp;"/"&amp;RIGHT(H1089,LEN(H1089)-FIND("/",H1089)), "1/"&amp;IFERROR(VLOOKUP(B1090,'SAÍDA DE VENDAS'!$B$6:$P$500,13,FALSE),"1")))</f>
        <v/>
      </c>
      <c r="I1090" s="69" t="str">
        <f t="shared" si="32"/>
        <v/>
      </c>
      <c r="J1090" s="33" t="str">
        <f>IFERROR(VLOOKUP(B1090,'SAÍDA DE VENDAS'!$B$6:$P$500,15,FALSE),"")</f>
        <v/>
      </c>
      <c r="K1090" s="28" t="str">
        <f t="shared" ca="1" si="33"/>
        <v/>
      </c>
      <c r="L1090" s="28"/>
      <c r="M1090" s="28"/>
    </row>
    <row r="1091" spans="2:13" ht="15" customHeight="1" x14ac:dyDescent="0.3">
      <c r="B1091" s="34" t="str">
        <f>IF(B1090="","", IF(VALUE(LEFT(H1090,FIND("/",H1090)-1)) &lt; VALUE(RIGHT(H1090,LEN(H1090)-FIND("/",H1090))), B1090, IFERROR(INDEX('SAÍDA DE VENDAS'!$B$6:$B$500, MATCH(B1090,'SAÍDA DE VENDAS'!$B$6:$B$500,0)+COUNTIF('SAÍDA DE VENDAS'!$B$6:$B$500, B1090)),"")))</f>
        <v/>
      </c>
      <c r="C1091" s="35">
        <f>IFERROR(VLOOKUP(B1091,'SAÍDA DE VENDAS'!$B$6:$P$500,3,FALSE),"")</f>
        <v>0</v>
      </c>
      <c r="D1091" s="34">
        <f>IFERROR(VLOOKUP(B1091,'SAÍDA DE VENDAS'!$B$6:$P$500,4,FALSE),"")</f>
        <v>0</v>
      </c>
      <c r="E1091" s="34" t="str">
        <f>IFERROR(VLOOKUP(B1091,'SAÍDA DE VENDAS'!$B$6:$P$500,5,FALSE),"")</f>
        <v/>
      </c>
      <c r="F1091" s="34" t="str">
        <f>IF(OR(ISBLANK(B1091),B1091=""), "", IFERROR(INDEX('SAÍDA DE VENDAS'!$H$6:$H$500 &amp; "x " &amp; 'SAÍDA DE VENDAS'!$G$6:$G$500, MATCH(B1091, 'SAÍDA DE VENDAS'!$B$6:$B$500, 0)), "")&amp; IF(COUNTIF('SAÍDA DE VENDAS'!$B$6:$B$500, B1091)&gt;1, " + " &amp; IFERROR(INDEX('SAÍDA DE VENDAS'!$H$6:$H$500 &amp; "x " &amp; 'SAÍDA DE VENDAS'!$G$6:$G$500, MATCH(B1091, 'SAÍDA DE VENDAS'!$B$6:$B$500, 0)+1), ""), "")&amp; IF(COUNTIF('SAÍDA DE VENDAS'!$B$6:$B$500, B1091)&gt;2, " + " &amp; IFERROR(INDEX('SAÍDA DE VENDAS'!$H$6:$H$500 &amp; "x " &amp; 'SAÍDA DE VENDAS'!$G$6:$G$500, MATCH(B1091, 'SAÍDA DE VENDAS'!$B$6:$B$500, 0)+2), ""), "")&amp; IF(COUNTIF('SAÍDA DE VENDAS'!$B$6:$B$500, B1091)&gt;3, " + " &amp; IFERROR(INDEX('SAÍDA DE VENDAS'!$H$6:$H$500 &amp; "x " &amp; 'SAÍDA DE VENDAS'!$G$6:$G$500, MATCH(B1091, 'SAÍDA DE VENDAS'!$B$6:$B$500, 0)+3), ""), "")&amp; IF(COUNTIF('SAÍDA DE VENDAS'!$B$6:$B$500, B1091)&gt;4, " + " &amp; IFERROR(INDEX('SAÍDA DE VENDAS'!$H$6:$H$500 &amp; "x " &amp; 'SAÍDA DE VENDAS'!$G$6:$G$500, MATCH(B1091, 'SAÍDA DE VENDAS'!$B$6:$B$500, 0)+4), ""), "")&amp; IF(COUNTIF('SAÍDA DE VENDAS'!$B$6:$B$500, B1091)&gt;5, " + " &amp; IFERROR(INDEX('SAÍDA DE VENDAS'!$H$6:$H$500 &amp; "x " &amp; 'SAÍDA DE VENDAS'!$G$6:$G$500, MATCH(B1091, 'SAÍDA DE VENDAS'!$B$6:$B$500, 0)+5), ""), ""))</f>
        <v/>
      </c>
      <c r="G1091" s="34">
        <f>IFERROR(VLOOKUP(B1091,'SAÍDA DE VENDAS'!$B$6:$P$500,10,FALSE),"")</f>
        <v>0</v>
      </c>
      <c r="H1091" s="34" t="str">
        <f>IF(OR(ISBLANK(B1091),B1091=""), "", IF(B1091=B1090, (VALUE(LEFT(H1090,FIND("/",H1090)-1))+1)&amp;"/"&amp;RIGHT(H1090,LEN(H1090)-FIND("/",H1090)), "1/"&amp;IFERROR(VLOOKUP(B1091,'SAÍDA DE VENDAS'!$B$6:$P$500,13,FALSE),"1")))</f>
        <v/>
      </c>
      <c r="I1091" s="35" t="str">
        <f t="shared" si="32"/>
        <v/>
      </c>
      <c r="J1091" s="39" t="str">
        <f>IFERROR(VLOOKUP(B1091,'SAÍDA DE VENDAS'!$B$6:$P$500,15,FALSE),"")</f>
        <v/>
      </c>
      <c r="K1091" s="34" t="str">
        <f t="shared" ca="1" si="33"/>
        <v/>
      </c>
      <c r="L1091" s="34"/>
      <c r="M1091" s="34"/>
    </row>
    <row r="1092" spans="2:13" ht="15" customHeight="1" x14ac:dyDescent="0.3">
      <c r="B1092" s="28" t="str">
        <f>IF(B1091="","", IF(VALUE(LEFT(H1091,FIND("/",H1091)-1)) &lt; VALUE(RIGHT(H1091,LEN(H1091)-FIND("/",H1091))), B1091, IFERROR(INDEX('SAÍDA DE VENDAS'!$B$6:$B$500, MATCH(B1091,'SAÍDA DE VENDAS'!$B$6:$B$500,0)+COUNTIF('SAÍDA DE VENDAS'!$B$6:$B$500, B1091)),"")))</f>
        <v/>
      </c>
      <c r="C1092" s="29">
        <f>IFERROR(VLOOKUP(B1092,'SAÍDA DE VENDAS'!$B$6:$P$500,3,FALSE),"")</f>
        <v>0</v>
      </c>
      <c r="D1092" s="28">
        <f>IFERROR(VLOOKUP(B1092,'SAÍDA DE VENDAS'!$B$6:$P$500,4,FALSE),"")</f>
        <v>0</v>
      </c>
      <c r="E1092" s="28" t="str">
        <f>IFERROR(VLOOKUP(B1092,'SAÍDA DE VENDAS'!$B$6:$P$500,5,FALSE),"")</f>
        <v/>
      </c>
      <c r="F1092" s="28" t="str">
        <f>IF(OR(ISBLANK(B1092),B1092=""), "", IFERROR(INDEX('SAÍDA DE VENDAS'!$H$6:$H$500 &amp; "x " &amp; 'SAÍDA DE VENDAS'!$G$6:$G$500, MATCH(B1092, 'SAÍDA DE VENDAS'!$B$6:$B$500, 0)), "")&amp; IF(COUNTIF('SAÍDA DE VENDAS'!$B$6:$B$500, B1092)&gt;1, " + " &amp; IFERROR(INDEX('SAÍDA DE VENDAS'!$H$6:$H$500 &amp; "x " &amp; 'SAÍDA DE VENDAS'!$G$6:$G$500, MATCH(B1092, 'SAÍDA DE VENDAS'!$B$6:$B$500, 0)+1), ""), "")&amp; IF(COUNTIF('SAÍDA DE VENDAS'!$B$6:$B$500, B1092)&gt;2, " + " &amp; IFERROR(INDEX('SAÍDA DE VENDAS'!$H$6:$H$500 &amp; "x " &amp; 'SAÍDA DE VENDAS'!$G$6:$G$500, MATCH(B1092, 'SAÍDA DE VENDAS'!$B$6:$B$500, 0)+2), ""), "")&amp; IF(COUNTIF('SAÍDA DE VENDAS'!$B$6:$B$500, B1092)&gt;3, " + " &amp; IFERROR(INDEX('SAÍDA DE VENDAS'!$H$6:$H$500 &amp; "x " &amp; 'SAÍDA DE VENDAS'!$G$6:$G$500, MATCH(B1092, 'SAÍDA DE VENDAS'!$B$6:$B$500, 0)+3), ""), "")&amp; IF(COUNTIF('SAÍDA DE VENDAS'!$B$6:$B$500, B1092)&gt;4, " + " &amp; IFERROR(INDEX('SAÍDA DE VENDAS'!$H$6:$H$500 &amp; "x " &amp; 'SAÍDA DE VENDAS'!$G$6:$G$500, MATCH(B1092, 'SAÍDA DE VENDAS'!$B$6:$B$500, 0)+4), ""), "")&amp; IF(COUNTIF('SAÍDA DE VENDAS'!$B$6:$B$500, B1092)&gt;5, " + " &amp; IFERROR(INDEX('SAÍDA DE VENDAS'!$H$6:$H$500 &amp; "x " &amp; 'SAÍDA DE VENDAS'!$G$6:$G$500, MATCH(B1092, 'SAÍDA DE VENDAS'!$B$6:$B$500, 0)+5), ""), ""))</f>
        <v/>
      </c>
      <c r="G1092" s="28">
        <f>IFERROR(VLOOKUP(B1092,'SAÍDA DE VENDAS'!$B$6:$P$500,10,FALSE),"")</f>
        <v>0</v>
      </c>
      <c r="H1092" s="28" t="str">
        <f>IF(OR(ISBLANK(B1092),B1092=""), "", IF(B1092=B1091, (VALUE(LEFT(H1091,FIND("/",H1091)-1))+1)&amp;"/"&amp;RIGHT(H1091,LEN(H1091)-FIND("/",H1091)), "1/"&amp;IFERROR(VLOOKUP(B1092,'SAÍDA DE VENDAS'!$B$6:$P$500,13,FALSE),"1")))</f>
        <v/>
      </c>
      <c r="I1092" s="69" t="str">
        <f t="shared" si="32"/>
        <v/>
      </c>
      <c r="J1092" s="33" t="str">
        <f>IFERROR(VLOOKUP(B1092,'SAÍDA DE VENDAS'!$B$6:$P$500,15,FALSE),"")</f>
        <v/>
      </c>
      <c r="K1092" s="28" t="str">
        <f t="shared" ca="1" si="33"/>
        <v/>
      </c>
      <c r="L1092" s="28"/>
      <c r="M1092" s="28"/>
    </row>
    <row r="1093" spans="2:13" ht="15" customHeight="1" x14ac:dyDescent="0.3">
      <c r="B1093" s="34" t="str">
        <f>IF(B1092="","", IF(VALUE(LEFT(H1092,FIND("/",H1092)-1)) &lt; VALUE(RIGHT(H1092,LEN(H1092)-FIND("/",H1092))), B1092, IFERROR(INDEX('SAÍDA DE VENDAS'!$B$6:$B$500, MATCH(B1092,'SAÍDA DE VENDAS'!$B$6:$B$500,0)+COUNTIF('SAÍDA DE VENDAS'!$B$6:$B$500, B1092)),"")))</f>
        <v/>
      </c>
      <c r="C1093" s="35">
        <f>IFERROR(VLOOKUP(B1093,'SAÍDA DE VENDAS'!$B$6:$P$500,3,FALSE),"")</f>
        <v>0</v>
      </c>
      <c r="D1093" s="34">
        <f>IFERROR(VLOOKUP(B1093,'SAÍDA DE VENDAS'!$B$6:$P$500,4,FALSE),"")</f>
        <v>0</v>
      </c>
      <c r="E1093" s="34" t="str">
        <f>IFERROR(VLOOKUP(B1093,'SAÍDA DE VENDAS'!$B$6:$P$500,5,FALSE),"")</f>
        <v/>
      </c>
      <c r="F1093" s="34" t="str">
        <f>IF(OR(ISBLANK(B1093),B1093=""), "", IFERROR(INDEX('SAÍDA DE VENDAS'!$H$6:$H$500 &amp; "x " &amp; 'SAÍDA DE VENDAS'!$G$6:$G$500, MATCH(B1093, 'SAÍDA DE VENDAS'!$B$6:$B$500, 0)), "")&amp; IF(COUNTIF('SAÍDA DE VENDAS'!$B$6:$B$500, B1093)&gt;1, " + " &amp; IFERROR(INDEX('SAÍDA DE VENDAS'!$H$6:$H$500 &amp; "x " &amp; 'SAÍDA DE VENDAS'!$G$6:$G$500, MATCH(B1093, 'SAÍDA DE VENDAS'!$B$6:$B$500, 0)+1), ""), "")&amp; IF(COUNTIF('SAÍDA DE VENDAS'!$B$6:$B$500, B1093)&gt;2, " + " &amp; IFERROR(INDEX('SAÍDA DE VENDAS'!$H$6:$H$500 &amp; "x " &amp; 'SAÍDA DE VENDAS'!$G$6:$G$500, MATCH(B1093, 'SAÍDA DE VENDAS'!$B$6:$B$500, 0)+2), ""), "")&amp; IF(COUNTIF('SAÍDA DE VENDAS'!$B$6:$B$500, B1093)&gt;3, " + " &amp; IFERROR(INDEX('SAÍDA DE VENDAS'!$H$6:$H$500 &amp; "x " &amp; 'SAÍDA DE VENDAS'!$G$6:$G$500, MATCH(B1093, 'SAÍDA DE VENDAS'!$B$6:$B$500, 0)+3), ""), "")&amp; IF(COUNTIF('SAÍDA DE VENDAS'!$B$6:$B$500, B1093)&gt;4, " + " &amp; IFERROR(INDEX('SAÍDA DE VENDAS'!$H$6:$H$500 &amp; "x " &amp; 'SAÍDA DE VENDAS'!$G$6:$G$500, MATCH(B1093, 'SAÍDA DE VENDAS'!$B$6:$B$500, 0)+4), ""), "")&amp; IF(COUNTIF('SAÍDA DE VENDAS'!$B$6:$B$500, B1093)&gt;5, " + " &amp; IFERROR(INDEX('SAÍDA DE VENDAS'!$H$6:$H$500 &amp; "x " &amp; 'SAÍDA DE VENDAS'!$G$6:$G$500, MATCH(B1093, 'SAÍDA DE VENDAS'!$B$6:$B$500, 0)+5), ""), ""))</f>
        <v/>
      </c>
      <c r="G1093" s="34">
        <f>IFERROR(VLOOKUP(B1093,'SAÍDA DE VENDAS'!$B$6:$P$500,10,FALSE),"")</f>
        <v>0</v>
      </c>
      <c r="H1093" s="34" t="str">
        <f>IF(OR(ISBLANK(B1093),B1093=""), "", IF(B1093=B1092, (VALUE(LEFT(H1092,FIND("/",H1092)-1))+1)&amp;"/"&amp;RIGHT(H1092,LEN(H1092)-FIND("/",H1092)), "1/"&amp;IFERROR(VLOOKUP(B1093,'SAÍDA DE VENDAS'!$B$6:$P$500,13,FALSE),"1")))</f>
        <v/>
      </c>
      <c r="I1093" s="35" t="str">
        <f t="shared" si="32"/>
        <v/>
      </c>
      <c r="J1093" s="39" t="str">
        <f>IFERROR(VLOOKUP(B1093,'SAÍDA DE VENDAS'!$B$6:$P$500,15,FALSE),"")</f>
        <v/>
      </c>
      <c r="K1093" s="34" t="str">
        <f t="shared" ca="1" si="33"/>
        <v/>
      </c>
      <c r="L1093" s="34"/>
      <c r="M1093" s="34"/>
    </row>
    <row r="1094" spans="2:13" ht="15" customHeight="1" x14ac:dyDescent="0.3">
      <c r="B1094" s="28" t="str">
        <f>IF(B1093="","", IF(VALUE(LEFT(H1093,FIND("/",H1093)-1)) &lt; VALUE(RIGHT(H1093,LEN(H1093)-FIND("/",H1093))), B1093, IFERROR(INDEX('SAÍDA DE VENDAS'!$B$6:$B$500, MATCH(B1093,'SAÍDA DE VENDAS'!$B$6:$B$500,0)+COUNTIF('SAÍDA DE VENDAS'!$B$6:$B$500, B1093)),"")))</f>
        <v/>
      </c>
      <c r="C1094" s="29">
        <f>IFERROR(VLOOKUP(B1094,'SAÍDA DE VENDAS'!$B$6:$P$500,3,FALSE),"")</f>
        <v>0</v>
      </c>
      <c r="D1094" s="28">
        <f>IFERROR(VLOOKUP(B1094,'SAÍDA DE VENDAS'!$B$6:$P$500,4,FALSE),"")</f>
        <v>0</v>
      </c>
      <c r="E1094" s="28" t="str">
        <f>IFERROR(VLOOKUP(B1094,'SAÍDA DE VENDAS'!$B$6:$P$500,5,FALSE),"")</f>
        <v/>
      </c>
      <c r="F1094" s="28" t="str">
        <f>IF(OR(ISBLANK(B1094),B1094=""), "", IFERROR(INDEX('SAÍDA DE VENDAS'!$H$6:$H$500 &amp; "x " &amp; 'SAÍDA DE VENDAS'!$G$6:$G$500, MATCH(B1094, 'SAÍDA DE VENDAS'!$B$6:$B$500, 0)), "")&amp; IF(COUNTIF('SAÍDA DE VENDAS'!$B$6:$B$500, B1094)&gt;1, " + " &amp; IFERROR(INDEX('SAÍDA DE VENDAS'!$H$6:$H$500 &amp; "x " &amp; 'SAÍDA DE VENDAS'!$G$6:$G$500, MATCH(B1094, 'SAÍDA DE VENDAS'!$B$6:$B$500, 0)+1), ""), "")&amp; IF(COUNTIF('SAÍDA DE VENDAS'!$B$6:$B$500, B1094)&gt;2, " + " &amp; IFERROR(INDEX('SAÍDA DE VENDAS'!$H$6:$H$500 &amp; "x " &amp; 'SAÍDA DE VENDAS'!$G$6:$G$500, MATCH(B1094, 'SAÍDA DE VENDAS'!$B$6:$B$500, 0)+2), ""), "")&amp; IF(COUNTIF('SAÍDA DE VENDAS'!$B$6:$B$500, B1094)&gt;3, " + " &amp; IFERROR(INDEX('SAÍDA DE VENDAS'!$H$6:$H$500 &amp; "x " &amp; 'SAÍDA DE VENDAS'!$G$6:$G$500, MATCH(B1094, 'SAÍDA DE VENDAS'!$B$6:$B$500, 0)+3), ""), "")&amp; IF(COUNTIF('SAÍDA DE VENDAS'!$B$6:$B$500, B1094)&gt;4, " + " &amp; IFERROR(INDEX('SAÍDA DE VENDAS'!$H$6:$H$500 &amp; "x " &amp; 'SAÍDA DE VENDAS'!$G$6:$G$500, MATCH(B1094, 'SAÍDA DE VENDAS'!$B$6:$B$500, 0)+4), ""), "")&amp; IF(COUNTIF('SAÍDA DE VENDAS'!$B$6:$B$500, B1094)&gt;5, " + " &amp; IFERROR(INDEX('SAÍDA DE VENDAS'!$H$6:$H$500 &amp; "x " &amp; 'SAÍDA DE VENDAS'!$G$6:$G$500, MATCH(B1094, 'SAÍDA DE VENDAS'!$B$6:$B$500, 0)+5), ""), ""))</f>
        <v/>
      </c>
      <c r="G1094" s="28">
        <f>IFERROR(VLOOKUP(B1094,'SAÍDA DE VENDAS'!$B$6:$P$500,10,FALSE),"")</f>
        <v>0</v>
      </c>
      <c r="H1094" s="28" t="str">
        <f>IF(OR(ISBLANK(B1094),B1094=""), "", IF(B1094=B1093, (VALUE(LEFT(H1093,FIND("/",H1093)-1))+1)&amp;"/"&amp;RIGHT(H1093,LEN(H1093)-FIND("/",H1093)), "1/"&amp;IFERROR(VLOOKUP(B1094,'SAÍDA DE VENDAS'!$B$6:$P$500,13,FALSE),"1")))</f>
        <v/>
      </c>
      <c r="I1094" s="69" t="str">
        <f t="shared" ref="I1094:I1157" si="34">IF(OR(ISBLANK(B1094), B1094="", C1094=""), "", C1094 + (IFERROR(VALUE(LEFT(H1094, FIND("/", H1094)-1)), 1) * 30))</f>
        <v/>
      </c>
      <c r="J1094" s="33" t="str">
        <f>IFERROR(VLOOKUP(B1094,'SAÍDA DE VENDAS'!$B$6:$P$500,15,FALSE),"")</f>
        <v/>
      </c>
      <c r="K1094" s="28" t="str">
        <f t="shared" ref="K1094:K1157" ca="1" si="35">IF(B1094="","", IF(OR(G1094="À Vista", L1094&lt;&gt;""), "Pago", IF(AND(I1094&lt;&gt;"", I1094&lt;TODAY()), "Atrasado", "Pendente")))</f>
        <v/>
      </c>
      <c r="L1094" s="28"/>
      <c r="M1094" s="28"/>
    </row>
    <row r="1095" spans="2:13" ht="15" customHeight="1" x14ac:dyDescent="0.3">
      <c r="B1095" s="34" t="str">
        <f>IF(B1094="","", IF(VALUE(LEFT(H1094,FIND("/",H1094)-1)) &lt; VALUE(RIGHT(H1094,LEN(H1094)-FIND("/",H1094))), B1094, IFERROR(INDEX('SAÍDA DE VENDAS'!$B$6:$B$500, MATCH(B1094,'SAÍDA DE VENDAS'!$B$6:$B$500,0)+COUNTIF('SAÍDA DE VENDAS'!$B$6:$B$500, B1094)),"")))</f>
        <v/>
      </c>
      <c r="C1095" s="35">
        <f>IFERROR(VLOOKUP(B1095,'SAÍDA DE VENDAS'!$B$6:$P$500,3,FALSE),"")</f>
        <v>0</v>
      </c>
      <c r="D1095" s="34">
        <f>IFERROR(VLOOKUP(B1095,'SAÍDA DE VENDAS'!$B$6:$P$500,4,FALSE),"")</f>
        <v>0</v>
      </c>
      <c r="E1095" s="34" t="str">
        <f>IFERROR(VLOOKUP(B1095,'SAÍDA DE VENDAS'!$B$6:$P$500,5,FALSE),"")</f>
        <v/>
      </c>
      <c r="F1095" s="34" t="str">
        <f>IF(OR(ISBLANK(B1095),B1095=""), "", IFERROR(INDEX('SAÍDA DE VENDAS'!$H$6:$H$500 &amp; "x " &amp; 'SAÍDA DE VENDAS'!$G$6:$G$500, MATCH(B1095, 'SAÍDA DE VENDAS'!$B$6:$B$500, 0)), "")&amp; IF(COUNTIF('SAÍDA DE VENDAS'!$B$6:$B$500, B1095)&gt;1, " + " &amp; IFERROR(INDEX('SAÍDA DE VENDAS'!$H$6:$H$500 &amp; "x " &amp; 'SAÍDA DE VENDAS'!$G$6:$G$500, MATCH(B1095, 'SAÍDA DE VENDAS'!$B$6:$B$500, 0)+1), ""), "")&amp; IF(COUNTIF('SAÍDA DE VENDAS'!$B$6:$B$500, B1095)&gt;2, " + " &amp; IFERROR(INDEX('SAÍDA DE VENDAS'!$H$6:$H$500 &amp; "x " &amp; 'SAÍDA DE VENDAS'!$G$6:$G$500, MATCH(B1095, 'SAÍDA DE VENDAS'!$B$6:$B$500, 0)+2), ""), "")&amp; IF(COUNTIF('SAÍDA DE VENDAS'!$B$6:$B$500, B1095)&gt;3, " + " &amp; IFERROR(INDEX('SAÍDA DE VENDAS'!$H$6:$H$500 &amp; "x " &amp; 'SAÍDA DE VENDAS'!$G$6:$G$500, MATCH(B1095, 'SAÍDA DE VENDAS'!$B$6:$B$500, 0)+3), ""), "")&amp; IF(COUNTIF('SAÍDA DE VENDAS'!$B$6:$B$500, B1095)&gt;4, " + " &amp; IFERROR(INDEX('SAÍDA DE VENDAS'!$H$6:$H$500 &amp; "x " &amp; 'SAÍDA DE VENDAS'!$G$6:$G$500, MATCH(B1095, 'SAÍDA DE VENDAS'!$B$6:$B$500, 0)+4), ""), "")&amp; IF(COUNTIF('SAÍDA DE VENDAS'!$B$6:$B$500, B1095)&gt;5, " + " &amp; IFERROR(INDEX('SAÍDA DE VENDAS'!$H$6:$H$500 &amp; "x " &amp; 'SAÍDA DE VENDAS'!$G$6:$G$500, MATCH(B1095, 'SAÍDA DE VENDAS'!$B$6:$B$500, 0)+5), ""), ""))</f>
        <v/>
      </c>
      <c r="G1095" s="34">
        <f>IFERROR(VLOOKUP(B1095,'SAÍDA DE VENDAS'!$B$6:$P$500,10,FALSE),"")</f>
        <v>0</v>
      </c>
      <c r="H1095" s="34" t="str">
        <f>IF(OR(ISBLANK(B1095),B1095=""), "", IF(B1095=B1094, (VALUE(LEFT(H1094,FIND("/",H1094)-1))+1)&amp;"/"&amp;RIGHT(H1094,LEN(H1094)-FIND("/",H1094)), "1/"&amp;IFERROR(VLOOKUP(B1095,'SAÍDA DE VENDAS'!$B$6:$P$500,13,FALSE),"1")))</f>
        <v/>
      </c>
      <c r="I1095" s="35" t="str">
        <f t="shared" si="34"/>
        <v/>
      </c>
      <c r="J1095" s="39" t="str">
        <f>IFERROR(VLOOKUP(B1095,'SAÍDA DE VENDAS'!$B$6:$P$500,15,FALSE),"")</f>
        <v/>
      </c>
      <c r="K1095" s="34" t="str">
        <f t="shared" ca="1" si="35"/>
        <v/>
      </c>
      <c r="L1095" s="34"/>
      <c r="M1095" s="34"/>
    </row>
    <row r="1096" spans="2:13" ht="15" customHeight="1" x14ac:dyDescent="0.3">
      <c r="B1096" s="28" t="str">
        <f>IF(B1095="","", IF(VALUE(LEFT(H1095,FIND("/",H1095)-1)) &lt; VALUE(RIGHT(H1095,LEN(H1095)-FIND("/",H1095))), B1095, IFERROR(INDEX('SAÍDA DE VENDAS'!$B$6:$B$500, MATCH(B1095,'SAÍDA DE VENDAS'!$B$6:$B$500,0)+COUNTIF('SAÍDA DE VENDAS'!$B$6:$B$500, B1095)),"")))</f>
        <v/>
      </c>
      <c r="C1096" s="29">
        <f>IFERROR(VLOOKUP(B1096,'SAÍDA DE VENDAS'!$B$6:$P$500,3,FALSE),"")</f>
        <v>0</v>
      </c>
      <c r="D1096" s="28">
        <f>IFERROR(VLOOKUP(B1096,'SAÍDA DE VENDAS'!$B$6:$P$500,4,FALSE),"")</f>
        <v>0</v>
      </c>
      <c r="E1096" s="28" t="str">
        <f>IFERROR(VLOOKUP(B1096,'SAÍDA DE VENDAS'!$B$6:$P$500,5,FALSE),"")</f>
        <v/>
      </c>
      <c r="F1096" s="28" t="str">
        <f>IF(OR(ISBLANK(B1096),B1096=""), "", IFERROR(INDEX('SAÍDA DE VENDAS'!$H$6:$H$500 &amp; "x " &amp; 'SAÍDA DE VENDAS'!$G$6:$G$500, MATCH(B1096, 'SAÍDA DE VENDAS'!$B$6:$B$500, 0)), "")&amp; IF(COUNTIF('SAÍDA DE VENDAS'!$B$6:$B$500, B1096)&gt;1, " + " &amp; IFERROR(INDEX('SAÍDA DE VENDAS'!$H$6:$H$500 &amp; "x " &amp; 'SAÍDA DE VENDAS'!$G$6:$G$500, MATCH(B1096, 'SAÍDA DE VENDAS'!$B$6:$B$500, 0)+1), ""), "")&amp; IF(COUNTIF('SAÍDA DE VENDAS'!$B$6:$B$500, B1096)&gt;2, " + " &amp; IFERROR(INDEX('SAÍDA DE VENDAS'!$H$6:$H$500 &amp; "x " &amp; 'SAÍDA DE VENDAS'!$G$6:$G$500, MATCH(B1096, 'SAÍDA DE VENDAS'!$B$6:$B$500, 0)+2), ""), "")&amp; IF(COUNTIF('SAÍDA DE VENDAS'!$B$6:$B$500, B1096)&gt;3, " + " &amp; IFERROR(INDEX('SAÍDA DE VENDAS'!$H$6:$H$500 &amp; "x " &amp; 'SAÍDA DE VENDAS'!$G$6:$G$500, MATCH(B1096, 'SAÍDA DE VENDAS'!$B$6:$B$500, 0)+3), ""), "")&amp; IF(COUNTIF('SAÍDA DE VENDAS'!$B$6:$B$500, B1096)&gt;4, " + " &amp; IFERROR(INDEX('SAÍDA DE VENDAS'!$H$6:$H$500 &amp; "x " &amp; 'SAÍDA DE VENDAS'!$G$6:$G$500, MATCH(B1096, 'SAÍDA DE VENDAS'!$B$6:$B$500, 0)+4), ""), "")&amp; IF(COUNTIF('SAÍDA DE VENDAS'!$B$6:$B$500, B1096)&gt;5, " + " &amp; IFERROR(INDEX('SAÍDA DE VENDAS'!$H$6:$H$500 &amp; "x " &amp; 'SAÍDA DE VENDAS'!$G$6:$G$500, MATCH(B1096, 'SAÍDA DE VENDAS'!$B$6:$B$500, 0)+5), ""), ""))</f>
        <v/>
      </c>
      <c r="G1096" s="28">
        <f>IFERROR(VLOOKUP(B1096,'SAÍDA DE VENDAS'!$B$6:$P$500,10,FALSE),"")</f>
        <v>0</v>
      </c>
      <c r="H1096" s="28" t="str">
        <f>IF(OR(ISBLANK(B1096),B1096=""), "", IF(B1096=B1095, (VALUE(LEFT(H1095,FIND("/",H1095)-1))+1)&amp;"/"&amp;RIGHT(H1095,LEN(H1095)-FIND("/",H1095)), "1/"&amp;IFERROR(VLOOKUP(B1096,'SAÍDA DE VENDAS'!$B$6:$P$500,13,FALSE),"1")))</f>
        <v/>
      </c>
      <c r="I1096" s="69" t="str">
        <f t="shared" si="34"/>
        <v/>
      </c>
      <c r="J1096" s="33" t="str">
        <f>IFERROR(VLOOKUP(B1096,'SAÍDA DE VENDAS'!$B$6:$P$500,15,FALSE),"")</f>
        <v/>
      </c>
      <c r="K1096" s="28" t="str">
        <f t="shared" ca="1" si="35"/>
        <v/>
      </c>
      <c r="L1096" s="28"/>
      <c r="M1096" s="28"/>
    </row>
    <row r="1097" spans="2:13" ht="15" customHeight="1" x14ac:dyDescent="0.3">
      <c r="B1097" s="34" t="str">
        <f>IF(B1096="","", IF(VALUE(LEFT(H1096,FIND("/",H1096)-1)) &lt; VALUE(RIGHT(H1096,LEN(H1096)-FIND("/",H1096))), B1096, IFERROR(INDEX('SAÍDA DE VENDAS'!$B$6:$B$500, MATCH(B1096,'SAÍDA DE VENDAS'!$B$6:$B$500,0)+COUNTIF('SAÍDA DE VENDAS'!$B$6:$B$500, B1096)),"")))</f>
        <v/>
      </c>
      <c r="C1097" s="35">
        <f>IFERROR(VLOOKUP(B1097,'SAÍDA DE VENDAS'!$B$6:$P$500,3,FALSE),"")</f>
        <v>0</v>
      </c>
      <c r="D1097" s="34">
        <f>IFERROR(VLOOKUP(B1097,'SAÍDA DE VENDAS'!$B$6:$P$500,4,FALSE),"")</f>
        <v>0</v>
      </c>
      <c r="E1097" s="34" t="str">
        <f>IFERROR(VLOOKUP(B1097,'SAÍDA DE VENDAS'!$B$6:$P$500,5,FALSE),"")</f>
        <v/>
      </c>
      <c r="F1097" s="34" t="str">
        <f>IF(OR(ISBLANK(B1097),B1097=""), "", IFERROR(INDEX('SAÍDA DE VENDAS'!$H$6:$H$500 &amp; "x " &amp; 'SAÍDA DE VENDAS'!$G$6:$G$500, MATCH(B1097, 'SAÍDA DE VENDAS'!$B$6:$B$500, 0)), "")&amp; IF(COUNTIF('SAÍDA DE VENDAS'!$B$6:$B$500, B1097)&gt;1, " + " &amp; IFERROR(INDEX('SAÍDA DE VENDAS'!$H$6:$H$500 &amp; "x " &amp; 'SAÍDA DE VENDAS'!$G$6:$G$500, MATCH(B1097, 'SAÍDA DE VENDAS'!$B$6:$B$500, 0)+1), ""), "")&amp; IF(COUNTIF('SAÍDA DE VENDAS'!$B$6:$B$500, B1097)&gt;2, " + " &amp; IFERROR(INDEX('SAÍDA DE VENDAS'!$H$6:$H$500 &amp; "x " &amp; 'SAÍDA DE VENDAS'!$G$6:$G$500, MATCH(B1097, 'SAÍDA DE VENDAS'!$B$6:$B$500, 0)+2), ""), "")&amp; IF(COUNTIF('SAÍDA DE VENDAS'!$B$6:$B$500, B1097)&gt;3, " + " &amp; IFERROR(INDEX('SAÍDA DE VENDAS'!$H$6:$H$500 &amp; "x " &amp; 'SAÍDA DE VENDAS'!$G$6:$G$500, MATCH(B1097, 'SAÍDA DE VENDAS'!$B$6:$B$500, 0)+3), ""), "")&amp; IF(COUNTIF('SAÍDA DE VENDAS'!$B$6:$B$500, B1097)&gt;4, " + " &amp; IFERROR(INDEX('SAÍDA DE VENDAS'!$H$6:$H$500 &amp; "x " &amp; 'SAÍDA DE VENDAS'!$G$6:$G$500, MATCH(B1097, 'SAÍDA DE VENDAS'!$B$6:$B$500, 0)+4), ""), "")&amp; IF(COUNTIF('SAÍDA DE VENDAS'!$B$6:$B$500, B1097)&gt;5, " + " &amp; IFERROR(INDEX('SAÍDA DE VENDAS'!$H$6:$H$500 &amp; "x " &amp; 'SAÍDA DE VENDAS'!$G$6:$G$500, MATCH(B1097, 'SAÍDA DE VENDAS'!$B$6:$B$500, 0)+5), ""), ""))</f>
        <v/>
      </c>
      <c r="G1097" s="34">
        <f>IFERROR(VLOOKUP(B1097,'SAÍDA DE VENDAS'!$B$6:$P$500,10,FALSE),"")</f>
        <v>0</v>
      </c>
      <c r="H1097" s="34" t="str">
        <f>IF(OR(ISBLANK(B1097),B1097=""), "", IF(B1097=B1096, (VALUE(LEFT(H1096,FIND("/",H1096)-1))+1)&amp;"/"&amp;RIGHT(H1096,LEN(H1096)-FIND("/",H1096)), "1/"&amp;IFERROR(VLOOKUP(B1097,'SAÍDA DE VENDAS'!$B$6:$P$500,13,FALSE),"1")))</f>
        <v/>
      </c>
      <c r="I1097" s="35" t="str">
        <f t="shared" si="34"/>
        <v/>
      </c>
      <c r="J1097" s="39" t="str">
        <f>IFERROR(VLOOKUP(B1097,'SAÍDA DE VENDAS'!$B$6:$P$500,15,FALSE),"")</f>
        <v/>
      </c>
      <c r="K1097" s="34" t="str">
        <f t="shared" ca="1" si="35"/>
        <v/>
      </c>
      <c r="L1097" s="34"/>
      <c r="M1097" s="34"/>
    </row>
    <row r="1098" spans="2:13" ht="15" customHeight="1" x14ac:dyDescent="0.3">
      <c r="B1098" s="28" t="str">
        <f>IF(B1097="","", IF(VALUE(LEFT(H1097,FIND("/",H1097)-1)) &lt; VALUE(RIGHT(H1097,LEN(H1097)-FIND("/",H1097))), B1097, IFERROR(INDEX('SAÍDA DE VENDAS'!$B$6:$B$500, MATCH(B1097,'SAÍDA DE VENDAS'!$B$6:$B$500,0)+COUNTIF('SAÍDA DE VENDAS'!$B$6:$B$500, B1097)),"")))</f>
        <v/>
      </c>
      <c r="C1098" s="29">
        <f>IFERROR(VLOOKUP(B1098,'SAÍDA DE VENDAS'!$B$6:$P$500,3,FALSE),"")</f>
        <v>0</v>
      </c>
      <c r="D1098" s="28">
        <f>IFERROR(VLOOKUP(B1098,'SAÍDA DE VENDAS'!$B$6:$P$500,4,FALSE),"")</f>
        <v>0</v>
      </c>
      <c r="E1098" s="28" t="str">
        <f>IFERROR(VLOOKUP(B1098,'SAÍDA DE VENDAS'!$B$6:$P$500,5,FALSE),"")</f>
        <v/>
      </c>
      <c r="F1098" s="28" t="str">
        <f>IF(OR(ISBLANK(B1098),B1098=""), "", IFERROR(INDEX('SAÍDA DE VENDAS'!$H$6:$H$500 &amp; "x " &amp; 'SAÍDA DE VENDAS'!$G$6:$G$500, MATCH(B1098, 'SAÍDA DE VENDAS'!$B$6:$B$500, 0)), "")&amp; IF(COUNTIF('SAÍDA DE VENDAS'!$B$6:$B$500, B1098)&gt;1, " + " &amp; IFERROR(INDEX('SAÍDA DE VENDAS'!$H$6:$H$500 &amp; "x " &amp; 'SAÍDA DE VENDAS'!$G$6:$G$500, MATCH(B1098, 'SAÍDA DE VENDAS'!$B$6:$B$500, 0)+1), ""), "")&amp; IF(COUNTIF('SAÍDA DE VENDAS'!$B$6:$B$500, B1098)&gt;2, " + " &amp; IFERROR(INDEX('SAÍDA DE VENDAS'!$H$6:$H$500 &amp; "x " &amp; 'SAÍDA DE VENDAS'!$G$6:$G$500, MATCH(B1098, 'SAÍDA DE VENDAS'!$B$6:$B$500, 0)+2), ""), "")&amp; IF(COUNTIF('SAÍDA DE VENDAS'!$B$6:$B$500, B1098)&gt;3, " + " &amp; IFERROR(INDEX('SAÍDA DE VENDAS'!$H$6:$H$500 &amp; "x " &amp; 'SAÍDA DE VENDAS'!$G$6:$G$500, MATCH(B1098, 'SAÍDA DE VENDAS'!$B$6:$B$500, 0)+3), ""), "")&amp; IF(COUNTIF('SAÍDA DE VENDAS'!$B$6:$B$500, B1098)&gt;4, " + " &amp; IFERROR(INDEX('SAÍDA DE VENDAS'!$H$6:$H$500 &amp; "x " &amp; 'SAÍDA DE VENDAS'!$G$6:$G$500, MATCH(B1098, 'SAÍDA DE VENDAS'!$B$6:$B$500, 0)+4), ""), "")&amp; IF(COUNTIF('SAÍDA DE VENDAS'!$B$6:$B$500, B1098)&gt;5, " + " &amp; IFERROR(INDEX('SAÍDA DE VENDAS'!$H$6:$H$500 &amp; "x " &amp; 'SAÍDA DE VENDAS'!$G$6:$G$500, MATCH(B1098, 'SAÍDA DE VENDAS'!$B$6:$B$500, 0)+5), ""), ""))</f>
        <v/>
      </c>
      <c r="G1098" s="28">
        <f>IFERROR(VLOOKUP(B1098,'SAÍDA DE VENDAS'!$B$6:$P$500,10,FALSE),"")</f>
        <v>0</v>
      </c>
      <c r="H1098" s="28" t="str">
        <f>IF(OR(ISBLANK(B1098),B1098=""), "", IF(B1098=B1097, (VALUE(LEFT(H1097,FIND("/",H1097)-1))+1)&amp;"/"&amp;RIGHT(H1097,LEN(H1097)-FIND("/",H1097)), "1/"&amp;IFERROR(VLOOKUP(B1098,'SAÍDA DE VENDAS'!$B$6:$P$500,13,FALSE),"1")))</f>
        <v/>
      </c>
      <c r="I1098" s="69" t="str">
        <f t="shared" si="34"/>
        <v/>
      </c>
      <c r="J1098" s="33" t="str">
        <f>IFERROR(VLOOKUP(B1098,'SAÍDA DE VENDAS'!$B$6:$P$500,15,FALSE),"")</f>
        <v/>
      </c>
      <c r="K1098" s="28" t="str">
        <f t="shared" ca="1" si="35"/>
        <v/>
      </c>
      <c r="L1098" s="28"/>
      <c r="M1098" s="28"/>
    </row>
    <row r="1099" spans="2:13" ht="15" customHeight="1" x14ac:dyDescent="0.3">
      <c r="B1099" s="34" t="str">
        <f>IF(B1098="","", IF(VALUE(LEFT(H1098,FIND("/",H1098)-1)) &lt; VALUE(RIGHT(H1098,LEN(H1098)-FIND("/",H1098))), B1098, IFERROR(INDEX('SAÍDA DE VENDAS'!$B$6:$B$500, MATCH(B1098,'SAÍDA DE VENDAS'!$B$6:$B$500,0)+COUNTIF('SAÍDA DE VENDAS'!$B$6:$B$500, B1098)),"")))</f>
        <v/>
      </c>
      <c r="C1099" s="35">
        <f>IFERROR(VLOOKUP(B1099,'SAÍDA DE VENDAS'!$B$6:$P$500,3,FALSE),"")</f>
        <v>0</v>
      </c>
      <c r="D1099" s="34">
        <f>IFERROR(VLOOKUP(B1099,'SAÍDA DE VENDAS'!$B$6:$P$500,4,FALSE),"")</f>
        <v>0</v>
      </c>
      <c r="E1099" s="34" t="str">
        <f>IFERROR(VLOOKUP(B1099,'SAÍDA DE VENDAS'!$B$6:$P$500,5,FALSE),"")</f>
        <v/>
      </c>
      <c r="F1099" s="34" t="str">
        <f>IF(OR(ISBLANK(B1099),B1099=""), "", IFERROR(INDEX('SAÍDA DE VENDAS'!$H$6:$H$500 &amp; "x " &amp; 'SAÍDA DE VENDAS'!$G$6:$G$500, MATCH(B1099, 'SAÍDA DE VENDAS'!$B$6:$B$500, 0)), "")&amp; IF(COUNTIF('SAÍDA DE VENDAS'!$B$6:$B$500, B1099)&gt;1, " + " &amp; IFERROR(INDEX('SAÍDA DE VENDAS'!$H$6:$H$500 &amp; "x " &amp; 'SAÍDA DE VENDAS'!$G$6:$G$500, MATCH(B1099, 'SAÍDA DE VENDAS'!$B$6:$B$500, 0)+1), ""), "")&amp; IF(COUNTIF('SAÍDA DE VENDAS'!$B$6:$B$500, B1099)&gt;2, " + " &amp; IFERROR(INDEX('SAÍDA DE VENDAS'!$H$6:$H$500 &amp; "x " &amp; 'SAÍDA DE VENDAS'!$G$6:$G$500, MATCH(B1099, 'SAÍDA DE VENDAS'!$B$6:$B$500, 0)+2), ""), "")&amp; IF(COUNTIF('SAÍDA DE VENDAS'!$B$6:$B$500, B1099)&gt;3, " + " &amp; IFERROR(INDEX('SAÍDA DE VENDAS'!$H$6:$H$500 &amp; "x " &amp; 'SAÍDA DE VENDAS'!$G$6:$G$500, MATCH(B1099, 'SAÍDA DE VENDAS'!$B$6:$B$500, 0)+3), ""), "")&amp; IF(COUNTIF('SAÍDA DE VENDAS'!$B$6:$B$500, B1099)&gt;4, " + " &amp; IFERROR(INDEX('SAÍDA DE VENDAS'!$H$6:$H$500 &amp; "x " &amp; 'SAÍDA DE VENDAS'!$G$6:$G$500, MATCH(B1099, 'SAÍDA DE VENDAS'!$B$6:$B$500, 0)+4), ""), "")&amp; IF(COUNTIF('SAÍDA DE VENDAS'!$B$6:$B$500, B1099)&gt;5, " + " &amp; IFERROR(INDEX('SAÍDA DE VENDAS'!$H$6:$H$500 &amp; "x " &amp; 'SAÍDA DE VENDAS'!$G$6:$G$500, MATCH(B1099, 'SAÍDA DE VENDAS'!$B$6:$B$500, 0)+5), ""), ""))</f>
        <v/>
      </c>
      <c r="G1099" s="34">
        <f>IFERROR(VLOOKUP(B1099,'SAÍDA DE VENDAS'!$B$6:$P$500,10,FALSE),"")</f>
        <v>0</v>
      </c>
      <c r="H1099" s="34" t="str">
        <f>IF(OR(ISBLANK(B1099),B1099=""), "", IF(B1099=B1098, (VALUE(LEFT(H1098,FIND("/",H1098)-1))+1)&amp;"/"&amp;RIGHT(H1098,LEN(H1098)-FIND("/",H1098)), "1/"&amp;IFERROR(VLOOKUP(B1099,'SAÍDA DE VENDAS'!$B$6:$P$500,13,FALSE),"1")))</f>
        <v/>
      </c>
      <c r="I1099" s="35" t="str">
        <f t="shared" si="34"/>
        <v/>
      </c>
      <c r="J1099" s="39" t="str">
        <f>IFERROR(VLOOKUP(B1099,'SAÍDA DE VENDAS'!$B$6:$P$500,15,FALSE),"")</f>
        <v/>
      </c>
      <c r="K1099" s="34" t="str">
        <f t="shared" ca="1" si="35"/>
        <v/>
      </c>
      <c r="L1099" s="34"/>
      <c r="M1099" s="34"/>
    </row>
    <row r="1100" spans="2:13" ht="15" customHeight="1" x14ac:dyDescent="0.3">
      <c r="B1100" s="28" t="str">
        <f>IF(B1099="","", IF(VALUE(LEFT(H1099,FIND("/",H1099)-1)) &lt; VALUE(RIGHT(H1099,LEN(H1099)-FIND("/",H1099))), B1099, IFERROR(INDEX('SAÍDA DE VENDAS'!$B$6:$B$500, MATCH(B1099,'SAÍDA DE VENDAS'!$B$6:$B$500,0)+COUNTIF('SAÍDA DE VENDAS'!$B$6:$B$500, B1099)),"")))</f>
        <v/>
      </c>
      <c r="C1100" s="29">
        <f>IFERROR(VLOOKUP(B1100,'SAÍDA DE VENDAS'!$B$6:$P$500,3,FALSE),"")</f>
        <v>0</v>
      </c>
      <c r="D1100" s="28">
        <f>IFERROR(VLOOKUP(B1100,'SAÍDA DE VENDAS'!$B$6:$P$500,4,FALSE),"")</f>
        <v>0</v>
      </c>
      <c r="E1100" s="28" t="str">
        <f>IFERROR(VLOOKUP(B1100,'SAÍDA DE VENDAS'!$B$6:$P$500,5,FALSE),"")</f>
        <v/>
      </c>
      <c r="F1100" s="28" t="str">
        <f>IF(OR(ISBLANK(B1100),B1100=""), "", IFERROR(INDEX('SAÍDA DE VENDAS'!$H$6:$H$500 &amp; "x " &amp; 'SAÍDA DE VENDAS'!$G$6:$G$500, MATCH(B1100, 'SAÍDA DE VENDAS'!$B$6:$B$500, 0)), "")&amp; IF(COUNTIF('SAÍDA DE VENDAS'!$B$6:$B$500, B1100)&gt;1, " + " &amp; IFERROR(INDEX('SAÍDA DE VENDAS'!$H$6:$H$500 &amp; "x " &amp; 'SAÍDA DE VENDAS'!$G$6:$G$500, MATCH(B1100, 'SAÍDA DE VENDAS'!$B$6:$B$500, 0)+1), ""), "")&amp; IF(COUNTIF('SAÍDA DE VENDAS'!$B$6:$B$500, B1100)&gt;2, " + " &amp; IFERROR(INDEX('SAÍDA DE VENDAS'!$H$6:$H$500 &amp; "x " &amp; 'SAÍDA DE VENDAS'!$G$6:$G$500, MATCH(B1100, 'SAÍDA DE VENDAS'!$B$6:$B$500, 0)+2), ""), "")&amp; IF(COUNTIF('SAÍDA DE VENDAS'!$B$6:$B$500, B1100)&gt;3, " + " &amp; IFERROR(INDEX('SAÍDA DE VENDAS'!$H$6:$H$500 &amp; "x " &amp; 'SAÍDA DE VENDAS'!$G$6:$G$500, MATCH(B1100, 'SAÍDA DE VENDAS'!$B$6:$B$500, 0)+3), ""), "")&amp; IF(COUNTIF('SAÍDA DE VENDAS'!$B$6:$B$500, B1100)&gt;4, " + " &amp; IFERROR(INDEX('SAÍDA DE VENDAS'!$H$6:$H$500 &amp; "x " &amp; 'SAÍDA DE VENDAS'!$G$6:$G$500, MATCH(B1100, 'SAÍDA DE VENDAS'!$B$6:$B$500, 0)+4), ""), "")&amp; IF(COUNTIF('SAÍDA DE VENDAS'!$B$6:$B$500, B1100)&gt;5, " + " &amp; IFERROR(INDEX('SAÍDA DE VENDAS'!$H$6:$H$500 &amp; "x " &amp; 'SAÍDA DE VENDAS'!$G$6:$G$500, MATCH(B1100, 'SAÍDA DE VENDAS'!$B$6:$B$500, 0)+5), ""), ""))</f>
        <v/>
      </c>
      <c r="G1100" s="28">
        <f>IFERROR(VLOOKUP(B1100,'SAÍDA DE VENDAS'!$B$6:$P$500,10,FALSE),"")</f>
        <v>0</v>
      </c>
      <c r="H1100" s="28" t="str">
        <f>IF(OR(ISBLANK(B1100),B1100=""), "", IF(B1100=B1099, (VALUE(LEFT(H1099,FIND("/",H1099)-1))+1)&amp;"/"&amp;RIGHT(H1099,LEN(H1099)-FIND("/",H1099)), "1/"&amp;IFERROR(VLOOKUP(B1100,'SAÍDA DE VENDAS'!$B$6:$P$500,13,FALSE),"1")))</f>
        <v/>
      </c>
      <c r="I1100" s="69" t="str">
        <f t="shared" si="34"/>
        <v/>
      </c>
      <c r="J1100" s="33" t="str">
        <f>IFERROR(VLOOKUP(B1100,'SAÍDA DE VENDAS'!$B$6:$P$500,15,FALSE),"")</f>
        <v/>
      </c>
      <c r="K1100" s="28" t="str">
        <f t="shared" ca="1" si="35"/>
        <v/>
      </c>
      <c r="L1100" s="28"/>
      <c r="M1100" s="28"/>
    </row>
    <row r="1101" spans="2:13" ht="15" customHeight="1" x14ac:dyDescent="0.3">
      <c r="B1101" s="34" t="str">
        <f>IF(B1100="","", IF(VALUE(LEFT(H1100,FIND("/",H1100)-1)) &lt; VALUE(RIGHT(H1100,LEN(H1100)-FIND("/",H1100))), B1100, IFERROR(INDEX('SAÍDA DE VENDAS'!$B$6:$B$500, MATCH(B1100,'SAÍDA DE VENDAS'!$B$6:$B$500,0)+COUNTIF('SAÍDA DE VENDAS'!$B$6:$B$500, B1100)),"")))</f>
        <v/>
      </c>
      <c r="C1101" s="35">
        <f>IFERROR(VLOOKUP(B1101,'SAÍDA DE VENDAS'!$B$6:$P$500,3,FALSE),"")</f>
        <v>0</v>
      </c>
      <c r="D1101" s="34">
        <f>IFERROR(VLOOKUP(B1101,'SAÍDA DE VENDAS'!$B$6:$P$500,4,FALSE),"")</f>
        <v>0</v>
      </c>
      <c r="E1101" s="34" t="str">
        <f>IFERROR(VLOOKUP(B1101,'SAÍDA DE VENDAS'!$B$6:$P$500,5,FALSE),"")</f>
        <v/>
      </c>
      <c r="F1101" s="34" t="str">
        <f>IF(OR(ISBLANK(B1101),B1101=""), "", IFERROR(INDEX('SAÍDA DE VENDAS'!$H$6:$H$500 &amp; "x " &amp; 'SAÍDA DE VENDAS'!$G$6:$G$500, MATCH(B1101, 'SAÍDA DE VENDAS'!$B$6:$B$500, 0)), "")&amp; IF(COUNTIF('SAÍDA DE VENDAS'!$B$6:$B$500, B1101)&gt;1, " + " &amp; IFERROR(INDEX('SAÍDA DE VENDAS'!$H$6:$H$500 &amp; "x " &amp; 'SAÍDA DE VENDAS'!$G$6:$G$500, MATCH(B1101, 'SAÍDA DE VENDAS'!$B$6:$B$500, 0)+1), ""), "")&amp; IF(COUNTIF('SAÍDA DE VENDAS'!$B$6:$B$500, B1101)&gt;2, " + " &amp; IFERROR(INDEX('SAÍDA DE VENDAS'!$H$6:$H$500 &amp; "x " &amp; 'SAÍDA DE VENDAS'!$G$6:$G$500, MATCH(B1101, 'SAÍDA DE VENDAS'!$B$6:$B$500, 0)+2), ""), "")&amp; IF(COUNTIF('SAÍDA DE VENDAS'!$B$6:$B$500, B1101)&gt;3, " + " &amp; IFERROR(INDEX('SAÍDA DE VENDAS'!$H$6:$H$500 &amp; "x " &amp; 'SAÍDA DE VENDAS'!$G$6:$G$500, MATCH(B1101, 'SAÍDA DE VENDAS'!$B$6:$B$500, 0)+3), ""), "")&amp; IF(COUNTIF('SAÍDA DE VENDAS'!$B$6:$B$500, B1101)&gt;4, " + " &amp; IFERROR(INDEX('SAÍDA DE VENDAS'!$H$6:$H$500 &amp; "x " &amp; 'SAÍDA DE VENDAS'!$G$6:$G$500, MATCH(B1101, 'SAÍDA DE VENDAS'!$B$6:$B$500, 0)+4), ""), "")&amp; IF(COUNTIF('SAÍDA DE VENDAS'!$B$6:$B$500, B1101)&gt;5, " + " &amp; IFERROR(INDEX('SAÍDA DE VENDAS'!$H$6:$H$500 &amp; "x " &amp; 'SAÍDA DE VENDAS'!$G$6:$G$500, MATCH(B1101, 'SAÍDA DE VENDAS'!$B$6:$B$500, 0)+5), ""), ""))</f>
        <v/>
      </c>
      <c r="G1101" s="34">
        <f>IFERROR(VLOOKUP(B1101,'SAÍDA DE VENDAS'!$B$6:$P$500,10,FALSE),"")</f>
        <v>0</v>
      </c>
      <c r="H1101" s="34" t="str">
        <f>IF(OR(ISBLANK(B1101),B1101=""), "", IF(B1101=B1100, (VALUE(LEFT(H1100,FIND("/",H1100)-1))+1)&amp;"/"&amp;RIGHT(H1100,LEN(H1100)-FIND("/",H1100)), "1/"&amp;IFERROR(VLOOKUP(B1101,'SAÍDA DE VENDAS'!$B$6:$P$500,13,FALSE),"1")))</f>
        <v/>
      </c>
      <c r="I1101" s="35" t="str">
        <f t="shared" si="34"/>
        <v/>
      </c>
      <c r="J1101" s="39" t="str">
        <f>IFERROR(VLOOKUP(B1101,'SAÍDA DE VENDAS'!$B$6:$P$500,15,FALSE),"")</f>
        <v/>
      </c>
      <c r="K1101" s="34" t="str">
        <f t="shared" ca="1" si="35"/>
        <v/>
      </c>
      <c r="L1101" s="34"/>
      <c r="M1101" s="34"/>
    </row>
    <row r="1102" spans="2:13" ht="15" customHeight="1" x14ac:dyDescent="0.3">
      <c r="B1102" s="28" t="str">
        <f>IF(B1101="","", IF(VALUE(LEFT(H1101,FIND("/",H1101)-1)) &lt; VALUE(RIGHT(H1101,LEN(H1101)-FIND("/",H1101))), B1101, IFERROR(INDEX('SAÍDA DE VENDAS'!$B$6:$B$500, MATCH(B1101,'SAÍDA DE VENDAS'!$B$6:$B$500,0)+COUNTIF('SAÍDA DE VENDAS'!$B$6:$B$500, B1101)),"")))</f>
        <v/>
      </c>
      <c r="C1102" s="29">
        <f>IFERROR(VLOOKUP(B1102,'SAÍDA DE VENDAS'!$B$6:$P$500,3,FALSE),"")</f>
        <v>0</v>
      </c>
      <c r="D1102" s="28">
        <f>IFERROR(VLOOKUP(B1102,'SAÍDA DE VENDAS'!$B$6:$P$500,4,FALSE),"")</f>
        <v>0</v>
      </c>
      <c r="E1102" s="28" t="str">
        <f>IFERROR(VLOOKUP(B1102,'SAÍDA DE VENDAS'!$B$6:$P$500,5,FALSE),"")</f>
        <v/>
      </c>
      <c r="F1102" s="28" t="str">
        <f>IF(OR(ISBLANK(B1102),B1102=""), "", IFERROR(INDEX('SAÍDA DE VENDAS'!$H$6:$H$500 &amp; "x " &amp; 'SAÍDA DE VENDAS'!$G$6:$G$500, MATCH(B1102, 'SAÍDA DE VENDAS'!$B$6:$B$500, 0)), "")&amp; IF(COUNTIF('SAÍDA DE VENDAS'!$B$6:$B$500, B1102)&gt;1, " + " &amp; IFERROR(INDEX('SAÍDA DE VENDAS'!$H$6:$H$500 &amp; "x " &amp; 'SAÍDA DE VENDAS'!$G$6:$G$500, MATCH(B1102, 'SAÍDA DE VENDAS'!$B$6:$B$500, 0)+1), ""), "")&amp; IF(COUNTIF('SAÍDA DE VENDAS'!$B$6:$B$500, B1102)&gt;2, " + " &amp; IFERROR(INDEX('SAÍDA DE VENDAS'!$H$6:$H$500 &amp; "x " &amp; 'SAÍDA DE VENDAS'!$G$6:$G$500, MATCH(B1102, 'SAÍDA DE VENDAS'!$B$6:$B$500, 0)+2), ""), "")&amp; IF(COUNTIF('SAÍDA DE VENDAS'!$B$6:$B$500, B1102)&gt;3, " + " &amp; IFERROR(INDEX('SAÍDA DE VENDAS'!$H$6:$H$500 &amp; "x " &amp; 'SAÍDA DE VENDAS'!$G$6:$G$500, MATCH(B1102, 'SAÍDA DE VENDAS'!$B$6:$B$500, 0)+3), ""), "")&amp; IF(COUNTIF('SAÍDA DE VENDAS'!$B$6:$B$500, B1102)&gt;4, " + " &amp; IFERROR(INDEX('SAÍDA DE VENDAS'!$H$6:$H$500 &amp; "x " &amp; 'SAÍDA DE VENDAS'!$G$6:$G$500, MATCH(B1102, 'SAÍDA DE VENDAS'!$B$6:$B$500, 0)+4), ""), "")&amp; IF(COUNTIF('SAÍDA DE VENDAS'!$B$6:$B$500, B1102)&gt;5, " + " &amp; IFERROR(INDEX('SAÍDA DE VENDAS'!$H$6:$H$500 &amp; "x " &amp; 'SAÍDA DE VENDAS'!$G$6:$G$500, MATCH(B1102, 'SAÍDA DE VENDAS'!$B$6:$B$500, 0)+5), ""), ""))</f>
        <v/>
      </c>
      <c r="G1102" s="28">
        <f>IFERROR(VLOOKUP(B1102,'SAÍDA DE VENDAS'!$B$6:$P$500,10,FALSE),"")</f>
        <v>0</v>
      </c>
      <c r="H1102" s="28" t="str">
        <f>IF(OR(ISBLANK(B1102),B1102=""), "", IF(B1102=B1101, (VALUE(LEFT(H1101,FIND("/",H1101)-1))+1)&amp;"/"&amp;RIGHT(H1101,LEN(H1101)-FIND("/",H1101)), "1/"&amp;IFERROR(VLOOKUP(B1102,'SAÍDA DE VENDAS'!$B$6:$P$500,13,FALSE),"1")))</f>
        <v/>
      </c>
      <c r="I1102" s="69" t="str">
        <f t="shared" si="34"/>
        <v/>
      </c>
      <c r="J1102" s="33" t="str">
        <f>IFERROR(VLOOKUP(B1102,'SAÍDA DE VENDAS'!$B$6:$P$500,15,FALSE),"")</f>
        <v/>
      </c>
      <c r="K1102" s="28" t="str">
        <f t="shared" ca="1" si="35"/>
        <v/>
      </c>
      <c r="L1102" s="28"/>
      <c r="M1102" s="28"/>
    </row>
    <row r="1103" spans="2:13" ht="15" customHeight="1" x14ac:dyDescent="0.3">
      <c r="B1103" s="34" t="str">
        <f>IF(B1102="","", IF(VALUE(LEFT(H1102,FIND("/",H1102)-1)) &lt; VALUE(RIGHT(H1102,LEN(H1102)-FIND("/",H1102))), B1102, IFERROR(INDEX('SAÍDA DE VENDAS'!$B$6:$B$500, MATCH(B1102,'SAÍDA DE VENDAS'!$B$6:$B$500,0)+COUNTIF('SAÍDA DE VENDAS'!$B$6:$B$500, B1102)),"")))</f>
        <v/>
      </c>
      <c r="C1103" s="35">
        <f>IFERROR(VLOOKUP(B1103,'SAÍDA DE VENDAS'!$B$6:$P$500,3,FALSE),"")</f>
        <v>0</v>
      </c>
      <c r="D1103" s="34">
        <f>IFERROR(VLOOKUP(B1103,'SAÍDA DE VENDAS'!$B$6:$P$500,4,FALSE),"")</f>
        <v>0</v>
      </c>
      <c r="E1103" s="34" t="str">
        <f>IFERROR(VLOOKUP(B1103,'SAÍDA DE VENDAS'!$B$6:$P$500,5,FALSE),"")</f>
        <v/>
      </c>
      <c r="F1103" s="34" t="str">
        <f>IF(OR(ISBLANK(B1103),B1103=""), "", IFERROR(INDEX('SAÍDA DE VENDAS'!$H$6:$H$500 &amp; "x " &amp; 'SAÍDA DE VENDAS'!$G$6:$G$500, MATCH(B1103, 'SAÍDA DE VENDAS'!$B$6:$B$500, 0)), "")&amp; IF(COUNTIF('SAÍDA DE VENDAS'!$B$6:$B$500, B1103)&gt;1, " + " &amp; IFERROR(INDEX('SAÍDA DE VENDAS'!$H$6:$H$500 &amp; "x " &amp; 'SAÍDA DE VENDAS'!$G$6:$G$500, MATCH(B1103, 'SAÍDA DE VENDAS'!$B$6:$B$500, 0)+1), ""), "")&amp; IF(COUNTIF('SAÍDA DE VENDAS'!$B$6:$B$500, B1103)&gt;2, " + " &amp; IFERROR(INDEX('SAÍDA DE VENDAS'!$H$6:$H$500 &amp; "x " &amp; 'SAÍDA DE VENDAS'!$G$6:$G$500, MATCH(B1103, 'SAÍDA DE VENDAS'!$B$6:$B$500, 0)+2), ""), "")&amp; IF(COUNTIF('SAÍDA DE VENDAS'!$B$6:$B$500, B1103)&gt;3, " + " &amp; IFERROR(INDEX('SAÍDA DE VENDAS'!$H$6:$H$500 &amp; "x " &amp; 'SAÍDA DE VENDAS'!$G$6:$G$500, MATCH(B1103, 'SAÍDA DE VENDAS'!$B$6:$B$500, 0)+3), ""), "")&amp; IF(COUNTIF('SAÍDA DE VENDAS'!$B$6:$B$500, B1103)&gt;4, " + " &amp; IFERROR(INDEX('SAÍDA DE VENDAS'!$H$6:$H$500 &amp; "x " &amp; 'SAÍDA DE VENDAS'!$G$6:$G$500, MATCH(B1103, 'SAÍDA DE VENDAS'!$B$6:$B$500, 0)+4), ""), "")&amp; IF(COUNTIF('SAÍDA DE VENDAS'!$B$6:$B$500, B1103)&gt;5, " + " &amp; IFERROR(INDEX('SAÍDA DE VENDAS'!$H$6:$H$500 &amp; "x " &amp; 'SAÍDA DE VENDAS'!$G$6:$G$500, MATCH(B1103, 'SAÍDA DE VENDAS'!$B$6:$B$500, 0)+5), ""), ""))</f>
        <v/>
      </c>
      <c r="G1103" s="34">
        <f>IFERROR(VLOOKUP(B1103,'SAÍDA DE VENDAS'!$B$6:$P$500,10,FALSE),"")</f>
        <v>0</v>
      </c>
      <c r="H1103" s="34" t="str">
        <f>IF(OR(ISBLANK(B1103),B1103=""), "", IF(B1103=B1102, (VALUE(LEFT(H1102,FIND("/",H1102)-1))+1)&amp;"/"&amp;RIGHT(H1102,LEN(H1102)-FIND("/",H1102)), "1/"&amp;IFERROR(VLOOKUP(B1103,'SAÍDA DE VENDAS'!$B$6:$P$500,13,FALSE),"1")))</f>
        <v/>
      </c>
      <c r="I1103" s="35" t="str">
        <f t="shared" si="34"/>
        <v/>
      </c>
      <c r="J1103" s="39" t="str">
        <f>IFERROR(VLOOKUP(B1103,'SAÍDA DE VENDAS'!$B$6:$P$500,15,FALSE),"")</f>
        <v/>
      </c>
      <c r="K1103" s="34" t="str">
        <f t="shared" ca="1" si="35"/>
        <v/>
      </c>
      <c r="L1103" s="34"/>
      <c r="M1103" s="34"/>
    </row>
    <row r="1104" spans="2:13" ht="15" customHeight="1" x14ac:dyDescent="0.3">
      <c r="B1104" s="28" t="str">
        <f>IF(B1103="","", IF(VALUE(LEFT(H1103,FIND("/",H1103)-1)) &lt; VALUE(RIGHT(H1103,LEN(H1103)-FIND("/",H1103))), B1103, IFERROR(INDEX('SAÍDA DE VENDAS'!$B$6:$B$500, MATCH(B1103,'SAÍDA DE VENDAS'!$B$6:$B$500,0)+COUNTIF('SAÍDA DE VENDAS'!$B$6:$B$500, B1103)),"")))</f>
        <v/>
      </c>
      <c r="C1104" s="29">
        <f>IFERROR(VLOOKUP(B1104,'SAÍDA DE VENDAS'!$B$6:$P$500,3,FALSE),"")</f>
        <v>0</v>
      </c>
      <c r="D1104" s="28">
        <f>IFERROR(VLOOKUP(B1104,'SAÍDA DE VENDAS'!$B$6:$P$500,4,FALSE),"")</f>
        <v>0</v>
      </c>
      <c r="E1104" s="28" t="str">
        <f>IFERROR(VLOOKUP(B1104,'SAÍDA DE VENDAS'!$B$6:$P$500,5,FALSE),"")</f>
        <v/>
      </c>
      <c r="F1104" s="28" t="str">
        <f>IF(OR(ISBLANK(B1104),B1104=""), "", IFERROR(INDEX('SAÍDA DE VENDAS'!$H$6:$H$500 &amp; "x " &amp; 'SAÍDA DE VENDAS'!$G$6:$G$500, MATCH(B1104, 'SAÍDA DE VENDAS'!$B$6:$B$500, 0)), "")&amp; IF(COUNTIF('SAÍDA DE VENDAS'!$B$6:$B$500, B1104)&gt;1, " + " &amp; IFERROR(INDEX('SAÍDA DE VENDAS'!$H$6:$H$500 &amp; "x " &amp; 'SAÍDA DE VENDAS'!$G$6:$G$500, MATCH(B1104, 'SAÍDA DE VENDAS'!$B$6:$B$500, 0)+1), ""), "")&amp; IF(COUNTIF('SAÍDA DE VENDAS'!$B$6:$B$500, B1104)&gt;2, " + " &amp; IFERROR(INDEX('SAÍDA DE VENDAS'!$H$6:$H$500 &amp; "x " &amp; 'SAÍDA DE VENDAS'!$G$6:$G$500, MATCH(B1104, 'SAÍDA DE VENDAS'!$B$6:$B$500, 0)+2), ""), "")&amp; IF(COUNTIF('SAÍDA DE VENDAS'!$B$6:$B$500, B1104)&gt;3, " + " &amp; IFERROR(INDEX('SAÍDA DE VENDAS'!$H$6:$H$500 &amp; "x " &amp; 'SAÍDA DE VENDAS'!$G$6:$G$500, MATCH(B1104, 'SAÍDA DE VENDAS'!$B$6:$B$500, 0)+3), ""), "")&amp; IF(COUNTIF('SAÍDA DE VENDAS'!$B$6:$B$500, B1104)&gt;4, " + " &amp; IFERROR(INDEX('SAÍDA DE VENDAS'!$H$6:$H$500 &amp; "x " &amp; 'SAÍDA DE VENDAS'!$G$6:$G$500, MATCH(B1104, 'SAÍDA DE VENDAS'!$B$6:$B$500, 0)+4), ""), "")&amp; IF(COUNTIF('SAÍDA DE VENDAS'!$B$6:$B$500, B1104)&gt;5, " + " &amp; IFERROR(INDEX('SAÍDA DE VENDAS'!$H$6:$H$500 &amp; "x " &amp; 'SAÍDA DE VENDAS'!$G$6:$G$500, MATCH(B1104, 'SAÍDA DE VENDAS'!$B$6:$B$500, 0)+5), ""), ""))</f>
        <v/>
      </c>
      <c r="G1104" s="28">
        <f>IFERROR(VLOOKUP(B1104,'SAÍDA DE VENDAS'!$B$6:$P$500,10,FALSE),"")</f>
        <v>0</v>
      </c>
      <c r="H1104" s="28" t="str">
        <f>IF(OR(ISBLANK(B1104),B1104=""), "", IF(B1104=B1103, (VALUE(LEFT(H1103,FIND("/",H1103)-1))+1)&amp;"/"&amp;RIGHT(H1103,LEN(H1103)-FIND("/",H1103)), "1/"&amp;IFERROR(VLOOKUP(B1104,'SAÍDA DE VENDAS'!$B$6:$P$500,13,FALSE),"1")))</f>
        <v/>
      </c>
      <c r="I1104" s="69" t="str">
        <f t="shared" si="34"/>
        <v/>
      </c>
      <c r="J1104" s="33" t="str">
        <f>IFERROR(VLOOKUP(B1104,'SAÍDA DE VENDAS'!$B$6:$P$500,15,FALSE),"")</f>
        <v/>
      </c>
      <c r="K1104" s="28" t="str">
        <f t="shared" ca="1" si="35"/>
        <v/>
      </c>
      <c r="L1104" s="28"/>
      <c r="M1104" s="28"/>
    </row>
    <row r="1105" spans="2:13" ht="15" customHeight="1" x14ac:dyDescent="0.3">
      <c r="B1105" s="34" t="str">
        <f>IF(B1104="","", IF(VALUE(LEFT(H1104,FIND("/",H1104)-1)) &lt; VALUE(RIGHT(H1104,LEN(H1104)-FIND("/",H1104))), B1104, IFERROR(INDEX('SAÍDA DE VENDAS'!$B$6:$B$500, MATCH(B1104,'SAÍDA DE VENDAS'!$B$6:$B$500,0)+COUNTIF('SAÍDA DE VENDAS'!$B$6:$B$500, B1104)),"")))</f>
        <v/>
      </c>
      <c r="C1105" s="35">
        <f>IFERROR(VLOOKUP(B1105,'SAÍDA DE VENDAS'!$B$6:$P$500,3,FALSE),"")</f>
        <v>0</v>
      </c>
      <c r="D1105" s="34">
        <f>IFERROR(VLOOKUP(B1105,'SAÍDA DE VENDAS'!$B$6:$P$500,4,FALSE),"")</f>
        <v>0</v>
      </c>
      <c r="E1105" s="34" t="str">
        <f>IFERROR(VLOOKUP(B1105,'SAÍDA DE VENDAS'!$B$6:$P$500,5,FALSE),"")</f>
        <v/>
      </c>
      <c r="F1105" s="34" t="str">
        <f>IF(OR(ISBLANK(B1105),B1105=""), "", IFERROR(INDEX('SAÍDA DE VENDAS'!$H$6:$H$500 &amp; "x " &amp; 'SAÍDA DE VENDAS'!$G$6:$G$500, MATCH(B1105, 'SAÍDA DE VENDAS'!$B$6:$B$500, 0)), "")&amp; IF(COUNTIF('SAÍDA DE VENDAS'!$B$6:$B$500, B1105)&gt;1, " + " &amp; IFERROR(INDEX('SAÍDA DE VENDAS'!$H$6:$H$500 &amp; "x " &amp; 'SAÍDA DE VENDAS'!$G$6:$G$500, MATCH(B1105, 'SAÍDA DE VENDAS'!$B$6:$B$500, 0)+1), ""), "")&amp; IF(COUNTIF('SAÍDA DE VENDAS'!$B$6:$B$500, B1105)&gt;2, " + " &amp; IFERROR(INDEX('SAÍDA DE VENDAS'!$H$6:$H$500 &amp; "x " &amp; 'SAÍDA DE VENDAS'!$G$6:$G$500, MATCH(B1105, 'SAÍDA DE VENDAS'!$B$6:$B$500, 0)+2), ""), "")&amp; IF(COUNTIF('SAÍDA DE VENDAS'!$B$6:$B$500, B1105)&gt;3, " + " &amp; IFERROR(INDEX('SAÍDA DE VENDAS'!$H$6:$H$500 &amp; "x " &amp; 'SAÍDA DE VENDAS'!$G$6:$G$500, MATCH(B1105, 'SAÍDA DE VENDAS'!$B$6:$B$500, 0)+3), ""), "")&amp; IF(COUNTIF('SAÍDA DE VENDAS'!$B$6:$B$500, B1105)&gt;4, " + " &amp; IFERROR(INDEX('SAÍDA DE VENDAS'!$H$6:$H$500 &amp; "x " &amp; 'SAÍDA DE VENDAS'!$G$6:$G$500, MATCH(B1105, 'SAÍDA DE VENDAS'!$B$6:$B$500, 0)+4), ""), "")&amp; IF(COUNTIF('SAÍDA DE VENDAS'!$B$6:$B$500, B1105)&gt;5, " + " &amp; IFERROR(INDEX('SAÍDA DE VENDAS'!$H$6:$H$500 &amp; "x " &amp; 'SAÍDA DE VENDAS'!$G$6:$G$500, MATCH(B1105, 'SAÍDA DE VENDAS'!$B$6:$B$500, 0)+5), ""), ""))</f>
        <v/>
      </c>
      <c r="G1105" s="34">
        <f>IFERROR(VLOOKUP(B1105,'SAÍDA DE VENDAS'!$B$6:$P$500,10,FALSE),"")</f>
        <v>0</v>
      </c>
      <c r="H1105" s="34" t="str">
        <f>IF(OR(ISBLANK(B1105),B1105=""), "", IF(B1105=B1104, (VALUE(LEFT(H1104,FIND("/",H1104)-1))+1)&amp;"/"&amp;RIGHT(H1104,LEN(H1104)-FIND("/",H1104)), "1/"&amp;IFERROR(VLOOKUP(B1105,'SAÍDA DE VENDAS'!$B$6:$P$500,13,FALSE),"1")))</f>
        <v/>
      </c>
      <c r="I1105" s="35" t="str">
        <f t="shared" si="34"/>
        <v/>
      </c>
      <c r="J1105" s="39" t="str">
        <f>IFERROR(VLOOKUP(B1105,'SAÍDA DE VENDAS'!$B$6:$P$500,15,FALSE),"")</f>
        <v/>
      </c>
      <c r="K1105" s="34" t="str">
        <f t="shared" ca="1" si="35"/>
        <v/>
      </c>
      <c r="L1105" s="34"/>
      <c r="M1105" s="34"/>
    </row>
    <row r="1106" spans="2:13" ht="15" customHeight="1" x14ac:dyDescent="0.3">
      <c r="B1106" s="28" t="str">
        <f>IF(B1105="","", IF(VALUE(LEFT(H1105,FIND("/",H1105)-1)) &lt; VALUE(RIGHT(H1105,LEN(H1105)-FIND("/",H1105))), B1105, IFERROR(INDEX('SAÍDA DE VENDAS'!$B$6:$B$500, MATCH(B1105,'SAÍDA DE VENDAS'!$B$6:$B$500,0)+COUNTIF('SAÍDA DE VENDAS'!$B$6:$B$500, B1105)),"")))</f>
        <v/>
      </c>
      <c r="C1106" s="29">
        <f>IFERROR(VLOOKUP(B1106,'SAÍDA DE VENDAS'!$B$6:$P$500,3,FALSE),"")</f>
        <v>0</v>
      </c>
      <c r="D1106" s="28">
        <f>IFERROR(VLOOKUP(B1106,'SAÍDA DE VENDAS'!$B$6:$P$500,4,FALSE),"")</f>
        <v>0</v>
      </c>
      <c r="E1106" s="28" t="str">
        <f>IFERROR(VLOOKUP(B1106,'SAÍDA DE VENDAS'!$B$6:$P$500,5,FALSE),"")</f>
        <v/>
      </c>
      <c r="F1106" s="28" t="str">
        <f>IF(OR(ISBLANK(B1106),B1106=""), "", IFERROR(INDEX('SAÍDA DE VENDAS'!$H$6:$H$500 &amp; "x " &amp; 'SAÍDA DE VENDAS'!$G$6:$G$500, MATCH(B1106, 'SAÍDA DE VENDAS'!$B$6:$B$500, 0)), "")&amp; IF(COUNTIF('SAÍDA DE VENDAS'!$B$6:$B$500, B1106)&gt;1, " + " &amp; IFERROR(INDEX('SAÍDA DE VENDAS'!$H$6:$H$500 &amp; "x " &amp; 'SAÍDA DE VENDAS'!$G$6:$G$500, MATCH(B1106, 'SAÍDA DE VENDAS'!$B$6:$B$500, 0)+1), ""), "")&amp; IF(COUNTIF('SAÍDA DE VENDAS'!$B$6:$B$500, B1106)&gt;2, " + " &amp; IFERROR(INDEX('SAÍDA DE VENDAS'!$H$6:$H$500 &amp; "x " &amp; 'SAÍDA DE VENDAS'!$G$6:$G$500, MATCH(B1106, 'SAÍDA DE VENDAS'!$B$6:$B$500, 0)+2), ""), "")&amp; IF(COUNTIF('SAÍDA DE VENDAS'!$B$6:$B$500, B1106)&gt;3, " + " &amp; IFERROR(INDEX('SAÍDA DE VENDAS'!$H$6:$H$500 &amp; "x " &amp; 'SAÍDA DE VENDAS'!$G$6:$G$500, MATCH(B1106, 'SAÍDA DE VENDAS'!$B$6:$B$500, 0)+3), ""), "")&amp; IF(COUNTIF('SAÍDA DE VENDAS'!$B$6:$B$500, B1106)&gt;4, " + " &amp; IFERROR(INDEX('SAÍDA DE VENDAS'!$H$6:$H$500 &amp; "x " &amp; 'SAÍDA DE VENDAS'!$G$6:$G$500, MATCH(B1106, 'SAÍDA DE VENDAS'!$B$6:$B$500, 0)+4), ""), "")&amp; IF(COUNTIF('SAÍDA DE VENDAS'!$B$6:$B$500, B1106)&gt;5, " + " &amp; IFERROR(INDEX('SAÍDA DE VENDAS'!$H$6:$H$500 &amp; "x " &amp; 'SAÍDA DE VENDAS'!$G$6:$G$500, MATCH(B1106, 'SAÍDA DE VENDAS'!$B$6:$B$500, 0)+5), ""), ""))</f>
        <v/>
      </c>
      <c r="G1106" s="28">
        <f>IFERROR(VLOOKUP(B1106,'SAÍDA DE VENDAS'!$B$6:$P$500,10,FALSE),"")</f>
        <v>0</v>
      </c>
      <c r="H1106" s="28" t="str">
        <f>IF(OR(ISBLANK(B1106),B1106=""), "", IF(B1106=B1105, (VALUE(LEFT(H1105,FIND("/",H1105)-1))+1)&amp;"/"&amp;RIGHT(H1105,LEN(H1105)-FIND("/",H1105)), "1/"&amp;IFERROR(VLOOKUP(B1106,'SAÍDA DE VENDAS'!$B$6:$P$500,13,FALSE),"1")))</f>
        <v/>
      </c>
      <c r="I1106" s="69" t="str">
        <f t="shared" si="34"/>
        <v/>
      </c>
      <c r="J1106" s="33" t="str">
        <f>IFERROR(VLOOKUP(B1106,'SAÍDA DE VENDAS'!$B$6:$P$500,15,FALSE),"")</f>
        <v/>
      </c>
      <c r="K1106" s="28" t="str">
        <f t="shared" ca="1" si="35"/>
        <v/>
      </c>
      <c r="L1106" s="28"/>
      <c r="M1106" s="28"/>
    </row>
    <row r="1107" spans="2:13" ht="15" customHeight="1" x14ac:dyDescent="0.3">
      <c r="B1107" s="34" t="str">
        <f>IF(B1106="","", IF(VALUE(LEFT(H1106,FIND("/",H1106)-1)) &lt; VALUE(RIGHT(H1106,LEN(H1106)-FIND("/",H1106))), B1106, IFERROR(INDEX('SAÍDA DE VENDAS'!$B$6:$B$500, MATCH(B1106,'SAÍDA DE VENDAS'!$B$6:$B$500,0)+COUNTIF('SAÍDA DE VENDAS'!$B$6:$B$500, B1106)),"")))</f>
        <v/>
      </c>
      <c r="C1107" s="35">
        <f>IFERROR(VLOOKUP(B1107,'SAÍDA DE VENDAS'!$B$6:$P$500,3,FALSE),"")</f>
        <v>0</v>
      </c>
      <c r="D1107" s="34">
        <f>IFERROR(VLOOKUP(B1107,'SAÍDA DE VENDAS'!$B$6:$P$500,4,FALSE),"")</f>
        <v>0</v>
      </c>
      <c r="E1107" s="34" t="str">
        <f>IFERROR(VLOOKUP(B1107,'SAÍDA DE VENDAS'!$B$6:$P$500,5,FALSE),"")</f>
        <v/>
      </c>
      <c r="F1107" s="34" t="str">
        <f>IF(OR(ISBLANK(B1107),B1107=""), "", IFERROR(INDEX('SAÍDA DE VENDAS'!$H$6:$H$500 &amp; "x " &amp; 'SAÍDA DE VENDAS'!$G$6:$G$500, MATCH(B1107, 'SAÍDA DE VENDAS'!$B$6:$B$500, 0)), "")&amp; IF(COUNTIF('SAÍDA DE VENDAS'!$B$6:$B$500, B1107)&gt;1, " + " &amp; IFERROR(INDEX('SAÍDA DE VENDAS'!$H$6:$H$500 &amp; "x " &amp; 'SAÍDA DE VENDAS'!$G$6:$G$500, MATCH(B1107, 'SAÍDA DE VENDAS'!$B$6:$B$500, 0)+1), ""), "")&amp; IF(COUNTIF('SAÍDA DE VENDAS'!$B$6:$B$500, B1107)&gt;2, " + " &amp; IFERROR(INDEX('SAÍDA DE VENDAS'!$H$6:$H$500 &amp; "x " &amp; 'SAÍDA DE VENDAS'!$G$6:$G$500, MATCH(B1107, 'SAÍDA DE VENDAS'!$B$6:$B$500, 0)+2), ""), "")&amp; IF(COUNTIF('SAÍDA DE VENDAS'!$B$6:$B$500, B1107)&gt;3, " + " &amp; IFERROR(INDEX('SAÍDA DE VENDAS'!$H$6:$H$500 &amp; "x " &amp; 'SAÍDA DE VENDAS'!$G$6:$G$500, MATCH(B1107, 'SAÍDA DE VENDAS'!$B$6:$B$500, 0)+3), ""), "")&amp; IF(COUNTIF('SAÍDA DE VENDAS'!$B$6:$B$500, B1107)&gt;4, " + " &amp; IFERROR(INDEX('SAÍDA DE VENDAS'!$H$6:$H$500 &amp; "x " &amp; 'SAÍDA DE VENDAS'!$G$6:$G$500, MATCH(B1107, 'SAÍDA DE VENDAS'!$B$6:$B$500, 0)+4), ""), "")&amp; IF(COUNTIF('SAÍDA DE VENDAS'!$B$6:$B$500, B1107)&gt;5, " + " &amp; IFERROR(INDEX('SAÍDA DE VENDAS'!$H$6:$H$500 &amp; "x " &amp; 'SAÍDA DE VENDAS'!$G$6:$G$500, MATCH(B1107, 'SAÍDA DE VENDAS'!$B$6:$B$500, 0)+5), ""), ""))</f>
        <v/>
      </c>
      <c r="G1107" s="34">
        <f>IFERROR(VLOOKUP(B1107,'SAÍDA DE VENDAS'!$B$6:$P$500,10,FALSE),"")</f>
        <v>0</v>
      </c>
      <c r="H1107" s="34" t="str">
        <f>IF(OR(ISBLANK(B1107),B1107=""), "", IF(B1107=B1106, (VALUE(LEFT(H1106,FIND("/",H1106)-1))+1)&amp;"/"&amp;RIGHT(H1106,LEN(H1106)-FIND("/",H1106)), "1/"&amp;IFERROR(VLOOKUP(B1107,'SAÍDA DE VENDAS'!$B$6:$P$500,13,FALSE),"1")))</f>
        <v/>
      </c>
      <c r="I1107" s="35" t="str">
        <f t="shared" si="34"/>
        <v/>
      </c>
      <c r="J1107" s="39" t="str">
        <f>IFERROR(VLOOKUP(B1107,'SAÍDA DE VENDAS'!$B$6:$P$500,15,FALSE),"")</f>
        <v/>
      </c>
      <c r="K1107" s="34" t="str">
        <f t="shared" ca="1" si="35"/>
        <v/>
      </c>
      <c r="L1107" s="34"/>
      <c r="M1107" s="34"/>
    </row>
    <row r="1108" spans="2:13" ht="15" customHeight="1" x14ac:dyDescent="0.3">
      <c r="B1108" s="28" t="str">
        <f>IF(B1107="","", IF(VALUE(LEFT(H1107,FIND("/",H1107)-1)) &lt; VALUE(RIGHT(H1107,LEN(H1107)-FIND("/",H1107))), B1107, IFERROR(INDEX('SAÍDA DE VENDAS'!$B$6:$B$500, MATCH(B1107,'SAÍDA DE VENDAS'!$B$6:$B$500,0)+COUNTIF('SAÍDA DE VENDAS'!$B$6:$B$500, B1107)),"")))</f>
        <v/>
      </c>
      <c r="C1108" s="29">
        <f>IFERROR(VLOOKUP(B1108,'SAÍDA DE VENDAS'!$B$6:$P$500,3,FALSE),"")</f>
        <v>0</v>
      </c>
      <c r="D1108" s="28">
        <f>IFERROR(VLOOKUP(B1108,'SAÍDA DE VENDAS'!$B$6:$P$500,4,FALSE),"")</f>
        <v>0</v>
      </c>
      <c r="E1108" s="28" t="str">
        <f>IFERROR(VLOOKUP(B1108,'SAÍDA DE VENDAS'!$B$6:$P$500,5,FALSE),"")</f>
        <v/>
      </c>
      <c r="F1108" s="28" t="str">
        <f>IF(OR(ISBLANK(B1108),B1108=""), "", IFERROR(INDEX('SAÍDA DE VENDAS'!$H$6:$H$500 &amp; "x " &amp; 'SAÍDA DE VENDAS'!$G$6:$G$500, MATCH(B1108, 'SAÍDA DE VENDAS'!$B$6:$B$500, 0)), "")&amp; IF(COUNTIF('SAÍDA DE VENDAS'!$B$6:$B$500, B1108)&gt;1, " + " &amp; IFERROR(INDEX('SAÍDA DE VENDAS'!$H$6:$H$500 &amp; "x " &amp; 'SAÍDA DE VENDAS'!$G$6:$G$500, MATCH(B1108, 'SAÍDA DE VENDAS'!$B$6:$B$500, 0)+1), ""), "")&amp; IF(COUNTIF('SAÍDA DE VENDAS'!$B$6:$B$500, B1108)&gt;2, " + " &amp; IFERROR(INDEX('SAÍDA DE VENDAS'!$H$6:$H$500 &amp; "x " &amp; 'SAÍDA DE VENDAS'!$G$6:$G$500, MATCH(B1108, 'SAÍDA DE VENDAS'!$B$6:$B$500, 0)+2), ""), "")&amp; IF(COUNTIF('SAÍDA DE VENDAS'!$B$6:$B$500, B1108)&gt;3, " + " &amp; IFERROR(INDEX('SAÍDA DE VENDAS'!$H$6:$H$500 &amp; "x " &amp; 'SAÍDA DE VENDAS'!$G$6:$G$500, MATCH(B1108, 'SAÍDA DE VENDAS'!$B$6:$B$500, 0)+3), ""), "")&amp; IF(COUNTIF('SAÍDA DE VENDAS'!$B$6:$B$500, B1108)&gt;4, " + " &amp; IFERROR(INDEX('SAÍDA DE VENDAS'!$H$6:$H$500 &amp; "x " &amp; 'SAÍDA DE VENDAS'!$G$6:$G$500, MATCH(B1108, 'SAÍDA DE VENDAS'!$B$6:$B$500, 0)+4), ""), "")&amp; IF(COUNTIF('SAÍDA DE VENDAS'!$B$6:$B$500, B1108)&gt;5, " + " &amp; IFERROR(INDEX('SAÍDA DE VENDAS'!$H$6:$H$500 &amp; "x " &amp; 'SAÍDA DE VENDAS'!$G$6:$G$500, MATCH(B1108, 'SAÍDA DE VENDAS'!$B$6:$B$500, 0)+5), ""), ""))</f>
        <v/>
      </c>
      <c r="G1108" s="28">
        <f>IFERROR(VLOOKUP(B1108,'SAÍDA DE VENDAS'!$B$6:$P$500,10,FALSE),"")</f>
        <v>0</v>
      </c>
      <c r="H1108" s="28" t="str">
        <f>IF(OR(ISBLANK(B1108),B1108=""), "", IF(B1108=B1107, (VALUE(LEFT(H1107,FIND("/",H1107)-1))+1)&amp;"/"&amp;RIGHT(H1107,LEN(H1107)-FIND("/",H1107)), "1/"&amp;IFERROR(VLOOKUP(B1108,'SAÍDA DE VENDAS'!$B$6:$P$500,13,FALSE),"1")))</f>
        <v/>
      </c>
      <c r="I1108" s="69" t="str">
        <f t="shared" si="34"/>
        <v/>
      </c>
      <c r="J1108" s="33" t="str">
        <f>IFERROR(VLOOKUP(B1108,'SAÍDA DE VENDAS'!$B$6:$P$500,15,FALSE),"")</f>
        <v/>
      </c>
      <c r="K1108" s="28" t="str">
        <f t="shared" ca="1" si="35"/>
        <v/>
      </c>
      <c r="L1108" s="28"/>
      <c r="M1108" s="28"/>
    </row>
    <row r="1109" spans="2:13" ht="15" customHeight="1" x14ac:dyDescent="0.3">
      <c r="B1109" s="34" t="str">
        <f>IF(B1108="","", IF(VALUE(LEFT(H1108,FIND("/",H1108)-1)) &lt; VALUE(RIGHT(H1108,LEN(H1108)-FIND("/",H1108))), B1108, IFERROR(INDEX('SAÍDA DE VENDAS'!$B$6:$B$500, MATCH(B1108,'SAÍDA DE VENDAS'!$B$6:$B$500,0)+COUNTIF('SAÍDA DE VENDAS'!$B$6:$B$500, B1108)),"")))</f>
        <v/>
      </c>
      <c r="C1109" s="35">
        <f>IFERROR(VLOOKUP(B1109,'SAÍDA DE VENDAS'!$B$6:$P$500,3,FALSE),"")</f>
        <v>0</v>
      </c>
      <c r="D1109" s="34">
        <f>IFERROR(VLOOKUP(B1109,'SAÍDA DE VENDAS'!$B$6:$P$500,4,FALSE),"")</f>
        <v>0</v>
      </c>
      <c r="E1109" s="34" t="str">
        <f>IFERROR(VLOOKUP(B1109,'SAÍDA DE VENDAS'!$B$6:$P$500,5,FALSE),"")</f>
        <v/>
      </c>
      <c r="F1109" s="34" t="str">
        <f>IF(OR(ISBLANK(B1109),B1109=""), "", IFERROR(INDEX('SAÍDA DE VENDAS'!$H$6:$H$500 &amp; "x " &amp; 'SAÍDA DE VENDAS'!$G$6:$G$500, MATCH(B1109, 'SAÍDA DE VENDAS'!$B$6:$B$500, 0)), "")&amp; IF(COUNTIF('SAÍDA DE VENDAS'!$B$6:$B$500, B1109)&gt;1, " + " &amp; IFERROR(INDEX('SAÍDA DE VENDAS'!$H$6:$H$500 &amp; "x " &amp; 'SAÍDA DE VENDAS'!$G$6:$G$500, MATCH(B1109, 'SAÍDA DE VENDAS'!$B$6:$B$500, 0)+1), ""), "")&amp; IF(COUNTIF('SAÍDA DE VENDAS'!$B$6:$B$500, B1109)&gt;2, " + " &amp; IFERROR(INDEX('SAÍDA DE VENDAS'!$H$6:$H$500 &amp; "x " &amp; 'SAÍDA DE VENDAS'!$G$6:$G$500, MATCH(B1109, 'SAÍDA DE VENDAS'!$B$6:$B$500, 0)+2), ""), "")&amp; IF(COUNTIF('SAÍDA DE VENDAS'!$B$6:$B$500, B1109)&gt;3, " + " &amp; IFERROR(INDEX('SAÍDA DE VENDAS'!$H$6:$H$500 &amp; "x " &amp; 'SAÍDA DE VENDAS'!$G$6:$G$500, MATCH(B1109, 'SAÍDA DE VENDAS'!$B$6:$B$500, 0)+3), ""), "")&amp; IF(COUNTIF('SAÍDA DE VENDAS'!$B$6:$B$500, B1109)&gt;4, " + " &amp; IFERROR(INDEX('SAÍDA DE VENDAS'!$H$6:$H$500 &amp; "x " &amp; 'SAÍDA DE VENDAS'!$G$6:$G$500, MATCH(B1109, 'SAÍDA DE VENDAS'!$B$6:$B$500, 0)+4), ""), "")&amp; IF(COUNTIF('SAÍDA DE VENDAS'!$B$6:$B$500, B1109)&gt;5, " + " &amp; IFERROR(INDEX('SAÍDA DE VENDAS'!$H$6:$H$500 &amp; "x " &amp; 'SAÍDA DE VENDAS'!$G$6:$G$500, MATCH(B1109, 'SAÍDA DE VENDAS'!$B$6:$B$500, 0)+5), ""), ""))</f>
        <v/>
      </c>
      <c r="G1109" s="34">
        <f>IFERROR(VLOOKUP(B1109,'SAÍDA DE VENDAS'!$B$6:$P$500,10,FALSE),"")</f>
        <v>0</v>
      </c>
      <c r="H1109" s="34" t="str">
        <f>IF(OR(ISBLANK(B1109),B1109=""), "", IF(B1109=B1108, (VALUE(LEFT(H1108,FIND("/",H1108)-1))+1)&amp;"/"&amp;RIGHT(H1108,LEN(H1108)-FIND("/",H1108)), "1/"&amp;IFERROR(VLOOKUP(B1109,'SAÍDA DE VENDAS'!$B$6:$P$500,13,FALSE),"1")))</f>
        <v/>
      </c>
      <c r="I1109" s="35" t="str">
        <f t="shared" si="34"/>
        <v/>
      </c>
      <c r="J1109" s="39" t="str">
        <f>IFERROR(VLOOKUP(B1109,'SAÍDA DE VENDAS'!$B$6:$P$500,15,FALSE),"")</f>
        <v/>
      </c>
      <c r="K1109" s="34" t="str">
        <f t="shared" ca="1" si="35"/>
        <v/>
      </c>
      <c r="L1109" s="34"/>
      <c r="M1109" s="34"/>
    </row>
    <row r="1110" spans="2:13" ht="15" customHeight="1" x14ac:dyDescent="0.3">
      <c r="B1110" s="28" t="str">
        <f>IF(B1109="","", IF(VALUE(LEFT(H1109,FIND("/",H1109)-1)) &lt; VALUE(RIGHT(H1109,LEN(H1109)-FIND("/",H1109))), B1109, IFERROR(INDEX('SAÍDA DE VENDAS'!$B$6:$B$500, MATCH(B1109,'SAÍDA DE VENDAS'!$B$6:$B$500,0)+COUNTIF('SAÍDA DE VENDAS'!$B$6:$B$500, B1109)),"")))</f>
        <v/>
      </c>
      <c r="C1110" s="29">
        <f>IFERROR(VLOOKUP(B1110,'SAÍDA DE VENDAS'!$B$6:$P$500,3,FALSE),"")</f>
        <v>0</v>
      </c>
      <c r="D1110" s="28">
        <f>IFERROR(VLOOKUP(B1110,'SAÍDA DE VENDAS'!$B$6:$P$500,4,FALSE),"")</f>
        <v>0</v>
      </c>
      <c r="E1110" s="28" t="str">
        <f>IFERROR(VLOOKUP(B1110,'SAÍDA DE VENDAS'!$B$6:$P$500,5,FALSE),"")</f>
        <v/>
      </c>
      <c r="F1110" s="28" t="str">
        <f>IF(OR(ISBLANK(B1110),B1110=""), "", IFERROR(INDEX('SAÍDA DE VENDAS'!$H$6:$H$500 &amp; "x " &amp; 'SAÍDA DE VENDAS'!$G$6:$G$500, MATCH(B1110, 'SAÍDA DE VENDAS'!$B$6:$B$500, 0)), "")&amp; IF(COUNTIF('SAÍDA DE VENDAS'!$B$6:$B$500, B1110)&gt;1, " + " &amp; IFERROR(INDEX('SAÍDA DE VENDAS'!$H$6:$H$500 &amp; "x " &amp; 'SAÍDA DE VENDAS'!$G$6:$G$500, MATCH(B1110, 'SAÍDA DE VENDAS'!$B$6:$B$500, 0)+1), ""), "")&amp; IF(COUNTIF('SAÍDA DE VENDAS'!$B$6:$B$500, B1110)&gt;2, " + " &amp; IFERROR(INDEX('SAÍDA DE VENDAS'!$H$6:$H$500 &amp; "x " &amp; 'SAÍDA DE VENDAS'!$G$6:$G$500, MATCH(B1110, 'SAÍDA DE VENDAS'!$B$6:$B$500, 0)+2), ""), "")&amp; IF(COUNTIF('SAÍDA DE VENDAS'!$B$6:$B$500, B1110)&gt;3, " + " &amp; IFERROR(INDEX('SAÍDA DE VENDAS'!$H$6:$H$500 &amp; "x " &amp; 'SAÍDA DE VENDAS'!$G$6:$G$500, MATCH(B1110, 'SAÍDA DE VENDAS'!$B$6:$B$500, 0)+3), ""), "")&amp; IF(COUNTIF('SAÍDA DE VENDAS'!$B$6:$B$500, B1110)&gt;4, " + " &amp; IFERROR(INDEX('SAÍDA DE VENDAS'!$H$6:$H$500 &amp; "x " &amp; 'SAÍDA DE VENDAS'!$G$6:$G$500, MATCH(B1110, 'SAÍDA DE VENDAS'!$B$6:$B$500, 0)+4), ""), "")&amp; IF(COUNTIF('SAÍDA DE VENDAS'!$B$6:$B$500, B1110)&gt;5, " + " &amp; IFERROR(INDEX('SAÍDA DE VENDAS'!$H$6:$H$500 &amp; "x " &amp; 'SAÍDA DE VENDAS'!$G$6:$G$500, MATCH(B1110, 'SAÍDA DE VENDAS'!$B$6:$B$500, 0)+5), ""), ""))</f>
        <v/>
      </c>
      <c r="G1110" s="28">
        <f>IFERROR(VLOOKUP(B1110,'SAÍDA DE VENDAS'!$B$6:$P$500,10,FALSE),"")</f>
        <v>0</v>
      </c>
      <c r="H1110" s="28" t="str">
        <f>IF(OR(ISBLANK(B1110),B1110=""), "", IF(B1110=B1109, (VALUE(LEFT(H1109,FIND("/",H1109)-1))+1)&amp;"/"&amp;RIGHT(H1109,LEN(H1109)-FIND("/",H1109)), "1/"&amp;IFERROR(VLOOKUP(B1110,'SAÍDA DE VENDAS'!$B$6:$P$500,13,FALSE),"1")))</f>
        <v/>
      </c>
      <c r="I1110" s="69" t="str">
        <f t="shared" si="34"/>
        <v/>
      </c>
      <c r="J1110" s="33" t="str">
        <f>IFERROR(VLOOKUP(B1110,'SAÍDA DE VENDAS'!$B$6:$P$500,15,FALSE),"")</f>
        <v/>
      </c>
      <c r="K1110" s="28" t="str">
        <f t="shared" ca="1" si="35"/>
        <v/>
      </c>
      <c r="L1110" s="28"/>
      <c r="M1110" s="28"/>
    </row>
    <row r="1111" spans="2:13" ht="15" customHeight="1" x14ac:dyDescent="0.3">
      <c r="B1111" s="34" t="str">
        <f>IF(B1110="","", IF(VALUE(LEFT(H1110,FIND("/",H1110)-1)) &lt; VALUE(RIGHT(H1110,LEN(H1110)-FIND("/",H1110))), B1110, IFERROR(INDEX('SAÍDA DE VENDAS'!$B$6:$B$500, MATCH(B1110,'SAÍDA DE VENDAS'!$B$6:$B$500,0)+COUNTIF('SAÍDA DE VENDAS'!$B$6:$B$500, B1110)),"")))</f>
        <v/>
      </c>
      <c r="C1111" s="35">
        <f>IFERROR(VLOOKUP(B1111,'SAÍDA DE VENDAS'!$B$6:$P$500,3,FALSE),"")</f>
        <v>0</v>
      </c>
      <c r="D1111" s="34">
        <f>IFERROR(VLOOKUP(B1111,'SAÍDA DE VENDAS'!$B$6:$P$500,4,FALSE),"")</f>
        <v>0</v>
      </c>
      <c r="E1111" s="34" t="str">
        <f>IFERROR(VLOOKUP(B1111,'SAÍDA DE VENDAS'!$B$6:$P$500,5,FALSE),"")</f>
        <v/>
      </c>
      <c r="F1111" s="34" t="str">
        <f>IF(OR(ISBLANK(B1111),B1111=""), "", IFERROR(INDEX('SAÍDA DE VENDAS'!$H$6:$H$500 &amp; "x " &amp; 'SAÍDA DE VENDAS'!$G$6:$G$500, MATCH(B1111, 'SAÍDA DE VENDAS'!$B$6:$B$500, 0)), "")&amp; IF(COUNTIF('SAÍDA DE VENDAS'!$B$6:$B$500, B1111)&gt;1, " + " &amp; IFERROR(INDEX('SAÍDA DE VENDAS'!$H$6:$H$500 &amp; "x " &amp; 'SAÍDA DE VENDAS'!$G$6:$G$500, MATCH(B1111, 'SAÍDA DE VENDAS'!$B$6:$B$500, 0)+1), ""), "")&amp; IF(COUNTIF('SAÍDA DE VENDAS'!$B$6:$B$500, B1111)&gt;2, " + " &amp; IFERROR(INDEX('SAÍDA DE VENDAS'!$H$6:$H$500 &amp; "x " &amp; 'SAÍDA DE VENDAS'!$G$6:$G$500, MATCH(B1111, 'SAÍDA DE VENDAS'!$B$6:$B$500, 0)+2), ""), "")&amp; IF(COUNTIF('SAÍDA DE VENDAS'!$B$6:$B$500, B1111)&gt;3, " + " &amp; IFERROR(INDEX('SAÍDA DE VENDAS'!$H$6:$H$500 &amp; "x " &amp; 'SAÍDA DE VENDAS'!$G$6:$G$500, MATCH(B1111, 'SAÍDA DE VENDAS'!$B$6:$B$500, 0)+3), ""), "")&amp; IF(COUNTIF('SAÍDA DE VENDAS'!$B$6:$B$500, B1111)&gt;4, " + " &amp; IFERROR(INDEX('SAÍDA DE VENDAS'!$H$6:$H$500 &amp; "x " &amp; 'SAÍDA DE VENDAS'!$G$6:$G$500, MATCH(B1111, 'SAÍDA DE VENDAS'!$B$6:$B$500, 0)+4), ""), "")&amp; IF(COUNTIF('SAÍDA DE VENDAS'!$B$6:$B$500, B1111)&gt;5, " + " &amp; IFERROR(INDEX('SAÍDA DE VENDAS'!$H$6:$H$500 &amp; "x " &amp; 'SAÍDA DE VENDAS'!$G$6:$G$500, MATCH(B1111, 'SAÍDA DE VENDAS'!$B$6:$B$500, 0)+5), ""), ""))</f>
        <v/>
      </c>
      <c r="G1111" s="34">
        <f>IFERROR(VLOOKUP(B1111,'SAÍDA DE VENDAS'!$B$6:$P$500,10,FALSE),"")</f>
        <v>0</v>
      </c>
      <c r="H1111" s="34" t="str">
        <f>IF(OR(ISBLANK(B1111),B1111=""), "", IF(B1111=B1110, (VALUE(LEFT(H1110,FIND("/",H1110)-1))+1)&amp;"/"&amp;RIGHT(H1110,LEN(H1110)-FIND("/",H1110)), "1/"&amp;IFERROR(VLOOKUP(B1111,'SAÍDA DE VENDAS'!$B$6:$P$500,13,FALSE),"1")))</f>
        <v/>
      </c>
      <c r="I1111" s="35" t="str">
        <f t="shared" si="34"/>
        <v/>
      </c>
      <c r="J1111" s="39" t="str">
        <f>IFERROR(VLOOKUP(B1111,'SAÍDA DE VENDAS'!$B$6:$P$500,15,FALSE),"")</f>
        <v/>
      </c>
      <c r="K1111" s="34" t="str">
        <f t="shared" ca="1" si="35"/>
        <v/>
      </c>
      <c r="L1111" s="34"/>
      <c r="M1111" s="34"/>
    </row>
    <row r="1112" spans="2:13" ht="15" customHeight="1" x14ac:dyDescent="0.3">
      <c r="B1112" s="28" t="str">
        <f>IF(B1111="","", IF(VALUE(LEFT(H1111,FIND("/",H1111)-1)) &lt; VALUE(RIGHT(H1111,LEN(H1111)-FIND("/",H1111))), B1111, IFERROR(INDEX('SAÍDA DE VENDAS'!$B$6:$B$500, MATCH(B1111,'SAÍDA DE VENDAS'!$B$6:$B$500,0)+COUNTIF('SAÍDA DE VENDAS'!$B$6:$B$500, B1111)),"")))</f>
        <v/>
      </c>
      <c r="C1112" s="29">
        <f>IFERROR(VLOOKUP(B1112,'SAÍDA DE VENDAS'!$B$6:$P$500,3,FALSE),"")</f>
        <v>0</v>
      </c>
      <c r="D1112" s="28">
        <f>IFERROR(VLOOKUP(B1112,'SAÍDA DE VENDAS'!$B$6:$P$500,4,FALSE),"")</f>
        <v>0</v>
      </c>
      <c r="E1112" s="28" t="str">
        <f>IFERROR(VLOOKUP(B1112,'SAÍDA DE VENDAS'!$B$6:$P$500,5,FALSE),"")</f>
        <v/>
      </c>
      <c r="F1112" s="28" t="str">
        <f>IF(OR(ISBLANK(B1112),B1112=""), "", IFERROR(INDEX('SAÍDA DE VENDAS'!$H$6:$H$500 &amp; "x " &amp; 'SAÍDA DE VENDAS'!$G$6:$G$500, MATCH(B1112, 'SAÍDA DE VENDAS'!$B$6:$B$500, 0)), "")&amp; IF(COUNTIF('SAÍDA DE VENDAS'!$B$6:$B$500, B1112)&gt;1, " + " &amp; IFERROR(INDEX('SAÍDA DE VENDAS'!$H$6:$H$500 &amp; "x " &amp; 'SAÍDA DE VENDAS'!$G$6:$G$500, MATCH(B1112, 'SAÍDA DE VENDAS'!$B$6:$B$500, 0)+1), ""), "")&amp; IF(COUNTIF('SAÍDA DE VENDAS'!$B$6:$B$500, B1112)&gt;2, " + " &amp; IFERROR(INDEX('SAÍDA DE VENDAS'!$H$6:$H$500 &amp; "x " &amp; 'SAÍDA DE VENDAS'!$G$6:$G$500, MATCH(B1112, 'SAÍDA DE VENDAS'!$B$6:$B$500, 0)+2), ""), "")&amp; IF(COUNTIF('SAÍDA DE VENDAS'!$B$6:$B$500, B1112)&gt;3, " + " &amp; IFERROR(INDEX('SAÍDA DE VENDAS'!$H$6:$H$500 &amp; "x " &amp; 'SAÍDA DE VENDAS'!$G$6:$G$500, MATCH(B1112, 'SAÍDA DE VENDAS'!$B$6:$B$500, 0)+3), ""), "")&amp; IF(COUNTIF('SAÍDA DE VENDAS'!$B$6:$B$500, B1112)&gt;4, " + " &amp; IFERROR(INDEX('SAÍDA DE VENDAS'!$H$6:$H$500 &amp; "x " &amp; 'SAÍDA DE VENDAS'!$G$6:$G$500, MATCH(B1112, 'SAÍDA DE VENDAS'!$B$6:$B$500, 0)+4), ""), "")&amp; IF(COUNTIF('SAÍDA DE VENDAS'!$B$6:$B$500, B1112)&gt;5, " + " &amp; IFERROR(INDEX('SAÍDA DE VENDAS'!$H$6:$H$500 &amp; "x " &amp; 'SAÍDA DE VENDAS'!$G$6:$G$500, MATCH(B1112, 'SAÍDA DE VENDAS'!$B$6:$B$500, 0)+5), ""), ""))</f>
        <v/>
      </c>
      <c r="G1112" s="28">
        <f>IFERROR(VLOOKUP(B1112,'SAÍDA DE VENDAS'!$B$6:$P$500,10,FALSE),"")</f>
        <v>0</v>
      </c>
      <c r="H1112" s="28" t="str">
        <f>IF(OR(ISBLANK(B1112),B1112=""), "", IF(B1112=B1111, (VALUE(LEFT(H1111,FIND("/",H1111)-1))+1)&amp;"/"&amp;RIGHT(H1111,LEN(H1111)-FIND("/",H1111)), "1/"&amp;IFERROR(VLOOKUP(B1112,'SAÍDA DE VENDAS'!$B$6:$P$500,13,FALSE),"1")))</f>
        <v/>
      </c>
      <c r="I1112" s="69" t="str">
        <f t="shared" si="34"/>
        <v/>
      </c>
      <c r="J1112" s="33" t="str">
        <f>IFERROR(VLOOKUP(B1112,'SAÍDA DE VENDAS'!$B$6:$P$500,15,FALSE),"")</f>
        <v/>
      </c>
      <c r="K1112" s="28" t="str">
        <f t="shared" ca="1" si="35"/>
        <v/>
      </c>
      <c r="L1112" s="28"/>
      <c r="M1112" s="28"/>
    </row>
    <row r="1113" spans="2:13" ht="15" customHeight="1" x14ac:dyDescent="0.3">
      <c r="B1113" s="34" t="str">
        <f>IF(B1112="","", IF(VALUE(LEFT(H1112,FIND("/",H1112)-1)) &lt; VALUE(RIGHT(H1112,LEN(H1112)-FIND("/",H1112))), B1112, IFERROR(INDEX('SAÍDA DE VENDAS'!$B$6:$B$500, MATCH(B1112,'SAÍDA DE VENDAS'!$B$6:$B$500,0)+COUNTIF('SAÍDA DE VENDAS'!$B$6:$B$500, B1112)),"")))</f>
        <v/>
      </c>
      <c r="C1113" s="35">
        <f>IFERROR(VLOOKUP(B1113,'SAÍDA DE VENDAS'!$B$6:$P$500,3,FALSE),"")</f>
        <v>0</v>
      </c>
      <c r="D1113" s="34">
        <f>IFERROR(VLOOKUP(B1113,'SAÍDA DE VENDAS'!$B$6:$P$500,4,FALSE),"")</f>
        <v>0</v>
      </c>
      <c r="E1113" s="34" t="str">
        <f>IFERROR(VLOOKUP(B1113,'SAÍDA DE VENDAS'!$B$6:$P$500,5,FALSE),"")</f>
        <v/>
      </c>
      <c r="F1113" s="34" t="str">
        <f>IF(OR(ISBLANK(B1113),B1113=""), "", IFERROR(INDEX('SAÍDA DE VENDAS'!$H$6:$H$500 &amp; "x " &amp; 'SAÍDA DE VENDAS'!$G$6:$G$500, MATCH(B1113, 'SAÍDA DE VENDAS'!$B$6:$B$500, 0)), "")&amp; IF(COUNTIF('SAÍDA DE VENDAS'!$B$6:$B$500, B1113)&gt;1, " + " &amp; IFERROR(INDEX('SAÍDA DE VENDAS'!$H$6:$H$500 &amp; "x " &amp; 'SAÍDA DE VENDAS'!$G$6:$G$500, MATCH(B1113, 'SAÍDA DE VENDAS'!$B$6:$B$500, 0)+1), ""), "")&amp; IF(COUNTIF('SAÍDA DE VENDAS'!$B$6:$B$500, B1113)&gt;2, " + " &amp; IFERROR(INDEX('SAÍDA DE VENDAS'!$H$6:$H$500 &amp; "x " &amp; 'SAÍDA DE VENDAS'!$G$6:$G$500, MATCH(B1113, 'SAÍDA DE VENDAS'!$B$6:$B$500, 0)+2), ""), "")&amp; IF(COUNTIF('SAÍDA DE VENDAS'!$B$6:$B$500, B1113)&gt;3, " + " &amp; IFERROR(INDEX('SAÍDA DE VENDAS'!$H$6:$H$500 &amp; "x " &amp; 'SAÍDA DE VENDAS'!$G$6:$G$500, MATCH(B1113, 'SAÍDA DE VENDAS'!$B$6:$B$500, 0)+3), ""), "")&amp; IF(COUNTIF('SAÍDA DE VENDAS'!$B$6:$B$500, B1113)&gt;4, " + " &amp; IFERROR(INDEX('SAÍDA DE VENDAS'!$H$6:$H$500 &amp; "x " &amp; 'SAÍDA DE VENDAS'!$G$6:$G$500, MATCH(B1113, 'SAÍDA DE VENDAS'!$B$6:$B$500, 0)+4), ""), "")&amp; IF(COUNTIF('SAÍDA DE VENDAS'!$B$6:$B$500, B1113)&gt;5, " + " &amp; IFERROR(INDEX('SAÍDA DE VENDAS'!$H$6:$H$500 &amp; "x " &amp; 'SAÍDA DE VENDAS'!$G$6:$G$500, MATCH(B1113, 'SAÍDA DE VENDAS'!$B$6:$B$500, 0)+5), ""), ""))</f>
        <v/>
      </c>
      <c r="G1113" s="34">
        <f>IFERROR(VLOOKUP(B1113,'SAÍDA DE VENDAS'!$B$6:$P$500,10,FALSE),"")</f>
        <v>0</v>
      </c>
      <c r="H1113" s="34" t="str">
        <f>IF(OR(ISBLANK(B1113),B1113=""), "", IF(B1113=B1112, (VALUE(LEFT(H1112,FIND("/",H1112)-1))+1)&amp;"/"&amp;RIGHT(H1112,LEN(H1112)-FIND("/",H1112)), "1/"&amp;IFERROR(VLOOKUP(B1113,'SAÍDA DE VENDAS'!$B$6:$P$500,13,FALSE),"1")))</f>
        <v/>
      </c>
      <c r="I1113" s="35" t="str">
        <f t="shared" si="34"/>
        <v/>
      </c>
      <c r="J1113" s="39" t="str">
        <f>IFERROR(VLOOKUP(B1113,'SAÍDA DE VENDAS'!$B$6:$P$500,15,FALSE),"")</f>
        <v/>
      </c>
      <c r="K1113" s="34" t="str">
        <f t="shared" ca="1" si="35"/>
        <v/>
      </c>
      <c r="L1113" s="34"/>
      <c r="M1113" s="34"/>
    </row>
    <row r="1114" spans="2:13" ht="15" customHeight="1" x14ac:dyDescent="0.3">
      <c r="B1114" s="28" t="str">
        <f>IF(B1113="","", IF(VALUE(LEFT(H1113,FIND("/",H1113)-1)) &lt; VALUE(RIGHT(H1113,LEN(H1113)-FIND("/",H1113))), B1113, IFERROR(INDEX('SAÍDA DE VENDAS'!$B$6:$B$500, MATCH(B1113,'SAÍDA DE VENDAS'!$B$6:$B$500,0)+COUNTIF('SAÍDA DE VENDAS'!$B$6:$B$500, B1113)),"")))</f>
        <v/>
      </c>
      <c r="C1114" s="29">
        <f>IFERROR(VLOOKUP(B1114,'SAÍDA DE VENDAS'!$B$6:$P$500,3,FALSE),"")</f>
        <v>0</v>
      </c>
      <c r="D1114" s="28">
        <f>IFERROR(VLOOKUP(B1114,'SAÍDA DE VENDAS'!$B$6:$P$500,4,FALSE),"")</f>
        <v>0</v>
      </c>
      <c r="E1114" s="28" t="str">
        <f>IFERROR(VLOOKUP(B1114,'SAÍDA DE VENDAS'!$B$6:$P$500,5,FALSE),"")</f>
        <v/>
      </c>
      <c r="F1114" s="28" t="str">
        <f>IF(OR(ISBLANK(B1114),B1114=""), "", IFERROR(INDEX('SAÍDA DE VENDAS'!$H$6:$H$500 &amp; "x " &amp; 'SAÍDA DE VENDAS'!$G$6:$G$500, MATCH(B1114, 'SAÍDA DE VENDAS'!$B$6:$B$500, 0)), "")&amp; IF(COUNTIF('SAÍDA DE VENDAS'!$B$6:$B$500, B1114)&gt;1, " + " &amp; IFERROR(INDEX('SAÍDA DE VENDAS'!$H$6:$H$500 &amp; "x " &amp; 'SAÍDA DE VENDAS'!$G$6:$G$500, MATCH(B1114, 'SAÍDA DE VENDAS'!$B$6:$B$500, 0)+1), ""), "")&amp; IF(COUNTIF('SAÍDA DE VENDAS'!$B$6:$B$500, B1114)&gt;2, " + " &amp; IFERROR(INDEX('SAÍDA DE VENDAS'!$H$6:$H$500 &amp; "x " &amp; 'SAÍDA DE VENDAS'!$G$6:$G$500, MATCH(B1114, 'SAÍDA DE VENDAS'!$B$6:$B$500, 0)+2), ""), "")&amp; IF(COUNTIF('SAÍDA DE VENDAS'!$B$6:$B$500, B1114)&gt;3, " + " &amp; IFERROR(INDEX('SAÍDA DE VENDAS'!$H$6:$H$500 &amp; "x " &amp; 'SAÍDA DE VENDAS'!$G$6:$G$500, MATCH(B1114, 'SAÍDA DE VENDAS'!$B$6:$B$500, 0)+3), ""), "")&amp; IF(COUNTIF('SAÍDA DE VENDAS'!$B$6:$B$500, B1114)&gt;4, " + " &amp; IFERROR(INDEX('SAÍDA DE VENDAS'!$H$6:$H$500 &amp; "x " &amp; 'SAÍDA DE VENDAS'!$G$6:$G$500, MATCH(B1114, 'SAÍDA DE VENDAS'!$B$6:$B$500, 0)+4), ""), "")&amp; IF(COUNTIF('SAÍDA DE VENDAS'!$B$6:$B$500, B1114)&gt;5, " + " &amp; IFERROR(INDEX('SAÍDA DE VENDAS'!$H$6:$H$500 &amp; "x " &amp; 'SAÍDA DE VENDAS'!$G$6:$G$500, MATCH(B1114, 'SAÍDA DE VENDAS'!$B$6:$B$500, 0)+5), ""), ""))</f>
        <v/>
      </c>
      <c r="G1114" s="28">
        <f>IFERROR(VLOOKUP(B1114,'SAÍDA DE VENDAS'!$B$6:$P$500,10,FALSE),"")</f>
        <v>0</v>
      </c>
      <c r="H1114" s="28" t="str">
        <f>IF(OR(ISBLANK(B1114),B1114=""), "", IF(B1114=B1113, (VALUE(LEFT(H1113,FIND("/",H1113)-1))+1)&amp;"/"&amp;RIGHT(H1113,LEN(H1113)-FIND("/",H1113)), "1/"&amp;IFERROR(VLOOKUP(B1114,'SAÍDA DE VENDAS'!$B$6:$P$500,13,FALSE),"1")))</f>
        <v/>
      </c>
      <c r="I1114" s="69" t="str">
        <f t="shared" si="34"/>
        <v/>
      </c>
      <c r="J1114" s="33" t="str">
        <f>IFERROR(VLOOKUP(B1114,'SAÍDA DE VENDAS'!$B$6:$P$500,15,FALSE),"")</f>
        <v/>
      </c>
      <c r="K1114" s="28" t="str">
        <f t="shared" ca="1" si="35"/>
        <v/>
      </c>
      <c r="L1114" s="28"/>
      <c r="M1114" s="28"/>
    </row>
    <row r="1115" spans="2:13" ht="15" customHeight="1" x14ac:dyDescent="0.3">
      <c r="B1115" s="34" t="str">
        <f>IF(B1114="","", IF(VALUE(LEFT(H1114,FIND("/",H1114)-1)) &lt; VALUE(RIGHT(H1114,LEN(H1114)-FIND("/",H1114))), B1114, IFERROR(INDEX('SAÍDA DE VENDAS'!$B$6:$B$500, MATCH(B1114,'SAÍDA DE VENDAS'!$B$6:$B$500,0)+COUNTIF('SAÍDA DE VENDAS'!$B$6:$B$500, B1114)),"")))</f>
        <v/>
      </c>
      <c r="C1115" s="35">
        <f>IFERROR(VLOOKUP(B1115,'SAÍDA DE VENDAS'!$B$6:$P$500,3,FALSE),"")</f>
        <v>0</v>
      </c>
      <c r="D1115" s="34">
        <f>IFERROR(VLOOKUP(B1115,'SAÍDA DE VENDAS'!$B$6:$P$500,4,FALSE),"")</f>
        <v>0</v>
      </c>
      <c r="E1115" s="34" t="str">
        <f>IFERROR(VLOOKUP(B1115,'SAÍDA DE VENDAS'!$B$6:$P$500,5,FALSE),"")</f>
        <v/>
      </c>
      <c r="F1115" s="34" t="str">
        <f>IF(OR(ISBLANK(B1115),B1115=""), "", IFERROR(INDEX('SAÍDA DE VENDAS'!$H$6:$H$500 &amp; "x " &amp; 'SAÍDA DE VENDAS'!$G$6:$G$500, MATCH(B1115, 'SAÍDA DE VENDAS'!$B$6:$B$500, 0)), "")&amp; IF(COUNTIF('SAÍDA DE VENDAS'!$B$6:$B$500, B1115)&gt;1, " + " &amp; IFERROR(INDEX('SAÍDA DE VENDAS'!$H$6:$H$500 &amp; "x " &amp; 'SAÍDA DE VENDAS'!$G$6:$G$500, MATCH(B1115, 'SAÍDA DE VENDAS'!$B$6:$B$500, 0)+1), ""), "")&amp; IF(COUNTIF('SAÍDA DE VENDAS'!$B$6:$B$500, B1115)&gt;2, " + " &amp; IFERROR(INDEX('SAÍDA DE VENDAS'!$H$6:$H$500 &amp; "x " &amp; 'SAÍDA DE VENDAS'!$G$6:$G$500, MATCH(B1115, 'SAÍDA DE VENDAS'!$B$6:$B$500, 0)+2), ""), "")&amp; IF(COUNTIF('SAÍDA DE VENDAS'!$B$6:$B$500, B1115)&gt;3, " + " &amp; IFERROR(INDEX('SAÍDA DE VENDAS'!$H$6:$H$500 &amp; "x " &amp; 'SAÍDA DE VENDAS'!$G$6:$G$500, MATCH(B1115, 'SAÍDA DE VENDAS'!$B$6:$B$500, 0)+3), ""), "")&amp; IF(COUNTIF('SAÍDA DE VENDAS'!$B$6:$B$500, B1115)&gt;4, " + " &amp; IFERROR(INDEX('SAÍDA DE VENDAS'!$H$6:$H$500 &amp; "x " &amp; 'SAÍDA DE VENDAS'!$G$6:$G$500, MATCH(B1115, 'SAÍDA DE VENDAS'!$B$6:$B$500, 0)+4), ""), "")&amp; IF(COUNTIF('SAÍDA DE VENDAS'!$B$6:$B$500, B1115)&gt;5, " + " &amp; IFERROR(INDEX('SAÍDA DE VENDAS'!$H$6:$H$500 &amp; "x " &amp; 'SAÍDA DE VENDAS'!$G$6:$G$500, MATCH(B1115, 'SAÍDA DE VENDAS'!$B$6:$B$500, 0)+5), ""), ""))</f>
        <v/>
      </c>
      <c r="G1115" s="34">
        <f>IFERROR(VLOOKUP(B1115,'SAÍDA DE VENDAS'!$B$6:$P$500,10,FALSE),"")</f>
        <v>0</v>
      </c>
      <c r="H1115" s="34" t="str">
        <f>IF(OR(ISBLANK(B1115),B1115=""), "", IF(B1115=B1114, (VALUE(LEFT(H1114,FIND("/",H1114)-1))+1)&amp;"/"&amp;RIGHT(H1114,LEN(H1114)-FIND("/",H1114)), "1/"&amp;IFERROR(VLOOKUP(B1115,'SAÍDA DE VENDAS'!$B$6:$P$500,13,FALSE),"1")))</f>
        <v/>
      </c>
      <c r="I1115" s="35" t="str">
        <f t="shared" si="34"/>
        <v/>
      </c>
      <c r="J1115" s="39" t="str">
        <f>IFERROR(VLOOKUP(B1115,'SAÍDA DE VENDAS'!$B$6:$P$500,15,FALSE),"")</f>
        <v/>
      </c>
      <c r="K1115" s="34" t="str">
        <f t="shared" ca="1" si="35"/>
        <v/>
      </c>
      <c r="L1115" s="34"/>
      <c r="M1115" s="34"/>
    </row>
    <row r="1116" spans="2:13" ht="15" customHeight="1" x14ac:dyDescent="0.3">
      <c r="B1116" s="28" t="str">
        <f>IF(B1115="","", IF(VALUE(LEFT(H1115,FIND("/",H1115)-1)) &lt; VALUE(RIGHT(H1115,LEN(H1115)-FIND("/",H1115))), B1115, IFERROR(INDEX('SAÍDA DE VENDAS'!$B$6:$B$500, MATCH(B1115,'SAÍDA DE VENDAS'!$B$6:$B$500,0)+COUNTIF('SAÍDA DE VENDAS'!$B$6:$B$500, B1115)),"")))</f>
        <v/>
      </c>
      <c r="C1116" s="29">
        <f>IFERROR(VLOOKUP(B1116,'SAÍDA DE VENDAS'!$B$6:$P$500,3,FALSE),"")</f>
        <v>0</v>
      </c>
      <c r="D1116" s="28">
        <f>IFERROR(VLOOKUP(B1116,'SAÍDA DE VENDAS'!$B$6:$P$500,4,FALSE),"")</f>
        <v>0</v>
      </c>
      <c r="E1116" s="28" t="str">
        <f>IFERROR(VLOOKUP(B1116,'SAÍDA DE VENDAS'!$B$6:$P$500,5,FALSE),"")</f>
        <v/>
      </c>
      <c r="F1116" s="28" t="str">
        <f>IF(OR(ISBLANK(B1116),B1116=""), "", IFERROR(INDEX('SAÍDA DE VENDAS'!$H$6:$H$500 &amp; "x " &amp; 'SAÍDA DE VENDAS'!$G$6:$G$500, MATCH(B1116, 'SAÍDA DE VENDAS'!$B$6:$B$500, 0)), "")&amp; IF(COUNTIF('SAÍDA DE VENDAS'!$B$6:$B$500, B1116)&gt;1, " + " &amp; IFERROR(INDEX('SAÍDA DE VENDAS'!$H$6:$H$500 &amp; "x " &amp; 'SAÍDA DE VENDAS'!$G$6:$G$500, MATCH(B1116, 'SAÍDA DE VENDAS'!$B$6:$B$500, 0)+1), ""), "")&amp; IF(COUNTIF('SAÍDA DE VENDAS'!$B$6:$B$500, B1116)&gt;2, " + " &amp; IFERROR(INDEX('SAÍDA DE VENDAS'!$H$6:$H$500 &amp; "x " &amp; 'SAÍDA DE VENDAS'!$G$6:$G$500, MATCH(B1116, 'SAÍDA DE VENDAS'!$B$6:$B$500, 0)+2), ""), "")&amp; IF(COUNTIF('SAÍDA DE VENDAS'!$B$6:$B$500, B1116)&gt;3, " + " &amp; IFERROR(INDEX('SAÍDA DE VENDAS'!$H$6:$H$500 &amp; "x " &amp; 'SAÍDA DE VENDAS'!$G$6:$G$500, MATCH(B1116, 'SAÍDA DE VENDAS'!$B$6:$B$500, 0)+3), ""), "")&amp; IF(COUNTIF('SAÍDA DE VENDAS'!$B$6:$B$500, B1116)&gt;4, " + " &amp; IFERROR(INDEX('SAÍDA DE VENDAS'!$H$6:$H$500 &amp; "x " &amp; 'SAÍDA DE VENDAS'!$G$6:$G$500, MATCH(B1116, 'SAÍDA DE VENDAS'!$B$6:$B$500, 0)+4), ""), "")&amp; IF(COUNTIF('SAÍDA DE VENDAS'!$B$6:$B$500, B1116)&gt;5, " + " &amp; IFERROR(INDEX('SAÍDA DE VENDAS'!$H$6:$H$500 &amp; "x " &amp; 'SAÍDA DE VENDAS'!$G$6:$G$500, MATCH(B1116, 'SAÍDA DE VENDAS'!$B$6:$B$500, 0)+5), ""), ""))</f>
        <v/>
      </c>
      <c r="G1116" s="28">
        <f>IFERROR(VLOOKUP(B1116,'SAÍDA DE VENDAS'!$B$6:$P$500,10,FALSE),"")</f>
        <v>0</v>
      </c>
      <c r="H1116" s="28" t="str">
        <f>IF(OR(ISBLANK(B1116),B1116=""), "", IF(B1116=B1115, (VALUE(LEFT(H1115,FIND("/",H1115)-1))+1)&amp;"/"&amp;RIGHT(H1115,LEN(H1115)-FIND("/",H1115)), "1/"&amp;IFERROR(VLOOKUP(B1116,'SAÍDA DE VENDAS'!$B$6:$P$500,13,FALSE),"1")))</f>
        <v/>
      </c>
      <c r="I1116" s="69" t="str">
        <f t="shared" si="34"/>
        <v/>
      </c>
      <c r="J1116" s="33" t="str">
        <f>IFERROR(VLOOKUP(B1116,'SAÍDA DE VENDAS'!$B$6:$P$500,15,FALSE),"")</f>
        <v/>
      </c>
      <c r="K1116" s="28" t="str">
        <f t="shared" ca="1" si="35"/>
        <v/>
      </c>
      <c r="L1116" s="28"/>
      <c r="M1116" s="28"/>
    </row>
    <row r="1117" spans="2:13" ht="15" customHeight="1" x14ac:dyDescent="0.3">
      <c r="B1117" s="34" t="str">
        <f>IF(B1116="","", IF(VALUE(LEFT(H1116,FIND("/",H1116)-1)) &lt; VALUE(RIGHT(H1116,LEN(H1116)-FIND("/",H1116))), B1116, IFERROR(INDEX('SAÍDA DE VENDAS'!$B$6:$B$500, MATCH(B1116,'SAÍDA DE VENDAS'!$B$6:$B$500,0)+COUNTIF('SAÍDA DE VENDAS'!$B$6:$B$500, B1116)),"")))</f>
        <v/>
      </c>
      <c r="C1117" s="35">
        <f>IFERROR(VLOOKUP(B1117,'SAÍDA DE VENDAS'!$B$6:$P$500,3,FALSE),"")</f>
        <v>0</v>
      </c>
      <c r="D1117" s="34">
        <f>IFERROR(VLOOKUP(B1117,'SAÍDA DE VENDAS'!$B$6:$P$500,4,FALSE),"")</f>
        <v>0</v>
      </c>
      <c r="E1117" s="34" t="str">
        <f>IFERROR(VLOOKUP(B1117,'SAÍDA DE VENDAS'!$B$6:$P$500,5,FALSE),"")</f>
        <v/>
      </c>
      <c r="F1117" s="34" t="str">
        <f>IF(OR(ISBLANK(B1117),B1117=""), "", IFERROR(INDEX('SAÍDA DE VENDAS'!$H$6:$H$500 &amp; "x " &amp; 'SAÍDA DE VENDAS'!$G$6:$G$500, MATCH(B1117, 'SAÍDA DE VENDAS'!$B$6:$B$500, 0)), "")&amp; IF(COUNTIF('SAÍDA DE VENDAS'!$B$6:$B$500, B1117)&gt;1, " + " &amp; IFERROR(INDEX('SAÍDA DE VENDAS'!$H$6:$H$500 &amp; "x " &amp; 'SAÍDA DE VENDAS'!$G$6:$G$500, MATCH(B1117, 'SAÍDA DE VENDAS'!$B$6:$B$500, 0)+1), ""), "")&amp; IF(COUNTIF('SAÍDA DE VENDAS'!$B$6:$B$500, B1117)&gt;2, " + " &amp; IFERROR(INDEX('SAÍDA DE VENDAS'!$H$6:$H$500 &amp; "x " &amp; 'SAÍDA DE VENDAS'!$G$6:$G$500, MATCH(B1117, 'SAÍDA DE VENDAS'!$B$6:$B$500, 0)+2), ""), "")&amp; IF(COUNTIF('SAÍDA DE VENDAS'!$B$6:$B$500, B1117)&gt;3, " + " &amp; IFERROR(INDEX('SAÍDA DE VENDAS'!$H$6:$H$500 &amp; "x " &amp; 'SAÍDA DE VENDAS'!$G$6:$G$500, MATCH(B1117, 'SAÍDA DE VENDAS'!$B$6:$B$500, 0)+3), ""), "")&amp; IF(COUNTIF('SAÍDA DE VENDAS'!$B$6:$B$500, B1117)&gt;4, " + " &amp; IFERROR(INDEX('SAÍDA DE VENDAS'!$H$6:$H$500 &amp; "x " &amp; 'SAÍDA DE VENDAS'!$G$6:$G$500, MATCH(B1117, 'SAÍDA DE VENDAS'!$B$6:$B$500, 0)+4), ""), "")&amp; IF(COUNTIF('SAÍDA DE VENDAS'!$B$6:$B$500, B1117)&gt;5, " + " &amp; IFERROR(INDEX('SAÍDA DE VENDAS'!$H$6:$H$500 &amp; "x " &amp; 'SAÍDA DE VENDAS'!$G$6:$G$500, MATCH(B1117, 'SAÍDA DE VENDAS'!$B$6:$B$500, 0)+5), ""), ""))</f>
        <v/>
      </c>
      <c r="G1117" s="34">
        <f>IFERROR(VLOOKUP(B1117,'SAÍDA DE VENDAS'!$B$6:$P$500,10,FALSE),"")</f>
        <v>0</v>
      </c>
      <c r="H1117" s="34" t="str">
        <f>IF(OR(ISBLANK(B1117),B1117=""), "", IF(B1117=B1116, (VALUE(LEFT(H1116,FIND("/",H1116)-1))+1)&amp;"/"&amp;RIGHT(H1116,LEN(H1116)-FIND("/",H1116)), "1/"&amp;IFERROR(VLOOKUP(B1117,'SAÍDA DE VENDAS'!$B$6:$P$500,13,FALSE),"1")))</f>
        <v/>
      </c>
      <c r="I1117" s="35" t="str">
        <f t="shared" si="34"/>
        <v/>
      </c>
      <c r="J1117" s="39" t="str">
        <f>IFERROR(VLOOKUP(B1117,'SAÍDA DE VENDAS'!$B$6:$P$500,15,FALSE),"")</f>
        <v/>
      </c>
      <c r="K1117" s="34" t="str">
        <f t="shared" ca="1" si="35"/>
        <v/>
      </c>
      <c r="L1117" s="34"/>
      <c r="M1117" s="34"/>
    </row>
    <row r="1118" spans="2:13" ht="15" customHeight="1" x14ac:dyDescent="0.3">
      <c r="B1118" s="28" t="str">
        <f>IF(B1117="","", IF(VALUE(LEFT(H1117,FIND("/",H1117)-1)) &lt; VALUE(RIGHT(H1117,LEN(H1117)-FIND("/",H1117))), B1117, IFERROR(INDEX('SAÍDA DE VENDAS'!$B$6:$B$500, MATCH(B1117,'SAÍDA DE VENDAS'!$B$6:$B$500,0)+COUNTIF('SAÍDA DE VENDAS'!$B$6:$B$500, B1117)),"")))</f>
        <v/>
      </c>
      <c r="C1118" s="29">
        <f>IFERROR(VLOOKUP(B1118,'SAÍDA DE VENDAS'!$B$6:$P$500,3,FALSE),"")</f>
        <v>0</v>
      </c>
      <c r="D1118" s="28">
        <f>IFERROR(VLOOKUP(B1118,'SAÍDA DE VENDAS'!$B$6:$P$500,4,FALSE),"")</f>
        <v>0</v>
      </c>
      <c r="E1118" s="28" t="str">
        <f>IFERROR(VLOOKUP(B1118,'SAÍDA DE VENDAS'!$B$6:$P$500,5,FALSE),"")</f>
        <v/>
      </c>
      <c r="F1118" s="28" t="str">
        <f>IF(OR(ISBLANK(B1118),B1118=""), "", IFERROR(INDEX('SAÍDA DE VENDAS'!$H$6:$H$500 &amp; "x " &amp; 'SAÍDA DE VENDAS'!$G$6:$G$500, MATCH(B1118, 'SAÍDA DE VENDAS'!$B$6:$B$500, 0)), "")&amp; IF(COUNTIF('SAÍDA DE VENDAS'!$B$6:$B$500, B1118)&gt;1, " + " &amp; IFERROR(INDEX('SAÍDA DE VENDAS'!$H$6:$H$500 &amp; "x " &amp; 'SAÍDA DE VENDAS'!$G$6:$G$500, MATCH(B1118, 'SAÍDA DE VENDAS'!$B$6:$B$500, 0)+1), ""), "")&amp; IF(COUNTIF('SAÍDA DE VENDAS'!$B$6:$B$500, B1118)&gt;2, " + " &amp; IFERROR(INDEX('SAÍDA DE VENDAS'!$H$6:$H$500 &amp; "x " &amp; 'SAÍDA DE VENDAS'!$G$6:$G$500, MATCH(B1118, 'SAÍDA DE VENDAS'!$B$6:$B$500, 0)+2), ""), "")&amp; IF(COUNTIF('SAÍDA DE VENDAS'!$B$6:$B$500, B1118)&gt;3, " + " &amp; IFERROR(INDEX('SAÍDA DE VENDAS'!$H$6:$H$500 &amp; "x " &amp; 'SAÍDA DE VENDAS'!$G$6:$G$500, MATCH(B1118, 'SAÍDA DE VENDAS'!$B$6:$B$500, 0)+3), ""), "")&amp; IF(COUNTIF('SAÍDA DE VENDAS'!$B$6:$B$500, B1118)&gt;4, " + " &amp; IFERROR(INDEX('SAÍDA DE VENDAS'!$H$6:$H$500 &amp; "x " &amp; 'SAÍDA DE VENDAS'!$G$6:$G$500, MATCH(B1118, 'SAÍDA DE VENDAS'!$B$6:$B$500, 0)+4), ""), "")&amp; IF(COUNTIF('SAÍDA DE VENDAS'!$B$6:$B$500, B1118)&gt;5, " + " &amp; IFERROR(INDEX('SAÍDA DE VENDAS'!$H$6:$H$500 &amp; "x " &amp; 'SAÍDA DE VENDAS'!$G$6:$G$500, MATCH(B1118, 'SAÍDA DE VENDAS'!$B$6:$B$500, 0)+5), ""), ""))</f>
        <v/>
      </c>
      <c r="G1118" s="28">
        <f>IFERROR(VLOOKUP(B1118,'SAÍDA DE VENDAS'!$B$6:$P$500,10,FALSE),"")</f>
        <v>0</v>
      </c>
      <c r="H1118" s="28" t="str">
        <f>IF(OR(ISBLANK(B1118),B1118=""), "", IF(B1118=B1117, (VALUE(LEFT(H1117,FIND("/",H1117)-1))+1)&amp;"/"&amp;RIGHT(H1117,LEN(H1117)-FIND("/",H1117)), "1/"&amp;IFERROR(VLOOKUP(B1118,'SAÍDA DE VENDAS'!$B$6:$P$500,13,FALSE),"1")))</f>
        <v/>
      </c>
      <c r="I1118" s="69" t="str">
        <f t="shared" si="34"/>
        <v/>
      </c>
      <c r="J1118" s="33" t="str">
        <f>IFERROR(VLOOKUP(B1118,'SAÍDA DE VENDAS'!$B$6:$P$500,15,FALSE),"")</f>
        <v/>
      </c>
      <c r="K1118" s="28" t="str">
        <f t="shared" ca="1" si="35"/>
        <v/>
      </c>
      <c r="L1118" s="28"/>
      <c r="M1118" s="28"/>
    </row>
    <row r="1119" spans="2:13" ht="15" customHeight="1" x14ac:dyDescent="0.3">
      <c r="B1119" s="34" t="str">
        <f>IF(B1118="","", IF(VALUE(LEFT(H1118,FIND("/",H1118)-1)) &lt; VALUE(RIGHT(H1118,LEN(H1118)-FIND("/",H1118))), B1118, IFERROR(INDEX('SAÍDA DE VENDAS'!$B$6:$B$500, MATCH(B1118,'SAÍDA DE VENDAS'!$B$6:$B$500,0)+COUNTIF('SAÍDA DE VENDAS'!$B$6:$B$500, B1118)),"")))</f>
        <v/>
      </c>
      <c r="C1119" s="35">
        <f>IFERROR(VLOOKUP(B1119,'SAÍDA DE VENDAS'!$B$6:$P$500,3,FALSE),"")</f>
        <v>0</v>
      </c>
      <c r="D1119" s="34">
        <f>IFERROR(VLOOKUP(B1119,'SAÍDA DE VENDAS'!$B$6:$P$500,4,FALSE),"")</f>
        <v>0</v>
      </c>
      <c r="E1119" s="34" t="str">
        <f>IFERROR(VLOOKUP(B1119,'SAÍDA DE VENDAS'!$B$6:$P$500,5,FALSE),"")</f>
        <v/>
      </c>
      <c r="F1119" s="34" t="str">
        <f>IF(OR(ISBLANK(B1119),B1119=""), "", IFERROR(INDEX('SAÍDA DE VENDAS'!$H$6:$H$500 &amp; "x " &amp; 'SAÍDA DE VENDAS'!$G$6:$G$500, MATCH(B1119, 'SAÍDA DE VENDAS'!$B$6:$B$500, 0)), "")&amp; IF(COUNTIF('SAÍDA DE VENDAS'!$B$6:$B$500, B1119)&gt;1, " + " &amp; IFERROR(INDEX('SAÍDA DE VENDAS'!$H$6:$H$500 &amp; "x " &amp; 'SAÍDA DE VENDAS'!$G$6:$G$500, MATCH(B1119, 'SAÍDA DE VENDAS'!$B$6:$B$500, 0)+1), ""), "")&amp; IF(COUNTIF('SAÍDA DE VENDAS'!$B$6:$B$500, B1119)&gt;2, " + " &amp; IFERROR(INDEX('SAÍDA DE VENDAS'!$H$6:$H$500 &amp; "x " &amp; 'SAÍDA DE VENDAS'!$G$6:$G$500, MATCH(B1119, 'SAÍDA DE VENDAS'!$B$6:$B$500, 0)+2), ""), "")&amp; IF(COUNTIF('SAÍDA DE VENDAS'!$B$6:$B$500, B1119)&gt;3, " + " &amp; IFERROR(INDEX('SAÍDA DE VENDAS'!$H$6:$H$500 &amp; "x " &amp; 'SAÍDA DE VENDAS'!$G$6:$G$500, MATCH(B1119, 'SAÍDA DE VENDAS'!$B$6:$B$500, 0)+3), ""), "")&amp; IF(COUNTIF('SAÍDA DE VENDAS'!$B$6:$B$500, B1119)&gt;4, " + " &amp; IFERROR(INDEX('SAÍDA DE VENDAS'!$H$6:$H$500 &amp; "x " &amp; 'SAÍDA DE VENDAS'!$G$6:$G$500, MATCH(B1119, 'SAÍDA DE VENDAS'!$B$6:$B$500, 0)+4), ""), "")&amp; IF(COUNTIF('SAÍDA DE VENDAS'!$B$6:$B$500, B1119)&gt;5, " + " &amp; IFERROR(INDEX('SAÍDA DE VENDAS'!$H$6:$H$500 &amp; "x " &amp; 'SAÍDA DE VENDAS'!$G$6:$G$500, MATCH(B1119, 'SAÍDA DE VENDAS'!$B$6:$B$500, 0)+5), ""), ""))</f>
        <v/>
      </c>
      <c r="G1119" s="34">
        <f>IFERROR(VLOOKUP(B1119,'SAÍDA DE VENDAS'!$B$6:$P$500,10,FALSE),"")</f>
        <v>0</v>
      </c>
      <c r="H1119" s="34" t="str">
        <f>IF(OR(ISBLANK(B1119),B1119=""), "", IF(B1119=B1118, (VALUE(LEFT(H1118,FIND("/",H1118)-1))+1)&amp;"/"&amp;RIGHT(H1118,LEN(H1118)-FIND("/",H1118)), "1/"&amp;IFERROR(VLOOKUP(B1119,'SAÍDA DE VENDAS'!$B$6:$P$500,13,FALSE),"1")))</f>
        <v/>
      </c>
      <c r="I1119" s="35" t="str">
        <f t="shared" si="34"/>
        <v/>
      </c>
      <c r="J1119" s="39" t="str">
        <f>IFERROR(VLOOKUP(B1119,'SAÍDA DE VENDAS'!$B$6:$P$500,15,FALSE),"")</f>
        <v/>
      </c>
      <c r="K1119" s="34" t="str">
        <f t="shared" ca="1" si="35"/>
        <v/>
      </c>
      <c r="L1119" s="34"/>
      <c r="M1119" s="34"/>
    </row>
    <row r="1120" spans="2:13" ht="15" customHeight="1" x14ac:dyDescent="0.3">
      <c r="B1120" s="28" t="str">
        <f>IF(B1119="","", IF(VALUE(LEFT(H1119,FIND("/",H1119)-1)) &lt; VALUE(RIGHT(H1119,LEN(H1119)-FIND("/",H1119))), B1119, IFERROR(INDEX('SAÍDA DE VENDAS'!$B$6:$B$500, MATCH(B1119,'SAÍDA DE VENDAS'!$B$6:$B$500,0)+COUNTIF('SAÍDA DE VENDAS'!$B$6:$B$500, B1119)),"")))</f>
        <v/>
      </c>
      <c r="C1120" s="29">
        <f>IFERROR(VLOOKUP(B1120,'SAÍDA DE VENDAS'!$B$6:$P$500,3,FALSE),"")</f>
        <v>0</v>
      </c>
      <c r="D1120" s="28">
        <f>IFERROR(VLOOKUP(B1120,'SAÍDA DE VENDAS'!$B$6:$P$500,4,FALSE),"")</f>
        <v>0</v>
      </c>
      <c r="E1120" s="28" t="str">
        <f>IFERROR(VLOOKUP(B1120,'SAÍDA DE VENDAS'!$B$6:$P$500,5,FALSE),"")</f>
        <v/>
      </c>
      <c r="F1120" s="28" t="str">
        <f>IF(OR(ISBLANK(B1120),B1120=""), "", IFERROR(INDEX('SAÍDA DE VENDAS'!$H$6:$H$500 &amp; "x " &amp; 'SAÍDA DE VENDAS'!$G$6:$G$500, MATCH(B1120, 'SAÍDA DE VENDAS'!$B$6:$B$500, 0)), "")&amp; IF(COUNTIF('SAÍDA DE VENDAS'!$B$6:$B$500, B1120)&gt;1, " + " &amp; IFERROR(INDEX('SAÍDA DE VENDAS'!$H$6:$H$500 &amp; "x " &amp; 'SAÍDA DE VENDAS'!$G$6:$G$500, MATCH(B1120, 'SAÍDA DE VENDAS'!$B$6:$B$500, 0)+1), ""), "")&amp; IF(COUNTIF('SAÍDA DE VENDAS'!$B$6:$B$500, B1120)&gt;2, " + " &amp; IFERROR(INDEX('SAÍDA DE VENDAS'!$H$6:$H$500 &amp; "x " &amp; 'SAÍDA DE VENDAS'!$G$6:$G$500, MATCH(B1120, 'SAÍDA DE VENDAS'!$B$6:$B$500, 0)+2), ""), "")&amp; IF(COUNTIF('SAÍDA DE VENDAS'!$B$6:$B$500, B1120)&gt;3, " + " &amp; IFERROR(INDEX('SAÍDA DE VENDAS'!$H$6:$H$500 &amp; "x " &amp; 'SAÍDA DE VENDAS'!$G$6:$G$500, MATCH(B1120, 'SAÍDA DE VENDAS'!$B$6:$B$500, 0)+3), ""), "")&amp; IF(COUNTIF('SAÍDA DE VENDAS'!$B$6:$B$500, B1120)&gt;4, " + " &amp; IFERROR(INDEX('SAÍDA DE VENDAS'!$H$6:$H$500 &amp; "x " &amp; 'SAÍDA DE VENDAS'!$G$6:$G$500, MATCH(B1120, 'SAÍDA DE VENDAS'!$B$6:$B$500, 0)+4), ""), "")&amp; IF(COUNTIF('SAÍDA DE VENDAS'!$B$6:$B$500, B1120)&gt;5, " + " &amp; IFERROR(INDEX('SAÍDA DE VENDAS'!$H$6:$H$500 &amp; "x " &amp; 'SAÍDA DE VENDAS'!$G$6:$G$500, MATCH(B1120, 'SAÍDA DE VENDAS'!$B$6:$B$500, 0)+5), ""), ""))</f>
        <v/>
      </c>
      <c r="G1120" s="28">
        <f>IFERROR(VLOOKUP(B1120,'SAÍDA DE VENDAS'!$B$6:$P$500,10,FALSE),"")</f>
        <v>0</v>
      </c>
      <c r="H1120" s="28" t="str">
        <f>IF(OR(ISBLANK(B1120),B1120=""), "", IF(B1120=B1119, (VALUE(LEFT(H1119,FIND("/",H1119)-1))+1)&amp;"/"&amp;RIGHT(H1119,LEN(H1119)-FIND("/",H1119)), "1/"&amp;IFERROR(VLOOKUP(B1120,'SAÍDA DE VENDAS'!$B$6:$P$500,13,FALSE),"1")))</f>
        <v/>
      </c>
      <c r="I1120" s="69" t="str">
        <f t="shared" si="34"/>
        <v/>
      </c>
      <c r="J1120" s="33" t="str">
        <f>IFERROR(VLOOKUP(B1120,'SAÍDA DE VENDAS'!$B$6:$P$500,15,FALSE),"")</f>
        <v/>
      </c>
      <c r="K1120" s="28" t="str">
        <f t="shared" ca="1" si="35"/>
        <v/>
      </c>
      <c r="L1120" s="28"/>
      <c r="M1120" s="28"/>
    </row>
    <row r="1121" spans="2:13" ht="15" customHeight="1" x14ac:dyDescent="0.3">
      <c r="B1121" s="34" t="str">
        <f>IF(B1120="","", IF(VALUE(LEFT(H1120,FIND("/",H1120)-1)) &lt; VALUE(RIGHT(H1120,LEN(H1120)-FIND("/",H1120))), B1120, IFERROR(INDEX('SAÍDA DE VENDAS'!$B$6:$B$500, MATCH(B1120,'SAÍDA DE VENDAS'!$B$6:$B$500,0)+COUNTIF('SAÍDA DE VENDAS'!$B$6:$B$500, B1120)),"")))</f>
        <v/>
      </c>
      <c r="C1121" s="35">
        <f>IFERROR(VLOOKUP(B1121,'SAÍDA DE VENDAS'!$B$6:$P$500,3,FALSE),"")</f>
        <v>0</v>
      </c>
      <c r="D1121" s="34">
        <f>IFERROR(VLOOKUP(B1121,'SAÍDA DE VENDAS'!$B$6:$P$500,4,FALSE),"")</f>
        <v>0</v>
      </c>
      <c r="E1121" s="34" t="str">
        <f>IFERROR(VLOOKUP(B1121,'SAÍDA DE VENDAS'!$B$6:$P$500,5,FALSE),"")</f>
        <v/>
      </c>
      <c r="F1121" s="34" t="str">
        <f>IF(OR(ISBLANK(B1121),B1121=""), "", IFERROR(INDEX('SAÍDA DE VENDAS'!$H$6:$H$500 &amp; "x " &amp; 'SAÍDA DE VENDAS'!$G$6:$G$500, MATCH(B1121, 'SAÍDA DE VENDAS'!$B$6:$B$500, 0)), "")&amp; IF(COUNTIF('SAÍDA DE VENDAS'!$B$6:$B$500, B1121)&gt;1, " + " &amp; IFERROR(INDEX('SAÍDA DE VENDAS'!$H$6:$H$500 &amp; "x " &amp; 'SAÍDA DE VENDAS'!$G$6:$G$500, MATCH(B1121, 'SAÍDA DE VENDAS'!$B$6:$B$500, 0)+1), ""), "")&amp; IF(COUNTIF('SAÍDA DE VENDAS'!$B$6:$B$500, B1121)&gt;2, " + " &amp; IFERROR(INDEX('SAÍDA DE VENDAS'!$H$6:$H$500 &amp; "x " &amp; 'SAÍDA DE VENDAS'!$G$6:$G$500, MATCH(B1121, 'SAÍDA DE VENDAS'!$B$6:$B$500, 0)+2), ""), "")&amp; IF(COUNTIF('SAÍDA DE VENDAS'!$B$6:$B$500, B1121)&gt;3, " + " &amp; IFERROR(INDEX('SAÍDA DE VENDAS'!$H$6:$H$500 &amp; "x " &amp; 'SAÍDA DE VENDAS'!$G$6:$G$500, MATCH(B1121, 'SAÍDA DE VENDAS'!$B$6:$B$500, 0)+3), ""), "")&amp; IF(COUNTIF('SAÍDA DE VENDAS'!$B$6:$B$500, B1121)&gt;4, " + " &amp; IFERROR(INDEX('SAÍDA DE VENDAS'!$H$6:$H$500 &amp; "x " &amp; 'SAÍDA DE VENDAS'!$G$6:$G$500, MATCH(B1121, 'SAÍDA DE VENDAS'!$B$6:$B$500, 0)+4), ""), "")&amp; IF(COUNTIF('SAÍDA DE VENDAS'!$B$6:$B$500, B1121)&gt;5, " + " &amp; IFERROR(INDEX('SAÍDA DE VENDAS'!$H$6:$H$500 &amp; "x " &amp; 'SAÍDA DE VENDAS'!$G$6:$G$500, MATCH(B1121, 'SAÍDA DE VENDAS'!$B$6:$B$500, 0)+5), ""), ""))</f>
        <v/>
      </c>
      <c r="G1121" s="34">
        <f>IFERROR(VLOOKUP(B1121,'SAÍDA DE VENDAS'!$B$6:$P$500,10,FALSE),"")</f>
        <v>0</v>
      </c>
      <c r="H1121" s="34" t="str">
        <f>IF(OR(ISBLANK(B1121),B1121=""), "", IF(B1121=B1120, (VALUE(LEFT(H1120,FIND("/",H1120)-1))+1)&amp;"/"&amp;RIGHT(H1120,LEN(H1120)-FIND("/",H1120)), "1/"&amp;IFERROR(VLOOKUP(B1121,'SAÍDA DE VENDAS'!$B$6:$P$500,13,FALSE),"1")))</f>
        <v/>
      </c>
      <c r="I1121" s="35" t="str">
        <f t="shared" si="34"/>
        <v/>
      </c>
      <c r="J1121" s="39" t="str">
        <f>IFERROR(VLOOKUP(B1121,'SAÍDA DE VENDAS'!$B$6:$P$500,15,FALSE),"")</f>
        <v/>
      </c>
      <c r="K1121" s="34" t="str">
        <f t="shared" ca="1" si="35"/>
        <v/>
      </c>
      <c r="L1121" s="34"/>
      <c r="M1121" s="34"/>
    </row>
    <row r="1122" spans="2:13" ht="15" customHeight="1" x14ac:dyDescent="0.3">
      <c r="B1122" s="28" t="str">
        <f>IF(B1121="","", IF(VALUE(LEFT(H1121,FIND("/",H1121)-1)) &lt; VALUE(RIGHT(H1121,LEN(H1121)-FIND("/",H1121))), B1121, IFERROR(INDEX('SAÍDA DE VENDAS'!$B$6:$B$500, MATCH(B1121,'SAÍDA DE VENDAS'!$B$6:$B$500,0)+COUNTIF('SAÍDA DE VENDAS'!$B$6:$B$500, B1121)),"")))</f>
        <v/>
      </c>
      <c r="C1122" s="29">
        <f>IFERROR(VLOOKUP(B1122,'SAÍDA DE VENDAS'!$B$6:$P$500,3,FALSE),"")</f>
        <v>0</v>
      </c>
      <c r="D1122" s="28">
        <f>IFERROR(VLOOKUP(B1122,'SAÍDA DE VENDAS'!$B$6:$P$500,4,FALSE),"")</f>
        <v>0</v>
      </c>
      <c r="E1122" s="28" t="str">
        <f>IFERROR(VLOOKUP(B1122,'SAÍDA DE VENDAS'!$B$6:$P$500,5,FALSE),"")</f>
        <v/>
      </c>
      <c r="F1122" s="28" t="str">
        <f>IF(OR(ISBLANK(B1122),B1122=""), "", IFERROR(INDEX('SAÍDA DE VENDAS'!$H$6:$H$500 &amp; "x " &amp; 'SAÍDA DE VENDAS'!$G$6:$G$500, MATCH(B1122, 'SAÍDA DE VENDAS'!$B$6:$B$500, 0)), "")&amp; IF(COUNTIF('SAÍDA DE VENDAS'!$B$6:$B$500, B1122)&gt;1, " + " &amp; IFERROR(INDEX('SAÍDA DE VENDAS'!$H$6:$H$500 &amp; "x " &amp; 'SAÍDA DE VENDAS'!$G$6:$G$500, MATCH(B1122, 'SAÍDA DE VENDAS'!$B$6:$B$500, 0)+1), ""), "")&amp; IF(COUNTIF('SAÍDA DE VENDAS'!$B$6:$B$500, B1122)&gt;2, " + " &amp; IFERROR(INDEX('SAÍDA DE VENDAS'!$H$6:$H$500 &amp; "x " &amp; 'SAÍDA DE VENDAS'!$G$6:$G$500, MATCH(B1122, 'SAÍDA DE VENDAS'!$B$6:$B$500, 0)+2), ""), "")&amp; IF(COUNTIF('SAÍDA DE VENDAS'!$B$6:$B$500, B1122)&gt;3, " + " &amp; IFERROR(INDEX('SAÍDA DE VENDAS'!$H$6:$H$500 &amp; "x " &amp; 'SAÍDA DE VENDAS'!$G$6:$G$500, MATCH(B1122, 'SAÍDA DE VENDAS'!$B$6:$B$500, 0)+3), ""), "")&amp; IF(COUNTIF('SAÍDA DE VENDAS'!$B$6:$B$500, B1122)&gt;4, " + " &amp; IFERROR(INDEX('SAÍDA DE VENDAS'!$H$6:$H$500 &amp; "x " &amp; 'SAÍDA DE VENDAS'!$G$6:$G$500, MATCH(B1122, 'SAÍDA DE VENDAS'!$B$6:$B$500, 0)+4), ""), "")&amp; IF(COUNTIF('SAÍDA DE VENDAS'!$B$6:$B$500, B1122)&gt;5, " + " &amp; IFERROR(INDEX('SAÍDA DE VENDAS'!$H$6:$H$500 &amp; "x " &amp; 'SAÍDA DE VENDAS'!$G$6:$G$500, MATCH(B1122, 'SAÍDA DE VENDAS'!$B$6:$B$500, 0)+5), ""), ""))</f>
        <v/>
      </c>
      <c r="G1122" s="28">
        <f>IFERROR(VLOOKUP(B1122,'SAÍDA DE VENDAS'!$B$6:$P$500,10,FALSE),"")</f>
        <v>0</v>
      </c>
      <c r="H1122" s="28" t="str">
        <f>IF(OR(ISBLANK(B1122),B1122=""), "", IF(B1122=B1121, (VALUE(LEFT(H1121,FIND("/",H1121)-1))+1)&amp;"/"&amp;RIGHT(H1121,LEN(H1121)-FIND("/",H1121)), "1/"&amp;IFERROR(VLOOKUP(B1122,'SAÍDA DE VENDAS'!$B$6:$P$500,13,FALSE),"1")))</f>
        <v/>
      </c>
      <c r="I1122" s="69" t="str">
        <f t="shared" si="34"/>
        <v/>
      </c>
      <c r="J1122" s="33" t="str">
        <f>IFERROR(VLOOKUP(B1122,'SAÍDA DE VENDAS'!$B$6:$P$500,15,FALSE),"")</f>
        <v/>
      </c>
      <c r="K1122" s="28" t="str">
        <f t="shared" ca="1" si="35"/>
        <v/>
      </c>
      <c r="L1122" s="28"/>
      <c r="M1122" s="28"/>
    </row>
    <row r="1123" spans="2:13" ht="15" customHeight="1" x14ac:dyDescent="0.3">
      <c r="B1123" s="34" t="str">
        <f>IF(B1122="","", IF(VALUE(LEFT(H1122,FIND("/",H1122)-1)) &lt; VALUE(RIGHT(H1122,LEN(H1122)-FIND("/",H1122))), B1122, IFERROR(INDEX('SAÍDA DE VENDAS'!$B$6:$B$500, MATCH(B1122,'SAÍDA DE VENDAS'!$B$6:$B$500,0)+COUNTIF('SAÍDA DE VENDAS'!$B$6:$B$500, B1122)),"")))</f>
        <v/>
      </c>
      <c r="C1123" s="35">
        <f>IFERROR(VLOOKUP(B1123,'SAÍDA DE VENDAS'!$B$6:$P$500,3,FALSE),"")</f>
        <v>0</v>
      </c>
      <c r="D1123" s="34">
        <f>IFERROR(VLOOKUP(B1123,'SAÍDA DE VENDAS'!$B$6:$P$500,4,FALSE),"")</f>
        <v>0</v>
      </c>
      <c r="E1123" s="34" t="str">
        <f>IFERROR(VLOOKUP(B1123,'SAÍDA DE VENDAS'!$B$6:$P$500,5,FALSE),"")</f>
        <v/>
      </c>
      <c r="F1123" s="34" t="str">
        <f>IF(OR(ISBLANK(B1123),B1123=""), "", IFERROR(INDEX('SAÍDA DE VENDAS'!$H$6:$H$500 &amp; "x " &amp; 'SAÍDA DE VENDAS'!$G$6:$G$500, MATCH(B1123, 'SAÍDA DE VENDAS'!$B$6:$B$500, 0)), "")&amp; IF(COUNTIF('SAÍDA DE VENDAS'!$B$6:$B$500, B1123)&gt;1, " + " &amp; IFERROR(INDEX('SAÍDA DE VENDAS'!$H$6:$H$500 &amp; "x " &amp; 'SAÍDA DE VENDAS'!$G$6:$G$500, MATCH(B1123, 'SAÍDA DE VENDAS'!$B$6:$B$500, 0)+1), ""), "")&amp; IF(COUNTIF('SAÍDA DE VENDAS'!$B$6:$B$500, B1123)&gt;2, " + " &amp; IFERROR(INDEX('SAÍDA DE VENDAS'!$H$6:$H$500 &amp; "x " &amp; 'SAÍDA DE VENDAS'!$G$6:$G$500, MATCH(B1123, 'SAÍDA DE VENDAS'!$B$6:$B$500, 0)+2), ""), "")&amp; IF(COUNTIF('SAÍDA DE VENDAS'!$B$6:$B$500, B1123)&gt;3, " + " &amp; IFERROR(INDEX('SAÍDA DE VENDAS'!$H$6:$H$500 &amp; "x " &amp; 'SAÍDA DE VENDAS'!$G$6:$G$500, MATCH(B1123, 'SAÍDA DE VENDAS'!$B$6:$B$500, 0)+3), ""), "")&amp; IF(COUNTIF('SAÍDA DE VENDAS'!$B$6:$B$500, B1123)&gt;4, " + " &amp; IFERROR(INDEX('SAÍDA DE VENDAS'!$H$6:$H$500 &amp; "x " &amp; 'SAÍDA DE VENDAS'!$G$6:$G$500, MATCH(B1123, 'SAÍDA DE VENDAS'!$B$6:$B$500, 0)+4), ""), "")&amp; IF(COUNTIF('SAÍDA DE VENDAS'!$B$6:$B$500, B1123)&gt;5, " + " &amp; IFERROR(INDEX('SAÍDA DE VENDAS'!$H$6:$H$500 &amp; "x " &amp; 'SAÍDA DE VENDAS'!$G$6:$G$500, MATCH(B1123, 'SAÍDA DE VENDAS'!$B$6:$B$500, 0)+5), ""), ""))</f>
        <v/>
      </c>
      <c r="G1123" s="34">
        <f>IFERROR(VLOOKUP(B1123,'SAÍDA DE VENDAS'!$B$6:$P$500,10,FALSE),"")</f>
        <v>0</v>
      </c>
      <c r="H1123" s="34" t="str">
        <f>IF(OR(ISBLANK(B1123),B1123=""), "", IF(B1123=B1122, (VALUE(LEFT(H1122,FIND("/",H1122)-1))+1)&amp;"/"&amp;RIGHT(H1122,LEN(H1122)-FIND("/",H1122)), "1/"&amp;IFERROR(VLOOKUP(B1123,'SAÍDA DE VENDAS'!$B$6:$P$500,13,FALSE),"1")))</f>
        <v/>
      </c>
      <c r="I1123" s="35" t="str">
        <f t="shared" si="34"/>
        <v/>
      </c>
      <c r="J1123" s="39" t="str">
        <f>IFERROR(VLOOKUP(B1123,'SAÍDA DE VENDAS'!$B$6:$P$500,15,FALSE),"")</f>
        <v/>
      </c>
      <c r="K1123" s="34" t="str">
        <f t="shared" ca="1" si="35"/>
        <v/>
      </c>
      <c r="L1123" s="34"/>
      <c r="M1123" s="34"/>
    </row>
    <row r="1124" spans="2:13" ht="15" customHeight="1" x14ac:dyDescent="0.3">
      <c r="B1124" s="28" t="str">
        <f>IF(B1123="","", IF(VALUE(LEFT(H1123,FIND("/",H1123)-1)) &lt; VALUE(RIGHT(H1123,LEN(H1123)-FIND("/",H1123))), B1123, IFERROR(INDEX('SAÍDA DE VENDAS'!$B$6:$B$500, MATCH(B1123,'SAÍDA DE VENDAS'!$B$6:$B$500,0)+COUNTIF('SAÍDA DE VENDAS'!$B$6:$B$500, B1123)),"")))</f>
        <v/>
      </c>
      <c r="C1124" s="29">
        <f>IFERROR(VLOOKUP(B1124,'SAÍDA DE VENDAS'!$B$6:$P$500,3,FALSE),"")</f>
        <v>0</v>
      </c>
      <c r="D1124" s="28">
        <f>IFERROR(VLOOKUP(B1124,'SAÍDA DE VENDAS'!$B$6:$P$500,4,FALSE),"")</f>
        <v>0</v>
      </c>
      <c r="E1124" s="28" t="str">
        <f>IFERROR(VLOOKUP(B1124,'SAÍDA DE VENDAS'!$B$6:$P$500,5,FALSE),"")</f>
        <v/>
      </c>
      <c r="F1124" s="28" t="str">
        <f>IF(OR(ISBLANK(B1124),B1124=""), "", IFERROR(INDEX('SAÍDA DE VENDAS'!$H$6:$H$500 &amp; "x " &amp; 'SAÍDA DE VENDAS'!$G$6:$G$500, MATCH(B1124, 'SAÍDA DE VENDAS'!$B$6:$B$500, 0)), "")&amp; IF(COUNTIF('SAÍDA DE VENDAS'!$B$6:$B$500, B1124)&gt;1, " + " &amp; IFERROR(INDEX('SAÍDA DE VENDAS'!$H$6:$H$500 &amp; "x " &amp; 'SAÍDA DE VENDAS'!$G$6:$G$500, MATCH(B1124, 'SAÍDA DE VENDAS'!$B$6:$B$500, 0)+1), ""), "")&amp; IF(COUNTIF('SAÍDA DE VENDAS'!$B$6:$B$500, B1124)&gt;2, " + " &amp; IFERROR(INDEX('SAÍDA DE VENDAS'!$H$6:$H$500 &amp; "x " &amp; 'SAÍDA DE VENDAS'!$G$6:$G$500, MATCH(B1124, 'SAÍDA DE VENDAS'!$B$6:$B$500, 0)+2), ""), "")&amp; IF(COUNTIF('SAÍDA DE VENDAS'!$B$6:$B$500, B1124)&gt;3, " + " &amp; IFERROR(INDEX('SAÍDA DE VENDAS'!$H$6:$H$500 &amp; "x " &amp; 'SAÍDA DE VENDAS'!$G$6:$G$500, MATCH(B1124, 'SAÍDA DE VENDAS'!$B$6:$B$500, 0)+3), ""), "")&amp; IF(COUNTIF('SAÍDA DE VENDAS'!$B$6:$B$500, B1124)&gt;4, " + " &amp; IFERROR(INDEX('SAÍDA DE VENDAS'!$H$6:$H$500 &amp; "x " &amp; 'SAÍDA DE VENDAS'!$G$6:$G$500, MATCH(B1124, 'SAÍDA DE VENDAS'!$B$6:$B$500, 0)+4), ""), "")&amp; IF(COUNTIF('SAÍDA DE VENDAS'!$B$6:$B$500, B1124)&gt;5, " + " &amp; IFERROR(INDEX('SAÍDA DE VENDAS'!$H$6:$H$500 &amp; "x " &amp; 'SAÍDA DE VENDAS'!$G$6:$G$500, MATCH(B1124, 'SAÍDA DE VENDAS'!$B$6:$B$500, 0)+5), ""), ""))</f>
        <v/>
      </c>
      <c r="G1124" s="28">
        <f>IFERROR(VLOOKUP(B1124,'SAÍDA DE VENDAS'!$B$6:$P$500,10,FALSE),"")</f>
        <v>0</v>
      </c>
      <c r="H1124" s="28" t="str">
        <f>IF(OR(ISBLANK(B1124),B1124=""), "", IF(B1124=B1123, (VALUE(LEFT(H1123,FIND("/",H1123)-1))+1)&amp;"/"&amp;RIGHT(H1123,LEN(H1123)-FIND("/",H1123)), "1/"&amp;IFERROR(VLOOKUP(B1124,'SAÍDA DE VENDAS'!$B$6:$P$500,13,FALSE),"1")))</f>
        <v/>
      </c>
      <c r="I1124" s="69" t="str">
        <f t="shared" si="34"/>
        <v/>
      </c>
      <c r="J1124" s="33" t="str">
        <f>IFERROR(VLOOKUP(B1124,'SAÍDA DE VENDAS'!$B$6:$P$500,15,FALSE),"")</f>
        <v/>
      </c>
      <c r="K1124" s="28" t="str">
        <f t="shared" ca="1" si="35"/>
        <v/>
      </c>
      <c r="L1124" s="28"/>
      <c r="M1124" s="28"/>
    </row>
    <row r="1125" spans="2:13" ht="15" customHeight="1" x14ac:dyDescent="0.3">
      <c r="B1125" s="34" t="str">
        <f>IF(B1124="","", IF(VALUE(LEFT(H1124,FIND("/",H1124)-1)) &lt; VALUE(RIGHT(H1124,LEN(H1124)-FIND("/",H1124))), B1124, IFERROR(INDEX('SAÍDA DE VENDAS'!$B$6:$B$500, MATCH(B1124,'SAÍDA DE VENDAS'!$B$6:$B$500,0)+COUNTIF('SAÍDA DE VENDAS'!$B$6:$B$500, B1124)),"")))</f>
        <v/>
      </c>
      <c r="C1125" s="35">
        <f>IFERROR(VLOOKUP(B1125,'SAÍDA DE VENDAS'!$B$6:$P$500,3,FALSE),"")</f>
        <v>0</v>
      </c>
      <c r="D1125" s="34">
        <f>IFERROR(VLOOKUP(B1125,'SAÍDA DE VENDAS'!$B$6:$P$500,4,FALSE),"")</f>
        <v>0</v>
      </c>
      <c r="E1125" s="34" t="str">
        <f>IFERROR(VLOOKUP(B1125,'SAÍDA DE VENDAS'!$B$6:$P$500,5,FALSE),"")</f>
        <v/>
      </c>
      <c r="F1125" s="34" t="str">
        <f>IF(OR(ISBLANK(B1125),B1125=""), "", IFERROR(INDEX('SAÍDA DE VENDAS'!$H$6:$H$500 &amp; "x " &amp; 'SAÍDA DE VENDAS'!$G$6:$G$500, MATCH(B1125, 'SAÍDA DE VENDAS'!$B$6:$B$500, 0)), "")&amp; IF(COUNTIF('SAÍDA DE VENDAS'!$B$6:$B$500, B1125)&gt;1, " + " &amp; IFERROR(INDEX('SAÍDA DE VENDAS'!$H$6:$H$500 &amp; "x " &amp; 'SAÍDA DE VENDAS'!$G$6:$G$500, MATCH(B1125, 'SAÍDA DE VENDAS'!$B$6:$B$500, 0)+1), ""), "")&amp; IF(COUNTIF('SAÍDA DE VENDAS'!$B$6:$B$500, B1125)&gt;2, " + " &amp; IFERROR(INDEX('SAÍDA DE VENDAS'!$H$6:$H$500 &amp; "x " &amp; 'SAÍDA DE VENDAS'!$G$6:$G$500, MATCH(B1125, 'SAÍDA DE VENDAS'!$B$6:$B$500, 0)+2), ""), "")&amp; IF(COUNTIF('SAÍDA DE VENDAS'!$B$6:$B$500, B1125)&gt;3, " + " &amp; IFERROR(INDEX('SAÍDA DE VENDAS'!$H$6:$H$500 &amp; "x " &amp; 'SAÍDA DE VENDAS'!$G$6:$G$500, MATCH(B1125, 'SAÍDA DE VENDAS'!$B$6:$B$500, 0)+3), ""), "")&amp; IF(COUNTIF('SAÍDA DE VENDAS'!$B$6:$B$500, B1125)&gt;4, " + " &amp; IFERROR(INDEX('SAÍDA DE VENDAS'!$H$6:$H$500 &amp; "x " &amp; 'SAÍDA DE VENDAS'!$G$6:$G$500, MATCH(B1125, 'SAÍDA DE VENDAS'!$B$6:$B$500, 0)+4), ""), "")&amp; IF(COUNTIF('SAÍDA DE VENDAS'!$B$6:$B$500, B1125)&gt;5, " + " &amp; IFERROR(INDEX('SAÍDA DE VENDAS'!$H$6:$H$500 &amp; "x " &amp; 'SAÍDA DE VENDAS'!$G$6:$G$500, MATCH(B1125, 'SAÍDA DE VENDAS'!$B$6:$B$500, 0)+5), ""), ""))</f>
        <v/>
      </c>
      <c r="G1125" s="34">
        <f>IFERROR(VLOOKUP(B1125,'SAÍDA DE VENDAS'!$B$6:$P$500,10,FALSE),"")</f>
        <v>0</v>
      </c>
      <c r="H1125" s="34" t="str">
        <f>IF(OR(ISBLANK(B1125),B1125=""), "", IF(B1125=B1124, (VALUE(LEFT(H1124,FIND("/",H1124)-1))+1)&amp;"/"&amp;RIGHT(H1124,LEN(H1124)-FIND("/",H1124)), "1/"&amp;IFERROR(VLOOKUP(B1125,'SAÍDA DE VENDAS'!$B$6:$P$500,13,FALSE),"1")))</f>
        <v/>
      </c>
      <c r="I1125" s="35" t="str">
        <f t="shared" si="34"/>
        <v/>
      </c>
      <c r="J1125" s="39" t="str">
        <f>IFERROR(VLOOKUP(B1125,'SAÍDA DE VENDAS'!$B$6:$P$500,15,FALSE),"")</f>
        <v/>
      </c>
      <c r="K1125" s="34" t="str">
        <f t="shared" ca="1" si="35"/>
        <v/>
      </c>
      <c r="L1125" s="34"/>
      <c r="M1125" s="34"/>
    </row>
    <row r="1126" spans="2:13" ht="15" customHeight="1" x14ac:dyDescent="0.3">
      <c r="B1126" s="28" t="str">
        <f>IF(B1125="","", IF(VALUE(LEFT(H1125,FIND("/",H1125)-1)) &lt; VALUE(RIGHT(H1125,LEN(H1125)-FIND("/",H1125))), B1125, IFERROR(INDEX('SAÍDA DE VENDAS'!$B$6:$B$500, MATCH(B1125,'SAÍDA DE VENDAS'!$B$6:$B$500,0)+COUNTIF('SAÍDA DE VENDAS'!$B$6:$B$500, B1125)),"")))</f>
        <v/>
      </c>
      <c r="C1126" s="29">
        <f>IFERROR(VLOOKUP(B1126,'SAÍDA DE VENDAS'!$B$6:$P$500,3,FALSE),"")</f>
        <v>0</v>
      </c>
      <c r="D1126" s="28">
        <f>IFERROR(VLOOKUP(B1126,'SAÍDA DE VENDAS'!$B$6:$P$500,4,FALSE),"")</f>
        <v>0</v>
      </c>
      <c r="E1126" s="28" t="str">
        <f>IFERROR(VLOOKUP(B1126,'SAÍDA DE VENDAS'!$B$6:$P$500,5,FALSE),"")</f>
        <v/>
      </c>
      <c r="F1126" s="28" t="str">
        <f>IF(OR(ISBLANK(B1126),B1126=""), "", IFERROR(INDEX('SAÍDA DE VENDAS'!$H$6:$H$500 &amp; "x " &amp; 'SAÍDA DE VENDAS'!$G$6:$G$500, MATCH(B1126, 'SAÍDA DE VENDAS'!$B$6:$B$500, 0)), "")&amp; IF(COUNTIF('SAÍDA DE VENDAS'!$B$6:$B$500, B1126)&gt;1, " + " &amp; IFERROR(INDEX('SAÍDA DE VENDAS'!$H$6:$H$500 &amp; "x " &amp; 'SAÍDA DE VENDAS'!$G$6:$G$500, MATCH(B1126, 'SAÍDA DE VENDAS'!$B$6:$B$500, 0)+1), ""), "")&amp; IF(COUNTIF('SAÍDA DE VENDAS'!$B$6:$B$500, B1126)&gt;2, " + " &amp; IFERROR(INDEX('SAÍDA DE VENDAS'!$H$6:$H$500 &amp; "x " &amp; 'SAÍDA DE VENDAS'!$G$6:$G$500, MATCH(B1126, 'SAÍDA DE VENDAS'!$B$6:$B$500, 0)+2), ""), "")&amp; IF(COUNTIF('SAÍDA DE VENDAS'!$B$6:$B$500, B1126)&gt;3, " + " &amp; IFERROR(INDEX('SAÍDA DE VENDAS'!$H$6:$H$500 &amp; "x " &amp; 'SAÍDA DE VENDAS'!$G$6:$G$500, MATCH(B1126, 'SAÍDA DE VENDAS'!$B$6:$B$500, 0)+3), ""), "")&amp; IF(COUNTIF('SAÍDA DE VENDAS'!$B$6:$B$500, B1126)&gt;4, " + " &amp; IFERROR(INDEX('SAÍDA DE VENDAS'!$H$6:$H$500 &amp; "x " &amp; 'SAÍDA DE VENDAS'!$G$6:$G$500, MATCH(B1126, 'SAÍDA DE VENDAS'!$B$6:$B$500, 0)+4), ""), "")&amp; IF(COUNTIF('SAÍDA DE VENDAS'!$B$6:$B$500, B1126)&gt;5, " + " &amp; IFERROR(INDEX('SAÍDA DE VENDAS'!$H$6:$H$500 &amp; "x " &amp; 'SAÍDA DE VENDAS'!$G$6:$G$500, MATCH(B1126, 'SAÍDA DE VENDAS'!$B$6:$B$500, 0)+5), ""), ""))</f>
        <v/>
      </c>
      <c r="G1126" s="28">
        <f>IFERROR(VLOOKUP(B1126,'SAÍDA DE VENDAS'!$B$6:$P$500,10,FALSE),"")</f>
        <v>0</v>
      </c>
      <c r="H1126" s="28" t="str">
        <f>IF(OR(ISBLANK(B1126),B1126=""), "", IF(B1126=B1125, (VALUE(LEFT(H1125,FIND("/",H1125)-1))+1)&amp;"/"&amp;RIGHT(H1125,LEN(H1125)-FIND("/",H1125)), "1/"&amp;IFERROR(VLOOKUP(B1126,'SAÍDA DE VENDAS'!$B$6:$P$500,13,FALSE),"1")))</f>
        <v/>
      </c>
      <c r="I1126" s="69" t="str">
        <f t="shared" si="34"/>
        <v/>
      </c>
      <c r="J1126" s="33" t="str">
        <f>IFERROR(VLOOKUP(B1126,'SAÍDA DE VENDAS'!$B$6:$P$500,15,FALSE),"")</f>
        <v/>
      </c>
      <c r="K1126" s="28" t="str">
        <f t="shared" ca="1" si="35"/>
        <v/>
      </c>
      <c r="L1126" s="28"/>
      <c r="M1126" s="28"/>
    </row>
    <row r="1127" spans="2:13" ht="15" customHeight="1" x14ac:dyDescent="0.3">
      <c r="B1127" s="34" t="str">
        <f>IF(B1126="","", IF(VALUE(LEFT(H1126,FIND("/",H1126)-1)) &lt; VALUE(RIGHT(H1126,LEN(H1126)-FIND("/",H1126))), B1126, IFERROR(INDEX('SAÍDA DE VENDAS'!$B$6:$B$500, MATCH(B1126,'SAÍDA DE VENDAS'!$B$6:$B$500,0)+COUNTIF('SAÍDA DE VENDAS'!$B$6:$B$500, B1126)),"")))</f>
        <v/>
      </c>
      <c r="C1127" s="35">
        <f>IFERROR(VLOOKUP(B1127,'SAÍDA DE VENDAS'!$B$6:$P$500,3,FALSE),"")</f>
        <v>0</v>
      </c>
      <c r="D1127" s="34">
        <f>IFERROR(VLOOKUP(B1127,'SAÍDA DE VENDAS'!$B$6:$P$500,4,FALSE),"")</f>
        <v>0</v>
      </c>
      <c r="E1127" s="34" t="str">
        <f>IFERROR(VLOOKUP(B1127,'SAÍDA DE VENDAS'!$B$6:$P$500,5,FALSE),"")</f>
        <v/>
      </c>
      <c r="F1127" s="34" t="str">
        <f>IF(OR(ISBLANK(B1127),B1127=""), "", IFERROR(INDEX('SAÍDA DE VENDAS'!$H$6:$H$500 &amp; "x " &amp; 'SAÍDA DE VENDAS'!$G$6:$G$500, MATCH(B1127, 'SAÍDA DE VENDAS'!$B$6:$B$500, 0)), "")&amp; IF(COUNTIF('SAÍDA DE VENDAS'!$B$6:$B$500, B1127)&gt;1, " + " &amp; IFERROR(INDEX('SAÍDA DE VENDAS'!$H$6:$H$500 &amp; "x " &amp; 'SAÍDA DE VENDAS'!$G$6:$G$500, MATCH(B1127, 'SAÍDA DE VENDAS'!$B$6:$B$500, 0)+1), ""), "")&amp; IF(COUNTIF('SAÍDA DE VENDAS'!$B$6:$B$500, B1127)&gt;2, " + " &amp; IFERROR(INDEX('SAÍDA DE VENDAS'!$H$6:$H$500 &amp; "x " &amp; 'SAÍDA DE VENDAS'!$G$6:$G$500, MATCH(B1127, 'SAÍDA DE VENDAS'!$B$6:$B$500, 0)+2), ""), "")&amp; IF(COUNTIF('SAÍDA DE VENDAS'!$B$6:$B$500, B1127)&gt;3, " + " &amp; IFERROR(INDEX('SAÍDA DE VENDAS'!$H$6:$H$500 &amp; "x " &amp; 'SAÍDA DE VENDAS'!$G$6:$G$500, MATCH(B1127, 'SAÍDA DE VENDAS'!$B$6:$B$500, 0)+3), ""), "")&amp; IF(COUNTIF('SAÍDA DE VENDAS'!$B$6:$B$500, B1127)&gt;4, " + " &amp; IFERROR(INDEX('SAÍDA DE VENDAS'!$H$6:$H$500 &amp; "x " &amp; 'SAÍDA DE VENDAS'!$G$6:$G$500, MATCH(B1127, 'SAÍDA DE VENDAS'!$B$6:$B$500, 0)+4), ""), "")&amp; IF(COUNTIF('SAÍDA DE VENDAS'!$B$6:$B$500, B1127)&gt;5, " + " &amp; IFERROR(INDEX('SAÍDA DE VENDAS'!$H$6:$H$500 &amp; "x " &amp; 'SAÍDA DE VENDAS'!$G$6:$G$500, MATCH(B1127, 'SAÍDA DE VENDAS'!$B$6:$B$500, 0)+5), ""), ""))</f>
        <v/>
      </c>
      <c r="G1127" s="34">
        <f>IFERROR(VLOOKUP(B1127,'SAÍDA DE VENDAS'!$B$6:$P$500,10,FALSE),"")</f>
        <v>0</v>
      </c>
      <c r="H1127" s="34" t="str">
        <f>IF(OR(ISBLANK(B1127),B1127=""), "", IF(B1127=B1126, (VALUE(LEFT(H1126,FIND("/",H1126)-1))+1)&amp;"/"&amp;RIGHT(H1126,LEN(H1126)-FIND("/",H1126)), "1/"&amp;IFERROR(VLOOKUP(B1127,'SAÍDA DE VENDAS'!$B$6:$P$500,13,FALSE),"1")))</f>
        <v/>
      </c>
      <c r="I1127" s="35" t="str">
        <f t="shared" si="34"/>
        <v/>
      </c>
      <c r="J1127" s="39" t="str">
        <f>IFERROR(VLOOKUP(B1127,'SAÍDA DE VENDAS'!$B$6:$P$500,15,FALSE),"")</f>
        <v/>
      </c>
      <c r="K1127" s="34" t="str">
        <f t="shared" ca="1" si="35"/>
        <v/>
      </c>
      <c r="L1127" s="34"/>
      <c r="M1127" s="34"/>
    </row>
    <row r="1128" spans="2:13" ht="15" customHeight="1" x14ac:dyDescent="0.3">
      <c r="B1128" s="28" t="str">
        <f>IF(B1127="","", IF(VALUE(LEFT(H1127,FIND("/",H1127)-1)) &lt; VALUE(RIGHT(H1127,LEN(H1127)-FIND("/",H1127))), B1127, IFERROR(INDEX('SAÍDA DE VENDAS'!$B$6:$B$500, MATCH(B1127,'SAÍDA DE VENDAS'!$B$6:$B$500,0)+COUNTIF('SAÍDA DE VENDAS'!$B$6:$B$500, B1127)),"")))</f>
        <v/>
      </c>
      <c r="C1128" s="29">
        <f>IFERROR(VLOOKUP(B1128,'SAÍDA DE VENDAS'!$B$6:$P$500,3,FALSE),"")</f>
        <v>0</v>
      </c>
      <c r="D1128" s="28">
        <f>IFERROR(VLOOKUP(B1128,'SAÍDA DE VENDAS'!$B$6:$P$500,4,FALSE),"")</f>
        <v>0</v>
      </c>
      <c r="E1128" s="28" t="str">
        <f>IFERROR(VLOOKUP(B1128,'SAÍDA DE VENDAS'!$B$6:$P$500,5,FALSE),"")</f>
        <v/>
      </c>
      <c r="F1128" s="28" t="str">
        <f>IF(OR(ISBLANK(B1128),B1128=""), "", IFERROR(INDEX('SAÍDA DE VENDAS'!$H$6:$H$500 &amp; "x " &amp; 'SAÍDA DE VENDAS'!$G$6:$G$500, MATCH(B1128, 'SAÍDA DE VENDAS'!$B$6:$B$500, 0)), "")&amp; IF(COUNTIF('SAÍDA DE VENDAS'!$B$6:$B$500, B1128)&gt;1, " + " &amp; IFERROR(INDEX('SAÍDA DE VENDAS'!$H$6:$H$500 &amp; "x " &amp; 'SAÍDA DE VENDAS'!$G$6:$G$500, MATCH(B1128, 'SAÍDA DE VENDAS'!$B$6:$B$500, 0)+1), ""), "")&amp; IF(COUNTIF('SAÍDA DE VENDAS'!$B$6:$B$500, B1128)&gt;2, " + " &amp; IFERROR(INDEX('SAÍDA DE VENDAS'!$H$6:$H$500 &amp; "x " &amp; 'SAÍDA DE VENDAS'!$G$6:$G$500, MATCH(B1128, 'SAÍDA DE VENDAS'!$B$6:$B$500, 0)+2), ""), "")&amp; IF(COUNTIF('SAÍDA DE VENDAS'!$B$6:$B$500, B1128)&gt;3, " + " &amp; IFERROR(INDEX('SAÍDA DE VENDAS'!$H$6:$H$500 &amp; "x " &amp; 'SAÍDA DE VENDAS'!$G$6:$G$500, MATCH(B1128, 'SAÍDA DE VENDAS'!$B$6:$B$500, 0)+3), ""), "")&amp; IF(COUNTIF('SAÍDA DE VENDAS'!$B$6:$B$500, B1128)&gt;4, " + " &amp; IFERROR(INDEX('SAÍDA DE VENDAS'!$H$6:$H$500 &amp; "x " &amp; 'SAÍDA DE VENDAS'!$G$6:$G$500, MATCH(B1128, 'SAÍDA DE VENDAS'!$B$6:$B$500, 0)+4), ""), "")&amp; IF(COUNTIF('SAÍDA DE VENDAS'!$B$6:$B$500, B1128)&gt;5, " + " &amp; IFERROR(INDEX('SAÍDA DE VENDAS'!$H$6:$H$500 &amp; "x " &amp; 'SAÍDA DE VENDAS'!$G$6:$G$500, MATCH(B1128, 'SAÍDA DE VENDAS'!$B$6:$B$500, 0)+5), ""), ""))</f>
        <v/>
      </c>
      <c r="G1128" s="28">
        <f>IFERROR(VLOOKUP(B1128,'SAÍDA DE VENDAS'!$B$6:$P$500,10,FALSE),"")</f>
        <v>0</v>
      </c>
      <c r="H1128" s="28" t="str">
        <f>IF(OR(ISBLANK(B1128),B1128=""), "", IF(B1128=B1127, (VALUE(LEFT(H1127,FIND("/",H1127)-1))+1)&amp;"/"&amp;RIGHT(H1127,LEN(H1127)-FIND("/",H1127)), "1/"&amp;IFERROR(VLOOKUP(B1128,'SAÍDA DE VENDAS'!$B$6:$P$500,13,FALSE),"1")))</f>
        <v/>
      </c>
      <c r="I1128" s="69" t="str">
        <f t="shared" si="34"/>
        <v/>
      </c>
      <c r="J1128" s="33" t="str">
        <f>IFERROR(VLOOKUP(B1128,'SAÍDA DE VENDAS'!$B$6:$P$500,15,FALSE),"")</f>
        <v/>
      </c>
      <c r="K1128" s="28" t="str">
        <f t="shared" ca="1" si="35"/>
        <v/>
      </c>
      <c r="L1128" s="28"/>
      <c r="M1128" s="28"/>
    </row>
    <row r="1129" spans="2:13" ht="15" customHeight="1" x14ac:dyDescent="0.3">
      <c r="B1129" s="34" t="str">
        <f>IF(B1128="","", IF(VALUE(LEFT(H1128,FIND("/",H1128)-1)) &lt; VALUE(RIGHT(H1128,LEN(H1128)-FIND("/",H1128))), B1128, IFERROR(INDEX('SAÍDA DE VENDAS'!$B$6:$B$500, MATCH(B1128,'SAÍDA DE VENDAS'!$B$6:$B$500,0)+COUNTIF('SAÍDA DE VENDAS'!$B$6:$B$500, B1128)),"")))</f>
        <v/>
      </c>
      <c r="C1129" s="35">
        <f>IFERROR(VLOOKUP(B1129,'SAÍDA DE VENDAS'!$B$6:$P$500,3,FALSE),"")</f>
        <v>0</v>
      </c>
      <c r="D1129" s="34">
        <f>IFERROR(VLOOKUP(B1129,'SAÍDA DE VENDAS'!$B$6:$P$500,4,FALSE),"")</f>
        <v>0</v>
      </c>
      <c r="E1129" s="34" t="str">
        <f>IFERROR(VLOOKUP(B1129,'SAÍDA DE VENDAS'!$B$6:$P$500,5,FALSE),"")</f>
        <v/>
      </c>
      <c r="F1129" s="34" t="str">
        <f>IF(OR(ISBLANK(B1129),B1129=""), "", IFERROR(INDEX('SAÍDA DE VENDAS'!$H$6:$H$500 &amp; "x " &amp; 'SAÍDA DE VENDAS'!$G$6:$G$500, MATCH(B1129, 'SAÍDA DE VENDAS'!$B$6:$B$500, 0)), "")&amp; IF(COUNTIF('SAÍDA DE VENDAS'!$B$6:$B$500, B1129)&gt;1, " + " &amp; IFERROR(INDEX('SAÍDA DE VENDAS'!$H$6:$H$500 &amp; "x " &amp; 'SAÍDA DE VENDAS'!$G$6:$G$500, MATCH(B1129, 'SAÍDA DE VENDAS'!$B$6:$B$500, 0)+1), ""), "")&amp; IF(COUNTIF('SAÍDA DE VENDAS'!$B$6:$B$500, B1129)&gt;2, " + " &amp; IFERROR(INDEX('SAÍDA DE VENDAS'!$H$6:$H$500 &amp; "x " &amp; 'SAÍDA DE VENDAS'!$G$6:$G$500, MATCH(B1129, 'SAÍDA DE VENDAS'!$B$6:$B$500, 0)+2), ""), "")&amp; IF(COUNTIF('SAÍDA DE VENDAS'!$B$6:$B$500, B1129)&gt;3, " + " &amp; IFERROR(INDEX('SAÍDA DE VENDAS'!$H$6:$H$500 &amp; "x " &amp; 'SAÍDA DE VENDAS'!$G$6:$G$500, MATCH(B1129, 'SAÍDA DE VENDAS'!$B$6:$B$500, 0)+3), ""), "")&amp; IF(COUNTIF('SAÍDA DE VENDAS'!$B$6:$B$500, B1129)&gt;4, " + " &amp; IFERROR(INDEX('SAÍDA DE VENDAS'!$H$6:$H$500 &amp; "x " &amp; 'SAÍDA DE VENDAS'!$G$6:$G$500, MATCH(B1129, 'SAÍDA DE VENDAS'!$B$6:$B$500, 0)+4), ""), "")&amp; IF(COUNTIF('SAÍDA DE VENDAS'!$B$6:$B$500, B1129)&gt;5, " + " &amp; IFERROR(INDEX('SAÍDA DE VENDAS'!$H$6:$H$500 &amp; "x " &amp; 'SAÍDA DE VENDAS'!$G$6:$G$500, MATCH(B1129, 'SAÍDA DE VENDAS'!$B$6:$B$500, 0)+5), ""), ""))</f>
        <v/>
      </c>
      <c r="G1129" s="34">
        <f>IFERROR(VLOOKUP(B1129,'SAÍDA DE VENDAS'!$B$6:$P$500,10,FALSE),"")</f>
        <v>0</v>
      </c>
      <c r="H1129" s="34" t="str">
        <f>IF(OR(ISBLANK(B1129),B1129=""), "", IF(B1129=B1128, (VALUE(LEFT(H1128,FIND("/",H1128)-1))+1)&amp;"/"&amp;RIGHT(H1128,LEN(H1128)-FIND("/",H1128)), "1/"&amp;IFERROR(VLOOKUP(B1129,'SAÍDA DE VENDAS'!$B$6:$P$500,13,FALSE),"1")))</f>
        <v/>
      </c>
      <c r="I1129" s="35" t="str">
        <f t="shared" si="34"/>
        <v/>
      </c>
      <c r="J1129" s="39" t="str">
        <f>IFERROR(VLOOKUP(B1129,'SAÍDA DE VENDAS'!$B$6:$P$500,15,FALSE),"")</f>
        <v/>
      </c>
      <c r="K1129" s="34" t="str">
        <f t="shared" ca="1" si="35"/>
        <v/>
      </c>
      <c r="L1129" s="34"/>
      <c r="M1129" s="34"/>
    </row>
    <row r="1130" spans="2:13" ht="15" customHeight="1" x14ac:dyDescent="0.3">
      <c r="B1130" s="28" t="str">
        <f>IF(B1129="","", IF(VALUE(LEFT(H1129,FIND("/",H1129)-1)) &lt; VALUE(RIGHT(H1129,LEN(H1129)-FIND("/",H1129))), B1129, IFERROR(INDEX('SAÍDA DE VENDAS'!$B$6:$B$500, MATCH(B1129,'SAÍDA DE VENDAS'!$B$6:$B$500,0)+COUNTIF('SAÍDA DE VENDAS'!$B$6:$B$500, B1129)),"")))</f>
        <v/>
      </c>
      <c r="C1130" s="29">
        <f>IFERROR(VLOOKUP(B1130,'SAÍDA DE VENDAS'!$B$6:$P$500,3,FALSE),"")</f>
        <v>0</v>
      </c>
      <c r="D1130" s="28">
        <f>IFERROR(VLOOKUP(B1130,'SAÍDA DE VENDAS'!$B$6:$P$500,4,FALSE),"")</f>
        <v>0</v>
      </c>
      <c r="E1130" s="28" t="str">
        <f>IFERROR(VLOOKUP(B1130,'SAÍDA DE VENDAS'!$B$6:$P$500,5,FALSE),"")</f>
        <v/>
      </c>
      <c r="F1130" s="28" t="str">
        <f>IF(OR(ISBLANK(B1130),B1130=""), "", IFERROR(INDEX('SAÍDA DE VENDAS'!$H$6:$H$500 &amp; "x " &amp; 'SAÍDA DE VENDAS'!$G$6:$G$500, MATCH(B1130, 'SAÍDA DE VENDAS'!$B$6:$B$500, 0)), "")&amp; IF(COUNTIF('SAÍDA DE VENDAS'!$B$6:$B$500, B1130)&gt;1, " + " &amp; IFERROR(INDEX('SAÍDA DE VENDAS'!$H$6:$H$500 &amp; "x " &amp; 'SAÍDA DE VENDAS'!$G$6:$G$500, MATCH(B1130, 'SAÍDA DE VENDAS'!$B$6:$B$500, 0)+1), ""), "")&amp; IF(COUNTIF('SAÍDA DE VENDAS'!$B$6:$B$500, B1130)&gt;2, " + " &amp; IFERROR(INDEX('SAÍDA DE VENDAS'!$H$6:$H$500 &amp; "x " &amp; 'SAÍDA DE VENDAS'!$G$6:$G$500, MATCH(B1130, 'SAÍDA DE VENDAS'!$B$6:$B$500, 0)+2), ""), "")&amp; IF(COUNTIF('SAÍDA DE VENDAS'!$B$6:$B$500, B1130)&gt;3, " + " &amp; IFERROR(INDEX('SAÍDA DE VENDAS'!$H$6:$H$500 &amp; "x " &amp; 'SAÍDA DE VENDAS'!$G$6:$G$500, MATCH(B1130, 'SAÍDA DE VENDAS'!$B$6:$B$500, 0)+3), ""), "")&amp; IF(COUNTIF('SAÍDA DE VENDAS'!$B$6:$B$500, B1130)&gt;4, " + " &amp; IFERROR(INDEX('SAÍDA DE VENDAS'!$H$6:$H$500 &amp; "x " &amp; 'SAÍDA DE VENDAS'!$G$6:$G$500, MATCH(B1130, 'SAÍDA DE VENDAS'!$B$6:$B$500, 0)+4), ""), "")&amp; IF(COUNTIF('SAÍDA DE VENDAS'!$B$6:$B$500, B1130)&gt;5, " + " &amp; IFERROR(INDEX('SAÍDA DE VENDAS'!$H$6:$H$500 &amp; "x " &amp; 'SAÍDA DE VENDAS'!$G$6:$G$500, MATCH(B1130, 'SAÍDA DE VENDAS'!$B$6:$B$500, 0)+5), ""), ""))</f>
        <v/>
      </c>
      <c r="G1130" s="28">
        <f>IFERROR(VLOOKUP(B1130,'SAÍDA DE VENDAS'!$B$6:$P$500,10,FALSE),"")</f>
        <v>0</v>
      </c>
      <c r="H1130" s="28" t="str">
        <f>IF(OR(ISBLANK(B1130),B1130=""), "", IF(B1130=B1129, (VALUE(LEFT(H1129,FIND("/",H1129)-1))+1)&amp;"/"&amp;RIGHT(H1129,LEN(H1129)-FIND("/",H1129)), "1/"&amp;IFERROR(VLOOKUP(B1130,'SAÍDA DE VENDAS'!$B$6:$P$500,13,FALSE),"1")))</f>
        <v/>
      </c>
      <c r="I1130" s="69" t="str">
        <f t="shared" si="34"/>
        <v/>
      </c>
      <c r="J1130" s="33" t="str">
        <f>IFERROR(VLOOKUP(B1130,'SAÍDA DE VENDAS'!$B$6:$P$500,15,FALSE),"")</f>
        <v/>
      </c>
      <c r="K1130" s="28" t="str">
        <f t="shared" ca="1" si="35"/>
        <v/>
      </c>
      <c r="L1130" s="28"/>
      <c r="M1130" s="28"/>
    </row>
    <row r="1131" spans="2:13" ht="15" customHeight="1" x14ac:dyDescent="0.3">
      <c r="B1131" s="34" t="str">
        <f>IF(B1130="","", IF(VALUE(LEFT(H1130,FIND("/",H1130)-1)) &lt; VALUE(RIGHT(H1130,LEN(H1130)-FIND("/",H1130))), B1130, IFERROR(INDEX('SAÍDA DE VENDAS'!$B$6:$B$500, MATCH(B1130,'SAÍDA DE VENDAS'!$B$6:$B$500,0)+COUNTIF('SAÍDA DE VENDAS'!$B$6:$B$500, B1130)),"")))</f>
        <v/>
      </c>
      <c r="C1131" s="35">
        <f>IFERROR(VLOOKUP(B1131,'SAÍDA DE VENDAS'!$B$6:$P$500,3,FALSE),"")</f>
        <v>0</v>
      </c>
      <c r="D1131" s="34">
        <f>IFERROR(VLOOKUP(B1131,'SAÍDA DE VENDAS'!$B$6:$P$500,4,FALSE),"")</f>
        <v>0</v>
      </c>
      <c r="E1131" s="34" t="str">
        <f>IFERROR(VLOOKUP(B1131,'SAÍDA DE VENDAS'!$B$6:$P$500,5,FALSE),"")</f>
        <v/>
      </c>
      <c r="F1131" s="34" t="str">
        <f>IF(OR(ISBLANK(B1131),B1131=""), "", IFERROR(INDEX('SAÍDA DE VENDAS'!$H$6:$H$500 &amp; "x " &amp; 'SAÍDA DE VENDAS'!$G$6:$G$500, MATCH(B1131, 'SAÍDA DE VENDAS'!$B$6:$B$500, 0)), "")&amp; IF(COUNTIF('SAÍDA DE VENDAS'!$B$6:$B$500, B1131)&gt;1, " + " &amp; IFERROR(INDEX('SAÍDA DE VENDAS'!$H$6:$H$500 &amp; "x " &amp; 'SAÍDA DE VENDAS'!$G$6:$G$500, MATCH(B1131, 'SAÍDA DE VENDAS'!$B$6:$B$500, 0)+1), ""), "")&amp; IF(COUNTIF('SAÍDA DE VENDAS'!$B$6:$B$500, B1131)&gt;2, " + " &amp; IFERROR(INDEX('SAÍDA DE VENDAS'!$H$6:$H$500 &amp; "x " &amp; 'SAÍDA DE VENDAS'!$G$6:$G$500, MATCH(B1131, 'SAÍDA DE VENDAS'!$B$6:$B$500, 0)+2), ""), "")&amp; IF(COUNTIF('SAÍDA DE VENDAS'!$B$6:$B$500, B1131)&gt;3, " + " &amp; IFERROR(INDEX('SAÍDA DE VENDAS'!$H$6:$H$500 &amp; "x " &amp; 'SAÍDA DE VENDAS'!$G$6:$G$500, MATCH(B1131, 'SAÍDA DE VENDAS'!$B$6:$B$500, 0)+3), ""), "")&amp; IF(COUNTIF('SAÍDA DE VENDAS'!$B$6:$B$500, B1131)&gt;4, " + " &amp; IFERROR(INDEX('SAÍDA DE VENDAS'!$H$6:$H$500 &amp; "x " &amp; 'SAÍDA DE VENDAS'!$G$6:$G$500, MATCH(B1131, 'SAÍDA DE VENDAS'!$B$6:$B$500, 0)+4), ""), "")&amp; IF(COUNTIF('SAÍDA DE VENDAS'!$B$6:$B$500, B1131)&gt;5, " + " &amp; IFERROR(INDEX('SAÍDA DE VENDAS'!$H$6:$H$500 &amp; "x " &amp; 'SAÍDA DE VENDAS'!$G$6:$G$500, MATCH(B1131, 'SAÍDA DE VENDAS'!$B$6:$B$500, 0)+5), ""), ""))</f>
        <v/>
      </c>
      <c r="G1131" s="34">
        <f>IFERROR(VLOOKUP(B1131,'SAÍDA DE VENDAS'!$B$6:$P$500,10,FALSE),"")</f>
        <v>0</v>
      </c>
      <c r="H1131" s="34" t="str">
        <f>IF(OR(ISBLANK(B1131),B1131=""), "", IF(B1131=B1130, (VALUE(LEFT(H1130,FIND("/",H1130)-1))+1)&amp;"/"&amp;RIGHT(H1130,LEN(H1130)-FIND("/",H1130)), "1/"&amp;IFERROR(VLOOKUP(B1131,'SAÍDA DE VENDAS'!$B$6:$P$500,13,FALSE),"1")))</f>
        <v/>
      </c>
      <c r="I1131" s="35" t="str">
        <f t="shared" si="34"/>
        <v/>
      </c>
      <c r="J1131" s="39" t="str">
        <f>IFERROR(VLOOKUP(B1131,'SAÍDA DE VENDAS'!$B$6:$P$500,15,FALSE),"")</f>
        <v/>
      </c>
      <c r="K1131" s="34" t="str">
        <f t="shared" ca="1" si="35"/>
        <v/>
      </c>
      <c r="L1131" s="34"/>
      <c r="M1131" s="34"/>
    </row>
    <row r="1132" spans="2:13" ht="15" customHeight="1" x14ac:dyDescent="0.3">
      <c r="B1132" s="28" t="str">
        <f>IF(B1131="","", IF(VALUE(LEFT(H1131,FIND("/",H1131)-1)) &lt; VALUE(RIGHT(H1131,LEN(H1131)-FIND("/",H1131))), B1131, IFERROR(INDEX('SAÍDA DE VENDAS'!$B$6:$B$500, MATCH(B1131,'SAÍDA DE VENDAS'!$B$6:$B$500,0)+COUNTIF('SAÍDA DE VENDAS'!$B$6:$B$500, B1131)),"")))</f>
        <v/>
      </c>
      <c r="C1132" s="29">
        <f>IFERROR(VLOOKUP(B1132,'SAÍDA DE VENDAS'!$B$6:$P$500,3,FALSE),"")</f>
        <v>0</v>
      </c>
      <c r="D1132" s="28">
        <f>IFERROR(VLOOKUP(B1132,'SAÍDA DE VENDAS'!$B$6:$P$500,4,FALSE),"")</f>
        <v>0</v>
      </c>
      <c r="E1132" s="28" t="str">
        <f>IFERROR(VLOOKUP(B1132,'SAÍDA DE VENDAS'!$B$6:$P$500,5,FALSE),"")</f>
        <v/>
      </c>
      <c r="F1132" s="28" t="str">
        <f>IF(OR(ISBLANK(B1132),B1132=""), "", IFERROR(INDEX('SAÍDA DE VENDAS'!$H$6:$H$500 &amp; "x " &amp; 'SAÍDA DE VENDAS'!$G$6:$G$500, MATCH(B1132, 'SAÍDA DE VENDAS'!$B$6:$B$500, 0)), "")&amp; IF(COUNTIF('SAÍDA DE VENDAS'!$B$6:$B$500, B1132)&gt;1, " + " &amp; IFERROR(INDEX('SAÍDA DE VENDAS'!$H$6:$H$500 &amp; "x " &amp; 'SAÍDA DE VENDAS'!$G$6:$G$500, MATCH(B1132, 'SAÍDA DE VENDAS'!$B$6:$B$500, 0)+1), ""), "")&amp; IF(COUNTIF('SAÍDA DE VENDAS'!$B$6:$B$500, B1132)&gt;2, " + " &amp; IFERROR(INDEX('SAÍDA DE VENDAS'!$H$6:$H$500 &amp; "x " &amp; 'SAÍDA DE VENDAS'!$G$6:$G$500, MATCH(B1132, 'SAÍDA DE VENDAS'!$B$6:$B$500, 0)+2), ""), "")&amp; IF(COUNTIF('SAÍDA DE VENDAS'!$B$6:$B$500, B1132)&gt;3, " + " &amp; IFERROR(INDEX('SAÍDA DE VENDAS'!$H$6:$H$500 &amp; "x " &amp; 'SAÍDA DE VENDAS'!$G$6:$G$500, MATCH(B1132, 'SAÍDA DE VENDAS'!$B$6:$B$500, 0)+3), ""), "")&amp; IF(COUNTIF('SAÍDA DE VENDAS'!$B$6:$B$500, B1132)&gt;4, " + " &amp; IFERROR(INDEX('SAÍDA DE VENDAS'!$H$6:$H$500 &amp; "x " &amp; 'SAÍDA DE VENDAS'!$G$6:$G$500, MATCH(B1132, 'SAÍDA DE VENDAS'!$B$6:$B$500, 0)+4), ""), "")&amp; IF(COUNTIF('SAÍDA DE VENDAS'!$B$6:$B$500, B1132)&gt;5, " + " &amp; IFERROR(INDEX('SAÍDA DE VENDAS'!$H$6:$H$500 &amp; "x " &amp; 'SAÍDA DE VENDAS'!$G$6:$G$500, MATCH(B1132, 'SAÍDA DE VENDAS'!$B$6:$B$500, 0)+5), ""), ""))</f>
        <v/>
      </c>
      <c r="G1132" s="28">
        <f>IFERROR(VLOOKUP(B1132,'SAÍDA DE VENDAS'!$B$6:$P$500,10,FALSE),"")</f>
        <v>0</v>
      </c>
      <c r="H1132" s="28" t="str">
        <f>IF(OR(ISBLANK(B1132),B1132=""), "", IF(B1132=B1131, (VALUE(LEFT(H1131,FIND("/",H1131)-1))+1)&amp;"/"&amp;RIGHT(H1131,LEN(H1131)-FIND("/",H1131)), "1/"&amp;IFERROR(VLOOKUP(B1132,'SAÍDA DE VENDAS'!$B$6:$P$500,13,FALSE),"1")))</f>
        <v/>
      </c>
      <c r="I1132" s="69" t="str">
        <f t="shared" si="34"/>
        <v/>
      </c>
      <c r="J1132" s="33" t="str">
        <f>IFERROR(VLOOKUP(B1132,'SAÍDA DE VENDAS'!$B$6:$P$500,15,FALSE),"")</f>
        <v/>
      </c>
      <c r="K1132" s="28" t="str">
        <f t="shared" ca="1" si="35"/>
        <v/>
      </c>
      <c r="L1132" s="28"/>
      <c r="M1132" s="28"/>
    </row>
    <row r="1133" spans="2:13" ht="15" customHeight="1" x14ac:dyDescent="0.3">
      <c r="B1133" s="34" t="str">
        <f>IF(B1132="","", IF(VALUE(LEFT(H1132,FIND("/",H1132)-1)) &lt; VALUE(RIGHT(H1132,LEN(H1132)-FIND("/",H1132))), B1132, IFERROR(INDEX('SAÍDA DE VENDAS'!$B$6:$B$500, MATCH(B1132,'SAÍDA DE VENDAS'!$B$6:$B$500,0)+COUNTIF('SAÍDA DE VENDAS'!$B$6:$B$500, B1132)),"")))</f>
        <v/>
      </c>
      <c r="C1133" s="35">
        <f>IFERROR(VLOOKUP(B1133,'SAÍDA DE VENDAS'!$B$6:$P$500,3,FALSE),"")</f>
        <v>0</v>
      </c>
      <c r="D1133" s="34">
        <f>IFERROR(VLOOKUP(B1133,'SAÍDA DE VENDAS'!$B$6:$P$500,4,FALSE),"")</f>
        <v>0</v>
      </c>
      <c r="E1133" s="34" t="str">
        <f>IFERROR(VLOOKUP(B1133,'SAÍDA DE VENDAS'!$B$6:$P$500,5,FALSE),"")</f>
        <v/>
      </c>
      <c r="F1133" s="34" t="str">
        <f>IF(OR(ISBLANK(B1133),B1133=""), "", IFERROR(INDEX('SAÍDA DE VENDAS'!$H$6:$H$500 &amp; "x " &amp; 'SAÍDA DE VENDAS'!$G$6:$G$500, MATCH(B1133, 'SAÍDA DE VENDAS'!$B$6:$B$500, 0)), "")&amp; IF(COUNTIF('SAÍDA DE VENDAS'!$B$6:$B$500, B1133)&gt;1, " + " &amp; IFERROR(INDEX('SAÍDA DE VENDAS'!$H$6:$H$500 &amp; "x " &amp; 'SAÍDA DE VENDAS'!$G$6:$G$500, MATCH(B1133, 'SAÍDA DE VENDAS'!$B$6:$B$500, 0)+1), ""), "")&amp; IF(COUNTIF('SAÍDA DE VENDAS'!$B$6:$B$500, B1133)&gt;2, " + " &amp; IFERROR(INDEX('SAÍDA DE VENDAS'!$H$6:$H$500 &amp; "x " &amp; 'SAÍDA DE VENDAS'!$G$6:$G$500, MATCH(B1133, 'SAÍDA DE VENDAS'!$B$6:$B$500, 0)+2), ""), "")&amp; IF(COUNTIF('SAÍDA DE VENDAS'!$B$6:$B$500, B1133)&gt;3, " + " &amp; IFERROR(INDEX('SAÍDA DE VENDAS'!$H$6:$H$500 &amp; "x " &amp; 'SAÍDA DE VENDAS'!$G$6:$G$500, MATCH(B1133, 'SAÍDA DE VENDAS'!$B$6:$B$500, 0)+3), ""), "")&amp; IF(COUNTIF('SAÍDA DE VENDAS'!$B$6:$B$500, B1133)&gt;4, " + " &amp; IFERROR(INDEX('SAÍDA DE VENDAS'!$H$6:$H$500 &amp; "x " &amp; 'SAÍDA DE VENDAS'!$G$6:$G$500, MATCH(B1133, 'SAÍDA DE VENDAS'!$B$6:$B$500, 0)+4), ""), "")&amp; IF(COUNTIF('SAÍDA DE VENDAS'!$B$6:$B$500, B1133)&gt;5, " + " &amp; IFERROR(INDEX('SAÍDA DE VENDAS'!$H$6:$H$500 &amp; "x " &amp; 'SAÍDA DE VENDAS'!$G$6:$G$500, MATCH(B1133, 'SAÍDA DE VENDAS'!$B$6:$B$500, 0)+5), ""), ""))</f>
        <v/>
      </c>
      <c r="G1133" s="34">
        <f>IFERROR(VLOOKUP(B1133,'SAÍDA DE VENDAS'!$B$6:$P$500,10,FALSE),"")</f>
        <v>0</v>
      </c>
      <c r="H1133" s="34" t="str">
        <f>IF(OR(ISBLANK(B1133),B1133=""), "", IF(B1133=B1132, (VALUE(LEFT(H1132,FIND("/",H1132)-1))+1)&amp;"/"&amp;RIGHT(H1132,LEN(H1132)-FIND("/",H1132)), "1/"&amp;IFERROR(VLOOKUP(B1133,'SAÍDA DE VENDAS'!$B$6:$P$500,13,FALSE),"1")))</f>
        <v/>
      </c>
      <c r="I1133" s="35" t="str">
        <f t="shared" si="34"/>
        <v/>
      </c>
      <c r="J1133" s="39" t="str">
        <f>IFERROR(VLOOKUP(B1133,'SAÍDA DE VENDAS'!$B$6:$P$500,15,FALSE),"")</f>
        <v/>
      </c>
      <c r="K1133" s="34" t="str">
        <f t="shared" ca="1" si="35"/>
        <v/>
      </c>
      <c r="L1133" s="34"/>
      <c r="M1133" s="34"/>
    </row>
    <row r="1134" spans="2:13" ht="15" customHeight="1" x14ac:dyDescent="0.3">
      <c r="B1134" s="28" t="str">
        <f>IF(B1133="","", IF(VALUE(LEFT(H1133,FIND("/",H1133)-1)) &lt; VALUE(RIGHT(H1133,LEN(H1133)-FIND("/",H1133))), B1133, IFERROR(INDEX('SAÍDA DE VENDAS'!$B$6:$B$500, MATCH(B1133,'SAÍDA DE VENDAS'!$B$6:$B$500,0)+COUNTIF('SAÍDA DE VENDAS'!$B$6:$B$500, B1133)),"")))</f>
        <v/>
      </c>
      <c r="C1134" s="29">
        <f>IFERROR(VLOOKUP(B1134,'SAÍDA DE VENDAS'!$B$6:$P$500,3,FALSE),"")</f>
        <v>0</v>
      </c>
      <c r="D1134" s="28">
        <f>IFERROR(VLOOKUP(B1134,'SAÍDA DE VENDAS'!$B$6:$P$500,4,FALSE),"")</f>
        <v>0</v>
      </c>
      <c r="E1134" s="28" t="str">
        <f>IFERROR(VLOOKUP(B1134,'SAÍDA DE VENDAS'!$B$6:$P$500,5,FALSE),"")</f>
        <v/>
      </c>
      <c r="F1134" s="28" t="str">
        <f>IF(OR(ISBLANK(B1134),B1134=""), "", IFERROR(INDEX('SAÍDA DE VENDAS'!$H$6:$H$500 &amp; "x " &amp; 'SAÍDA DE VENDAS'!$G$6:$G$500, MATCH(B1134, 'SAÍDA DE VENDAS'!$B$6:$B$500, 0)), "")&amp; IF(COUNTIF('SAÍDA DE VENDAS'!$B$6:$B$500, B1134)&gt;1, " + " &amp; IFERROR(INDEX('SAÍDA DE VENDAS'!$H$6:$H$500 &amp; "x " &amp; 'SAÍDA DE VENDAS'!$G$6:$G$500, MATCH(B1134, 'SAÍDA DE VENDAS'!$B$6:$B$500, 0)+1), ""), "")&amp; IF(COUNTIF('SAÍDA DE VENDAS'!$B$6:$B$500, B1134)&gt;2, " + " &amp; IFERROR(INDEX('SAÍDA DE VENDAS'!$H$6:$H$500 &amp; "x " &amp; 'SAÍDA DE VENDAS'!$G$6:$G$500, MATCH(B1134, 'SAÍDA DE VENDAS'!$B$6:$B$500, 0)+2), ""), "")&amp; IF(COUNTIF('SAÍDA DE VENDAS'!$B$6:$B$500, B1134)&gt;3, " + " &amp; IFERROR(INDEX('SAÍDA DE VENDAS'!$H$6:$H$500 &amp; "x " &amp; 'SAÍDA DE VENDAS'!$G$6:$G$500, MATCH(B1134, 'SAÍDA DE VENDAS'!$B$6:$B$500, 0)+3), ""), "")&amp; IF(COUNTIF('SAÍDA DE VENDAS'!$B$6:$B$500, B1134)&gt;4, " + " &amp; IFERROR(INDEX('SAÍDA DE VENDAS'!$H$6:$H$500 &amp; "x " &amp; 'SAÍDA DE VENDAS'!$G$6:$G$500, MATCH(B1134, 'SAÍDA DE VENDAS'!$B$6:$B$500, 0)+4), ""), "")&amp; IF(COUNTIF('SAÍDA DE VENDAS'!$B$6:$B$500, B1134)&gt;5, " + " &amp; IFERROR(INDEX('SAÍDA DE VENDAS'!$H$6:$H$500 &amp; "x " &amp; 'SAÍDA DE VENDAS'!$G$6:$G$500, MATCH(B1134, 'SAÍDA DE VENDAS'!$B$6:$B$500, 0)+5), ""), ""))</f>
        <v/>
      </c>
      <c r="G1134" s="28">
        <f>IFERROR(VLOOKUP(B1134,'SAÍDA DE VENDAS'!$B$6:$P$500,10,FALSE),"")</f>
        <v>0</v>
      </c>
      <c r="H1134" s="28" t="str">
        <f>IF(OR(ISBLANK(B1134),B1134=""), "", IF(B1134=B1133, (VALUE(LEFT(H1133,FIND("/",H1133)-1))+1)&amp;"/"&amp;RIGHT(H1133,LEN(H1133)-FIND("/",H1133)), "1/"&amp;IFERROR(VLOOKUP(B1134,'SAÍDA DE VENDAS'!$B$6:$P$500,13,FALSE),"1")))</f>
        <v/>
      </c>
      <c r="I1134" s="69" t="str">
        <f t="shared" si="34"/>
        <v/>
      </c>
      <c r="J1134" s="33" t="str">
        <f>IFERROR(VLOOKUP(B1134,'SAÍDA DE VENDAS'!$B$6:$P$500,15,FALSE),"")</f>
        <v/>
      </c>
      <c r="K1134" s="28" t="str">
        <f t="shared" ca="1" si="35"/>
        <v/>
      </c>
      <c r="L1134" s="28"/>
      <c r="M1134" s="28"/>
    </row>
    <row r="1135" spans="2:13" ht="15" customHeight="1" x14ac:dyDescent="0.3">
      <c r="B1135" s="34" t="str">
        <f>IF(B1134="","", IF(VALUE(LEFT(H1134,FIND("/",H1134)-1)) &lt; VALUE(RIGHT(H1134,LEN(H1134)-FIND("/",H1134))), B1134, IFERROR(INDEX('SAÍDA DE VENDAS'!$B$6:$B$500, MATCH(B1134,'SAÍDA DE VENDAS'!$B$6:$B$500,0)+COUNTIF('SAÍDA DE VENDAS'!$B$6:$B$500, B1134)),"")))</f>
        <v/>
      </c>
      <c r="C1135" s="35">
        <f>IFERROR(VLOOKUP(B1135,'SAÍDA DE VENDAS'!$B$6:$P$500,3,FALSE),"")</f>
        <v>0</v>
      </c>
      <c r="D1135" s="34">
        <f>IFERROR(VLOOKUP(B1135,'SAÍDA DE VENDAS'!$B$6:$P$500,4,FALSE),"")</f>
        <v>0</v>
      </c>
      <c r="E1135" s="34" t="str">
        <f>IFERROR(VLOOKUP(B1135,'SAÍDA DE VENDAS'!$B$6:$P$500,5,FALSE),"")</f>
        <v/>
      </c>
      <c r="F1135" s="34" t="str">
        <f>IF(OR(ISBLANK(B1135),B1135=""), "", IFERROR(INDEX('SAÍDA DE VENDAS'!$H$6:$H$500 &amp; "x " &amp; 'SAÍDA DE VENDAS'!$G$6:$G$500, MATCH(B1135, 'SAÍDA DE VENDAS'!$B$6:$B$500, 0)), "")&amp; IF(COUNTIF('SAÍDA DE VENDAS'!$B$6:$B$500, B1135)&gt;1, " + " &amp; IFERROR(INDEX('SAÍDA DE VENDAS'!$H$6:$H$500 &amp; "x " &amp; 'SAÍDA DE VENDAS'!$G$6:$G$500, MATCH(B1135, 'SAÍDA DE VENDAS'!$B$6:$B$500, 0)+1), ""), "")&amp; IF(COUNTIF('SAÍDA DE VENDAS'!$B$6:$B$500, B1135)&gt;2, " + " &amp; IFERROR(INDEX('SAÍDA DE VENDAS'!$H$6:$H$500 &amp; "x " &amp; 'SAÍDA DE VENDAS'!$G$6:$G$500, MATCH(B1135, 'SAÍDA DE VENDAS'!$B$6:$B$500, 0)+2), ""), "")&amp; IF(COUNTIF('SAÍDA DE VENDAS'!$B$6:$B$500, B1135)&gt;3, " + " &amp; IFERROR(INDEX('SAÍDA DE VENDAS'!$H$6:$H$500 &amp; "x " &amp; 'SAÍDA DE VENDAS'!$G$6:$G$500, MATCH(B1135, 'SAÍDA DE VENDAS'!$B$6:$B$500, 0)+3), ""), "")&amp; IF(COUNTIF('SAÍDA DE VENDAS'!$B$6:$B$500, B1135)&gt;4, " + " &amp; IFERROR(INDEX('SAÍDA DE VENDAS'!$H$6:$H$500 &amp; "x " &amp; 'SAÍDA DE VENDAS'!$G$6:$G$500, MATCH(B1135, 'SAÍDA DE VENDAS'!$B$6:$B$500, 0)+4), ""), "")&amp; IF(COUNTIF('SAÍDA DE VENDAS'!$B$6:$B$500, B1135)&gt;5, " + " &amp; IFERROR(INDEX('SAÍDA DE VENDAS'!$H$6:$H$500 &amp; "x " &amp; 'SAÍDA DE VENDAS'!$G$6:$G$500, MATCH(B1135, 'SAÍDA DE VENDAS'!$B$6:$B$500, 0)+5), ""), ""))</f>
        <v/>
      </c>
      <c r="G1135" s="34">
        <f>IFERROR(VLOOKUP(B1135,'SAÍDA DE VENDAS'!$B$6:$P$500,10,FALSE),"")</f>
        <v>0</v>
      </c>
      <c r="H1135" s="34" t="str">
        <f>IF(OR(ISBLANK(B1135),B1135=""), "", IF(B1135=B1134, (VALUE(LEFT(H1134,FIND("/",H1134)-1))+1)&amp;"/"&amp;RIGHT(H1134,LEN(H1134)-FIND("/",H1134)), "1/"&amp;IFERROR(VLOOKUP(B1135,'SAÍDA DE VENDAS'!$B$6:$P$500,13,FALSE),"1")))</f>
        <v/>
      </c>
      <c r="I1135" s="35" t="str">
        <f t="shared" si="34"/>
        <v/>
      </c>
      <c r="J1135" s="39" t="str">
        <f>IFERROR(VLOOKUP(B1135,'SAÍDA DE VENDAS'!$B$6:$P$500,15,FALSE),"")</f>
        <v/>
      </c>
      <c r="K1135" s="34" t="str">
        <f t="shared" ca="1" si="35"/>
        <v/>
      </c>
      <c r="L1135" s="34"/>
      <c r="M1135" s="34"/>
    </row>
    <row r="1136" spans="2:13" ht="15" customHeight="1" x14ac:dyDescent="0.3">
      <c r="B1136" s="28" t="str">
        <f>IF(B1135="","", IF(VALUE(LEFT(H1135,FIND("/",H1135)-1)) &lt; VALUE(RIGHT(H1135,LEN(H1135)-FIND("/",H1135))), B1135, IFERROR(INDEX('SAÍDA DE VENDAS'!$B$6:$B$500, MATCH(B1135,'SAÍDA DE VENDAS'!$B$6:$B$500,0)+COUNTIF('SAÍDA DE VENDAS'!$B$6:$B$500, B1135)),"")))</f>
        <v/>
      </c>
      <c r="C1136" s="29">
        <f>IFERROR(VLOOKUP(B1136,'SAÍDA DE VENDAS'!$B$6:$P$500,3,FALSE),"")</f>
        <v>0</v>
      </c>
      <c r="D1136" s="28">
        <f>IFERROR(VLOOKUP(B1136,'SAÍDA DE VENDAS'!$B$6:$P$500,4,FALSE),"")</f>
        <v>0</v>
      </c>
      <c r="E1136" s="28" t="str">
        <f>IFERROR(VLOOKUP(B1136,'SAÍDA DE VENDAS'!$B$6:$P$500,5,FALSE),"")</f>
        <v/>
      </c>
      <c r="F1136" s="28" t="str">
        <f>IF(OR(ISBLANK(B1136),B1136=""), "", IFERROR(INDEX('SAÍDA DE VENDAS'!$H$6:$H$500 &amp; "x " &amp; 'SAÍDA DE VENDAS'!$G$6:$G$500, MATCH(B1136, 'SAÍDA DE VENDAS'!$B$6:$B$500, 0)), "")&amp; IF(COUNTIF('SAÍDA DE VENDAS'!$B$6:$B$500, B1136)&gt;1, " + " &amp; IFERROR(INDEX('SAÍDA DE VENDAS'!$H$6:$H$500 &amp; "x " &amp; 'SAÍDA DE VENDAS'!$G$6:$G$500, MATCH(B1136, 'SAÍDA DE VENDAS'!$B$6:$B$500, 0)+1), ""), "")&amp; IF(COUNTIF('SAÍDA DE VENDAS'!$B$6:$B$500, B1136)&gt;2, " + " &amp; IFERROR(INDEX('SAÍDA DE VENDAS'!$H$6:$H$500 &amp; "x " &amp; 'SAÍDA DE VENDAS'!$G$6:$G$500, MATCH(B1136, 'SAÍDA DE VENDAS'!$B$6:$B$500, 0)+2), ""), "")&amp; IF(COUNTIF('SAÍDA DE VENDAS'!$B$6:$B$500, B1136)&gt;3, " + " &amp; IFERROR(INDEX('SAÍDA DE VENDAS'!$H$6:$H$500 &amp; "x " &amp; 'SAÍDA DE VENDAS'!$G$6:$G$500, MATCH(B1136, 'SAÍDA DE VENDAS'!$B$6:$B$500, 0)+3), ""), "")&amp; IF(COUNTIF('SAÍDA DE VENDAS'!$B$6:$B$500, B1136)&gt;4, " + " &amp; IFERROR(INDEX('SAÍDA DE VENDAS'!$H$6:$H$500 &amp; "x " &amp; 'SAÍDA DE VENDAS'!$G$6:$G$500, MATCH(B1136, 'SAÍDA DE VENDAS'!$B$6:$B$500, 0)+4), ""), "")&amp; IF(COUNTIF('SAÍDA DE VENDAS'!$B$6:$B$500, B1136)&gt;5, " + " &amp; IFERROR(INDEX('SAÍDA DE VENDAS'!$H$6:$H$500 &amp; "x " &amp; 'SAÍDA DE VENDAS'!$G$6:$G$500, MATCH(B1136, 'SAÍDA DE VENDAS'!$B$6:$B$500, 0)+5), ""), ""))</f>
        <v/>
      </c>
      <c r="G1136" s="28">
        <f>IFERROR(VLOOKUP(B1136,'SAÍDA DE VENDAS'!$B$6:$P$500,10,FALSE),"")</f>
        <v>0</v>
      </c>
      <c r="H1136" s="28" t="str">
        <f>IF(OR(ISBLANK(B1136),B1136=""), "", IF(B1136=B1135, (VALUE(LEFT(H1135,FIND("/",H1135)-1))+1)&amp;"/"&amp;RIGHT(H1135,LEN(H1135)-FIND("/",H1135)), "1/"&amp;IFERROR(VLOOKUP(B1136,'SAÍDA DE VENDAS'!$B$6:$P$500,13,FALSE),"1")))</f>
        <v/>
      </c>
      <c r="I1136" s="69" t="str">
        <f t="shared" si="34"/>
        <v/>
      </c>
      <c r="J1136" s="33" t="str">
        <f>IFERROR(VLOOKUP(B1136,'SAÍDA DE VENDAS'!$B$6:$P$500,15,FALSE),"")</f>
        <v/>
      </c>
      <c r="K1136" s="28" t="str">
        <f t="shared" ca="1" si="35"/>
        <v/>
      </c>
      <c r="L1136" s="28"/>
      <c r="M1136" s="28"/>
    </row>
    <row r="1137" spans="2:13" ht="15" customHeight="1" x14ac:dyDescent="0.3">
      <c r="B1137" s="34" t="str">
        <f>IF(B1136="","", IF(VALUE(LEFT(H1136,FIND("/",H1136)-1)) &lt; VALUE(RIGHT(H1136,LEN(H1136)-FIND("/",H1136))), B1136, IFERROR(INDEX('SAÍDA DE VENDAS'!$B$6:$B$500, MATCH(B1136,'SAÍDA DE VENDAS'!$B$6:$B$500,0)+COUNTIF('SAÍDA DE VENDAS'!$B$6:$B$500, B1136)),"")))</f>
        <v/>
      </c>
      <c r="C1137" s="35">
        <f>IFERROR(VLOOKUP(B1137,'SAÍDA DE VENDAS'!$B$6:$P$500,3,FALSE),"")</f>
        <v>0</v>
      </c>
      <c r="D1137" s="34">
        <f>IFERROR(VLOOKUP(B1137,'SAÍDA DE VENDAS'!$B$6:$P$500,4,FALSE),"")</f>
        <v>0</v>
      </c>
      <c r="E1137" s="34" t="str">
        <f>IFERROR(VLOOKUP(B1137,'SAÍDA DE VENDAS'!$B$6:$P$500,5,FALSE),"")</f>
        <v/>
      </c>
      <c r="F1137" s="34" t="str">
        <f>IF(OR(ISBLANK(B1137),B1137=""), "", IFERROR(INDEX('SAÍDA DE VENDAS'!$H$6:$H$500 &amp; "x " &amp; 'SAÍDA DE VENDAS'!$G$6:$G$500, MATCH(B1137, 'SAÍDA DE VENDAS'!$B$6:$B$500, 0)), "")&amp; IF(COUNTIF('SAÍDA DE VENDAS'!$B$6:$B$500, B1137)&gt;1, " + " &amp; IFERROR(INDEX('SAÍDA DE VENDAS'!$H$6:$H$500 &amp; "x " &amp; 'SAÍDA DE VENDAS'!$G$6:$G$500, MATCH(B1137, 'SAÍDA DE VENDAS'!$B$6:$B$500, 0)+1), ""), "")&amp; IF(COUNTIF('SAÍDA DE VENDAS'!$B$6:$B$500, B1137)&gt;2, " + " &amp; IFERROR(INDEX('SAÍDA DE VENDAS'!$H$6:$H$500 &amp; "x " &amp; 'SAÍDA DE VENDAS'!$G$6:$G$500, MATCH(B1137, 'SAÍDA DE VENDAS'!$B$6:$B$500, 0)+2), ""), "")&amp; IF(COUNTIF('SAÍDA DE VENDAS'!$B$6:$B$500, B1137)&gt;3, " + " &amp; IFERROR(INDEX('SAÍDA DE VENDAS'!$H$6:$H$500 &amp; "x " &amp; 'SAÍDA DE VENDAS'!$G$6:$G$500, MATCH(B1137, 'SAÍDA DE VENDAS'!$B$6:$B$500, 0)+3), ""), "")&amp; IF(COUNTIF('SAÍDA DE VENDAS'!$B$6:$B$500, B1137)&gt;4, " + " &amp; IFERROR(INDEX('SAÍDA DE VENDAS'!$H$6:$H$500 &amp; "x " &amp; 'SAÍDA DE VENDAS'!$G$6:$G$500, MATCH(B1137, 'SAÍDA DE VENDAS'!$B$6:$B$500, 0)+4), ""), "")&amp; IF(COUNTIF('SAÍDA DE VENDAS'!$B$6:$B$500, B1137)&gt;5, " + " &amp; IFERROR(INDEX('SAÍDA DE VENDAS'!$H$6:$H$500 &amp; "x " &amp; 'SAÍDA DE VENDAS'!$G$6:$G$500, MATCH(B1137, 'SAÍDA DE VENDAS'!$B$6:$B$500, 0)+5), ""), ""))</f>
        <v/>
      </c>
      <c r="G1137" s="34">
        <f>IFERROR(VLOOKUP(B1137,'SAÍDA DE VENDAS'!$B$6:$P$500,10,FALSE),"")</f>
        <v>0</v>
      </c>
      <c r="H1137" s="34" t="str">
        <f>IF(OR(ISBLANK(B1137),B1137=""), "", IF(B1137=B1136, (VALUE(LEFT(H1136,FIND("/",H1136)-1))+1)&amp;"/"&amp;RIGHT(H1136,LEN(H1136)-FIND("/",H1136)), "1/"&amp;IFERROR(VLOOKUP(B1137,'SAÍDA DE VENDAS'!$B$6:$P$500,13,FALSE),"1")))</f>
        <v/>
      </c>
      <c r="I1137" s="35" t="str">
        <f t="shared" si="34"/>
        <v/>
      </c>
      <c r="J1137" s="39" t="str">
        <f>IFERROR(VLOOKUP(B1137,'SAÍDA DE VENDAS'!$B$6:$P$500,15,FALSE),"")</f>
        <v/>
      </c>
      <c r="K1137" s="34" t="str">
        <f t="shared" ca="1" si="35"/>
        <v/>
      </c>
      <c r="L1137" s="34"/>
      <c r="M1137" s="34"/>
    </row>
    <row r="1138" spans="2:13" ht="15" customHeight="1" x14ac:dyDescent="0.3">
      <c r="B1138" s="28" t="str">
        <f>IF(B1137="","", IF(VALUE(LEFT(H1137,FIND("/",H1137)-1)) &lt; VALUE(RIGHT(H1137,LEN(H1137)-FIND("/",H1137))), B1137, IFERROR(INDEX('SAÍDA DE VENDAS'!$B$6:$B$500, MATCH(B1137,'SAÍDA DE VENDAS'!$B$6:$B$500,0)+COUNTIF('SAÍDA DE VENDAS'!$B$6:$B$500, B1137)),"")))</f>
        <v/>
      </c>
      <c r="C1138" s="29">
        <f>IFERROR(VLOOKUP(B1138,'SAÍDA DE VENDAS'!$B$6:$P$500,3,FALSE),"")</f>
        <v>0</v>
      </c>
      <c r="D1138" s="28">
        <f>IFERROR(VLOOKUP(B1138,'SAÍDA DE VENDAS'!$B$6:$P$500,4,FALSE),"")</f>
        <v>0</v>
      </c>
      <c r="E1138" s="28" t="str">
        <f>IFERROR(VLOOKUP(B1138,'SAÍDA DE VENDAS'!$B$6:$P$500,5,FALSE),"")</f>
        <v/>
      </c>
      <c r="F1138" s="28" t="str">
        <f>IF(OR(ISBLANK(B1138),B1138=""), "", IFERROR(INDEX('SAÍDA DE VENDAS'!$H$6:$H$500 &amp; "x " &amp; 'SAÍDA DE VENDAS'!$G$6:$G$500, MATCH(B1138, 'SAÍDA DE VENDAS'!$B$6:$B$500, 0)), "")&amp; IF(COUNTIF('SAÍDA DE VENDAS'!$B$6:$B$500, B1138)&gt;1, " + " &amp; IFERROR(INDEX('SAÍDA DE VENDAS'!$H$6:$H$500 &amp; "x " &amp; 'SAÍDA DE VENDAS'!$G$6:$G$500, MATCH(B1138, 'SAÍDA DE VENDAS'!$B$6:$B$500, 0)+1), ""), "")&amp; IF(COUNTIF('SAÍDA DE VENDAS'!$B$6:$B$500, B1138)&gt;2, " + " &amp; IFERROR(INDEX('SAÍDA DE VENDAS'!$H$6:$H$500 &amp; "x " &amp; 'SAÍDA DE VENDAS'!$G$6:$G$500, MATCH(B1138, 'SAÍDA DE VENDAS'!$B$6:$B$500, 0)+2), ""), "")&amp; IF(COUNTIF('SAÍDA DE VENDAS'!$B$6:$B$500, B1138)&gt;3, " + " &amp; IFERROR(INDEX('SAÍDA DE VENDAS'!$H$6:$H$500 &amp; "x " &amp; 'SAÍDA DE VENDAS'!$G$6:$G$500, MATCH(B1138, 'SAÍDA DE VENDAS'!$B$6:$B$500, 0)+3), ""), "")&amp; IF(COUNTIF('SAÍDA DE VENDAS'!$B$6:$B$500, B1138)&gt;4, " + " &amp; IFERROR(INDEX('SAÍDA DE VENDAS'!$H$6:$H$500 &amp; "x " &amp; 'SAÍDA DE VENDAS'!$G$6:$G$500, MATCH(B1138, 'SAÍDA DE VENDAS'!$B$6:$B$500, 0)+4), ""), "")&amp; IF(COUNTIF('SAÍDA DE VENDAS'!$B$6:$B$500, B1138)&gt;5, " + " &amp; IFERROR(INDEX('SAÍDA DE VENDAS'!$H$6:$H$500 &amp; "x " &amp; 'SAÍDA DE VENDAS'!$G$6:$G$500, MATCH(B1138, 'SAÍDA DE VENDAS'!$B$6:$B$500, 0)+5), ""), ""))</f>
        <v/>
      </c>
      <c r="G1138" s="28">
        <f>IFERROR(VLOOKUP(B1138,'SAÍDA DE VENDAS'!$B$6:$P$500,10,FALSE),"")</f>
        <v>0</v>
      </c>
      <c r="H1138" s="28" t="str">
        <f>IF(OR(ISBLANK(B1138),B1138=""), "", IF(B1138=B1137, (VALUE(LEFT(H1137,FIND("/",H1137)-1))+1)&amp;"/"&amp;RIGHT(H1137,LEN(H1137)-FIND("/",H1137)), "1/"&amp;IFERROR(VLOOKUP(B1138,'SAÍDA DE VENDAS'!$B$6:$P$500,13,FALSE),"1")))</f>
        <v/>
      </c>
      <c r="I1138" s="69" t="str">
        <f t="shared" si="34"/>
        <v/>
      </c>
      <c r="J1138" s="33" t="str">
        <f>IFERROR(VLOOKUP(B1138,'SAÍDA DE VENDAS'!$B$6:$P$500,15,FALSE),"")</f>
        <v/>
      </c>
      <c r="K1138" s="28" t="str">
        <f t="shared" ca="1" si="35"/>
        <v/>
      </c>
      <c r="L1138" s="28"/>
      <c r="M1138" s="28"/>
    </row>
    <row r="1139" spans="2:13" ht="15" customHeight="1" x14ac:dyDescent="0.3">
      <c r="B1139" s="34" t="str">
        <f>IF(B1138="","", IF(VALUE(LEFT(H1138,FIND("/",H1138)-1)) &lt; VALUE(RIGHT(H1138,LEN(H1138)-FIND("/",H1138))), B1138, IFERROR(INDEX('SAÍDA DE VENDAS'!$B$6:$B$500, MATCH(B1138,'SAÍDA DE VENDAS'!$B$6:$B$500,0)+COUNTIF('SAÍDA DE VENDAS'!$B$6:$B$500, B1138)),"")))</f>
        <v/>
      </c>
      <c r="C1139" s="35">
        <f>IFERROR(VLOOKUP(B1139,'SAÍDA DE VENDAS'!$B$6:$P$500,3,FALSE),"")</f>
        <v>0</v>
      </c>
      <c r="D1139" s="34">
        <f>IFERROR(VLOOKUP(B1139,'SAÍDA DE VENDAS'!$B$6:$P$500,4,FALSE),"")</f>
        <v>0</v>
      </c>
      <c r="E1139" s="34" t="str">
        <f>IFERROR(VLOOKUP(B1139,'SAÍDA DE VENDAS'!$B$6:$P$500,5,FALSE),"")</f>
        <v/>
      </c>
      <c r="F1139" s="34" t="str">
        <f>IF(OR(ISBLANK(B1139),B1139=""), "", IFERROR(INDEX('SAÍDA DE VENDAS'!$H$6:$H$500 &amp; "x " &amp; 'SAÍDA DE VENDAS'!$G$6:$G$500, MATCH(B1139, 'SAÍDA DE VENDAS'!$B$6:$B$500, 0)), "")&amp; IF(COUNTIF('SAÍDA DE VENDAS'!$B$6:$B$500, B1139)&gt;1, " + " &amp; IFERROR(INDEX('SAÍDA DE VENDAS'!$H$6:$H$500 &amp; "x " &amp; 'SAÍDA DE VENDAS'!$G$6:$G$500, MATCH(B1139, 'SAÍDA DE VENDAS'!$B$6:$B$500, 0)+1), ""), "")&amp; IF(COUNTIF('SAÍDA DE VENDAS'!$B$6:$B$500, B1139)&gt;2, " + " &amp; IFERROR(INDEX('SAÍDA DE VENDAS'!$H$6:$H$500 &amp; "x " &amp; 'SAÍDA DE VENDAS'!$G$6:$G$500, MATCH(B1139, 'SAÍDA DE VENDAS'!$B$6:$B$500, 0)+2), ""), "")&amp; IF(COUNTIF('SAÍDA DE VENDAS'!$B$6:$B$500, B1139)&gt;3, " + " &amp; IFERROR(INDEX('SAÍDA DE VENDAS'!$H$6:$H$500 &amp; "x " &amp; 'SAÍDA DE VENDAS'!$G$6:$G$500, MATCH(B1139, 'SAÍDA DE VENDAS'!$B$6:$B$500, 0)+3), ""), "")&amp; IF(COUNTIF('SAÍDA DE VENDAS'!$B$6:$B$500, B1139)&gt;4, " + " &amp; IFERROR(INDEX('SAÍDA DE VENDAS'!$H$6:$H$500 &amp; "x " &amp; 'SAÍDA DE VENDAS'!$G$6:$G$500, MATCH(B1139, 'SAÍDA DE VENDAS'!$B$6:$B$500, 0)+4), ""), "")&amp; IF(COUNTIF('SAÍDA DE VENDAS'!$B$6:$B$500, B1139)&gt;5, " + " &amp; IFERROR(INDEX('SAÍDA DE VENDAS'!$H$6:$H$500 &amp; "x " &amp; 'SAÍDA DE VENDAS'!$G$6:$G$500, MATCH(B1139, 'SAÍDA DE VENDAS'!$B$6:$B$500, 0)+5), ""), ""))</f>
        <v/>
      </c>
      <c r="G1139" s="34">
        <f>IFERROR(VLOOKUP(B1139,'SAÍDA DE VENDAS'!$B$6:$P$500,10,FALSE),"")</f>
        <v>0</v>
      </c>
      <c r="H1139" s="34" t="str">
        <f>IF(OR(ISBLANK(B1139),B1139=""), "", IF(B1139=B1138, (VALUE(LEFT(H1138,FIND("/",H1138)-1))+1)&amp;"/"&amp;RIGHT(H1138,LEN(H1138)-FIND("/",H1138)), "1/"&amp;IFERROR(VLOOKUP(B1139,'SAÍDA DE VENDAS'!$B$6:$P$500,13,FALSE),"1")))</f>
        <v/>
      </c>
      <c r="I1139" s="35" t="str">
        <f t="shared" si="34"/>
        <v/>
      </c>
      <c r="J1139" s="39" t="str">
        <f>IFERROR(VLOOKUP(B1139,'SAÍDA DE VENDAS'!$B$6:$P$500,15,FALSE),"")</f>
        <v/>
      </c>
      <c r="K1139" s="34" t="str">
        <f t="shared" ca="1" si="35"/>
        <v/>
      </c>
      <c r="L1139" s="34"/>
      <c r="M1139" s="34"/>
    </row>
    <row r="1140" spans="2:13" ht="15" customHeight="1" x14ac:dyDescent="0.3">
      <c r="B1140" s="28" t="str">
        <f>IF(B1139="","", IF(VALUE(LEFT(H1139,FIND("/",H1139)-1)) &lt; VALUE(RIGHT(H1139,LEN(H1139)-FIND("/",H1139))), B1139, IFERROR(INDEX('SAÍDA DE VENDAS'!$B$6:$B$500, MATCH(B1139,'SAÍDA DE VENDAS'!$B$6:$B$500,0)+COUNTIF('SAÍDA DE VENDAS'!$B$6:$B$500, B1139)),"")))</f>
        <v/>
      </c>
      <c r="C1140" s="29">
        <f>IFERROR(VLOOKUP(B1140,'SAÍDA DE VENDAS'!$B$6:$P$500,3,FALSE),"")</f>
        <v>0</v>
      </c>
      <c r="D1140" s="28">
        <f>IFERROR(VLOOKUP(B1140,'SAÍDA DE VENDAS'!$B$6:$P$500,4,FALSE),"")</f>
        <v>0</v>
      </c>
      <c r="E1140" s="28" t="str">
        <f>IFERROR(VLOOKUP(B1140,'SAÍDA DE VENDAS'!$B$6:$P$500,5,FALSE),"")</f>
        <v/>
      </c>
      <c r="F1140" s="28" t="str">
        <f>IF(OR(ISBLANK(B1140),B1140=""), "", IFERROR(INDEX('SAÍDA DE VENDAS'!$H$6:$H$500 &amp; "x " &amp; 'SAÍDA DE VENDAS'!$G$6:$G$500, MATCH(B1140, 'SAÍDA DE VENDAS'!$B$6:$B$500, 0)), "")&amp; IF(COUNTIF('SAÍDA DE VENDAS'!$B$6:$B$500, B1140)&gt;1, " + " &amp; IFERROR(INDEX('SAÍDA DE VENDAS'!$H$6:$H$500 &amp; "x " &amp; 'SAÍDA DE VENDAS'!$G$6:$G$500, MATCH(B1140, 'SAÍDA DE VENDAS'!$B$6:$B$500, 0)+1), ""), "")&amp; IF(COUNTIF('SAÍDA DE VENDAS'!$B$6:$B$500, B1140)&gt;2, " + " &amp; IFERROR(INDEX('SAÍDA DE VENDAS'!$H$6:$H$500 &amp; "x " &amp; 'SAÍDA DE VENDAS'!$G$6:$G$500, MATCH(B1140, 'SAÍDA DE VENDAS'!$B$6:$B$500, 0)+2), ""), "")&amp; IF(COUNTIF('SAÍDA DE VENDAS'!$B$6:$B$500, B1140)&gt;3, " + " &amp; IFERROR(INDEX('SAÍDA DE VENDAS'!$H$6:$H$500 &amp; "x " &amp; 'SAÍDA DE VENDAS'!$G$6:$G$500, MATCH(B1140, 'SAÍDA DE VENDAS'!$B$6:$B$500, 0)+3), ""), "")&amp; IF(COUNTIF('SAÍDA DE VENDAS'!$B$6:$B$500, B1140)&gt;4, " + " &amp; IFERROR(INDEX('SAÍDA DE VENDAS'!$H$6:$H$500 &amp; "x " &amp; 'SAÍDA DE VENDAS'!$G$6:$G$500, MATCH(B1140, 'SAÍDA DE VENDAS'!$B$6:$B$500, 0)+4), ""), "")&amp; IF(COUNTIF('SAÍDA DE VENDAS'!$B$6:$B$500, B1140)&gt;5, " + " &amp; IFERROR(INDEX('SAÍDA DE VENDAS'!$H$6:$H$500 &amp; "x " &amp; 'SAÍDA DE VENDAS'!$G$6:$G$500, MATCH(B1140, 'SAÍDA DE VENDAS'!$B$6:$B$500, 0)+5), ""), ""))</f>
        <v/>
      </c>
      <c r="G1140" s="28">
        <f>IFERROR(VLOOKUP(B1140,'SAÍDA DE VENDAS'!$B$6:$P$500,10,FALSE),"")</f>
        <v>0</v>
      </c>
      <c r="H1140" s="28" t="str">
        <f>IF(OR(ISBLANK(B1140),B1140=""), "", IF(B1140=B1139, (VALUE(LEFT(H1139,FIND("/",H1139)-1))+1)&amp;"/"&amp;RIGHT(H1139,LEN(H1139)-FIND("/",H1139)), "1/"&amp;IFERROR(VLOOKUP(B1140,'SAÍDA DE VENDAS'!$B$6:$P$500,13,FALSE),"1")))</f>
        <v/>
      </c>
      <c r="I1140" s="69" t="str">
        <f t="shared" si="34"/>
        <v/>
      </c>
      <c r="J1140" s="33" t="str">
        <f>IFERROR(VLOOKUP(B1140,'SAÍDA DE VENDAS'!$B$6:$P$500,15,FALSE),"")</f>
        <v/>
      </c>
      <c r="K1140" s="28" t="str">
        <f t="shared" ca="1" si="35"/>
        <v/>
      </c>
      <c r="L1140" s="28"/>
      <c r="M1140" s="28"/>
    </row>
    <row r="1141" spans="2:13" ht="15" customHeight="1" x14ac:dyDescent="0.3">
      <c r="B1141" s="34" t="str">
        <f>IF(B1140="","", IF(VALUE(LEFT(H1140,FIND("/",H1140)-1)) &lt; VALUE(RIGHT(H1140,LEN(H1140)-FIND("/",H1140))), B1140, IFERROR(INDEX('SAÍDA DE VENDAS'!$B$6:$B$500, MATCH(B1140,'SAÍDA DE VENDAS'!$B$6:$B$500,0)+COUNTIF('SAÍDA DE VENDAS'!$B$6:$B$500, B1140)),"")))</f>
        <v/>
      </c>
      <c r="C1141" s="35">
        <f>IFERROR(VLOOKUP(B1141,'SAÍDA DE VENDAS'!$B$6:$P$500,3,FALSE),"")</f>
        <v>0</v>
      </c>
      <c r="D1141" s="34">
        <f>IFERROR(VLOOKUP(B1141,'SAÍDA DE VENDAS'!$B$6:$P$500,4,FALSE),"")</f>
        <v>0</v>
      </c>
      <c r="E1141" s="34" t="str">
        <f>IFERROR(VLOOKUP(B1141,'SAÍDA DE VENDAS'!$B$6:$P$500,5,FALSE),"")</f>
        <v/>
      </c>
      <c r="F1141" s="34" t="str">
        <f>IF(OR(ISBLANK(B1141),B1141=""), "", IFERROR(INDEX('SAÍDA DE VENDAS'!$H$6:$H$500 &amp; "x " &amp; 'SAÍDA DE VENDAS'!$G$6:$G$500, MATCH(B1141, 'SAÍDA DE VENDAS'!$B$6:$B$500, 0)), "")&amp; IF(COUNTIF('SAÍDA DE VENDAS'!$B$6:$B$500, B1141)&gt;1, " + " &amp; IFERROR(INDEX('SAÍDA DE VENDAS'!$H$6:$H$500 &amp; "x " &amp; 'SAÍDA DE VENDAS'!$G$6:$G$500, MATCH(B1141, 'SAÍDA DE VENDAS'!$B$6:$B$500, 0)+1), ""), "")&amp; IF(COUNTIF('SAÍDA DE VENDAS'!$B$6:$B$500, B1141)&gt;2, " + " &amp; IFERROR(INDEX('SAÍDA DE VENDAS'!$H$6:$H$500 &amp; "x " &amp; 'SAÍDA DE VENDAS'!$G$6:$G$500, MATCH(B1141, 'SAÍDA DE VENDAS'!$B$6:$B$500, 0)+2), ""), "")&amp; IF(COUNTIF('SAÍDA DE VENDAS'!$B$6:$B$500, B1141)&gt;3, " + " &amp; IFERROR(INDEX('SAÍDA DE VENDAS'!$H$6:$H$500 &amp; "x " &amp; 'SAÍDA DE VENDAS'!$G$6:$G$500, MATCH(B1141, 'SAÍDA DE VENDAS'!$B$6:$B$500, 0)+3), ""), "")&amp; IF(COUNTIF('SAÍDA DE VENDAS'!$B$6:$B$500, B1141)&gt;4, " + " &amp; IFERROR(INDEX('SAÍDA DE VENDAS'!$H$6:$H$500 &amp; "x " &amp; 'SAÍDA DE VENDAS'!$G$6:$G$500, MATCH(B1141, 'SAÍDA DE VENDAS'!$B$6:$B$500, 0)+4), ""), "")&amp; IF(COUNTIF('SAÍDA DE VENDAS'!$B$6:$B$500, B1141)&gt;5, " + " &amp; IFERROR(INDEX('SAÍDA DE VENDAS'!$H$6:$H$500 &amp; "x " &amp; 'SAÍDA DE VENDAS'!$G$6:$G$500, MATCH(B1141, 'SAÍDA DE VENDAS'!$B$6:$B$500, 0)+5), ""), ""))</f>
        <v/>
      </c>
      <c r="G1141" s="34">
        <f>IFERROR(VLOOKUP(B1141,'SAÍDA DE VENDAS'!$B$6:$P$500,10,FALSE),"")</f>
        <v>0</v>
      </c>
      <c r="H1141" s="34" t="str">
        <f>IF(OR(ISBLANK(B1141),B1141=""), "", IF(B1141=B1140, (VALUE(LEFT(H1140,FIND("/",H1140)-1))+1)&amp;"/"&amp;RIGHT(H1140,LEN(H1140)-FIND("/",H1140)), "1/"&amp;IFERROR(VLOOKUP(B1141,'SAÍDA DE VENDAS'!$B$6:$P$500,13,FALSE),"1")))</f>
        <v/>
      </c>
      <c r="I1141" s="35" t="str">
        <f t="shared" si="34"/>
        <v/>
      </c>
      <c r="J1141" s="39" t="str">
        <f>IFERROR(VLOOKUP(B1141,'SAÍDA DE VENDAS'!$B$6:$P$500,15,FALSE),"")</f>
        <v/>
      </c>
      <c r="K1141" s="34" t="str">
        <f t="shared" ca="1" si="35"/>
        <v/>
      </c>
      <c r="L1141" s="34"/>
      <c r="M1141" s="34"/>
    </row>
    <row r="1142" spans="2:13" ht="15" customHeight="1" x14ac:dyDescent="0.3">
      <c r="B1142" s="28" t="str">
        <f>IF(B1141="","", IF(VALUE(LEFT(H1141,FIND("/",H1141)-1)) &lt; VALUE(RIGHT(H1141,LEN(H1141)-FIND("/",H1141))), B1141, IFERROR(INDEX('SAÍDA DE VENDAS'!$B$6:$B$500, MATCH(B1141,'SAÍDA DE VENDAS'!$B$6:$B$500,0)+COUNTIF('SAÍDA DE VENDAS'!$B$6:$B$500, B1141)),"")))</f>
        <v/>
      </c>
      <c r="C1142" s="29">
        <f>IFERROR(VLOOKUP(B1142,'SAÍDA DE VENDAS'!$B$6:$P$500,3,FALSE),"")</f>
        <v>0</v>
      </c>
      <c r="D1142" s="28">
        <f>IFERROR(VLOOKUP(B1142,'SAÍDA DE VENDAS'!$B$6:$P$500,4,FALSE),"")</f>
        <v>0</v>
      </c>
      <c r="E1142" s="28" t="str">
        <f>IFERROR(VLOOKUP(B1142,'SAÍDA DE VENDAS'!$B$6:$P$500,5,FALSE),"")</f>
        <v/>
      </c>
      <c r="F1142" s="28" t="str">
        <f>IF(OR(ISBLANK(B1142),B1142=""), "", IFERROR(INDEX('SAÍDA DE VENDAS'!$H$6:$H$500 &amp; "x " &amp; 'SAÍDA DE VENDAS'!$G$6:$G$500, MATCH(B1142, 'SAÍDA DE VENDAS'!$B$6:$B$500, 0)), "")&amp; IF(COUNTIF('SAÍDA DE VENDAS'!$B$6:$B$500, B1142)&gt;1, " + " &amp; IFERROR(INDEX('SAÍDA DE VENDAS'!$H$6:$H$500 &amp; "x " &amp; 'SAÍDA DE VENDAS'!$G$6:$G$500, MATCH(B1142, 'SAÍDA DE VENDAS'!$B$6:$B$500, 0)+1), ""), "")&amp; IF(COUNTIF('SAÍDA DE VENDAS'!$B$6:$B$500, B1142)&gt;2, " + " &amp; IFERROR(INDEX('SAÍDA DE VENDAS'!$H$6:$H$500 &amp; "x " &amp; 'SAÍDA DE VENDAS'!$G$6:$G$500, MATCH(B1142, 'SAÍDA DE VENDAS'!$B$6:$B$500, 0)+2), ""), "")&amp; IF(COUNTIF('SAÍDA DE VENDAS'!$B$6:$B$500, B1142)&gt;3, " + " &amp; IFERROR(INDEX('SAÍDA DE VENDAS'!$H$6:$H$500 &amp; "x " &amp; 'SAÍDA DE VENDAS'!$G$6:$G$500, MATCH(B1142, 'SAÍDA DE VENDAS'!$B$6:$B$500, 0)+3), ""), "")&amp; IF(COUNTIF('SAÍDA DE VENDAS'!$B$6:$B$500, B1142)&gt;4, " + " &amp; IFERROR(INDEX('SAÍDA DE VENDAS'!$H$6:$H$500 &amp; "x " &amp; 'SAÍDA DE VENDAS'!$G$6:$G$500, MATCH(B1142, 'SAÍDA DE VENDAS'!$B$6:$B$500, 0)+4), ""), "")&amp; IF(COUNTIF('SAÍDA DE VENDAS'!$B$6:$B$500, B1142)&gt;5, " + " &amp; IFERROR(INDEX('SAÍDA DE VENDAS'!$H$6:$H$500 &amp; "x " &amp; 'SAÍDA DE VENDAS'!$G$6:$G$500, MATCH(B1142, 'SAÍDA DE VENDAS'!$B$6:$B$500, 0)+5), ""), ""))</f>
        <v/>
      </c>
      <c r="G1142" s="28">
        <f>IFERROR(VLOOKUP(B1142,'SAÍDA DE VENDAS'!$B$6:$P$500,10,FALSE),"")</f>
        <v>0</v>
      </c>
      <c r="H1142" s="28" t="str">
        <f>IF(OR(ISBLANK(B1142),B1142=""), "", IF(B1142=B1141, (VALUE(LEFT(H1141,FIND("/",H1141)-1))+1)&amp;"/"&amp;RIGHT(H1141,LEN(H1141)-FIND("/",H1141)), "1/"&amp;IFERROR(VLOOKUP(B1142,'SAÍDA DE VENDAS'!$B$6:$P$500,13,FALSE),"1")))</f>
        <v/>
      </c>
      <c r="I1142" s="69" t="str">
        <f t="shared" si="34"/>
        <v/>
      </c>
      <c r="J1142" s="33" t="str">
        <f>IFERROR(VLOOKUP(B1142,'SAÍDA DE VENDAS'!$B$6:$P$500,15,FALSE),"")</f>
        <v/>
      </c>
      <c r="K1142" s="28" t="str">
        <f t="shared" ca="1" si="35"/>
        <v/>
      </c>
      <c r="L1142" s="28"/>
      <c r="M1142" s="28"/>
    </row>
    <row r="1143" spans="2:13" ht="15" customHeight="1" x14ac:dyDescent="0.3">
      <c r="B1143" s="34" t="str">
        <f>IF(B1142="","", IF(VALUE(LEFT(H1142,FIND("/",H1142)-1)) &lt; VALUE(RIGHT(H1142,LEN(H1142)-FIND("/",H1142))), B1142, IFERROR(INDEX('SAÍDA DE VENDAS'!$B$6:$B$500, MATCH(B1142,'SAÍDA DE VENDAS'!$B$6:$B$500,0)+COUNTIF('SAÍDA DE VENDAS'!$B$6:$B$500, B1142)),"")))</f>
        <v/>
      </c>
      <c r="C1143" s="35">
        <f>IFERROR(VLOOKUP(B1143,'SAÍDA DE VENDAS'!$B$6:$P$500,3,FALSE),"")</f>
        <v>0</v>
      </c>
      <c r="D1143" s="34">
        <f>IFERROR(VLOOKUP(B1143,'SAÍDA DE VENDAS'!$B$6:$P$500,4,FALSE),"")</f>
        <v>0</v>
      </c>
      <c r="E1143" s="34" t="str">
        <f>IFERROR(VLOOKUP(B1143,'SAÍDA DE VENDAS'!$B$6:$P$500,5,FALSE),"")</f>
        <v/>
      </c>
      <c r="F1143" s="34" t="str">
        <f>IF(OR(ISBLANK(B1143),B1143=""), "", IFERROR(INDEX('SAÍDA DE VENDAS'!$H$6:$H$500 &amp; "x " &amp; 'SAÍDA DE VENDAS'!$G$6:$G$500, MATCH(B1143, 'SAÍDA DE VENDAS'!$B$6:$B$500, 0)), "")&amp; IF(COUNTIF('SAÍDA DE VENDAS'!$B$6:$B$500, B1143)&gt;1, " + " &amp; IFERROR(INDEX('SAÍDA DE VENDAS'!$H$6:$H$500 &amp; "x " &amp; 'SAÍDA DE VENDAS'!$G$6:$G$500, MATCH(B1143, 'SAÍDA DE VENDAS'!$B$6:$B$500, 0)+1), ""), "")&amp; IF(COUNTIF('SAÍDA DE VENDAS'!$B$6:$B$500, B1143)&gt;2, " + " &amp; IFERROR(INDEX('SAÍDA DE VENDAS'!$H$6:$H$500 &amp; "x " &amp; 'SAÍDA DE VENDAS'!$G$6:$G$500, MATCH(B1143, 'SAÍDA DE VENDAS'!$B$6:$B$500, 0)+2), ""), "")&amp; IF(COUNTIF('SAÍDA DE VENDAS'!$B$6:$B$500, B1143)&gt;3, " + " &amp; IFERROR(INDEX('SAÍDA DE VENDAS'!$H$6:$H$500 &amp; "x " &amp; 'SAÍDA DE VENDAS'!$G$6:$G$500, MATCH(B1143, 'SAÍDA DE VENDAS'!$B$6:$B$500, 0)+3), ""), "")&amp; IF(COUNTIF('SAÍDA DE VENDAS'!$B$6:$B$500, B1143)&gt;4, " + " &amp; IFERROR(INDEX('SAÍDA DE VENDAS'!$H$6:$H$500 &amp; "x " &amp; 'SAÍDA DE VENDAS'!$G$6:$G$500, MATCH(B1143, 'SAÍDA DE VENDAS'!$B$6:$B$500, 0)+4), ""), "")&amp; IF(COUNTIF('SAÍDA DE VENDAS'!$B$6:$B$500, B1143)&gt;5, " + " &amp; IFERROR(INDEX('SAÍDA DE VENDAS'!$H$6:$H$500 &amp; "x " &amp; 'SAÍDA DE VENDAS'!$G$6:$G$500, MATCH(B1143, 'SAÍDA DE VENDAS'!$B$6:$B$500, 0)+5), ""), ""))</f>
        <v/>
      </c>
      <c r="G1143" s="34">
        <f>IFERROR(VLOOKUP(B1143,'SAÍDA DE VENDAS'!$B$6:$P$500,10,FALSE),"")</f>
        <v>0</v>
      </c>
      <c r="H1143" s="34" t="str">
        <f>IF(OR(ISBLANK(B1143),B1143=""), "", IF(B1143=B1142, (VALUE(LEFT(H1142,FIND("/",H1142)-1))+1)&amp;"/"&amp;RIGHT(H1142,LEN(H1142)-FIND("/",H1142)), "1/"&amp;IFERROR(VLOOKUP(B1143,'SAÍDA DE VENDAS'!$B$6:$P$500,13,FALSE),"1")))</f>
        <v/>
      </c>
      <c r="I1143" s="35" t="str">
        <f t="shared" si="34"/>
        <v/>
      </c>
      <c r="J1143" s="39" t="str">
        <f>IFERROR(VLOOKUP(B1143,'SAÍDA DE VENDAS'!$B$6:$P$500,15,FALSE),"")</f>
        <v/>
      </c>
      <c r="K1143" s="34" t="str">
        <f t="shared" ca="1" si="35"/>
        <v/>
      </c>
      <c r="L1143" s="34"/>
      <c r="M1143" s="34"/>
    </row>
    <row r="1144" spans="2:13" ht="15" customHeight="1" x14ac:dyDescent="0.3">
      <c r="B1144" s="28" t="str">
        <f>IF(B1143="","", IF(VALUE(LEFT(H1143,FIND("/",H1143)-1)) &lt; VALUE(RIGHT(H1143,LEN(H1143)-FIND("/",H1143))), B1143, IFERROR(INDEX('SAÍDA DE VENDAS'!$B$6:$B$500, MATCH(B1143,'SAÍDA DE VENDAS'!$B$6:$B$500,0)+COUNTIF('SAÍDA DE VENDAS'!$B$6:$B$500, B1143)),"")))</f>
        <v/>
      </c>
      <c r="C1144" s="29">
        <f>IFERROR(VLOOKUP(B1144,'SAÍDA DE VENDAS'!$B$6:$P$500,3,FALSE),"")</f>
        <v>0</v>
      </c>
      <c r="D1144" s="28">
        <f>IFERROR(VLOOKUP(B1144,'SAÍDA DE VENDAS'!$B$6:$P$500,4,FALSE),"")</f>
        <v>0</v>
      </c>
      <c r="E1144" s="28" t="str">
        <f>IFERROR(VLOOKUP(B1144,'SAÍDA DE VENDAS'!$B$6:$P$500,5,FALSE),"")</f>
        <v/>
      </c>
      <c r="F1144" s="28" t="str">
        <f>IF(OR(ISBLANK(B1144),B1144=""), "", IFERROR(INDEX('SAÍDA DE VENDAS'!$H$6:$H$500 &amp; "x " &amp; 'SAÍDA DE VENDAS'!$G$6:$G$500, MATCH(B1144, 'SAÍDA DE VENDAS'!$B$6:$B$500, 0)), "")&amp; IF(COUNTIF('SAÍDA DE VENDAS'!$B$6:$B$500, B1144)&gt;1, " + " &amp; IFERROR(INDEX('SAÍDA DE VENDAS'!$H$6:$H$500 &amp; "x " &amp; 'SAÍDA DE VENDAS'!$G$6:$G$500, MATCH(B1144, 'SAÍDA DE VENDAS'!$B$6:$B$500, 0)+1), ""), "")&amp; IF(COUNTIF('SAÍDA DE VENDAS'!$B$6:$B$500, B1144)&gt;2, " + " &amp; IFERROR(INDEX('SAÍDA DE VENDAS'!$H$6:$H$500 &amp; "x " &amp; 'SAÍDA DE VENDAS'!$G$6:$G$500, MATCH(B1144, 'SAÍDA DE VENDAS'!$B$6:$B$500, 0)+2), ""), "")&amp; IF(COUNTIF('SAÍDA DE VENDAS'!$B$6:$B$500, B1144)&gt;3, " + " &amp; IFERROR(INDEX('SAÍDA DE VENDAS'!$H$6:$H$500 &amp; "x " &amp; 'SAÍDA DE VENDAS'!$G$6:$G$500, MATCH(B1144, 'SAÍDA DE VENDAS'!$B$6:$B$500, 0)+3), ""), "")&amp; IF(COUNTIF('SAÍDA DE VENDAS'!$B$6:$B$500, B1144)&gt;4, " + " &amp; IFERROR(INDEX('SAÍDA DE VENDAS'!$H$6:$H$500 &amp; "x " &amp; 'SAÍDA DE VENDAS'!$G$6:$G$500, MATCH(B1144, 'SAÍDA DE VENDAS'!$B$6:$B$500, 0)+4), ""), "")&amp; IF(COUNTIF('SAÍDA DE VENDAS'!$B$6:$B$500, B1144)&gt;5, " + " &amp; IFERROR(INDEX('SAÍDA DE VENDAS'!$H$6:$H$500 &amp; "x " &amp; 'SAÍDA DE VENDAS'!$G$6:$G$500, MATCH(B1144, 'SAÍDA DE VENDAS'!$B$6:$B$500, 0)+5), ""), ""))</f>
        <v/>
      </c>
      <c r="G1144" s="28">
        <f>IFERROR(VLOOKUP(B1144,'SAÍDA DE VENDAS'!$B$6:$P$500,10,FALSE),"")</f>
        <v>0</v>
      </c>
      <c r="H1144" s="28" t="str">
        <f>IF(OR(ISBLANK(B1144),B1144=""), "", IF(B1144=B1143, (VALUE(LEFT(H1143,FIND("/",H1143)-1))+1)&amp;"/"&amp;RIGHT(H1143,LEN(H1143)-FIND("/",H1143)), "1/"&amp;IFERROR(VLOOKUP(B1144,'SAÍDA DE VENDAS'!$B$6:$P$500,13,FALSE),"1")))</f>
        <v/>
      </c>
      <c r="I1144" s="69" t="str">
        <f t="shared" si="34"/>
        <v/>
      </c>
      <c r="J1144" s="33" t="str">
        <f>IFERROR(VLOOKUP(B1144,'SAÍDA DE VENDAS'!$B$6:$P$500,15,FALSE),"")</f>
        <v/>
      </c>
      <c r="K1144" s="28" t="str">
        <f t="shared" ca="1" si="35"/>
        <v/>
      </c>
      <c r="L1144" s="28"/>
      <c r="M1144" s="28"/>
    </row>
    <row r="1145" spans="2:13" ht="15" customHeight="1" x14ac:dyDescent="0.3">
      <c r="B1145" s="34" t="str">
        <f>IF(B1144="","", IF(VALUE(LEFT(H1144,FIND("/",H1144)-1)) &lt; VALUE(RIGHT(H1144,LEN(H1144)-FIND("/",H1144))), B1144, IFERROR(INDEX('SAÍDA DE VENDAS'!$B$6:$B$500, MATCH(B1144,'SAÍDA DE VENDAS'!$B$6:$B$500,0)+COUNTIF('SAÍDA DE VENDAS'!$B$6:$B$500, B1144)),"")))</f>
        <v/>
      </c>
      <c r="C1145" s="35">
        <f>IFERROR(VLOOKUP(B1145,'SAÍDA DE VENDAS'!$B$6:$P$500,3,FALSE),"")</f>
        <v>0</v>
      </c>
      <c r="D1145" s="34">
        <f>IFERROR(VLOOKUP(B1145,'SAÍDA DE VENDAS'!$B$6:$P$500,4,FALSE),"")</f>
        <v>0</v>
      </c>
      <c r="E1145" s="34" t="str">
        <f>IFERROR(VLOOKUP(B1145,'SAÍDA DE VENDAS'!$B$6:$P$500,5,FALSE),"")</f>
        <v/>
      </c>
      <c r="F1145" s="34" t="str">
        <f>IF(OR(ISBLANK(B1145),B1145=""), "", IFERROR(INDEX('SAÍDA DE VENDAS'!$H$6:$H$500 &amp; "x " &amp; 'SAÍDA DE VENDAS'!$G$6:$G$500, MATCH(B1145, 'SAÍDA DE VENDAS'!$B$6:$B$500, 0)), "")&amp; IF(COUNTIF('SAÍDA DE VENDAS'!$B$6:$B$500, B1145)&gt;1, " + " &amp; IFERROR(INDEX('SAÍDA DE VENDAS'!$H$6:$H$500 &amp; "x " &amp; 'SAÍDA DE VENDAS'!$G$6:$G$500, MATCH(B1145, 'SAÍDA DE VENDAS'!$B$6:$B$500, 0)+1), ""), "")&amp; IF(COUNTIF('SAÍDA DE VENDAS'!$B$6:$B$500, B1145)&gt;2, " + " &amp; IFERROR(INDEX('SAÍDA DE VENDAS'!$H$6:$H$500 &amp; "x " &amp; 'SAÍDA DE VENDAS'!$G$6:$G$500, MATCH(B1145, 'SAÍDA DE VENDAS'!$B$6:$B$500, 0)+2), ""), "")&amp; IF(COUNTIF('SAÍDA DE VENDAS'!$B$6:$B$500, B1145)&gt;3, " + " &amp; IFERROR(INDEX('SAÍDA DE VENDAS'!$H$6:$H$500 &amp; "x " &amp; 'SAÍDA DE VENDAS'!$G$6:$G$500, MATCH(B1145, 'SAÍDA DE VENDAS'!$B$6:$B$500, 0)+3), ""), "")&amp; IF(COUNTIF('SAÍDA DE VENDAS'!$B$6:$B$500, B1145)&gt;4, " + " &amp; IFERROR(INDEX('SAÍDA DE VENDAS'!$H$6:$H$500 &amp; "x " &amp; 'SAÍDA DE VENDAS'!$G$6:$G$500, MATCH(B1145, 'SAÍDA DE VENDAS'!$B$6:$B$500, 0)+4), ""), "")&amp; IF(COUNTIF('SAÍDA DE VENDAS'!$B$6:$B$500, B1145)&gt;5, " + " &amp; IFERROR(INDEX('SAÍDA DE VENDAS'!$H$6:$H$500 &amp; "x " &amp; 'SAÍDA DE VENDAS'!$G$6:$G$500, MATCH(B1145, 'SAÍDA DE VENDAS'!$B$6:$B$500, 0)+5), ""), ""))</f>
        <v/>
      </c>
      <c r="G1145" s="34">
        <f>IFERROR(VLOOKUP(B1145,'SAÍDA DE VENDAS'!$B$6:$P$500,10,FALSE),"")</f>
        <v>0</v>
      </c>
      <c r="H1145" s="34" t="str">
        <f>IF(OR(ISBLANK(B1145),B1145=""), "", IF(B1145=B1144, (VALUE(LEFT(H1144,FIND("/",H1144)-1))+1)&amp;"/"&amp;RIGHT(H1144,LEN(H1144)-FIND("/",H1144)), "1/"&amp;IFERROR(VLOOKUP(B1145,'SAÍDA DE VENDAS'!$B$6:$P$500,13,FALSE),"1")))</f>
        <v/>
      </c>
      <c r="I1145" s="35" t="str">
        <f t="shared" si="34"/>
        <v/>
      </c>
      <c r="J1145" s="39" t="str">
        <f>IFERROR(VLOOKUP(B1145,'SAÍDA DE VENDAS'!$B$6:$P$500,15,FALSE),"")</f>
        <v/>
      </c>
      <c r="K1145" s="34" t="str">
        <f t="shared" ca="1" si="35"/>
        <v/>
      </c>
      <c r="L1145" s="34"/>
      <c r="M1145" s="34"/>
    </row>
    <row r="1146" spans="2:13" ht="15" customHeight="1" x14ac:dyDescent="0.3">
      <c r="B1146" s="28" t="str">
        <f>IF(B1145="","", IF(VALUE(LEFT(H1145,FIND("/",H1145)-1)) &lt; VALUE(RIGHT(H1145,LEN(H1145)-FIND("/",H1145))), B1145, IFERROR(INDEX('SAÍDA DE VENDAS'!$B$6:$B$500, MATCH(B1145,'SAÍDA DE VENDAS'!$B$6:$B$500,0)+COUNTIF('SAÍDA DE VENDAS'!$B$6:$B$500, B1145)),"")))</f>
        <v/>
      </c>
      <c r="C1146" s="29">
        <f>IFERROR(VLOOKUP(B1146,'SAÍDA DE VENDAS'!$B$6:$P$500,3,FALSE),"")</f>
        <v>0</v>
      </c>
      <c r="D1146" s="28">
        <f>IFERROR(VLOOKUP(B1146,'SAÍDA DE VENDAS'!$B$6:$P$500,4,FALSE),"")</f>
        <v>0</v>
      </c>
      <c r="E1146" s="28" t="str">
        <f>IFERROR(VLOOKUP(B1146,'SAÍDA DE VENDAS'!$B$6:$P$500,5,FALSE),"")</f>
        <v/>
      </c>
      <c r="F1146" s="28" t="str">
        <f>IF(OR(ISBLANK(B1146),B1146=""), "", IFERROR(INDEX('SAÍDA DE VENDAS'!$H$6:$H$500 &amp; "x " &amp; 'SAÍDA DE VENDAS'!$G$6:$G$500, MATCH(B1146, 'SAÍDA DE VENDAS'!$B$6:$B$500, 0)), "")&amp; IF(COUNTIF('SAÍDA DE VENDAS'!$B$6:$B$500, B1146)&gt;1, " + " &amp; IFERROR(INDEX('SAÍDA DE VENDAS'!$H$6:$H$500 &amp; "x " &amp; 'SAÍDA DE VENDAS'!$G$6:$G$500, MATCH(B1146, 'SAÍDA DE VENDAS'!$B$6:$B$500, 0)+1), ""), "")&amp; IF(COUNTIF('SAÍDA DE VENDAS'!$B$6:$B$500, B1146)&gt;2, " + " &amp; IFERROR(INDEX('SAÍDA DE VENDAS'!$H$6:$H$500 &amp; "x " &amp; 'SAÍDA DE VENDAS'!$G$6:$G$500, MATCH(B1146, 'SAÍDA DE VENDAS'!$B$6:$B$500, 0)+2), ""), "")&amp; IF(COUNTIF('SAÍDA DE VENDAS'!$B$6:$B$500, B1146)&gt;3, " + " &amp; IFERROR(INDEX('SAÍDA DE VENDAS'!$H$6:$H$500 &amp; "x " &amp; 'SAÍDA DE VENDAS'!$G$6:$G$500, MATCH(B1146, 'SAÍDA DE VENDAS'!$B$6:$B$500, 0)+3), ""), "")&amp; IF(COUNTIF('SAÍDA DE VENDAS'!$B$6:$B$500, B1146)&gt;4, " + " &amp; IFERROR(INDEX('SAÍDA DE VENDAS'!$H$6:$H$500 &amp; "x " &amp; 'SAÍDA DE VENDAS'!$G$6:$G$500, MATCH(B1146, 'SAÍDA DE VENDAS'!$B$6:$B$500, 0)+4), ""), "")&amp; IF(COUNTIF('SAÍDA DE VENDAS'!$B$6:$B$500, B1146)&gt;5, " + " &amp; IFERROR(INDEX('SAÍDA DE VENDAS'!$H$6:$H$500 &amp; "x " &amp; 'SAÍDA DE VENDAS'!$G$6:$G$500, MATCH(B1146, 'SAÍDA DE VENDAS'!$B$6:$B$500, 0)+5), ""), ""))</f>
        <v/>
      </c>
      <c r="G1146" s="28">
        <f>IFERROR(VLOOKUP(B1146,'SAÍDA DE VENDAS'!$B$6:$P$500,10,FALSE),"")</f>
        <v>0</v>
      </c>
      <c r="H1146" s="28" t="str">
        <f>IF(OR(ISBLANK(B1146),B1146=""), "", IF(B1146=B1145, (VALUE(LEFT(H1145,FIND("/",H1145)-1))+1)&amp;"/"&amp;RIGHT(H1145,LEN(H1145)-FIND("/",H1145)), "1/"&amp;IFERROR(VLOOKUP(B1146,'SAÍDA DE VENDAS'!$B$6:$P$500,13,FALSE),"1")))</f>
        <v/>
      </c>
      <c r="I1146" s="69" t="str">
        <f t="shared" si="34"/>
        <v/>
      </c>
      <c r="J1146" s="33" t="str">
        <f>IFERROR(VLOOKUP(B1146,'SAÍDA DE VENDAS'!$B$6:$P$500,15,FALSE),"")</f>
        <v/>
      </c>
      <c r="K1146" s="28" t="str">
        <f t="shared" ca="1" si="35"/>
        <v/>
      </c>
      <c r="L1146" s="28"/>
      <c r="M1146" s="28"/>
    </row>
    <row r="1147" spans="2:13" ht="15" customHeight="1" x14ac:dyDescent="0.3">
      <c r="B1147" s="34" t="str">
        <f>IF(B1146="","", IF(VALUE(LEFT(H1146,FIND("/",H1146)-1)) &lt; VALUE(RIGHT(H1146,LEN(H1146)-FIND("/",H1146))), B1146, IFERROR(INDEX('SAÍDA DE VENDAS'!$B$6:$B$500, MATCH(B1146,'SAÍDA DE VENDAS'!$B$6:$B$500,0)+COUNTIF('SAÍDA DE VENDAS'!$B$6:$B$500, B1146)),"")))</f>
        <v/>
      </c>
      <c r="C1147" s="35">
        <f>IFERROR(VLOOKUP(B1147,'SAÍDA DE VENDAS'!$B$6:$P$500,3,FALSE),"")</f>
        <v>0</v>
      </c>
      <c r="D1147" s="34">
        <f>IFERROR(VLOOKUP(B1147,'SAÍDA DE VENDAS'!$B$6:$P$500,4,FALSE),"")</f>
        <v>0</v>
      </c>
      <c r="E1147" s="34" t="str">
        <f>IFERROR(VLOOKUP(B1147,'SAÍDA DE VENDAS'!$B$6:$P$500,5,FALSE),"")</f>
        <v/>
      </c>
      <c r="F1147" s="34" t="str">
        <f>IF(OR(ISBLANK(B1147),B1147=""), "", IFERROR(INDEX('SAÍDA DE VENDAS'!$H$6:$H$500 &amp; "x " &amp; 'SAÍDA DE VENDAS'!$G$6:$G$500, MATCH(B1147, 'SAÍDA DE VENDAS'!$B$6:$B$500, 0)), "")&amp; IF(COUNTIF('SAÍDA DE VENDAS'!$B$6:$B$500, B1147)&gt;1, " + " &amp; IFERROR(INDEX('SAÍDA DE VENDAS'!$H$6:$H$500 &amp; "x " &amp; 'SAÍDA DE VENDAS'!$G$6:$G$500, MATCH(B1147, 'SAÍDA DE VENDAS'!$B$6:$B$500, 0)+1), ""), "")&amp; IF(COUNTIF('SAÍDA DE VENDAS'!$B$6:$B$500, B1147)&gt;2, " + " &amp; IFERROR(INDEX('SAÍDA DE VENDAS'!$H$6:$H$500 &amp; "x " &amp; 'SAÍDA DE VENDAS'!$G$6:$G$500, MATCH(B1147, 'SAÍDA DE VENDAS'!$B$6:$B$500, 0)+2), ""), "")&amp; IF(COUNTIF('SAÍDA DE VENDAS'!$B$6:$B$500, B1147)&gt;3, " + " &amp; IFERROR(INDEX('SAÍDA DE VENDAS'!$H$6:$H$500 &amp; "x " &amp; 'SAÍDA DE VENDAS'!$G$6:$G$500, MATCH(B1147, 'SAÍDA DE VENDAS'!$B$6:$B$500, 0)+3), ""), "")&amp; IF(COUNTIF('SAÍDA DE VENDAS'!$B$6:$B$500, B1147)&gt;4, " + " &amp; IFERROR(INDEX('SAÍDA DE VENDAS'!$H$6:$H$500 &amp; "x " &amp; 'SAÍDA DE VENDAS'!$G$6:$G$500, MATCH(B1147, 'SAÍDA DE VENDAS'!$B$6:$B$500, 0)+4), ""), "")&amp; IF(COUNTIF('SAÍDA DE VENDAS'!$B$6:$B$500, B1147)&gt;5, " + " &amp; IFERROR(INDEX('SAÍDA DE VENDAS'!$H$6:$H$500 &amp; "x " &amp; 'SAÍDA DE VENDAS'!$G$6:$G$500, MATCH(B1147, 'SAÍDA DE VENDAS'!$B$6:$B$500, 0)+5), ""), ""))</f>
        <v/>
      </c>
      <c r="G1147" s="34">
        <f>IFERROR(VLOOKUP(B1147,'SAÍDA DE VENDAS'!$B$6:$P$500,10,FALSE),"")</f>
        <v>0</v>
      </c>
      <c r="H1147" s="34" t="str">
        <f>IF(OR(ISBLANK(B1147),B1147=""), "", IF(B1147=B1146, (VALUE(LEFT(H1146,FIND("/",H1146)-1))+1)&amp;"/"&amp;RIGHT(H1146,LEN(H1146)-FIND("/",H1146)), "1/"&amp;IFERROR(VLOOKUP(B1147,'SAÍDA DE VENDAS'!$B$6:$P$500,13,FALSE),"1")))</f>
        <v/>
      </c>
      <c r="I1147" s="35" t="str">
        <f t="shared" si="34"/>
        <v/>
      </c>
      <c r="J1147" s="39" t="str">
        <f>IFERROR(VLOOKUP(B1147,'SAÍDA DE VENDAS'!$B$6:$P$500,15,FALSE),"")</f>
        <v/>
      </c>
      <c r="K1147" s="34" t="str">
        <f t="shared" ca="1" si="35"/>
        <v/>
      </c>
      <c r="L1147" s="34"/>
      <c r="M1147" s="34"/>
    </row>
    <row r="1148" spans="2:13" ht="15" customHeight="1" x14ac:dyDescent="0.3">
      <c r="B1148" s="28" t="str">
        <f>IF(B1147="","", IF(VALUE(LEFT(H1147,FIND("/",H1147)-1)) &lt; VALUE(RIGHT(H1147,LEN(H1147)-FIND("/",H1147))), B1147, IFERROR(INDEX('SAÍDA DE VENDAS'!$B$6:$B$500, MATCH(B1147,'SAÍDA DE VENDAS'!$B$6:$B$500,0)+COUNTIF('SAÍDA DE VENDAS'!$B$6:$B$500, B1147)),"")))</f>
        <v/>
      </c>
      <c r="C1148" s="29">
        <f>IFERROR(VLOOKUP(B1148,'SAÍDA DE VENDAS'!$B$6:$P$500,3,FALSE),"")</f>
        <v>0</v>
      </c>
      <c r="D1148" s="28">
        <f>IFERROR(VLOOKUP(B1148,'SAÍDA DE VENDAS'!$B$6:$P$500,4,FALSE),"")</f>
        <v>0</v>
      </c>
      <c r="E1148" s="28" t="str">
        <f>IFERROR(VLOOKUP(B1148,'SAÍDA DE VENDAS'!$B$6:$P$500,5,FALSE),"")</f>
        <v/>
      </c>
      <c r="F1148" s="28" t="str">
        <f>IF(OR(ISBLANK(B1148),B1148=""), "", IFERROR(INDEX('SAÍDA DE VENDAS'!$H$6:$H$500 &amp; "x " &amp; 'SAÍDA DE VENDAS'!$G$6:$G$500, MATCH(B1148, 'SAÍDA DE VENDAS'!$B$6:$B$500, 0)), "")&amp; IF(COUNTIF('SAÍDA DE VENDAS'!$B$6:$B$500, B1148)&gt;1, " + " &amp; IFERROR(INDEX('SAÍDA DE VENDAS'!$H$6:$H$500 &amp; "x " &amp; 'SAÍDA DE VENDAS'!$G$6:$G$500, MATCH(B1148, 'SAÍDA DE VENDAS'!$B$6:$B$500, 0)+1), ""), "")&amp; IF(COUNTIF('SAÍDA DE VENDAS'!$B$6:$B$500, B1148)&gt;2, " + " &amp; IFERROR(INDEX('SAÍDA DE VENDAS'!$H$6:$H$500 &amp; "x " &amp; 'SAÍDA DE VENDAS'!$G$6:$G$500, MATCH(B1148, 'SAÍDA DE VENDAS'!$B$6:$B$500, 0)+2), ""), "")&amp; IF(COUNTIF('SAÍDA DE VENDAS'!$B$6:$B$500, B1148)&gt;3, " + " &amp; IFERROR(INDEX('SAÍDA DE VENDAS'!$H$6:$H$500 &amp; "x " &amp; 'SAÍDA DE VENDAS'!$G$6:$G$500, MATCH(B1148, 'SAÍDA DE VENDAS'!$B$6:$B$500, 0)+3), ""), "")&amp; IF(COUNTIF('SAÍDA DE VENDAS'!$B$6:$B$500, B1148)&gt;4, " + " &amp; IFERROR(INDEX('SAÍDA DE VENDAS'!$H$6:$H$500 &amp; "x " &amp; 'SAÍDA DE VENDAS'!$G$6:$G$500, MATCH(B1148, 'SAÍDA DE VENDAS'!$B$6:$B$500, 0)+4), ""), "")&amp; IF(COUNTIF('SAÍDA DE VENDAS'!$B$6:$B$500, B1148)&gt;5, " + " &amp; IFERROR(INDEX('SAÍDA DE VENDAS'!$H$6:$H$500 &amp; "x " &amp; 'SAÍDA DE VENDAS'!$G$6:$G$500, MATCH(B1148, 'SAÍDA DE VENDAS'!$B$6:$B$500, 0)+5), ""), ""))</f>
        <v/>
      </c>
      <c r="G1148" s="28">
        <f>IFERROR(VLOOKUP(B1148,'SAÍDA DE VENDAS'!$B$6:$P$500,10,FALSE),"")</f>
        <v>0</v>
      </c>
      <c r="H1148" s="28" t="str">
        <f>IF(OR(ISBLANK(B1148),B1148=""), "", IF(B1148=B1147, (VALUE(LEFT(H1147,FIND("/",H1147)-1))+1)&amp;"/"&amp;RIGHT(H1147,LEN(H1147)-FIND("/",H1147)), "1/"&amp;IFERROR(VLOOKUP(B1148,'SAÍDA DE VENDAS'!$B$6:$P$500,13,FALSE),"1")))</f>
        <v/>
      </c>
      <c r="I1148" s="69" t="str">
        <f t="shared" si="34"/>
        <v/>
      </c>
      <c r="J1148" s="33" t="str">
        <f>IFERROR(VLOOKUP(B1148,'SAÍDA DE VENDAS'!$B$6:$P$500,15,FALSE),"")</f>
        <v/>
      </c>
      <c r="K1148" s="28" t="str">
        <f t="shared" ca="1" si="35"/>
        <v/>
      </c>
      <c r="L1148" s="28"/>
      <c r="M1148" s="28"/>
    </row>
    <row r="1149" spans="2:13" ht="15" customHeight="1" x14ac:dyDescent="0.3">
      <c r="B1149" s="34" t="str">
        <f>IF(B1148="","", IF(VALUE(LEFT(H1148,FIND("/",H1148)-1)) &lt; VALUE(RIGHT(H1148,LEN(H1148)-FIND("/",H1148))), B1148, IFERROR(INDEX('SAÍDA DE VENDAS'!$B$6:$B$500, MATCH(B1148,'SAÍDA DE VENDAS'!$B$6:$B$500,0)+COUNTIF('SAÍDA DE VENDAS'!$B$6:$B$500, B1148)),"")))</f>
        <v/>
      </c>
      <c r="C1149" s="35">
        <f>IFERROR(VLOOKUP(B1149,'SAÍDA DE VENDAS'!$B$6:$P$500,3,FALSE),"")</f>
        <v>0</v>
      </c>
      <c r="D1149" s="34">
        <f>IFERROR(VLOOKUP(B1149,'SAÍDA DE VENDAS'!$B$6:$P$500,4,FALSE),"")</f>
        <v>0</v>
      </c>
      <c r="E1149" s="34" t="str">
        <f>IFERROR(VLOOKUP(B1149,'SAÍDA DE VENDAS'!$B$6:$P$500,5,FALSE),"")</f>
        <v/>
      </c>
      <c r="F1149" s="34" t="str">
        <f>IF(OR(ISBLANK(B1149),B1149=""), "", IFERROR(INDEX('SAÍDA DE VENDAS'!$H$6:$H$500 &amp; "x " &amp; 'SAÍDA DE VENDAS'!$G$6:$G$500, MATCH(B1149, 'SAÍDA DE VENDAS'!$B$6:$B$500, 0)), "")&amp; IF(COUNTIF('SAÍDA DE VENDAS'!$B$6:$B$500, B1149)&gt;1, " + " &amp; IFERROR(INDEX('SAÍDA DE VENDAS'!$H$6:$H$500 &amp; "x " &amp; 'SAÍDA DE VENDAS'!$G$6:$G$500, MATCH(B1149, 'SAÍDA DE VENDAS'!$B$6:$B$500, 0)+1), ""), "")&amp; IF(COUNTIF('SAÍDA DE VENDAS'!$B$6:$B$500, B1149)&gt;2, " + " &amp; IFERROR(INDEX('SAÍDA DE VENDAS'!$H$6:$H$500 &amp; "x " &amp; 'SAÍDA DE VENDAS'!$G$6:$G$500, MATCH(B1149, 'SAÍDA DE VENDAS'!$B$6:$B$500, 0)+2), ""), "")&amp; IF(COUNTIF('SAÍDA DE VENDAS'!$B$6:$B$500, B1149)&gt;3, " + " &amp; IFERROR(INDEX('SAÍDA DE VENDAS'!$H$6:$H$500 &amp; "x " &amp; 'SAÍDA DE VENDAS'!$G$6:$G$500, MATCH(B1149, 'SAÍDA DE VENDAS'!$B$6:$B$500, 0)+3), ""), "")&amp; IF(COUNTIF('SAÍDA DE VENDAS'!$B$6:$B$500, B1149)&gt;4, " + " &amp; IFERROR(INDEX('SAÍDA DE VENDAS'!$H$6:$H$500 &amp; "x " &amp; 'SAÍDA DE VENDAS'!$G$6:$G$500, MATCH(B1149, 'SAÍDA DE VENDAS'!$B$6:$B$500, 0)+4), ""), "")&amp; IF(COUNTIF('SAÍDA DE VENDAS'!$B$6:$B$500, B1149)&gt;5, " + " &amp; IFERROR(INDEX('SAÍDA DE VENDAS'!$H$6:$H$500 &amp; "x " &amp; 'SAÍDA DE VENDAS'!$G$6:$G$500, MATCH(B1149, 'SAÍDA DE VENDAS'!$B$6:$B$500, 0)+5), ""), ""))</f>
        <v/>
      </c>
      <c r="G1149" s="34">
        <f>IFERROR(VLOOKUP(B1149,'SAÍDA DE VENDAS'!$B$6:$P$500,10,FALSE),"")</f>
        <v>0</v>
      </c>
      <c r="H1149" s="34" t="str">
        <f>IF(OR(ISBLANK(B1149),B1149=""), "", IF(B1149=B1148, (VALUE(LEFT(H1148,FIND("/",H1148)-1))+1)&amp;"/"&amp;RIGHT(H1148,LEN(H1148)-FIND("/",H1148)), "1/"&amp;IFERROR(VLOOKUP(B1149,'SAÍDA DE VENDAS'!$B$6:$P$500,13,FALSE),"1")))</f>
        <v/>
      </c>
      <c r="I1149" s="35" t="str">
        <f t="shared" si="34"/>
        <v/>
      </c>
      <c r="J1149" s="39" t="str">
        <f>IFERROR(VLOOKUP(B1149,'SAÍDA DE VENDAS'!$B$6:$P$500,15,FALSE),"")</f>
        <v/>
      </c>
      <c r="K1149" s="34" t="str">
        <f t="shared" ca="1" si="35"/>
        <v/>
      </c>
      <c r="L1149" s="34"/>
      <c r="M1149" s="34"/>
    </row>
    <row r="1150" spans="2:13" ht="15" customHeight="1" x14ac:dyDescent="0.3">
      <c r="B1150" s="28" t="str">
        <f>IF(B1149="","", IF(VALUE(LEFT(H1149,FIND("/",H1149)-1)) &lt; VALUE(RIGHT(H1149,LEN(H1149)-FIND("/",H1149))), B1149, IFERROR(INDEX('SAÍDA DE VENDAS'!$B$6:$B$500, MATCH(B1149,'SAÍDA DE VENDAS'!$B$6:$B$500,0)+COUNTIF('SAÍDA DE VENDAS'!$B$6:$B$500, B1149)),"")))</f>
        <v/>
      </c>
      <c r="C1150" s="29">
        <f>IFERROR(VLOOKUP(B1150,'SAÍDA DE VENDAS'!$B$6:$P$500,3,FALSE),"")</f>
        <v>0</v>
      </c>
      <c r="D1150" s="28">
        <f>IFERROR(VLOOKUP(B1150,'SAÍDA DE VENDAS'!$B$6:$P$500,4,FALSE),"")</f>
        <v>0</v>
      </c>
      <c r="E1150" s="28" t="str">
        <f>IFERROR(VLOOKUP(B1150,'SAÍDA DE VENDAS'!$B$6:$P$500,5,FALSE),"")</f>
        <v/>
      </c>
      <c r="F1150" s="28" t="str">
        <f>IF(OR(ISBLANK(B1150),B1150=""), "", IFERROR(INDEX('SAÍDA DE VENDAS'!$H$6:$H$500 &amp; "x " &amp; 'SAÍDA DE VENDAS'!$G$6:$G$500, MATCH(B1150, 'SAÍDA DE VENDAS'!$B$6:$B$500, 0)), "")&amp; IF(COUNTIF('SAÍDA DE VENDAS'!$B$6:$B$500, B1150)&gt;1, " + " &amp; IFERROR(INDEX('SAÍDA DE VENDAS'!$H$6:$H$500 &amp; "x " &amp; 'SAÍDA DE VENDAS'!$G$6:$G$500, MATCH(B1150, 'SAÍDA DE VENDAS'!$B$6:$B$500, 0)+1), ""), "")&amp; IF(COUNTIF('SAÍDA DE VENDAS'!$B$6:$B$500, B1150)&gt;2, " + " &amp; IFERROR(INDEX('SAÍDA DE VENDAS'!$H$6:$H$500 &amp; "x " &amp; 'SAÍDA DE VENDAS'!$G$6:$G$500, MATCH(B1150, 'SAÍDA DE VENDAS'!$B$6:$B$500, 0)+2), ""), "")&amp; IF(COUNTIF('SAÍDA DE VENDAS'!$B$6:$B$500, B1150)&gt;3, " + " &amp; IFERROR(INDEX('SAÍDA DE VENDAS'!$H$6:$H$500 &amp; "x " &amp; 'SAÍDA DE VENDAS'!$G$6:$G$500, MATCH(B1150, 'SAÍDA DE VENDAS'!$B$6:$B$500, 0)+3), ""), "")&amp; IF(COUNTIF('SAÍDA DE VENDAS'!$B$6:$B$500, B1150)&gt;4, " + " &amp; IFERROR(INDEX('SAÍDA DE VENDAS'!$H$6:$H$500 &amp; "x " &amp; 'SAÍDA DE VENDAS'!$G$6:$G$500, MATCH(B1150, 'SAÍDA DE VENDAS'!$B$6:$B$500, 0)+4), ""), "")&amp; IF(COUNTIF('SAÍDA DE VENDAS'!$B$6:$B$500, B1150)&gt;5, " + " &amp; IFERROR(INDEX('SAÍDA DE VENDAS'!$H$6:$H$500 &amp; "x " &amp; 'SAÍDA DE VENDAS'!$G$6:$G$500, MATCH(B1150, 'SAÍDA DE VENDAS'!$B$6:$B$500, 0)+5), ""), ""))</f>
        <v/>
      </c>
      <c r="G1150" s="28">
        <f>IFERROR(VLOOKUP(B1150,'SAÍDA DE VENDAS'!$B$6:$P$500,10,FALSE),"")</f>
        <v>0</v>
      </c>
      <c r="H1150" s="28" t="str">
        <f>IF(OR(ISBLANK(B1150),B1150=""), "", IF(B1150=B1149, (VALUE(LEFT(H1149,FIND("/",H1149)-1))+1)&amp;"/"&amp;RIGHT(H1149,LEN(H1149)-FIND("/",H1149)), "1/"&amp;IFERROR(VLOOKUP(B1150,'SAÍDA DE VENDAS'!$B$6:$P$500,13,FALSE),"1")))</f>
        <v/>
      </c>
      <c r="I1150" s="69" t="str">
        <f t="shared" si="34"/>
        <v/>
      </c>
      <c r="J1150" s="33" t="str">
        <f>IFERROR(VLOOKUP(B1150,'SAÍDA DE VENDAS'!$B$6:$P$500,15,FALSE),"")</f>
        <v/>
      </c>
      <c r="K1150" s="28" t="str">
        <f t="shared" ca="1" si="35"/>
        <v/>
      </c>
      <c r="L1150" s="28"/>
      <c r="M1150" s="28"/>
    </row>
    <row r="1151" spans="2:13" ht="15" customHeight="1" x14ac:dyDescent="0.3">
      <c r="B1151" s="34" t="str">
        <f>IF(B1150="","", IF(VALUE(LEFT(H1150,FIND("/",H1150)-1)) &lt; VALUE(RIGHT(H1150,LEN(H1150)-FIND("/",H1150))), B1150, IFERROR(INDEX('SAÍDA DE VENDAS'!$B$6:$B$500, MATCH(B1150,'SAÍDA DE VENDAS'!$B$6:$B$500,0)+COUNTIF('SAÍDA DE VENDAS'!$B$6:$B$500, B1150)),"")))</f>
        <v/>
      </c>
      <c r="C1151" s="35">
        <f>IFERROR(VLOOKUP(B1151,'SAÍDA DE VENDAS'!$B$6:$P$500,3,FALSE),"")</f>
        <v>0</v>
      </c>
      <c r="D1151" s="34">
        <f>IFERROR(VLOOKUP(B1151,'SAÍDA DE VENDAS'!$B$6:$P$500,4,FALSE),"")</f>
        <v>0</v>
      </c>
      <c r="E1151" s="34" t="str">
        <f>IFERROR(VLOOKUP(B1151,'SAÍDA DE VENDAS'!$B$6:$P$500,5,FALSE),"")</f>
        <v/>
      </c>
      <c r="F1151" s="34" t="str">
        <f>IF(OR(ISBLANK(B1151),B1151=""), "", IFERROR(INDEX('SAÍDA DE VENDAS'!$H$6:$H$500 &amp; "x " &amp; 'SAÍDA DE VENDAS'!$G$6:$G$500, MATCH(B1151, 'SAÍDA DE VENDAS'!$B$6:$B$500, 0)), "")&amp; IF(COUNTIF('SAÍDA DE VENDAS'!$B$6:$B$500, B1151)&gt;1, " + " &amp; IFERROR(INDEX('SAÍDA DE VENDAS'!$H$6:$H$500 &amp; "x " &amp; 'SAÍDA DE VENDAS'!$G$6:$G$500, MATCH(B1151, 'SAÍDA DE VENDAS'!$B$6:$B$500, 0)+1), ""), "")&amp; IF(COUNTIF('SAÍDA DE VENDAS'!$B$6:$B$500, B1151)&gt;2, " + " &amp; IFERROR(INDEX('SAÍDA DE VENDAS'!$H$6:$H$500 &amp; "x " &amp; 'SAÍDA DE VENDAS'!$G$6:$G$500, MATCH(B1151, 'SAÍDA DE VENDAS'!$B$6:$B$500, 0)+2), ""), "")&amp; IF(COUNTIF('SAÍDA DE VENDAS'!$B$6:$B$500, B1151)&gt;3, " + " &amp; IFERROR(INDEX('SAÍDA DE VENDAS'!$H$6:$H$500 &amp; "x " &amp; 'SAÍDA DE VENDAS'!$G$6:$G$500, MATCH(B1151, 'SAÍDA DE VENDAS'!$B$6:$B$500, 0)+3), ""), "")&amp; IF(COUNTIF('SAÍDA DE VENDAS'!$B$6:$B$500, B1151)&gt;4, " + " &amp; IFERROR(INDEX('SAÍDA DE VENDAS'!$H$6:$H$500 &amp; "x " &amp; 'SAÍDA DE VENDAS'!$G$6:$G$500, MATCH(B1151, 'SAÍDA DE VENDAS'!$B$6:$B$500, 0)+4), ""), "")&amp; IF(COUNTIF('SAÍDA DE VENDAS'!$B$6:$B$500, B1151)&gt;5, " + " &amp; IFERROR(INDEX('SAÍDA DE VENDAS'!$H$6:$H$500 &amp; "x " &amp; 'SAÍDA DE VENDAS'!$G$6:$G$500, MATCH(B1151, 'SAÍDA DE VENDAS'!$B$6:$B$500, 0)+5), ""), ""))</f>
        <v/>
      </c>
      <c r="G1151" s="34">
        <f>IFERROR(VLOOKUP(B1151,'SAÍDA DE VENDAS'!$B$6:$P$500,10,FALSE),"")</f>
        <v>0</v>
      </c>
      <c r="H1151" s="34" t="str">
        <f>IF(OR(ISBLANK(B1151),B1151=""), "", IF(B1151=B1150, (VALUE(LEFT(H1150,FIND("/",H1150)-1))+1)&amp;"/"&amp;RIGHT(H1150,LEN(H1150)-FIND("/",H1150)), "1/"&amp;IFERROR(VLOOKUP(B1151,'SAÍDA DE VENDAS'!$B$6:$P$500,13,FALSE),"1")))</f>
        <v/>
      </c>
      <c r="I1151" s="35" t="str">
        <f t="shared" si="34"/>
        <v/>
      </c>
      <c r="J1151" s="39" t="str">
        <f>IFERROR(VLOOKUP(B1151,'SAÍDA DE VENDAS'!$B$6:$P$500,15,FALSE),"")</f>
        <v/>
      </c>
      <c r="K1151" s="34" t="str">
        <f t="shared" ca="1" si="35"/>
        <v/>
      </c>
      <c r="L1151" s="34"/>
      <c r="M1151" s="34"/>
    </row>
    <row r="1152" spans="2:13" ht="15" customHeight="1" x14ac:dyDescent="0.3">
      <c r="B1152" s="28" t="str">
        <f>IF(B1151="","", IF(VALUE(LEFT(H1151,FIND("/",H1151)-1)) &lt; VALUE(RIGHT(H1151,LEN(H1151)-FIND("/",H1151))), B1151, IFERROR(INDEX('SAÍDA DE VENDAS'!$B$6:$B$500, MATCH(B1151,'SAÍDA DE VENDAS'!$B$6:$B$500,0)+COUNTIF('SAÍDA DE VENDAS'!$B$6:$B$500, B1151)),"")))</f>
        <v/>
      </c>
      <c r="C1152" s="29">
        <f>IFERROR(VLOOKUP(B1152,'SAÍDA DE VENDAS'!$B$6:$P$500,3,FALSE),"")</f>
        <v>0</v>
      </c>
      <c r="D1152" s="28">
        <f>IFERROR(VLOOKUP(B1152,'SAÍDA DE VENDAS'!$B$6:$P$500,4,FALSE),"")</f>
        <v>0</v>
      </c>
      <c r="E1152" s="28" t="str">
        <f>IFERROR(VLOOKUP(B1152,'SAÍDA DE VENDAS'!$B$6:$P$500,5,FALSE),"")</f>
        <v/>
      </c>
      <c r="F1152" s="28" t="str">
        <f>IF(OR(ISBLANK(B1152),B1152=""), "", IFERROR(INDEX('SAÍDA DE VENDAS'!$H$6:$H$500 &amp; "x " &amp; 'SAÍDA DE VENDAS'!$G$6:$G$500, MATCH(B1152, 'SAÍDA DE VENDAS'!$B$6:$B$500, 0)), "")&amp; IF(COUNTIF('SAÍDA DE VENDAS'!$B$6:$B$500, B1152)&gt;1, " + " &amp; IFERROR(INDEX('SAÍDA DE VENDAS'!$H$6:$H$500 &amp; "x " &amp; 'SAÍDA DE VENDAS'!$G$6:$G$500, MATCH(B1152, 'SAÍDA DE VENDAS'!$B$6:$B$500, 0)+1), ""), "")&amp; IF(COUNTIF('SAÍDA DE VENDAS'!$B$6:$B$500, B1152)&gt;2, " + " &amp; IFERROR(INDEX('SAÍDA DE VENDAS'!$H$6:$H$500 &amp; "x " &amp; 'SAÍDA DE VENDAS'!$G$6:$G$500, MATCH(B1152, 'SAÍDA DE VENDAS'!$B$6:$B$500, 0)+2), ""), "")&amp; IF(COUNTIF('SAÍDA DE VENDAS'!$B$6:$B$500, B1152)&gt;3, " + " &amp; IFERROR(INDEX('SAÍDA DE VENDAS'!$H$6:$H$500 &amp; "x " &amp; 'SAÍDA DE VENDAS'!$G$6:$G$500, MATCH(B1152, 'SAÍDA DE VENDAS'!$B$6:$B$500, 0)+3), ""), "")&amp; IF(COUNTIF('SAÍDA DE VENDAS'!$B$6:$B$500, B1152)&gt;4, " + " &amp; IFERROR(INDEX('SAÍDA DE VENDAS'!$H$6:$H$500 &amp; "x " &amp; 'SAÍDA DE VENDAS'!$G$6:$G$500, MATCH(B1152, 'SAÍDA DE VENDAS'!$B$6:$B$500, 0)+4), ""), "")&amp; IF(COUNTIF('SAÍDA DE VENDAS'!$B$6:$B$500, B1152)&gt;5, " + " &amp; IFERROR(INDEX('SAÍDA DE VENDAS'!$H$6:$H$500 &amp; "x " &amp; 'SAÍDA DE VENDAS'!$G$6:$G$500, MATCH(B1152, 'SAÍDA DE VENDAS'!$B$6:$B$500, 0)+5), ""), ""))</f>
        <v/>
      </c>
      <c r="G1152" s="28">
        <f>IFERROR(VLOOKUP(B1152,'SAÍDA DE VENDAS'!$B$6:$P$500,10,FALSE),"")</f>
        <v>0</v>
      </c>
      <c r="H1152" s="28" t="str">
        <f>IF(OR(ISBLANK(B1152),B1152=""), "", IF(B1152=B1151, (VALUE(LEFT(H1151,FIND("/",H1151)-1))+1)&amp;"/"&amp;RIGHT(H1151,LEN(H1151)-FIND("/",H1151)), "1/"&amp;IFERROR(VLOOKUP(B1152,'SAÍDA DE VENDAS'!$B$6:$P$500,13,FALSE),"1")))</f>
        <v/>
      </c>
      <c r="I1152" s="69" t="str">
        <f t="shared" si="34"/>
        <v/>
      </c>
      <c r="J1152" s="33" t="str">
        <f>IFERROR(VLOOKUP(B1152,'SAÍDA DE VENDAS'!$B$6:$P$500,15,FALSE),"")</f>
        <v/>
      </c>
      <c r="K1152" s="28" t="str">
        <f t="shared" ca="1" si="35"/>
        <v/>
      </c>
      <c r="L1152" s="28"/>
      <c r="M1152" s="28"/>
    </row>
    <row r="1153" spans="2:13" ht="15" customHeight="1" x14ac:dyDescent="0.3">
      <c r="B1153" s="34" t="str">
        <f>IF(B1152="","", IF(VALUE(LEFT(H1152,FIND("/",H1152)-1)) &lt; VALUE(RIGHT(H1152,LEN(H1152)-FIND("/",H1152))), B1152, IFERROR(INDEX('SAÍDA DE VENDAS'!$B$6:$B$500, MATCH(B1152,'SAÍDA DE VENDAS'!$B$6:$B$500,0)+COUNTIF('SAÍDA DE VENDAS'!$B$6:$B$500, B1152)),"")))</f>
        <v/>
      </c>
      <c r="C1153" s="35">
        <f>IFERROR(VLOOKUP(B1153,'SAÍDA DE VENDAS'!$B$6:$P$500,3,FALSE),"")</f>
        <v>0</v>
      </c>
      <c r="D1153" s="34">
        <f>IFERROR(VLOOKUP(B1153,'SAÍDA DE VENDAS'!$B$6:$P$500,4,FALSE),"")</f>
        <v>0</v>
      </c>
      <c r="E1153" s="34" t="str">
        <f>IFERROR(VLOOKUP(B1153,'SAÍDA DE VENDAS'!$B$6:$P$500,5,FALSE),"")</f>
        <v/>
      </c>
      <c r="F1153" s="34" t="str">
        <f>IF(OR(ISBLANK(B1153),B1153=""), "", IFERROR(INDEX('SAÍDA DE VENDAS'!$H$6:$H$500 &amp; "x " &amp; 'SAÍDA DE VENDAS'!$G$6:$G$500, MATCH(B1153, 'SAÍDA DE VENDAS'!$B$6:$B$500, 0)), "")&amp; IF(COUNTIF('SAÍDA DE VENDAS'!$B$6:$B$500, B1153)&gt;1, " + " &amp; IFERROR(INDEX('SAÍDA DE VENDAS'!$H$6:$H$500 &amp; "x " &amp; 'SAÍDA DE VENDAS'!$G$6:$G$500, MATCH(B1153, 'SAÍDA DE VENDAS'!$B$6:$B$500, 0)+1), ""), "")&amp; IF(COUNTIF('SAÍDA DE VENDAS'!$B$6:$B$500, B1153)&gt;2, " + " &amp; IFERROR(INDEX('SAÍDA DE VENDAS'!$H$6:$H$500 &amp; "x " &amp; 'SAÍDA DE VENDAS'!$G$6:$G$500, MATCH(B1153, 'SAÍDA DE VENDAS'!$B$6:$B$500, 0)+2), ""), "")&amp; IF(COUNTIF('SAÍDA DE VENDAS'!$B$6:$B$500, B1153)&gt;3, " + " &amp; IFERROR(INDEX('SAÍDA DE VENDAS'!$H$6:$H$500 &amp; "x " &amp; 'SAÍDA DE VENDAS'!$G$6:$G$500, MATCH(B1153, 'SAÍDA DE VENDAS'!$B$6:$B$500, 0)+3), ""), "")&amp; IF(COUNTIF('SAÍDA DE VENDAS'!$B$6:$B$500, B1153)&gt;4, " + " &amp; IFERROR(INDEX('SAÍDA DE VENDAS'!$H$6:$H$500 &amp; "x " &amp; 'SAÍDA DE VENDAS'!$G$6:$G$500, MATCH(B1153, 'SAÍDA DE VENDAS'!$B$6:$B$500, 0)+4), ""), "")&amp; IF(COUNTIF('SAÍDA DE VENDAS'!$B$6:$B$500, B1153)&gt;5, " + " &amp; IFERROR(INDEX('SAÍDA DE VENDAS'!$H$6:$H$500 &amp; "x " &amp; 'SAÍDA DE VENDAS'!$G$6:$G$500, MATCH(B1153, 'SAÍDA DE VENDAS'!$B$6:$B$500, 0)+5), ""), ""))</f>
        <v/>
      </c>
      <c r="G1153" s="34">
        <f>IFERROR(VLOOKUP(B1153,'SAÍDA DE VENDAS'!$B$6:$P$500,10,FALSE),"")</f>
        <v>0</v>
      </c>
      <c r="H1153" s="34" t="str">
        <f>IF(OR(ISBLANK(B1153),B1153=""), "", IF(B1153=B1152, (VALUE(LEFT(H1152,FIND("/",H1152)-1))+1)&amp;"/"&amp;RIGHT(H1152,LEN(H1152)-FIND("/",H1152)), "1/"&amp;IFERROR(VLOOKUP(B1153,'SAÍDA DE VENDAS'!$B$6:$P$500,13,FALSE),"1")))</f>
        <v/>
      </c>
      <c r="I1153" s="35" t="str">
        <f t="shared" si="34"/>
        <v/>
      </c>
      <c r="J1153" s="39" t="str">
        <f>IFERROR(VLOOKUP(B1153,'SAÍDA DE VENDAS'!$B$6:$P$500,15,FALSE),"")</f>
        <v/>
      </c>
      <c r="K1153" s="34" t="str">
        <f t="shared" ca="1" si="35"/>
        <v/>
      </c>
      <c r="L1153" s="34"/>
      <c r="M1153" s="34"/>
    </row>
    <row r="1154" spans="2:13" ht="15" customHeight="1" x14ac:dyDescent="0.3">
      <c r="B1154" s="28" t="str">
        <f>IF(B1153="","", IF(VALUE(LEFT(H1153,FIND("/",H1153)-1)) &lt; VALUE(RIGHT(H1153,LEN(H1153)-FIND("/",H1153))), B1153, IFERROR(INDEX('SAÍDA DE VENDAS'!$B$6:$B$500, MATCH(B1153,'SAÍDA DE VENDAS'!$B$6:$B$500,0)+COUNTIF('SAÍDA DE VENDAS'!$B$6:$B$500, B1153)),"")))</f>
        <v/>
      </c>
      <c r="C1154" s="29">
        <f>IFERROR(VLOOKUP(B1154,'SAÍDA DE VENDAS'!$B$6:$P$500,3,FALSE),"")</f>
        <v>0</v>
      </c>
      <c r="D1154" s="28">
        <f>IFERROR(VLOOKUP(B1154,'SAÍDA DE VENDAS'!$B$6:$P$500,4,FALSE),"")</f>
        <v>0</v>
      </c>
      <c r="E1154" s="28" t="str">
        <f>IFERROR(VLOOKUP(B1154,'SAÍDA DE VENDAS'!$B$6:$P$500,5,FALSE),"")</f>
        <v/>
      </c>
      <c r="F1154" s="28" t="str">
        <f>IF(OR(ISBLANK(B1154),B1154=""), "", IFERROR(INDEX('SAÍDA DE VENDAS'!$H$6:$H$500 &amp; "x " &amp; 'SAÍDA DE VENDAS'!$G$6:$G$500, MATCH(B1154, 'SAÍDA DE VENDAS'!$B$6:$B$500, 0)), "")&amp; IF(COUNTIF('SAÍDA DE VENDAS'!$B$6:$B$500, B1154)&gt;1, " + " &amp; IFERROR(INDEX('SAÍDA DE VENDAS'!$H$6:$H$500 &amp; "x " &amp; 'SAÍDA DE VENDAS'!$G$6:$G$500, MATCH(B1154, 'SAÍDA DE VENDAS'!$B$6:$B$500, 0)+1), ""), "")&amp; IF(COUNTIF('SAÍDA DE VENDAS'!$B$6:$B$500, B1154)&gt;2, " + " &amp; IFERROR(INDEX('SAÍDA DE VENDAS'!$H$6:$H$500 &amp; "x " &amp; 'SAÍDA DE VENDAS'!$G$6:$G$500, MATCH(B1154, 'SAÍDA DE VENDAS'!$B$6:$B$500, 0)+2), ""), "")&amp; IF(COUNTIF('SAÍDA DE VENDAS'!$B$6:$B$500, B1154)&gt;3, " + " &amp; IFERROR(INDEX('SAÍDA DE VENDAS'!$H$6:$H$500 &amp; "x " &amp; 'SAÍDA DE VENDAS'!$G$6:$G$500, MATCH(B1154, 'SAÍDA DE VENDAS'!$B$6:$B$500, 0)+3), ""), "")&amp; IF(COUNTIF('SAÍDA DE VENDAS'!$B$6:$B$500, B1154)&gt;4, " + " &amp; IFERROR(INDEX('SAÍDA DE VENDAS'!$H$6:$H$500 &amp; "x " &amp; 'SAÍDA DE VENDAS'!$G$6:$G$500, MATCH(B1154, 'SAÍDA DE VENDAS'!$B$6:$B$500, 0)+4), ""), "")&amp; IF(COUNTIF('SAÍDA DE VENDAS'!$B$6:$B$500, B1154)&gt;5, " + " &amp; IFERROR(INDEX('SAÍDA DE VENDAS'!$H$6:$H$500 &amp; "x " &amp; 'SAÍDA DE VENDAS'!$G$6:$G$500, MATCH(B1154, 'SAÍDA DE VENDAS'!$B$6:$B$500, 0)+5), ""), ""))</f>
        <v/>
      </c>
      <c r="G1154" s="28">
        <f>IFERROR(VLOOKUP(B1154,'SAÍDA DE VENDAS'!$B$6:$P$500,10,FALSE),"")</f>
        <v>0</v>
      </c>
      <c r="H1154" s="28" t="str">
        <f>IF(OR(ISBLANK(B1154),B1154=""), "", IF(B1154=B1153, (VALUE(LEFT(H1153,FIND("/",H1153)-1))+1)&amp;"/"&amp;RIGHT(H1153,LEN(H1153)-FIND("/",H1153)), "1/"&amp;IFERROR(VLOOKUP(B1154,'SAÍDA DE VENDAS'!$B$6:$P$500,13,FALSE),"1")))</f>
        <v/>
      </c>
      <c r="I1154" s="69" t="str">
        <f t="shared" si="34"/>
        <v/>
      </c>
      <c r="J1154" s="33" t="str">
        <f>IFERROR(VLOOKUP(B1154,'SAÍDA DE VENDAS'!$B$6:$P$500,15,FALSE),"")</f>
        <v/>
      </c>
      <c r="K1154" s="28" t="str">
        <f t="shared" ca="1" si="35"/>
        <v/>
      </c>
      <c r="L1154" s="28"/>
      <c r="M1154" s="28"/>
    </row>
    <row r="1155" spans="2:13" ht="15" customHeight="1" x14ac:dyDescent="0.3">
      <c r="B1155" s="34" t="str">
        <f>IF(B1154="","", IF(VALUE(LEFT(H1154,FIND("/",H1154)-1)) &lt; VALUE(RIGHT(H1154,LEN(H1154)-FIND("/",H1154))), B1154, IFERROR(INDEX('SAÍDA DE VENDAS'!$B$6:$B$500, MATCH(B1154,'SAÍDA DE VENDAS'!$B$6:$B$500,0)+COUNTIF('SAÍDA DE VENDAS'!$B$6:$B$500, B1154)),"")))</f>
        <v/>
      </c>
      <c r="C1155" s="35">
        <f>IFERROR(VLOOKUP(B1155,'SAÍDA DE VENDAS'!$B$6:$P$500,3,FALSE),"")</f>
        <v>0</v>
      </c>
      <c r="D1155" s="34">
        <f>IFERROR(VLOOKUP(B1155,'SAÍDA DE VENDAS'!$B$6:$P$500,4,FALSE),"")</f>
        <v>0</v>
      </c>
      <c r="E1155" s="34" t="str">
        <f>IFERROR(VLOOKUP(B1155,'SAÍDA DE VENDAS'!$B$6:$P$500,5,FALSE),"")</f>
        <v/>
      </c>
      <c r="F1155" s="34" t="str">
        <f>IF(OR(ISBLANK(B1155),B1155=""), "", IFERROR(INDEX('SAÍDA DE VENDAS'!$H$6:$H$500 &amp; "x " &amp; 'SAÍDA DE VENDAS'!$G$6:$G$500, MATCH(B1155, 'SAÍDA DE VENDAS'!$B$6:$B$500, 0)), "")&amp; IF(COUNTIF('SAÍDA DE VENDAS'!$B$6:$B$500, B1155)&gt;1, " + " &amp; IFERROR(INDEX('SAÍDA DE VENDAS'!$H$6:$H$500 &amp; "x " &amp; 'SAÍDA DE VENDAS'!$G$6:$G$500, MATCH(B1155, 'SAÍDA DE VENDAS'!$B$6:$B$500, 0)+1), ""), "")&amp; IF(COUNTIF('SAÍDA DE VENDAS'!$B$6:$B$500, B1155)&gt;2, " + " &amp; IFERROR(INDEX('SAÍDA DE VENDAS'!$H$6:$H$500 &amp; "x " &amp; 'SAÍDA DE VENDAS'!$G$6:$G$500, MATCH(B1155, 'SAÍDA DE VENDAS'!$B$6:$B$500, 0)+2), ""), "")&amp; IF(COUNTIF('SAÍDA DE VENDAS'!$B$6:$B$500, B1155)&gt;3, " + " &amp; IFERROR(INDEX('SAÍDA DE VENDAS'!$H$6:$H$500 &amp; "x " &amp; 'SAÍDA DE VENDAS'!$G$6:$G$500, MATCH(B1155, 'SAÍDA DE VENDAS'!$B$6:$B$500, 0)+3), ""), "")&amp; IF(COUNTIF('SAÍDA DE VENDAS'!$B$6:$B$500, B1155)&gt;4, " + " &amp; IFERROR(INDEX('SAÍDA DE VENDAS'!$H$6:$H$500 &amp; "x " &amp; 'SAÍDA DE VENDAS'!$G$6:$G$500, MATCH(B1155, 'SAÍDA DE VENDAS'!$B$6:$B$500, 0)+4), ""), "")&amp; IF(COUNTIF('SAÍDA DE VENDAS'!$B$6:$B$500, B1155)&gt;5, " + " &amp; IFERROR(INDEX('SAÍDA DE VENDAS'!$H$6:$H$500 &amp; "x " &amp; 'SAÍDA DE VENDAS'!$G$6:$G$500, MATCH(B1155, 'SAÍDA DE VENDAS'!$B$6:$B$500, 0)+5), ""), ""))</f>
        <v/>
      </c>
      <c r="G1155" s="34">
        <f>IFERROR(VLOOKUP(B1155,'SAÍDA DE VENDAS'!$B$6:$P$500,10,FALSE),"")</f>
        <v>0</v>
      </c>
      <c r="H1155" s="34" t="str">
        <f>IF(OR(ISBLANK(B1155),B1155=""), "", IF(B1155=B1154, (VALUE(LEFT(H1154,FIND("/",H1154)-1))+1)&amp;"/"&amp;RIGHT(H1154,LEN(H1154)-FIND("/",H1154)), "1/"&amp;IFERROR(VLOOKUP(B1155,'SAÍDA DE VENDAS'!$B$6:$P$500,13,FALSE),"1")))</f>
        <v/>
      </c>
      <c r="I1155" s="35" t="str">
        <f t="shared" si="34"/>
        <v/>
      </c>
      <c r="J1155" s="39" t="str">
        <f>IFERROR(VLOOKUP(B1155,'SAÍDA DE VENDAS'!$B$6:$P$500,15,FALSE),"")</f>
        <v/>
      </c>
      <c r="K1155" s="34" t="str">
        <f t="shared" ca="1" si="35"/>
        <v/>
      </c>
      <c r="L1155" s="34"/>
      <c r="M1155" s="34"/>
    </row>
    <row r="1156" spans="2:13" ht="15" customHeight="1" x14ac:dyDescent="0.3">
      <c r="B1156" s="28" t="str">
        <f>IF(B1155="","", IF(VALUE(LEFT(H1155,FIND("/",H1155)-1)) &lt; VALUE(RIGHT(H1155,LEN(H1155)-FIND("/",H1155))), B1155, IFERROR(INDEX('SAÍDA DE VENDAS'!$B$6:$B$500, MATCH(B1155,'SAÍDA DE VENDAS'!$B$6:$B$500,0)+COUNTIF('SAÍDA DE VENDAS'!$B$6:$B$500, B1155)),"")))</f>
        <v/>
      </c>
      <c r="C1156" s="29">
        <f>IFERROR(VLOOKUP(B1156,'SAÍDA DE VENDAS'!$B$6:$P$500,3,FALSE),"")</f>
        <v>0</v>
      </c>
      <c r="D1156" s="28">
        <f>IFERROR(VLOOKUP(B1156,'SAÍDA DE VENDAS'!$B$6:$P$500,4,FALSE),"")</f>
        <v>0</v>
      </c>
      <c r="E1156" s="28" t="str">
        <f>IFERROR(VLOOKUP(B1156,'SAÍDA DE VENDAS'!$B$6:$P$500,5,FALSE),"")</f>
        <v/>
      </c>
      <c r="F1156" s="28" t="str">
        <f>IF(OR(ISBLANK(B1156),B1156=""), "", IFERROR(INDEX('SAÍDA DE VENDAS'!$H$6:$H$500 &amp; "x " &amp; 'SAÍDA DE VENDAS'!$G$6:$G$500, MATCH(B1156, 'SAÍDA DE VENDAS'!$B$6:$B$500, 0)), "")&amp; IF(COUNTIF('SAÍDA DE VENDAS'!$B$6:$B$500, B1156)&gt;1, " + " &amp; IFERROR(INDEX('SAÍDA DE VENDAS'!$H$6:$H$500 &amp; "x " &amp; 'SAÍDA DE VENDAS'!$G$6:$G$500, MATCH(B1156, 'SAÍDA DE VENDAS'!$B$6:$B$500, 0)+1), ""), "")&amp; IF(COUNTIF('SAÍDA DE VENDAS'!$B$6:$B$500, B1156)&gt;2, " + " &amp; IFERROR(INDEX('SAÍDA DE VENDAS'!$H$6:$H$500 &amp; "x " &amp; 'SAÍDA DE VENDAS'!$G$6:$G$500, MATCH(B1156, 'SAÍDA DE VENDAS'!$B$6:$B$500, 0)+2), ""), "")&amp; IF(COUNTIF('SAÍDA DE VENDAS'!$B$6:$B$500, B1156)&gt;3, " + " &amp; IFERROR(INDEX('SAÍDA DE VENDAS'!$H$6:$H$500 &amp; "x " &amp; 'SAÍDA DE VENDAS'!$G$6:$G$500, MATCH(B1156, 'SAÍDA DE VENDAS'!$B$6:$B$500, 0)+3), ""), "")&amp; IF(COUNTIF('SAÍDA DE VENDAS'!$B$6:$B$500, B1156)&gt;4, " + " &amp; IFERROR(INDEX('SAÍDA DE VENDAS'!$H$6:$H$500 &amp; "x " &amp; 'SAÍDA DE VENDAS'!$G$6:$G$500, MATCH(B1156, 'SAÍDA DE VENDAS'!$B$6:$B$500, 0)+4), ""), "")&amp; IF(COUNTIF('SAÍDA DE VENDAS'!$B$6:$B$500, B1156)&gt;5, " + " &amp; IFERROR(INDEX('SAÍDA DE VENDAS'!$H$6:$H$500 &amp; "x " &amp; 'SAÍDA DE VENDAS'!$G$6:$G$500, MATCH(B1156, 'SAÍDA DE VENDAS'!$B$6:$B$500, 0)+5), ""), ""))</f>
        <v/>
      </c>
      <c r="G1156" s="28">
        <f>IFERROR(VLOOKUP(B1156,'SAÍDA DE VENDAS'!$B$6:$P$500,10,FALSE),"")</f>
        <v>0</v>
      </c>
      <c r="H1156" s="28" t="str">
        <f>IF(OR(ISBLANK(B1156),B1156=""), "", IF(B1156=B1155, (VALUE(LEFT(H1155,FIND("/",H1155)-1))+1)&amp;"/"&amp;RIGHT(H1155,LEN(H1155)-FIND("/",H1155)), "1/"&amp;IFERROR(VLOOKUP(B1156,'SAÍDA DE VENDAS'!$B$6:$P$500,13,FALSE),"1")))</f>
        <v/>
      </c>
      <c r="I1156" s="69" t="str">
        <f t="shared" si="34"/>
        <v/>
      </c>
      <c r="J1156" s="33" t="str">
        <f>IFERROR(VLOOKUP(B1156,'SAÍDA DE VENDAS'!$B$6:$P$500,15,FALSE),"")</f>
        <v/>
      </c>
      <c r="K1156" s="28" t="str">
        <f t="shared" ca="1" si="35"/>
        <v/>
      </c>
      <c r="L1156" s="28"/>
      <c r="M1156" s="28"/>
    </row>
    <row r="1157" spans="2:13" ht="15" customHeight="1" x14ac:dyDescent="0.3">
      <c r="B1157" s="34" t="str">
        <f>IF(B1156="","", IF(VALUE(LEFT(H1156,FIND("/",H1156)-1)) &lt; VALUE(RIGHT(H1156,LEN(H1156)-FIND("/",H1156))), B1156, IFERROR(INDEX('SAÍDA DE VENDAS'!$B$6:$B$500, MATCH(B1156,'SAÍDA DE VENDAS'!$B$6:$B$500,0)+COUNTIF('SAÍDA DE VENDAS'!$B$6:$B$500, B1156)),"")))</f>
        <v/>
      </c>
      <c r="C1157" s="35">
        <f>IFERROR(VLOOKUP(B1157,'SAÍDA DE VENDAS'!$B$6:$P$500,3,FALSE),"")</f>
        <v>0</v>
      </c>
      <c r="D1157" s="34">
        <f>IFERROR(VLOOKUP(B1157,'SAÍDA DE VENDAS'!$B$6:$P$500,4,FALSE),"")</f>
        <v>0</v>
      </c>
      <c r="E1157" s="34" t="str">
        <f>IFERROR(VLOOKUP(B1157,'SAÍDA DE VENDAS'!$B$6:$P$500,5,FALSE),"")</f>
        <v/>
      </c>
      <c r="F1157" s="34" t="str">
        <f>IF(OR(ISBLANK(B1157),B1157=""), "", IFERROR(INDEX('SAÍDA DE VENDAS'!$H$6:$H$500 &amp; "x " &amp; 'SAÍDA DE VENDAS'!$G$6:$G$500, MATCH(B1157, 'SAÍDA DE VENDAS'!$B$6:$B$500, 0)), "")&amp; IF(COUNTIF('SAÍDA DE VENDAS'!$B$6:$B$500, B1157)&gt;1, " + " &amp; IFERROR(INDEX('SAÍDA DE VENDAS'!$H$6:$H$500 &amp; "x " &amp; 'SAÍDA DE VENDAS'!$G$6:$G$500, MATCH(B1157, 'SAÍDA DE VENDAS'!$B$6:$B$500, 0)+1), ""), "")&amp; IF(COUNTIF('SAÍDA DE VENDAS'!$B$6:$B$500, B1157)&gt;2, " + " &amp; IFERROR(INDEX('SAÍDA DE VENDAS'!$H$6:$H$500 &amp; "x " &amp; 'SAÍDA DE VENDAS'!$G$6:$G$500, MATCH(B1157, 'SAÍDA DE VENDAS'!$B$6:$B$500, 0)+2), ""), "")&amp; IF(COUNTIF('SAÍDA DE VENDAS'!$B$6:$B$500, B1157)&gt;3, " + " &amp; IFERROR(INDEX('SAÍDA DE VENDAS'!$H$6:$H$500 &amp; "x " &amp; 'SAÍDA DE VENDAS'!$G$6:$G$500, MATCH(B1157, 'SAÍDA DE VENDAS'!$B$6:$B$500, 0)+3), ""), "")&amp; IF(COUNTIF('SAÍDA DE VENDAS'!$B$6:$B$500, B1157)&gt;4, " + " &amp; IFERROR(INDEX('SAÍDA DE VENDAS'!$H$6:$H$500 &amp; "x " &amp; 'SAÍDA DE VENDAS'!$G$6:$G$500, MATCH(B1157, 'SAÍDA DE VENDAS'!$B$6:$B$500, 0)+4), ""), "")&amp; IF(COUNTIF('SAÍDA DE VENDAS'!$B$6:$B$500, B1157)&gt;5, " + " &amp; IFERROR(INDEX('SAÍDA DE VENDAS'!$H$6:$H$500 &amp; "x " &amp; 'SAÍDA DE VENDAS'!$G$6:$G$500, MATCH(B1157, 'SAÍDA DE VENDAS'!$B$6:$B$500, 0)+5), ""), ""))</f>
        <v/>
      </c>
      <c r="G1157" s="34">
        <f>IFERROR(VLOOKUP(B1157,'SAÍDA DE VENDAS'!$B$6:$P$500,10,FALSE),"")</f>
        <v>0</v>
      </c>
      <c r="H1157" s="34" t="str">
        <f>IF(OR(ISBLANK(B1157),B1157=""), "", IF(B1157=B1156, (VALUE(LEFT(H1156,FIND("/",H1156)-1))+1)&amp;"/"&amp;RIGHT(H1156,LEN(H1156)-FIND("/",H1156)), "1/"&amp;IFERROR(VLOOKUP(B1157,'SAÍDA DE VENDAS'!$B$6:$P$500,13,FALSE),"1")))</f>
        <v/>
      </c>
      <c r="I1157" s="35" t="str">
        <f t="shared" si="34"/>
        <v/>
      </c>
      <c r="J1157" s="39" t="str">
        <f>IFERROR(VLOOKUP(B1157,'SAÍDA DE VENDAS'!$B$6:$P$500,15,FALSE),"")</f>
        <v/>
      </c>
      <c r="K1157" s="34" t="str">
        <f t="shared" ca="1" si="35"/>
        <v/>
      </c>
      <c r="L1157" s="34"/>
      <c r="M1157" s="34"/>
    </row>
    <row r="1158" spans="2:13" ht="15" customHeight="1" x14ac:dyDescent="0.3">
      <c r="B1158" s="28" t="str">
        <f>IF(B1157="","", IF(VALUE(LEFT(H1157,FIND("/",H1157)-1)) &lt; VALUE(RIGHT(H1157,LEN(H1157)-FIND("/",H1157))), B1157, IFERROR(INDEX('SAÍDA DE VENDAS'!$B$6:$B$500, MATCH(B1157,'SAÍDA DE VENDAS'!$B$6:$B$500,0)+COUNTIF('SAÍDA DE VENDAS'!$B$6:$B$500, B1157)),"")))</f>
        <v/>
      </c>
      <c r="C1158" s="29">
        <f>IFERROR(VLOOKUP(B1158,'SAÍDA DE VENDAS'!$B$6:$P$500,3,FALSE),"")</f>
        <v>0</v>
      </c>
      <c r="D1158" s="28">
        <f>IFERROR(VLOOKUP(B1158,'SAÍDA DE VENDAS'!$B$6:$P$500,4,FALSE),"")</f>
        <v>0</v>
      </c>
      <c r="E1158" s="28" t="str">
        <f>IFERROR(VLOOKUP(B1158,'SAÍDA DE VENDAS'!$B$6:$P$500,5,FALSE),"")</f>
        <v/>
      </c>
      <c r="F1158" s="28" t="str">
        <f>IF(OR(ISBLANK(B1158),B1158=""), "", IFERROR(INDEX('SAÍDA DE VENDAS'!$H$6:$H$500 &amp; "x " &amp; 'SAÍDA DE VENDAS'!$G$6:$G$500, MATCH(B1158, 'SAÍDA DE VENDAS'!$B$6:$B$500, 0)), "")&amp; IF(COUNTIF('SAÍDA DE VENDAS'!$B$6:$B$500, B1158)&gt;1, " + " &amp; IFERROR(INDEX('SAÍDA DE VENDAS'!$H$6:$H$500 &amp; "x " &amp; 'SAÍDA DE VENDAS'!$G$6:$G$500, MATCH(B1158, 'SAÍDA DE VENDAS'!$B$6:$B$500, 0)+1), ""), "")&amp; IF(COUNTIF('SAÍDA DE VENDAS'!$B$6:$B$500, B1158)&gt;2, " + " &amp; IFERROR(INDEX('SAÍDA DE VENDAS'!$H$6:$H$500 &amp; "x " &amp; 'SAÍDA DE VENDAS'!$G$6:$G$500, MATCH(B1158, 'SAÍDA DE VENDAS'!$B$6:$B$500, 0)+2), ""), "")&amp; IF(COUNTIF('SAÍDA DE VENDAS'!$B$6:$B$500, B1158)&gt;3, " + " &amp; IFERROR(INDEX('SAÍDA DE VENDAS'!$H$6:$H$500 &amp; "x " &amp; 'SAÍDA DE VENDAS'!$G$6:$G$500, MATCH(B1158, 'SAÍDA DE VENDAS'!$B$6:$B$500, 0)+3), ""), "")&amp; IF(COUNTIF('SAÍDA DE VENDAS'!$B$6:$B$500, B1158)&gt;4, " + " &amp; IFERROR(INDEX('SAÍDA DE VENDAS'!$H$6:$H$500 &amp; "x " &amp; 'SAÍDA DE VENDAS'!$G$6:$G$500, MATCH(B1158, 'SAÍDA DE VENDAS'!$B$6:$B$500, 0)+4), ""), "")&amp; IF(COUNTIF('SAÍDA DE VENDAS'!$B$6:$B$500, B1158)&gt;5, " + " &amp; IFERROR(INDEX('SAÍDA DE VENDAS'!$H$6:$H$500 &amp; "x " &amp; 'SAÍDA DE VENDAS'!$G$6:$G$500, MATCH(B1158, 'SAÍDA DE VENDAS'!$B$6:$B$500, 0)+5), ""), ""))</f>
        <v/>
      </c>
      <c r="G1158" s="28">
        <f>IFERROR(VLOOKUP(B1158,'SAÍDA DE VENDAS'!$B$6:$P$500,10,FALSE),"")</f>
        <v>0</v>
      </c>
      <c r="H1158" s="28" t="str">
        <f>IF(OR(ISBLANK(B1158),B1158=""), "", IF(B1158=B1157, (VALUE(LEFT(H1157,FIND("/",H1157)-1))+1)&amp;"/"&amp;RIGHT(H1157,LEN(H1157)-FIND("/",H1157)), "1/"&amp;IFERROR(VLOOKUP(B1158,'SAÍDA DE VENDAS'!$B$6:$P$500,13,FALSE),"1")))</f>
        <v/>
      </c>
      <c r="I1158" s="69" t="str">
        <f t="shared" ref="I1158:I1221" si="36">IF(OR(ISBLANK(B1158), B1158="", C1158=""), "", C1158 + (IFERROR(VALUE(LEFT(H1158, FIND("/", H1158)-1)), 1) * 30))</f>
        <v/>
      </c>
      <c r="J1158" s="33" t="str">
        <f>IFERROR(VLOOKUP(B1158,'SAÍDA DE VENDAS'!$B$6:$P$500,15,FALSE),"")</f>
        <v/>
      </c>
      <c r="K1158" s="28" t="str">
        <f t="shared" ref="K1158:K1221" ca="1" si="37">IF(B1158="","", IF(OR(G1158="À Vista", L1158&lt;&gt;""), "Pago", IF(AND(I1158&lt;&gt;"", I1158&lt;TODAY()), "Atrasado", "Pendente")))</f>
        <v/>
      </c>
      <c r="L1158" s="28"/>
      <c r="M1158" s="28"/>
    </row>
    <row r="1159" spans="2:13" ht="15" customHeight="1" x14ac:dyDescent="0.3">
      <c r="B1159" s="34" t="str">
        <f>IF(B1158="","", IF(VALUE(LEFT(H1158,FIND("/",H1158)-1)) &lt; VALUE(RIGHT(H1158,LEN(H1158)-FIND("/",H1158))), B1158, IFERROR(INDEX('SAÍDA DE VENDAS'!$B$6:$B$500, MATCH(B1158,'SAÍDA DE VENDAS'!$B$6:$B$500,0)+COUNTIF('SAÍDA DE VENDAS'!$B$6:$B$500, B1158)),"")))</f>
        <v/>
      </c>
      <c r="C1159" s="35">
        <f>IFERROR(VLOOKUP(B1159,'SAÍDA DE VENDAS'!$B$6:$P$500,3,FALSE),"")</f>
        <v>0</v>
      </c>
      <c r="D1159" s="34">
        <f>IFERROR(VLOOKUP(B1159,'SAÍDA DE VENDAS'!$B$6:$P$500,4,FALSE),"")</f>
        <v>0</v>
      </c>
      <c r="E1159" s="34" t="str">
        <f>IFERROR(VLOOKUP(B1159,'SAÍDA DE VENDAS'!$B$6:$P$500,5,FALSE),"")</f>
        <v/>
      </c>
      <c r="F1159" s="34" t="str">
        <f>IF(OR(ISBLANK(B1159),B1159=""), "", IFERROR(INDEX('SAÍDA DE VENDAS'!$H$6:$H$500 &amp; "x " &amp; 'SAÍDA DE VENDAS'!$G$6:$G$500, MATCH(B1159, 'SAÍDA DE VENDAS'!$B$6:$B$500, 0)), "")&amp; IF(COUNTIF('SAÍDA DE VENDAS'!$B$6:$B$500, B1159)&gt;1, " + " &amp; IFERROR(INDEX('SAÍDA DE VENDAS'!$H$6:$H$500 &amp; "x " &amp; 'SAÍDA DE VENDAS'!$G$6:$G$500, MATCH(B1159, 'SAÍDA DE VENDAS'!$B$6:$B$500, 0)+1), ""), "")&amp; IF(COUNTIF('SAÍDA DE VENDAS'!$B$6:$B$500, B1159)&gt;2, " + " &amp; IFERROR(INDEX('SAÍDA DE VENDAS'!$H$6:$H$500 &amp; "x " &amp; 'SAÍDA DE VENDAS'!$G$6:$G$500, MATCH(B1159, 'SAÍDA DE VENDAS'!$B$6:$B$500, 0)+2), ""), "")&amp; IF(COUNTIF('SAÍDA DE VENDAS'!$B$6:$B$500, B1159)&gt;3, " + " &amp; IFERROR(INDEX('SAÍDA DE VENDAS'!$H$6:$H$500 &amp; "x " &amp; 'SAÍDA DE VENDAS'!$G$6:$G$500, MATCH(B1159, 'SAÍDA DE VENDAS'!$B$6:$B$500, 0)+3), ""), "")&amp; IF(COUNTIF('SAÍDA DE VENDAS'!$B$6:$B$500, B1159)&gt;4, " + " &amp; IFERROR(INDEX('SAÍDA DE VENDAS'!$H$6:$H$500 &amp; "x " &amp; 'SAÍDA DE VENDAS'!$G$6:$G$500, MATCH(B1159, 'SAÍDA DE VENDAS'!$B$6:$B$500, 0)+4), ""), "")&amp; IF(COUNTIF('SAÍDA DE VENDAS'!$B$6:$B$500, B1159)&gt;5, " + " &amp; IFERROR(INDEX('SAÍDA DE VENDAS'!$H$6:$H$500 &amp; "x " &amp; 'SAÍDA DE VENDAS'!$G$6:$G$500, MATCH(B1159, 'SAÍDA DE VENDAS'!$B$6:$B$500, 0)+5), ""), ""))</f>
        <v/>
      </c>
      <c r="G1159" s="34">
        <f>IFERROR(VLOOKUP(B1159,'SAÍDA DE VENDAS'!$B$6:$P$500,10,FALSE),"")</f>
        <v>0</v>
      </c>
      <c r="H1159" s="34" t="str">
        <f>IF(OR(ISBLANK(B1159),B1159=""), "", IF(B1159=B1158, (VALUE(LEFT(H1158,FIND("/",H1158)-1))+1)&amp;"/"&amp;RIGHT(H1158,LEN(H1158)-FIND("/",H1158)), "1/"&amp;IFERROR(VLOOKUP(B1159,'SAÍDA DE VENDAS'!$B$6:$P$500,13,FALSE),"1")))</f>
        <v/>
      </c>
      <c r="I1159" s="35" t="str">
        <f t="shared" si="36"/>
        <v/>
      </c>
      <c r="J1159" s="39" t="str">
        <f>IFERROR(VLOOKUP(B1159,'SAÍDA DE VENDAS'!$B$6:$P$500,15,FALSE),"")</f>
        <v/>
      </c>
      <c r="K1159" s="34" t="str">
        <f t="shared" ca="1" si="37"/>
        <v/>
      </c>
      <c r="L1159" s="34"/>
      <c r="M1159" s="34"/>
    </row>
    <row r="1160" spans="2:13" ht="15" customHeight="1" x14ac:dyDescent="0.3">
      <c r="B1160" s="28" t="str">
        <f>IF(B1159="","", IF(VALUE(LEFT(H1159,FIND("/",H1159)-1)) &lt; VALUE(RIGHT(H1159,LEN(H1159)-FIND("/",H1159))), B1159, IFERROR(INDEX('SAÍDA DE VENDAS'!$B$6:$B$500, MATCH(B1159,'SAÍDA DE VENDAS'!$B$6:$B$500,0)+COUNTIF('SAÍDA DE VENDAS'!$B$6:$B$500, B1159)),"")))</f>
        <v/>
      </c>
      <c r="C1160" s="29">
        <f>IFERROR(VLOOKUP(B1160,'SAÍDA DE VENDAS'!$B$6:$P$500,3,FALSE),"")</f>
        <v>0</v>
      </c>
      <c r="D1160" s="28">
        <f>IFERROR(VLOOKUP(B1160,'SAÍDA DE VENDAS'!$B$6:$P$500,4,FALSE),"")</f>
        <v>0</v>
      </c>
      <c r="E1160" s="28" t="str">
        <f>IFERROR(VLOOKUP(B1160,'SAÍDA DE VENDAS'!$B$6:$P$500,5,FALSE),"")</f>
        <v/>
      </c>
      <c r="F1160" s="28" t="str">
        <f>IF(OR(ISBLANK(B1160),B1160=""), "", IFERROR(INDEX('SAÍDA DE VENDAS'!$H$6:$H$500 &amp; "x " &amp; 'SAÍDA DE VENDAS'!$G$6:$G$500, MATCH(B1160, 'SAÍDA DE VENDAS'!$B$6:$B$500, 0)), "")&amp; IF(COUNTIF('SAÍDA DE VENDAS'!$B$6:$B$500, B1160)&gt;1, " + " &amp; IFERROR(INDEX('SAÍDA DE VENDAS'!$H$6:$H$500 &amp; "x " &amp; 'SAÍDA DE VENDAS'!$G$6:$G$500, MATCH(B1160, 'SAÍDA DE VENDAS'!$B$6:$B$500, 0)+1), ""), "")&amp; IF(COUNTIF('SAÍDA DE VENDAS'!$B$6:$B$500, B1160)&gt;2, " + " &amp; IFERROR(INDEX('SAÍDA DE VENDAS'!$H$6:$H$500 &amp; "x " &amp; 'SAÍDA DE VENDAS'!$G$6:$G$500, MATCH(B1160, 'SAÍDA DE VENDAS'!$B$6:$B$500, 0)+2), ""), "")&amp; IF(COUNTIF('SAÍDA DE VENDAS'!$B$6:$B$500, B1160)&gt;3, " + " &amp; IFERROR(INDEX('SAÍDA DE VENDAS'!$H$6:$H$500 &amp; "x " &amp; 'SAÍDA DE VENDAS'!$G$6:$G$500, MATCH(B1160, 'SAÍDA DE VENDAS'!$B$6:$B$500, 0)+3), ""), "")&amp; IF(COUNTIF('SAÍDA DE VENDAS'!$B$6:$B$500, B1160)&gt;4, " + " &amp; IFERROR(INDEX('SAÍDA DE VENDAS'!$H$6:$H$500 &amp; "x " &amp; 'SAÍDA DE VENDAS'!$G$6:$G$500, MATCH(B1160, 'SAÍDA DE VENDAS'!$B$6:$B$500, 0)+4), ""), "")&amp; IF(COUNTIF('SAÍDA DE VENDAS'!$B$6:$B$500, B1160)&gt;5, " + " &amp; IFERROR(INDEX('SAÍDA DE VENDAS'!$H$6:$H$500 &amp; "x " &amp; 'SAÍDA DE VENDAS'!$G$6:$G$500, MATCH(B1160, 'SAÍDA DE VENDAS'!$B$6:$B$500, 0)+5), ""), ""))</f>
        <v/>
      </c>
      <c r="G1160" s="28">
        <f>IFERROR(VLOOKUP(B1160,'SAÍDA DE VENDAS'!$B$6:$P$500,10,FALSE),"")</f>
        <v>0</v>
      </c>
      <c r="H1160" s="28" t="str">
        <f>IF(OR(ISBLANK(B1160),B1160=""), "", IF(B1160=B1159, (VALUE(LEFT(H1159,FIND("/",H1159)-1))+1)&amp;"/"&amp;RIGHT(H1159,LEN(H1159)-FIND("/",H1159)), "1/"&amp;IFERROR(VLOOKUP(B1160,'SAÍDA DE VENDAS'!$B$6:$P$500,13,FALSE),"1")))</f>
        <v/>
      </c>
      <c r="I1160" s="69" t="str">
        <f t="shared" si="36"/>
        <v/>
      </c>
      <c r="J1160" s="33" t="str">
        <f>IFERROR(VLOOKUP(B1160,'SAÍDA DE VENDAS'!$B$6:$P$500,15,FALSE),"")</f>
        <v/>
      </c>
      <c r="K1160" s="28" t="str">
        <f t="shared" ca="1" si="37"/>
        <v/>
      </c>
      <c r="L1160" s="28"/>
      <c r="M1160" s="28"/>
    </row>
    <row r="1161" spans="2:13" ht="15" customHeight="1" x14ac:dyDescent="0.3">
      <c r="B1161" s="34" t="str">
        <f>IF(B1160="","", IF(VALUE(LEFT(H1160,FIND("/",H1160)-1)) &lt; VALUE(RIGHT(H1160,LEN(H1160)-FIND("/",H1160))), B1160, IFERROR(INDEX('SAÍDA DE VENDAS'!$B$6:$B$500, MATCH(B1160,'SAÍDA DE VENDAS'!$B$6:$B$500,0)+COUNTIF('SAÍDA DE VENDAS'!$B$6:$B$500, B1160)),"")))</f>
        <v/>
      </c>
      <c r="C1161" s="35">
        <f>IFERROR(VLOOKUP(B1161,'SAÍDA DE VENDAS'!$B$6:$P$500,3,FALSE),"")</f>
        <v>0</v>
      </c>
      <c r="D1161" s="34">
        <f>IFERROR(VLOOKUP(B1161,'SAÍDA DE VENDAS'!$B$6:$P$500,4,FALSE),"")</f>
        <v>0</v>
      </c>
      <c r="E1161" s="34" t="str">
        <f>IFERROR(VLOOKUP(B1161,'SAÍDA DE VENDAS'!$B$6:$P$500,5,FALSE),"")</f>
        <v/>
      </c>
      <c r="F1161" s="34" t="str">
        <f>IF(OR(ISBLANK(B1161),B1161=""), "", IFERROR(INDEX('SAÍDA DE VENDAS'!$H$6:$H$500 &amp; "x " &amp; 'SAÍDA DE VENDAS'!$G$6:$G$500, MATCH(B1161, 'SAÍDA DE VENDAS'!$B$6:$B$500, 0)), "")&amp; IF(COUNTIF('SAÍDA DE VENDAS'!$B$6:$B$500, B1161)&gt;1, " + " &amp; IFERROR(INDEX('SAÍDA DE VENDAS'!$H$6:$H$500 &amp; "x " &amp; 'SAÍDA DE VENDAS'!$G$6:$G$500, MATCH(B1161, 'SAÍDA DE VENDAS'!$B$6:$B$500, 0)+1), ""), "")&amp; IF(COUNTIF('SAÍDA DE VENDAS'!$B$6:$B$500, B1161)&gt;2, " + " &amp; IFERROR(INDEX('SAÍDA DE VENDAS'!$H$6:$H$500 &amp; "x " &amp; 'SAÍDA DE VENDAS'!$G$6:$G$500, MATCH(B1161, 'SAÍDA DE VENDAS'!$B$6:$B$500, 0)+2), ""), "")&amp; IF(COUNTIF('SAÍDA DE VENDAS'!$B$6:$B$500, B1161)&gt;3, " + " &amp; IFERROR(INDEX('SAÍDA DE VENDAS'!$H$6:$H$500 &amp; "x " &amp; 'SAÍDA DE VENDAS'!$G$6:$G$500, MATCH(B1161, 'SAÍDA DE VENDAS'!$B$6:$B$500, 0)+3), ""), "")&amp; IF(COUNTIF('SAÍDA DE VENDAS'!$B$6:$B$500, B1161)&gt;4, " + " &amp; IFERROR(INDEX('SAÍDA DE VENDAS'!$H$6:$H$500 &amp; "x " &amp; 'SAÍDA DE VENDAS'!$G$6:$G$500, MATCH(B1161, 'SAÍDA DE VENDAS'!$B$6:$B$500, 0)+4), ""), "")&amp; IF(COUNTIF('SAÍDA DE VENDAS'!$B$6:$B$500, B1161)&gt;5, " + " &amp; IFERROR(INDEX('SAÍDA DE VENDAS'!$H$6:$H$500 &amp; "x " &amp; 'SAÍDA DE VENDAS'!$G$6:$G$500, MATCH(B1161, 'SAÍDA DE VENDAS'!$B$6:$B$500, 0)+5), ""), ""))</f>
        <v/>
      </c>
      <c r="G1161" s="34">
        <f>IFERROR(VLOOKUP(B1161,'SAÍDA DE VENDAS'!$B$6:$P$500,10,FALSE),"")</f>
        <v>0</v>
      </c>
      <c r="H1161" s="34" t="str">
        <f>IF(OR(ISBLANK(B1161),B1161=""), "", IF(B1161=B1160, (VALUE(LEFT(H1160,FIND("/",H1160)-1))+1)&amp;"/"&amp;RIGHT(H1160,LEN(H1160)-FIND("/",H1160)), "1/"&amp;IFERROR(VLOOKUP(B1161,'SAÍDA DE VENDAS'!$B$6:$P$500,13,FALSE),"1")))</f>
        <v/>
      </c>
      <c r="I1161" s="35" t="str">
        <f t="shared" si="36"/>
        <v/>
      </c>
      <c r="J1161" s="39" t="str">
        <f>IFERROR(VLOOKUP(B1161,'SAÍDA DE VENDAS'!$B$6:$P$500,15,FALSE),"")</f>
        <v/>
      </c>
      <c r="K1161" s="34" t="str">
        <f t="shared" ca="1" si="37"/>
        <v/>
      </c>
      <c r="L1161" s="34"/>
      <c r="M1161" s="34"/>
    </row>
    <row r="1162" spans="2:13" ht="15" customHeight="1" x14ac:dyDescent="0.3">
      <c r="B1162" s="28" t="str">
        <f>IF(B1161="","", IF(VALUE(LEFT(H1161,FIND("/",H1161)-1)) &lt; VALUE(RIGHT(H1161,LEN(H1161)-FIND("/",H1161))), B1161, IFERROR(INDEX('SAÍDA DE VENDAS'!$B$6:$B$500, MATCH(B1161,'SAÍDA DE VENDAS'!$B$6:$B$500,0)+COUNTIF('SAÍDA DE VENDAS'!$B$6:$B$500, B1161)),"")))</f>
        <v/>
      </c>
      <c r="C1162" s="29">
        <f>IFERROR(VLOOKUP(B1162,'SAÍDA DE VENDAS'!$B$6:$P$500,3,FALSE),"")</f>
        <v>0</v>
      </c>
      <c r="D1162" s="28">
        <f>IFERROR(VLOOKUP(B1162,'SAÍDA DE VENDAS'!$B$6:$P$500,4,FALSE),"")</f>
        <v>0</v>
      </c>
      <c r="E1162" s="28" t="str">
        <f>IFERROR(VLOOKUP(B1162,'SAÍDA DE VENDAS'!$B$6:$P$500,5,FALSE),"")</f>
        <v/>
      </c>
      <c r="F1162" s="28" t="str">
        <f>IF(OR(ISBLANK(B1162),B1162=""), "", IFERROR(INDEX('SAÍDA DE VENDAS'!$H$6:$H$500 &amp; "x " &amp; 'SAÍDA DE VENDAS'!$G$6:$G$500, MATCH(B1162, 'SAÍDA DE VENDAS'!$B$6:$B$500, 0)), "")&amp; IF(COUNTIF('SAÍDA DE VENDAS'!$B$6:$B$500, B1162)&gt;1, " + " &amp; IFERROR(INDEX('SAÍDA DE VENDAS'!$H$6:$H$500 &amp; "x " &amp; 'SAÍDA DE VENDAS'!$G$6:$G$500, MATCH(B1162, 'SAÍDA DE VENDAS'!$B$6:$B$500, 0)+1), ""), "")&amp; IF(COUNTIF('SAÍDA DE VENDAS'!$B$6:$B$500, B1162)&gt;2, " + " &amp; IFERROR(INDEX('SAÍDA DE VENDAS'!$H$6:$H$500 &amp; "x " &amp; 'SAÍDA DE VENDAS'!$G$6:$G$500, MATCH(B1162, 'SAÍDA DE VENDAS'!$B$6:$B$500, 0)+2), ""), "")&amp; IF(COUNTIF('SAÍDA DE VENDAS'!$B$6:$B$500, B1162)&gt;3, " + " &amp; IFERROR(INDEX('SAÍDA DE VENDAS'!$H$6:$H$500 &amp; "x " &amp; 'SAÍDA DE VENDAS'!$G$6:$G$500, MATCH(B1162, 'SAÍDA DE VENDAS'!$B$6:$B$500, 0)+3), ""), "")&amp; IF(COUNTIF('SAÍDA DE VENDAS'!$B$6:$B$500, B1162)&gt;4, " + " &amp; IFERROR(INDEX('SAÍDA DE VENDAS'!$H$6:$H$500 &amp; "x " &amp; 'SAÍDA DE VENDAS'!$G$6:$G$500, MATCH(B1162, 'SAÍDA DE VENDAS'!$B$6:$B$500, 0)+4), ""), "")&amp; IF(COUNTIF('SAÍDA DE VENDAS'!$B$6:$B$500, B1162)&gt;5, " + " &amp; IFERROR(INDEX('SAÍDA DE VENDAS'!$H$6:$H$500 &amp; "x " &amp; 'SAÍDA DE VENDAS'!$G$6:$G$500, MATCH(B1162, 'SAÍDA DE VENDAS'!$B$6:$B$500, 0)+5), ""), ""))</f>
        <v/>
      </c>
      <c r="G1162" s="28">
        <f>IFERROR(VLOOKUP(B1162,'SAÍDA DE VENDAS'!$B$6:$P$500,10,FALSE),"")</f>
        <v>0</v>
      </c>
      <c r="H1162" s="28" t="str">
        <f>IF(OR(ISBLANK(B1162),B1162=""), "", IF(B1162=B1161, (VALUE(LEFT(H1161,FIND("/",H1161)-1))+1)&amp;"/"&amp;RIGHT(H1161,LEN(H1161)-FIND("/",H1161)), "1/"&amp;IFERROR(VLOOKUP(B1162,'SAÍDA DE VENDAS'!$B$6:$P$500,13,FALSE),"1")))</f>
        <v/>
      </c>
      <c r="I1162" s="69" t="str">
        <f t="shared" si="36"/>
        <v/>
      </c>
      <c r="J1162" s="33" t="str">
        <f>IFERROR(VLOOKUP(B1162,'SAÍDA DE VENDAS'!$B$6:$P$500,15,FALSE),"")</f>
        <v/>
      </c>
      <c r="K1162" s="28" t="str">
        <f t="shared" ca="1" si="37"/>
        <v/>
      </c>
      <c r="L1162" s="28"/>
      <c r="M1162" s="28"/>
    </row>
    <row r="1163" spans="2:13" ht="15" customHeight="1" x14ac:dyDescent="0.3">
      <c r="B1163" s="34" t="str">
        <f>IF(B1162="","", IF(VALUE(LEFT(H1162,FIND("/",H1162)-1)) &lt; VALUE(RIGHT(H1162,LEN(H1162)-FIND("/",H1162))), B1162, IFERROR(INDEX('SAÍDA DE VENDAS'!$B$6:$B$500, MATCH(B1162,'SAÍDA DE VENDAS'!$B$6:$B$500,0)+COUNTIF('SAÍDA DE VENDAS'!$B$6:$B$500, B1162)),"")))</f>
        <v/>
      </c>
      <c r="C1163" s="35">
        <f>IFERROR(VLOOKUP(B1163,'SAÍDA DE VENDAS'!$B$6:$P$500,3,FALSE),"")</f>
        <v>0</v>
      </c>
      <c r="D1163" s="34">
        <f>IFERROR(VLOOKUP(B1163,'SAÍDA DE VENDAS'!$B$6:$P$500,4,FALSE),"")</f>
        <v>0</v>
      </c>
      <c r="E1163" s="34" t="str">
        <f>IFERROR(VLOOKUP(B1163,'SAÍDA DE VENDAS'!$B$6:$P$500,5,FALSE),"")</f>
        <v/>
      </c>
      <c r="F1163" s="34" t="str">
        <f>IF(OR(ISBLANK(B1163),B1163=""), "", IFERROR(INDEX('SAÍDA DE VENDAS'!$H$6:$H$500 &amp; "x " &amp; 'SAÍDA DE VENDAS'!$G$6:$G$500, MATCH(B1163, 'SAÍDA DE VENDAS'!$B$6:$B$500, 0)), "")&amp; IF(COUNTIF('SAÍDA DE VENDAS'!$B$6:$B$500, B1163)&gt;1, " + " &amp; IFERROR(INDEX('SAÍDA DE VENDAS'!$H$6:$H$500 &amp; "x " &amp; 'SAÍDA DE VENDAS'!$G$6:$G$500, MATCH(B1163, 'SAÍDA DE VENDAS'!$B$6:$B$500, 0)+1), ""), "")&amp; IF(COUNTIF('SAÍDA DE VENDAS'!$B$6:$B$500, B1163)&gt;2, " + " &amp; IFERROR(INDEX('SAÍDA DE VENDAS'!$H$6:$H$500 &amp; "x " &amp; 'SAÍDA DE VENDAS'!$G$6:$G$500, MATCH(B1163, 'SAÍDA DE VENDAS'!$B$6:$B$500, 0)+2), ""), "")&amp; IF(COUNTIF('SAÍDA DE VENDAS'!$B$6:$B$500, B1163)&gt;3, " + " &amp; IFERROR(INDEX('SAÍDA DE VENDAS'!$H$6:$H$500 &amp; "x " &amp; 'SAÍDA DE VENDAS'!$G$6:$G$500, MATCH(B1163, 'SAÍDA DE VENDAS'!$B$6:$B$500, 0)+3), ""), "")&amp; IF(COUNTIF('SAÍDA DE VENDAS'!$B$6:$B$500, B1163)&gt;4, " + " &amp; IFERROR(INDEX('SAÍDA DE VENDAS'!$H$6:$H$500 &amp; "x " &amp; 'SAÍDA DE VENDAS'!$G$6:$G$500, MATCH(B1163, 'SAÍDA DE VENDAS'!$B$6:$B$500, 0)+4), ""), "")&amp; IF(COUNTIF('SAÍDA DE VENDAS'!$B$6:$B$500, B1163)&gt;5, " + " &amp; IFERROR(INDEX('SAÍDA DE VENDAS'!$H$6:$H$500 &amp; "x " &amp; 'SAÍDA DE VENDAS'!$G$6:$G$500, MATCH(B1163, 'SAÍDA DE VENDAS'!$B$6:$B$500, 0)+5), ""), ""))</f>
        <v/>
      </c>
      <c r="G1163" s="34">
        <f>IFERROR(VLOOKUP(B1163,'SAÍDA DE VENDAS'!$B$6:$P$500,10,FALSE),"")</f>
        <v>0</v>
      </c>
      <c r="H1163" s="34" t="str">
        <f>IF(OR(ISBLANK(B1163),B1163=""), "", IF(B1163=B1162, (VALUE(LEFT(H1162,FIND("/",H1162)-1))+1)&amp;"/"&amp;RIGHT(H1162,LEN(H1162)-FIND("/",H1162)), "1/"&amp;IFERROR(VLOOKUP(B1163,'SAÍDA DE VENDAS'!$B$6:$P$500,13,FALSE),"1")))</f>
        <v/>
      </c>
      <c r="I1163" s="35" t="str">
        <f t="shared" si="36"/>
        <v/>
      </c>
      <c r="J1163" s="39" t="str">
        <f>IFERROR(VLOOKUP(B1163,'SAÍDA DE VENDAS'!$B$6:$P$500,15,FALSE),"")</f>
        <v/>
      </c>
      <c r="K1163" s="34" t="str">
        <f t="shared" ca="1" si="37"/>
        <v/>
      </c>
      <c r="L1163" s="34"/>
      <c r="M1163" s="34"/>
    </row>
    <row r="1164" spans="2:13" ht="15" customHeight="1" x14ac:dyDescent="0.3">
      <c r="B1164" s="28" t="str">
        <f>IF(B1163="","", IF(VALUE(LEFT(H1163,FIND("/",H1163)-1)) &lt; VALUE(RIGHT(H1163,LEN(H1163)-FIND("/",H1163))), B1163, IFERROR(INDEX('SAÍDA DE VENDAS'!$B$6:$B$500, MATCH(B1163,'SAÍDA DE VENDAS'!$B$6:$B$500,0)+COUNTIF('SAÍDA DE VENDAS'!$B$6:$B$500, B1163)),"")))</f>
        <v/>
      </c>
      <c r="C1164" s="29">
        <f>IFERROR(VLOOKUP(B1164,'SAÍDA DE VENDAS'!$B$6:$P$500,3,FALSE),"")</f>
        <v>0</v>
      </c>
      <c r="D1164" s="28">
        <f>IFERROR(VLOOKUP(B1164,'SAÍDA DE VENDAS'!$B$6:$P$500,4,FALSE),"")</f>
        <v>0</v>
      </c>
      <c r="E1164" s="28" t="str">
        <f>IFERROR(VLOOKUP(B1164,'SAÍDA DE VENDAS'!$B$6:$P$500,5,FALSE),"")</f>
        <v/>
      </c>
      <c r="F1164" s="28" t="str">
        <f>IF(OR(ISBLANK(B1164),B1164=""), "", IFERROR(INDEX('SAÍDA DE VENDAS'!$H$6:$H$500 &amp; "x " &amp; 'SAÍDA DE VENDAS'!$G$6:$G$500, MATCH(B1164, 'SAÍDA DE VENDAS'!$B$6:$B$500, 0)), "")&amp; IF(COUNTIF('SAÍDA DE VENDAS'!$B$6:$B$500, B1164)&gt;1, " + " &amp; IFERROR(INDEX('SAÍDA DE VENDAS'!$H$6:$H$500 &amp; "x " &amp; 'SAÍDA DE VENDAS'!$G$6:$G$500, MATCH(B1164, 'SAÍDA DE VENDAS'!$B$6:$B$500, 0)+1), ""), "")&amp; IF(COUNTIF('SAÍDA DE VENDAS'!$B$6:$B$500, B1164)&gt;2, " + " &amp; IFERROR(INDEX('SAÍDA DE VENDAS'!$H$6:$H$500 &amp; "x " &amp; 'SAÍDA DE VENDAS'!$G$6:$G$500, MATCH(B1164, 'SAÍDA DE VENDAS'!$B$6:$B$500, 0)+2), ""), "")&amp; IF(COUNTIF('SAÍDA DE VENDAS'!$B$6:$B$500, B1164)&gt;3, " + " &amp; IFERROR(INDEX('SAÍDA DE VENDAS'!$H$6:$H$500 &amp; "x " &amp; 'SAÍDA DE VENDAS'!$G$6:$G$500, MATCH(B1164, 'SAÍDA DE VENDAS'!$B$6:$B$500, 0)+3), ""), "")&amp; IF(COUNTIF('SAÍDA DE VENDAS'!$B$6:$B$500, B1164)&gt;4, " + " &amp; IFERROR(INDEX('SAÍDA DE VENDAS'!$H$6:$H$500 &amp; "x " &amp; 'SAÍDA DE VENDAS'!$G$6:$G$500, MATCH(B1164, 'SAÍDA DE VENDAS'!$B$6:$B$500, 0)+4), ""), "")&amp; IF(COUNTIF('SAÍDA DE VENDAS'!$B$6:$B$500, B1164)&gt;5, " + " &amp; IFERROR(INDEX('SAÍDA DE VENDAS'!$H$6:$H$500 &amp; "x " &amp; 'SAÍDA DE VENDAS'!$G$6:$G$500, MATCH(B1164, 'SAÍDA DE VENDAS'!$B$6:$B$500, 0)+5), ""), ""))</f>
        <v/>
      </c>
      <c r="G1164" s="28">
        <f>IFERROR(VLOOKUP(B1164,'SAÍDA DE VENDAS'!$B$6:$P$500,10,FALSE),"")</f>
        <v>0</v>
      </c>
      <c r="H1164" s="28" t="str">
        <f>IF(OR(ISBLANK(B1164),B1164=""), "", IF(B1164=B1163, (VALUE(LEFT(H1163,FIND("/",H1163)-1))+1)&amp;"/"&amp;RIGHT(H1163,LEN(H1163)-FIND("/",H1163)), "1/"&amp;IFERROR(VLOOKUP(B1164,'SAÍDA DE VENDAS'!$B$6:$P$500,13,FALSE),"1")))</f>
        <v/>
      </c>
      <c r="I1164" s="69" t="str">
        <f t="shared" si="36"/>
        <v/>
      </c>
      <c r="J1164" s="33" t="str">
        <f>IFERROR(VLOOKUP(B1164,'SAÍDA DE VENDAS'!$B$6:$P$500,15,FALSE),"")</f>
        <v/>
      </c>
      <c r="K1164" s="28" t="str">
        <f t="shared" ca="1" si="37"/>
        <v/>
      </c>
      <c r="L1164" s="28"/>
      <c r="M1164" s="28"/>
    </row>
    <row r="1165" spans="2:13" ht="15" customHeight="1" x14ac:dyDescent="0.3">
      <c r="B1165" s="34" t="str">
        <f>IF(B1164="","", IF(VALUE(LEFT(H1164,FIND("/",H1164)-1)) &lt; VALUE(RIGHT(H1164,LEN(H1164)-FIND("/",H1164))), B1164, IFERROR(INDEX('SAÍDA DE VENDAS'!$B$6:$B$500, MATCH(B1164,'SAÍDA DE VENDAS'!$B$6:$B$500,0)+COUNTIF('SAÍDA DE VENDAS'!$B$6:$B$500, B1164)),"")))</f>
        <v/>
      </c>
      <c r="C1165" s="35">
        <f>IFERROR(VLOOKUP(B1165,'SAÍDA DE VENDAS'!$B$6:$P$500,3,FALSE),"")</f>
        <v>0</v>
      </c>
      <c r="D1165" s="34">
        <f>IFERROR(VLOOKUP(B1165,'SAÍDA DE VENDAS'!$B$6:$P$500,4,FALSE),"")</f>
        <v>0</v>
      </c>
      <c r="E1165" s="34" t="str">
        <f>IFERROR(VLOOKUP(B1165,'SAÍDA DE VENDAS'!$B$6:$P$500,5,FALSE),"")</f>
        <v/>
      </c>
      <c r="F1165" s="34" t="str">
        <f>IF(OR(ISBLANK(B1165),B1165=""), "", IFERROR(INDEX('SAÍDA DE VENDAS'!$H$6:$H$500 &amp; "x " &amp; 'SAÍDA DE VENDAS'!$G$6:$G$500, MATCH(B1165, 'SAÍDA DE VENDAS'!$B$6:$B$500, 0)), "")&amp; IF(COUNTIF('SAÍDA DE VENDAS'!$B$6:$B$500, B1165)&gt;1, " + " &amp; IFERROR(INDEX('SAÍDA DE VENDAS'!$H$6:$H$500 &amp; "x " &amp; 'SAÍDA DE VENDAS'!$G$6:$G$500, MATCH(B1165, 'SAÍDA DE VENDAS'!$B$6:$B$500, 0)+1), ""), "")&amp; IF(COUNTIF('SAÍDA DE VENDAS'!$B$6:$B$500, B1165)&gt;2, " + " &amp; IFERROR(INDEX('SAÍDA DE VENDAS'!$H$6:$H$500 &amp; "x " &amp; 'SAÍDA DE VENDAS'!$G$6:$G$500, MATCH(B1165, 'SAÍDA DE VENDAS'!$B$6:$B$500, 0)+2), ""), "")&amp; IF(COUNTIF('SAÍDA DE VENDAS'!$B$6:$B$500, B1165)&gt;3, " + " &amp; IFERROR(INDEX('SAÍDA DE VENDAS'!$H$6:$H$500 &amp; "x " &amp; 'SAÍDA DE VENDAS'!$G$6:$G$500, MATCH(B1165, 'SAÍDA DE VENDAS'!$B$6:$B$500, 0)+3), ""), "")&amp; IF(COUNTIF('SAÍDA DE VENDAS'!$B$6:$B$500, B1165)&gt;4, " + " &amp; IFERROR(INDEX('SAÍDA DE VENDAS'!$H$6:$H$500 &amp; "x " &amp; 'SAÍDA DE VENDAS'!$G$6:$G$500, MATCH(B1165, 'SAÍDA DE VENDAS'!$B$6:$B$500, 0)+4), ""), "")&amp; IF(COUNTIF('SAÍDA DE VENDAS'!$B$6:$B$500, B1165)&gt;5, " + " &amp; IFERROR(INDEX('SAÍDA DE VENDAS'!$H$6:$H$500 &amp; "x " &amp; 'SAÍDA DE VENDAS'!$G$6:$G$500, MATCH(B1165, 'SAÍDA DE VENDAS'!$B$6:$B$500, 0)+5), ""), ""))</f>
        <v/>
      </c>
      <c r="G1165" s="34">
        <f>IFERROR(VLOOKUP(B1165,'SAÍDA DE VENDAS'!$B$6:$P$500,10,FALSE),"")</f>
        <v>0</v>
      </c>
      <c r="H1165" s="34" t="str">
        <f>IF(OR(ISBLANK(B1165),B1165=""), "", IF(B1165=B1164, (VALUE(LEFT(H1164,FIND("/",H1164)-1))+1)&amp;"/"&amp;RIGHT(H1164,LEN(H1164)-FIND("/",H1164)), "1/"&amp;IFERROR(VLOOKUP(B1165,'SAÍDA DE VENDAS'!$B$6:$P$500,13,FALSE),"1")))</f>
        <v/>
      </c>
      <c r="I1165" s="35" t="str">
        <f t="shared" si="36"/>
        <v/>
      </c>
      <c r="J1165" s="39" t="str">
        <f>IFERROR(VLOOKUP(B1165,'SAÍDA DE VENDAS'!$B$6:$P$500,15,FALSE),"")</f>
        <v/>
      </c>
      <c r="K1165" s="34" t="str">
        <f t="shared" ca="1" si="37"/>
        <v/>
      </c>
      <c r="L1165" s="34"/>
      <c r="M1165" s="34"/>
    </row>
    <row r="1166" spans="2:13" ht="15" customHeight="1" x14ac:dyDescent="0.3">
      <c r="B1166" s="28" t="str">
        <f>IF(B1165="","", IF(VALUE(LEFT(H1165,FIND("/",H1165)-1)) &lt; VALUE(RIGHT(H1165,LEN(H1165)-FIND("/",H1165))), B1165, IFERROR(INDEX('SAÍDA DE VENDAS'!$B$6:$B$500, MATCH(B1165,'SAÍDA DE VENDAS'!$B$6:$B$500,0)+COUNTIF('SAÍDA DE VENDAS'!$B$6:$B$500, B1165)),"")))</f>
        <v/>
      </c>
      <c r="C1166" s="29">
        <f>IFERROR(VLOOKUP(B1166,'SAÍDA DE VENDAS'!$B$6:$P$500,3,FALSE),"")</f>
        <v>0</v>
      </c>
      <c r="D1166" s="28">
        <f>IFERROR(VLOOKUP(B1166,'SAÍDA DE VENDAS'!$B$6:$P$500,4,FALSE),"")</f>
        <v>0</v>
      </c>
      <c r="E1166" s="28" t="str">
        <f>IFERROR(VLOOKUP(B1166,'SAÍDA DE VENDAS'!$B$6:$P$500,5,FALSE),"")</f>
        <v/>
      </c>
      <c r="F1166" s="28" t="str">
        <f>IF(OR(ISBLANK(B1166),B1166=""), "", IFERROR(INDEX('SAÍDA DE VENDAS'!$H$6:$H$500 &amp; "x " &amp; 'SAÍDA DE VENDAS'!$G$6:$G$500, MATCH(B1166, 'SAÍDA DE VENDAS'!$B$6:$B$500, 0)), "")&amp; IF(COUNTIF('SAÍDA DE VENDAS'!$B$6:$B$500, B1166)&gt;1, " + " &amp; IFERROR(INDEX('SAÍDA DE VENDAS'!$H$6:$H$500 &amp; "x " &amp; 'SAÍDA DE VENDAS'!$G$6:$G$500, MATCH(B1166, 'SAÍDA DE VENDAS'!$B$6:$B$500, 0)+1), ""), "")&amp; IF(COUNTIF('SAÍDA DE VENDAS'!$B$6:$B$500, B1166)&gt;2, " + " &amp; IFERROR(INDEX('SAÍDA DE VENDAS'!$H$6:$H$500 &amp; "x " &amp; 'SAÍDA DE VENDAS'!$G$6:$G$500, MATCH(B1166, 'SAÍDA DE VENDAS'!$B$6:$B$500, 0)+2), ""), "")&amp; IF(COUNTIF('SAÍDA DE VENDAS'!$B$6:$B$500, B1166)&gt;3, " + " &amp; IFERROR(INDEX('SAÍDA DE VENDAS'!$H$6:$H$500 &amp; "x " &amp; 'SAÍDA DE VENDAS'!$G$6:$G$500, MATCH(B1166, 'SAÍDA DE VENDAS'!$B$6:$B$500, 0)+3), ""), "")&amp; IF(COUNTIF('SAÍDA DE VENDAS'!$B$6:$B$500, B1166)&gt;4, " + " &amp; IFERROR(INDEX('SAÍDA DE VENDAS'!$H$6:$H$500 &amp; "x " &amp; 'SAÍDA DE VENDAS'!$G$6:$G$500, MATCH(B1166, 'SAÍDA DE VENDAS'!$B$6:$B$500, 0)+4), ""), "")&amp; IF(COUNTIF('SAÍDA DE VENDAS'!$B$6:$B$500, B1166)&gt;5, " + " &amp; IFERROR(INDEX('SAÍDA DE VENDAS'!$H$6:$H$500 &amp; "x " &amp; 'SAÍDA DE VENDAS'!$G$6:$G$500, MATCH(B1166, 'SAÍDA DE VENDAS'!$B$6:$B$500, 0)+5), ""), ""))</f>
        <v/>
      </c>
      <c r="G1166" s="28">
        <f>IFERROR(VLOOKUP(B1166,'SAÍDA DE VENDAS'!$B$6:$P$500,10,FALSE),"")</f>
        <v>0</v>
      </c>
      <c r="H1166" s="28" t="str">
        <f>IF(OR(ISBLANK(B1166),B1166=""), "", IF(B1166=B1165, (VALUE(LEFT(H1165,FIND("/",H1165)-1))+1)&amp;"/"&amp;RIGHT(H1165,LEN(H1165)-FIND("/",H1165)), "1/"&amp;IFERROR(VLOOKUP(B1166,'SAÍDA DE VENDAS'!$B$6:$P$500,13,FALSE),"1")))</f>
        <v/>
      </c>
      <c r="I1166" s="69" t="str">
        <f t="shared" si="36"/>
        <v/>
      </c>
      <c r="J1166" s="33" t="str">
        <f>IFERROR(VLOOKUP(B1166,'SAÍDA DE VENDAS'!$B$6:$P$500,15,FALSE),"")</f>
        <v/>
      </c>
      <c r="K1166" s="28" t="str">
        <f t="shared" ca="1" si="37"/>
        <v/>
      </c>
      <c r="L1166" s="28"/>
      <c r="M1166" s="28"/>
    </row>
    <row r="1167" spans="2:13" ht="15" customHeight="1" x14ac:dyDescent="0.3">
      <c r="B1167" s="34" t="str">
        <f>IF(B1166="","", IF(VALUE(LEFT(H1166,FIND("/",H1166)-1)) &lt; VALUE(RIGHT(H1166,LEN(H1166)-FIND("/",H1166))), B1166, IFERROR(INDEX('SAÍDA DE VENDAS'!$B$6:$B$500, MATCH(B1166,'SAÍDA DE VENDAS'!$B$6:$B$500,0)+COUNTIF('SAÍDA DE VENDAS'!$B$6:$B$500, B1166)),"")))</f>
        <v/>
      </c>
      <c r="C1167" s="35">
        <f>IFERROR(VLOOKUP(B1167,'SAÍDA DE VENDAS'!$B$6:$P$500,3,FALSE),"")</f>
        <v>0</v>
      </c>
      <c r="D1167" s="34">
        <f>IFERROR(VLOOKUP(B1167,'SAÍDA DE VENDAS'!$B$6:$P$500,4,FALSE),"")</f>
        <v>0</v>
      </c>
      <c r="E1167" s="34" t="str">
        <f>IFERROR(VLOOKUP(B1167,'SAÍDA DE VENDAS'!$B$6:$P$500,5,FALSE),"")</f>
        <v/>
      </c>
      <c r="F1167" s="34" t="str">
        <f>IF(OR(ISBLANK(B1167),B1167=""), "", IFERROR(INDEX('SAÍDA DE VENDAS'!$H$6:$H$500 &amp; "x " &amp; 'SAÍDA DE VENDAS'!$G$6:$G$500, MATCH(B1167, 'SAÍDA DE VENDAS'!$B$6:$B$500, 0)), "")&amp; IF(COUNTIF('SAÍDA DE VENDAS'!$B$6:$B$500, B1167)&gt;1, " + " &amp; IFERROR(INDEX('SAÍDA DE VENDAS'!$H$6:$H$500 &amp; "x " &amp; 'SAÍDA DE VENDAS'!$G$6:$G$500, MATCH(B1167, 'SAÍDA DE VENDAS'!$B$6:$B$500, 0)+1), ""), "")&amp; IF(COUNTIF('SAÍDA DE VENDAS'!$B$6:$B$500, B1167)&gt;2, " + " &amp; IFERROR(INDEX('SAÍDA DE VENDAS'!$H$6:$H$500 &amp; "x " &amp; 'SAÍDA DE VENDAS'!$G$6:$G$500, MATCH(B1167, 'SAÍDA DE VENDAS'!$B$6:$B$500, 0)+2), ""), "")&amp; IF(COUNTIF('SAÍDA DE VENDAS'!$B$6:$B$500, B1167)&gt;3, " + " &amp; IFERROR(INDEX('SAÍDA DE VENDAS'!$H$6:$H$500 &amp; "x " &amp; 'SAÍDA DE VENDAS'!$G$6:$G$500, MATCH(B1167, 'SAÍDA DE VENDAS'!$B$6:$B$500, 0)+3), ""), "")&amp; IF(COUNTIF('SAÍDA DE VENDAS'!$B$6:$B$500, B1167)&gt;4, " + " &amp; IFERROR(INDEX('SAÍDA DE VENDAS'!$H$6:$H$500 &amp; "x " &amp; 'SAÍDA DE VENDAS'!$G$6:$G$500, MATCH(B1167, 'SAÍDA DE VENDAS'!$B$6:$B$500, 0)+4), ""), "")&amp; IF(COUNTIF('SAÍDA DE VENDAS'!$B$6:$B$500, B1167)&gt;5, " + " &amp; IFERROR(INDEX('SAÍDA DE VENDAS'!$H$6:$H$500 &amp; "x " &amp; 'SAÍDA DE VENDAS'!$G$6:$G$500, MATCH(B1167, 'SAÍDA DE VENDAS'!$B$6:$B$500, 0)+5), ""), ""))</f>
        <v/>
      </c>
      <c r="G1167" s="34">
        <f>IFERROR(VLOOKUP(B1167,'SAÍDA DE VENDAS'!$B$6:$P$500,10,FALSE),"")</f>
        <v>0</v>
      </c>
      <c r="H1167" s="34" t="str">
        <f>IF(OR(ISBLANK(B1167),B1167=""), "", IF(B1167=B1166, (VALUE(LEFT(H1166,FIND("/",H1166)-1))+1)&amp;"/"&amp;RIGHT(H1166,LEN(H1166)-FIND("/",H1166)), "1/"&amp;IFERROR(VLOOKUP(B1167,'SAÍDA DE VENDAS'!$B$6:$P$500,13,FALSE),"1")))</f>
        <v/>
      </c>
      <c r="I1167" s="35" t="str">
        <f t="shared" si="36"/>
        <v/>
      </c>
      <c r="J1167" s="39" t="str">
        <f>IFERROR(VLOOKUP(B1167,'SAÍDA DE VENDAS'!$B$6:$P$500,15,FALSE),"")</f>
        <v/>
      </c>
      <c r="K1167" s="34" t="str">
        <f t="shared" ca="1" si="37"/>
        <v/>
      </c>
      <c r="L1167" s="34"/>
      <c r="M1167" s="34"/>
    </row>
    <row r="1168" spans="2:13" ht="15" customHeight="1" x14ac:dyDescent="0.3">
      <c r="B1168" s="28" t="str">
        <f>IF(B1167="","", IF(VALUE(LEFT(H1167,FIND("/",H1167)-1)) &lt; VALUE(RIGHT(H1167,LEN(H1167)-FIND("/",H1167))), B1167, IFERROR(INDEX('SAÍDA DE VENDAS'!$B$6:$B$500, MATCH(B1167,'SAÍDA DE VENDAS'!$B$6:$B$500,0)+COUNTIF('SAÍDA DE VENDAS'!$B$6:$B$500, B1167)),"")))</f>
        <v/>
      </c>
      <c r="C1168" s="29">
        <f>IFERROR(VLOOKUP(B1168,'SAÍDA DE VENDAS'!$B$6:$P$500,3,FALSE),"")</f>
        <v>0</v>
      </c>
      <c r="D1168" s="28">
        <f>IFERROR(VLOOKUP(B1168,'SAÍDA DE VENDAS'!$B$6:$P$500,4,FALSE),"")</f>
        <v>0</v>
      </c>
      <c r="E1168" s="28" t="str">
        <f>IFERROR(VLOOKUP(B1168,'SAÍDA DE VENDAS'!$B$6:$P$500,5,FALSE),"")</f>
        <v/>
      </c>
      <c r="F1168" s="28" t="str">
        <f>IF(OR(ISBLANK(B1168),B1168=""), "", IFERROR(INDEX('SAÍDA DE VENDAS'!$H$6:$H$500 &amp; "x " &amp; 'SAÍDA DE VENDAS'!$G$6:$G$500, MATCH(B1168, 'SAÍDA DE VENDAS'!$B$6:$B$500, 0)), "")&amp; IF(COUNTIF('SAÍDA DE VENDAS'!$B$6:$B$500, B1168)&gt;1, " + " &amp; IFERROR(INDEX('SAÍDA DE VENDAS'!$H$6:$H$500 &amp; "x " &amp; 'SAÍDA DE VENDAS'!$G$6:$G$500, MATCH(B1168, 'SAÍDA DE VENDAS'!$B$6:$B$500, 0)+1), ""), "")&amp; IF(COUNTIF('SAÍDA DE VENDAS'!$B$6:$B$500, B1168)&gt;2, " + " &amp; IFERROR(INDEX('SAÍDA DE VENDAS'!$H$6:$H$500 &amp; "x " &amp; 'SAÍDA DE VENDAS'!$G$6:$G$500, MATCH(B1168, 'SAÍDA DE VENDAS'!$B$6:$B$500, 0)+2), ""), "")&amp; IF(COUNTIF('SAÍDA DE VENDAS'!$B$6:$B$500, B1168)&gt;3, " + " &amp; IFERROR(INDEX('SAÍDA DE VENDAS'!$H$6:$H$500 &amp; "x " &amp; 'SAÍDA DE VENDAS'!$G$6:$G$500, MATCH(B1168, 'SAÍDA DE VENDAS'!$B$6:$B$500, 0)+3), ""), "")&amp; IF(COUNTIF('SAÍDA DE VENDAS'!$B$6:$B$500, B1168)&gt;4, " + " &amp; IFERROR(INDEX('SAÍDA DE VENDAS'!$H$6:$H$500 &amp; "x " &amp; 'SAÍDA DE VENDAS'!$G$6:$G$500, MATCH(B1168, 'SAÍDA DE VENDAS'!$B$6:$B$500, 0)+4), ""), "")&amp; IF(COUNTIF('SAÍDA DE VENDAS'!$B$6:$B$500, B1168)&gt;5, " + " &amp; IFERROR(INDEX('SAÍDA DE VENDAS'!$H$6:$H$500 &amp; "x " &amp; 'SAÍDA DE VENDAS'!$G$6:$G$500, MATCH(B1168, 'SAÍDA DE VENDAS'!$B$6:$B$500, 0)+5), ""), ""))</f>
        <v/>
      </c>
      <c r="G1168" s="28">
        <f>IFERROR(VLOOKUP(B1168,'SAÍDA DE VENDAS'!$B$6:$P$500,10,FALSE),"")</f>
        <v>0</v>
      </c>
      <c r="H1168" s="28" t="str">
        <f>IF(OR(ISBLANK(B1168),B1168=""), "", IF(B1168=B1167, (VALUE(LEFT(H1167,FIND("/",H1167)-1))+1)&amp;"/"&amp;RIGHT(H1167,LEN(H1167)-FIND("/",H1167)), "1/"&amp;IFERROR(VLOOKUP(B1168,'SAÍDA DE VENDAS'!$B$6:$P$500,13,FALSE),"1")))</f>
        <v/>
      </c>
      <c r="I1168" s="69" t="str">
        <f t="shared" si="36"/>
        <v/>
      </c>
      <c r="J1168" s="33" t="str">
        <f>IFERROR(VLOOKUP(B1168,'SAÍDA DE VENDAS'!$B$6:$P$500,15,FALSE),"")</f>
        <v/>
      </c>
      <c r="K1168" s="28" t="str">
        <f t="shared" ca="1" si="37"/>
        <v/>
      </c>
      <c r="L1168" s="28"/>
      <c r="M1168" s="28"/>
    </row>
    <row r="1169" spans="2:13" ht="15" customHeight="1" x14ac:dyDescent="0.3">
      <c r="B1169" s="34" t="str">
        <f>IF(B1168="","", IF(VALUE(LEFT(H1168,FIND("/",H1168)-1)) &lt; VALUE(RIGHT(H1168,LEN(H1168)-FIND("/",H1168))), B1168, IFERROR(INDEX('SAÍDA DE VENDAS'!$B$6:$B$500, MATCH(B1168,'SAÍDA DE VENDAS'!$B$6:$B$500,0)+COUNTIF('SAÍDA DE VENDAS'!$B$6:$B$500, B1168)),"")))</f>
        <v/>
      </c>
      <c r="C1169" s="35">
        <f>IFERROR(VLOOKUP(B1169,'SAÍDA DE VENDAS'!$B$6:$P$500,3,FALSE),"")</f>
        <v>0</v>
      </c>
      <c r="D1169" s="34">
        <f>IFERROR(VLOOKUP(B1169,'SAÍDA DE VENDAS'!$B$6:$P$500,4,FALSE),"")</f>
        <v>0</v>
      </c>
      <c r="E1169" s="34" t="str">
        <f>IFERROR(VLOOKUP(B1169,'SAÍDA DE VENDAS'!$B$6:$P$500,5,FALSE),"")</f>
        <v/>
      </c>
      <c r="F1169" s="34" t="str">
        <f>IF(OR(ISBLANK(B1169),B1169=""), "", IFERROR(INDEX('SAÍDA DE VENDAS'!$H$6:$H$500 &amp; "x " &amp; 'SAÍDA DE VENDAS'!$G$6:$G$500, MATCH(B1169, 'SAÍDA DE VENDAS'!$B$6:$B$500, 0)), "")&amp; IF(COUNTIF('SAÍDA DE VENDAS'!$B$6:$B$500, B1169)&gt;1, " + " &amp; IFERROR(INDEX('SAÍDA DE VENDAS'!$H$6:$H$500 &amp; "x " &amp; 'SAÍDA DE VENDAS'!$G$6:$G$500, MATCH(B1169, 'SAÍDA DE VENDAS'!$B$6:$B$500, 0)+1), ""), "")&amp; IF(COUNTIF('SAÍDA DE VENDAS'!$B$6:$B$500, B1169)&gt;2, " + " &amp; IFERROR(INDEX('SAÍDA DE VENDAS'!$H$6:$H$500 &amp; "x " &amp; 'SAÍDA DE VENDAS'!$G$6:$G$500, MATCH(B1169, 'SAÍDA DE VENDAS'!$B$6:$B$500, 0)+2), ""), "")&amp; IF(COUNTIF('SAÍDA DE VENDAS'!$B$6:$B$500, B1169)&gt;3, " + " &amp; IFERROR(INDEX('SAÍDA DE VENDAS'!$H$6:$H$500 &amp; "x " &amp; 'SAÍDA DE VENDAS'!$G$6:$G$500, MATCH(B1169, 'SAÍDA DE VENDAS'!$B$6:$B$500, 0)+3), ""), "")&amp; IF(COUNTIF('SAÍDA DE VENDAS'!$B$6:$B$500, B1169)&gt;4, " + " &amp; IFERROR(INDEX('SAÍDA DE VENDAS'!$H$6:$H$500 &amp; "x " &amp; 'SAÍDA DE VENDAS'!$G$6:$G$500, MATCH(B1169, 'SAÍDA DE VENDAS'!$B$6:$B$500, 0)+4), ""), "")&amp; IF(COUNTIF('SAÍDA DE VENDAS'!$B$6:$B$500, B1169)&gt;5, " + " &amp; IFERROR(INDEX('SAÍDA DE VENDAS'!$H$6:$H$500 &amp; "x " &amp; 'SAÍDA DE VENDAS'!$G$6:$G$500, MATCH(B1169, 'SAÍDA DE VENDAS'!$B$6:$B$500, 0)+5), ""), ""))</f>
        <v/>
      </c>
      <c r="G1169" s="34">
        <f>IFERROR(VLOOKUP(B1169,'SAÍDA DE VENDAS'!$B$6:$P$500,10,FALSE),"")</f>
        <v>0</v>
      </c>
      <c r="H1169" s="34" t="str">
        <f>IF(OR(ISBLANK(B1169),B1169=""), "", IF(B1169=B1168, (VALUE(LEFT(H1168,FIND("/",H1168)-1))+1)&amp;"/"&amp;RIGHT(H1168,LEN(H1168)-FIND("/",H1168)), "1/"&amp;IFERROR(VLOOKUP(B1169,'SAÍDA DE VENDAS'!$B$6:$P$500,13,FALSE),"1")))</f>
        <v/>
      </c>
      <c r="I1169" s="35" t="str">
        <f t="shared" si="36"/>
        <v/>
      </c>
      <c r="J1169" s="39" t="str">
        <f>IFERROR(VLOOKUP(B1169,'SAÍDA DE VENDAS'!$B$6:$P$500,15,FALSE),"")</f>
        <v/>
      </c>
      <c r="K1169" s="34" t="str">
        <f t="shared" ca="1" si="37"/>
        <v/>
      </c>
      <c r="L1169" s="34"/>
      <c r="M1169" s="34"/>
    </row>
    <row r="1170" spans="2:13" ht="15" customHeight="1" x14ac:dyDescent="0.3">
      <c r="B1170" s="28" t="str">
        <f>IF(B1169="","", IF(VALUE(LEFT(H1169,FIND("/",H1169)-1)) &lt; VALUE(RIGHT(H1169,LEN(H1169)-FIND("/",H1169))), B1169, IFERROR(INDEX('SAÍDA DE VENDAS'!$B$6:$B$500, MATCH(B1169,'SAÍDA DE VENDAS'!$B$6:$B$500,0)+COUNTIF('SAÍDA DE VENDAS'!$B$6:$B$500, B1169)),"")))</f>
        <v/>
      </c>
      <c r="C1170" s="29">
        <f>IFERROR(VLOOKUP(B1170,'SAÍDA DE VENDAS'!$B$6:$P$500,3,FALSE),"")</f>
        <v>0</v>
      </c>
      <c r="D1170" s="28">
        <f>IFERROR(VLOOKUP(B1170,'SAÍDA DE VENDAS'!$B$6:$P$500,4,FALSE),"")</f>
        <v>0</v>
      </c>
      <c r="E1170" s="28" t="str">
        <f>IFERROR(VLOOKUP(B1170,'SAÍDA DE VENDAS'!$B$6:$P$500,5,FALSE),"")</f>
        <v/>
      </c>
      <c r="F1170" s="28" t="str">
        <f>IF(OR(ISBLANK(B1170),B1170=""), "", IFERROR(INDEX('SAÍDA DE VENDAS'!$H$6:$H$500 &amp; "x " &amp; 'SAÍDA DE VENDAS'!$G$6:$G$500, MATCH(B1170, 'SAÍDA DE VENDAS'!$B$6:$B$500, 0)), "")&amp; IF(COUNTIF('SAÍDA DE VENDAS'!$B$6:$B$500, B1170)&gt;1, " + " &amp; IFERROR(INDEX('SAÍDA DE VENDAS'!$H$6:$H$500 &amp; "x " &amp; 'SAÍDA DE VENDAS'!$G$6:$G$500, MATCH(B1170, 'SAÍDA DE VENDAS'!$B$6:$B$500, 0)+1), ""), "")&amp; IF(COUNTIF('SAÍDA DE VENDAS'!$B$6:$B$500, B1170)&gt;2, " + " &amp; IFERROR(INDEX('SAÍDA DE VENDAS'!$H$6:$H$500 &amp; "x " &amp; 'SAÍDA DE VENDAS'!$G$6:$G$500, MATCH(B1170, 'SAÍDA DE VENDAS'!$B$6:$B$500, 0)+2), ""), "")&amp; IF(COUNTIF('SAÍDA DE VENDAS'!$B$6:$B$500, B1170)&gt;3, " + " &amp; IFERROR(INDEX('SAÍDA DE VENDAS'!$H$6:$H$500 &amp; "x " &amp; 'SAÍDA DE VENDAS'!$G$6:$G$500, MATCH(B1170, 'SAÍDA DE VENDAS'!$B$6:$B$500, 0)+3), ""), "")&amp; IF(COUNTIF('SAÍDA DE VENDAS'!$B$6:$B$500, B1170)&gt;4, " + " &amp; IFERROR(INDEX('SAÍDA DE VENDAS'!$H$6:$H$500 &amp; "x " &amp; 'SAÍDA DE VENDAS'!$G$6:$G$500, MATCH(B1170, 'SAÍDA DE VENDAS'!$B$6:$B$500, 0)+4), ""), "")&amp; IF(COUNTIF('SAÍDA DE VENDAS'!$B$6:$B$500, B1170)&gt;5, " + " &amp; IFERROR(INDEX('SAÍDA DE VENDAS'!$H$6:$H$500 &amp; "x " &amp; 'SAÍDA DE VENDAS'!$G$6:$G$500, MATCH(B1170, 'SAÍDA DE VENDAS'!$B$6:$B$500, 0)+5), ""), ""))</f>
        <v/>
      </c>
      <c r="G1170" s="28">
        <f>IFERROR(VLOOKUP(B1170,'SAÍDA DE VENDAS'!$B$6:$P$500,10,FALSE),"")</f>
        <v>0</v>
      </c>
      <c r="H1170" s="28" t="str">
        <f>IF(OR(ISBLANK(B1170),B1170=""), "", IF(B1170=B1169, (VALUE(LEFT(H1169,FIND("/",H1169)-1))+1)&amp;"/"&amp;RIGHT(H1169,LEN(H1169)-FIND("/",H1169)), "1/"&amp;IFERROR(VLOOKUP(B1170,'SAÍDA DE VENDAS'!$B$6:$P$500,13,FALSE),"1")))</f>
        <v/>
      </c>
      <c r="I1170" s="69" t="str">
        <f t="shared" si="36"/>
        <v/>
      </c>
      <c r="J1170" s="33" t="str">
        <f>IFERROR(VLOOKUP(B1170,'SAÍDA DE VENDAS'!$B$6:$P$500,15,FALSE),"")</f>
        <v/>
      </c>
      <c r="K1170" s="28" t="str">
        <f t="shared" ca="1" si="37"/>
        <v/>
      </c>
      <c r="L1170" s="28"/>
      <c r="M1170" s="28"/>
    </row>
    <row r="1171" spans="2:13" ht="15" customHeight="1" x14ac:dyDescent="0.3">
      <c r="B1171" s="34" t="str">
        <f>IF(B1170="","", IF(VALUE(LEFT(H1170,FIND("/",H1170)-1)) &lt; VALUE(RIGHT(H1170,LEN(H1170)-FIND("/",H1170))), B1170, IFERROR(INDEX('SAÍDA DE VENDAS'!$B$6:$B$500, MATCH(B1170,'SAÍDA DE VENDAS'!$B$6:$B$500,0)+COUNTIF('SAÍDA DE VENDAS'!$B$6:$B$500, B1170)),"")))</f>
        <v/>
      </c>
      <c r="C1171" s="35">
        <f>IFERROR(VLOOKUP(B1171,'SAÍDA DE VENDAS'!$B$6:$P$500,3,FALSE),"")</f>
        <v>0</v>
      </c>
      <c r="D1171" s="34">
        <f>IFERROR(VLOOKUP(B1171,'SAÍDA DE VENDAS'!$B$6:$P$500,4,FALSE),"")</f>
        <v>0</v>
      </c>
      <c r="E1171" s="34" t="str">
        <f>IFERROR(VLOOKUP(B1171,'SAÍDA DE VENDAS'!$B$6:$P$500,5,FALSE),"")</f>
        <v/>
      </c>
      <c r="F1171" s="34" t="str">
        <f>IF(OR(ISBLANK(B1171),B1171=""), "", IFERROR(INDEX('SAÍDA DE VENDAS'!$H$6:$H$500 &amp; "x " &amp; 'SAÍDA DE VENDAS'!$G$6:$G$500, MATCH(B1171, 'SAÍDA DE VENDAS'!$B$6:$B$500, 0)), "")&amp; IF(COUNTIF('SAÍDA DE VENDAS'!$B$6:$B$500, B1171)&gt;1, " + " &amp; IFERROR(INDEX('SAÍDA DE VENDAS'!$H$6:$H$500 &amp; "x " &amp; 'SAÍDA DE VENDAS'!$G$6:$G$500, MATCH(B1171, 'SAÍDA DE VENDAS'!$B$6:$B$500, 0)+1), ""), "")&amp; IF(COUNTIF('SAÍDA DE VENDAS'!$B$6:$B$500, B1171)&gt;2, " + " &amp; IFERROR(INDEX('SAÍDA DE VENDAS'!$H$6:$H$500 &amp; "x " &amp; 'SAÍDA DE VENDAS'!$G$6:$G$500, MATCH(B1171, 'SAÍDA DE VENDAS'!$B$6:$B$500, 0)+2), ""), "")&amp; IF(COUNTIF('SAÍDA DE VENDAS'!$B$6:$B$500, B1171)&gt;3, " + " &amp; IFERROR(INDEX('SAÍDA DE VENDAS'!$H$6:$H$500 &amp; "x " &amp; 'SAÍDA DE VENDAS'!$G$6:$G$500, MATCH(B1171, 'SAÍDA DE VENDAS'!$B$6:$B$500, 0)+3), ""), "")&amp; IF(COUNTIF('SAÍDA DE VENDAS'!$B$6:$B$500, B1171)&gt;4, " + " &amp; IFERROR(INDEX('SAÍDA DE VENDAS'!$H$6:$H$500 &amp; "x " &amp; 'SAÍDA DE VENDAS'!$G$6:$G$500, MATCH(B1171, 'SAÍDA DE VENDAS'!$B$6:$B$500, 0)+4), ""), "")&amp; IF(COUNTIF('SAÍDA DE VENDAS'!$B$6:$B$500, B1171)&gt;5, " + " &amp; IFERROR(INDEX('SAÍDA DE VENDAS'!$H$6:$H$500 &amp; "x " &amp; 'SAÍDA DE VENDAS'!$G$6:$G$500, MATCH(B1171, 'SAÍDA DE VENDAS'!$B$6:$B$500, 0)+5), ""), ""))</f>
        <v/>
      </c>
      <c r="G1171" s="34">
        <f>IFERROR(VLOOKUP(B1171,'SAÍDA DE VENDAS'!$B$6:$P$500,10,FALSE),"")</f>
        <v>0</v>
      </c>
      <c r="H1171" s="34" t="str">
        <f>IF(OR(ISBLANK(B1171),B1171=""), "", IF(B1171=B1170, (VALUE(LEFT(H1170,FIND("/",H1170)-1))+1)&amp;"/"&amp;RIGHT(H1170,LEN(H1170)-FIND("/",H1170)), "1/"&amp;IFERROR(VLOOKUP(B1171,'SAÍDA DE VENDAS'!$B$6:$P$500,13,FALSE),"1")))</f>
        <v/>
      </c>
      <c r="I1171" s="35" t="str">
        <f t="shared" si="36"/>
        <v/>
      </c>
      <c r="J1171" s="39" t="str">
        <f>IFERROR(VLOOKUP(B1171,'SAÍDA DE VENDAS'!$B$6:$P$500,15,FALSE),"")</f>
        <v/>
      </c>
      <c r="K1171" s="34" t="str">
        <f t="shared" ca="1" si="37"/>
        <v/>
      </c>
      <c r="L1171" s="34"/>
      <c r="M1171" s="34"/>
    </row>
    <row r="1172" spans="2:13" ht="15" customHeight="1" x14ac:dyDescent="0.3">
      <c r="B1172" s="28" t="str">
        <f>IF(B1171="","", IF(VALUE(LEFT(H1171,FIND("/",H1171)-1)) &lt; VALUE(RIGHT(H1171,LEN(H1171)-FIND("/",H1171))), B1171, IFERROR(INDEX('SAÍDA DE VENDAS'!$B$6:$B$500, MATCH(B1171,'SAÍDA DE VENDAS'!$B$6:$B$500,0)+COUNTIF('SAÍDA DE VENDAS'!$B$6:$B$500, B1171)),"")))</f>
        <v/>
      </c>
      <c r="C1172" s="29">
        <f>IFERROR(VLOOKUP(B1172,'SAÍDA DE VENDAS'!$B$6:$P$500,3,FALSE),"")</f>
        <v>0</v>
      </c>
      <c r="D1172" s="28">
        <f>IFERROR(VLOOKUP(B1172,'SAÍDA DE VENDAS'!$B$6:$P$500,4,FALSE),"")</f>
        <v>0</v>
      </c>
      <c r="E1172" s="28" t="str">
        <f>IFERROR(VLOOKUP(B1172,'SAÍDA DE VENDAS'!$B$6:$P$500,5,FALSE),"")</f>
        <v/>
      </c>
      <c r="F1172" s="28" t="str">
        <f>IF(OR(ISBLANK(B1172),B1172=""), "", IFERROR(INDEX('SAÍDA DE VENDAS'!$H$6:$H$500 &amp; "x " &amp; 'SAÍDA DE VENDAS'!$G$6:$G$500, MATCH(B1172, 'SAÍDA DE VENDAS'!$B$6:$B$500, 0)), "")&amp; IF(COUNTIF('SAÍDA DE VENDAS'!$B$6:$B$500, B1172)&gt;1, " + " &amp; IFERROR(INDEX('SAÍDA DE VENDAS'!$H$6:$H$500 &amp; "x " &amp; 'SAÍDA DE VENDAS'!$G$6:$G$500, MATCH(B1172, 'SAÍDA DE VENDAS'!$B$6:$B$500, 0)+1), ""), "")&amp; IF(COUNTIF('SAÍDA DE VENDAS'!$B$6:$B$500, B1172)&gt;2, " + " &amp; IFERROR(INDEX('SAÍDA DE VENDAS'!$H$6:$H$500 &amp; "x " &amp; 'SAÍDA DE VENDAS'!$G$6:$G$500, MATCH(B1172, 'SAÍDA DE VENDAS'!$B$6:$B$500, 0)+2), ""), "")&amp; IF(COUNTIF('SAÍDA DE VENDAS'!$B$6:$B$500, B1172)&gt;3, " + " &amp; IFERROR(INDEX('SAÍDA DE VENDAS'!$H$6:$H$500 &amp; "x " &amp; 'SAÍDA DE VENDAS'!$G$6:$G$500, MATCH(B1172, 'SAÍDA DE VENDAS'!$B$6:$B$500, 0)+3), ""), "")&amp; IF(COUNTIF('SAÍDA DE VENDAS'!$B$6:$B$500, B1172)&gt;4, " + " &amp; IFERROR(INDEX('SAÍDA DE VENDAS'!$H$6:$H$500 &amp; "x " &amp; 'SAÍDA DE VENDAS'!$G$6:$G$500, MATCH(B1172, 'SAÍDA DE VENDAS'!$B$6:$B$500, 0)+4), ""), "")&amp; IF(COUNTIF('SAÍDA DE VENDAS'!$B$6:$B$500, B1172)&gt;5, " + " &amp; IFERROR(INDEX('SAÍDA DE VENDAS'!$H$6:$H$500 &amp; "x " &amp; 'SAÍDA DE VENDAS'!$G$6:$G$500, MATCH(B1172, 'SAÍDA DE VENDAS'!$B$6:$B$500, 0)+5), ""), ""))</f>
        <v/>
      </c>
      <c r="G1172" s="28">
        <f>IFERROR(VLOOKUP(B1172,'SAÍDA DE VENDAS'!$B$6:$P$500,10,FALSE),"")</f>
        <v>0</v>
      </c>
      <c r="H1172" s="28" t="str">
        <f>IF(OR(ISBLANK(B1172),B1172=""), "", IF(B1172=B1171, (VALUE(LEFT(H1171,FIND("/",H1171)-1))+1)&amp;"/"&amp;RIGHT(H1171,LEN(H1171)-FIND("/",H1171)), "1/"&amp;IFERROR(VLOOKUP(B1172,'SAÍDA DE VENDAS'!$B$6:$P$500,13,FALSE),"1")))</f>
        <v/>
      </c>
      <c r="I1172" s="69" t="str">
        <f t="shared" si="36"/>
        <v/>
      </c>
      <c r="J1172" s="33" t="str">
        <f>IFERROR(VLOOKUP(B1172,'SAÍDA DE VENDAS'!$B$6:$P$500,15,FALSE),"")</f>
        <v/>
      </c>
      <c r="K1172" s="28" t="str">
        <f t="shared" ca="1" si="37"/>
        <v/>
      </c>
      <c r="L1172" s="28"/>
      <c r="M1172" s="28"/>
    </row>
    <row r="1173" spans="2:13" ht="15" customHeight="1" x14ac:dyDescent="0.3">
      <c r="B1173" s="34" t="str">
        <f>IF(B1172="","", IF(VALUE(LEFT(H1172,FIND("/",H1172)-1)) &lt; VALUE(RIGHT(H1172,LEN(H1172)-FIND("/",H1172))), B1172, IFERROR(INDEX('SAÍDA DE VENDAS'!$B$6:$B$500, MATCH(B1172,'SAÍDA DE VENDAS'!$B$6:$B$500,0)+COUNTIF('SAÍDA DE VENDAS'!$B$6:$B$500, B1172)),"")))</f>
        <v/>
      </c>
      <c r="C1173" s="35">
        <f>IFERROR(VLOOKUP(B1173,'SAÍDA DE VENDAS'!$B$6:$P$500,3,FALSE),"")</f>
        <v>0</v>
      </c>
      <c r="D1173" s="34">
        <f>IFERROR(VLOOKUP(B1173,'SAÍDA DE VENDAS'!$B$6:$P$500,4,FALSE),"")</f>
        <v>0</v>
      </c>
      <c r="E1173" s="34" t="str">
        <f>IFERROR(VLOOKUP(B1173,'SAÍDA DE VENDAS'!$B$6:$P$500,5,FALSE),"")</f>
        <v/>
      </c>
      <c r="F1173" s="34" t="str">
        <f>IF(OR(ISBLANK(B1173),B1173=""), "", IFERROR(INDEX('SAÍDA DE VENDAS'!$H$6:$H$500 &amp; "x " &amp; 'SAÍDA DE VENDAS'!$G$6:$G$500, MATCH(B1173, 'SAÍDA DE VENDAS'!$B$6:$B$500, 0)), "")&amp; IF(COUNTIF('SAÍDA DE VENDAS'!$B$6:$B$500, B1173)&gt;1, " + " &amp; IFERROR(INDEX('SAÍDA DE VENDAS'!$H$6:$H$500 &amp; "x " &amp; 'SAÍDA DE VENDAS'!$G$6:$G$500, MATCH(B1173, 'SAÍDA DE VENDAS'!$B$6:$B$500, 0)+1), ""), "")&amp; IF(COUNTIF('SAÍDA DE VENDAS'!$B$6:$B$500, B1173)&gt;2, " + " &amp; IFERROR(INDEX('SAÍDA DE VENDAS'!$H$6:$H$500 &amp; "x " &amp; 'SAÍDA DE VENDAS'!$G$6:$G$500, MATCH(B1173, 'SAÍDA DE VENDAS'!$B$6:$B$500, 0)+2), ""), "")&amp; IF(COUNTIF('SAÍDA DE VENDAS'!$B$6:$B$500, B1173)&gt;3, " + " &amp; IFERROR(INDEX('SAÍDA DE VENDAS'!$H$6:$H$500 &amp; "x " &amp; 'SAÍDA DE VENDAS'!$G$6:$G$500, MATCH(B1173, 'SAÍDA DE VENDAS'!$B$6:$B$500, 0)+3), ""), "")&amp; IF(COUNTIF('SAÍDA DE VENDAS'!$B$6:$B$500, B1173)&gt;4, " + " &amp; IFERROR(INDEX('SAÍDA DE VENDAS'!$H$6:$H$500 &amp; "x " &amp; 'SAÍDA DE VENDAS'!$G$6:$G$500, MATCH(B1173, 'SAÍDA DE VENDAS'!$B$6:$B$500, 0)+4), ""), "")&amp; IF(COUNTIF('SAÍDA DE VENDAS'!$B$6:$B$500, B1173)&gt;5, " + " &amp; IFERROR(INDEX('SAÍDA DE VENDAS'!$H$6:$H$500 &amp; "x " &amp; 'SAÍDA DE VENDAS'!$G$6:$G$500, MATCH(B1173, 'SAÍDA DE VENDAS'!$B$6:$B$500, 0)+5), ""), ""))</f>
        <v/>
      </c>
      <c r="G1173" s="34">
        <f>IFERROR(VLOOKUP(B1173,'SAÍDA DE VENDAS'!$B$6:$P$500,10,FALSE),"")</f>
        <v>0</v>
      </c>
      <c r="H1173" s="34" t="str">
        <f>IF(OR(ISBLANK(B1173),B1173=""), "", IF(B1173=B1172, (VALUE(LEFT(H1172,FIND("/",H1172)-1))+1)&amp;"/"&amp;RIGHT(H1172,LEN(H1172)-FIND("/",H1172)), "1/"&amp;IFERROR(VLOOKUP(B1173,'SAÍDA DE VENDAS'!$B$6:$P$500,13,FALSE),"1")))</f>
        <v/>
      </c>
      <c r="I1173" s="35" t="str">
        <f t="shared" si="36"/>
        <v/>
      </c>
      <c r="J1173" s="39" t="str">
        <f>IFERROR(VLOOKUP(B1173,'SAÍDA DE VENDAS'!$B$6:$P$500,15,FALSE),"")</f>
        <v/>
      </c>
      <c r="K1173" s="34" t="str">
        <f t="shared" ca="1" si="37"/>
        <v/>
      </c>
      <c r="L1173" s="34"/>
      <c r="M1173" s="34"/>
    </row>
    <row r="1174" spans="2:13" ht="15" customHeight="1" x14ac:dyDescent="0.3">
      <c r="B1174" s="28" t="str">
        <f>IF(B1173="","", IF(VALUE(LEFT(H1173,FIND("/",H1173)-1)) &lt; VALUE(RIGHT(H1173,LEN(H1173)-FIND("/",H1173))), B1173, IFERROR(INDEX('SAÍDA DE VENDAS'!$B$6:$B$500, MATCH(B1173,'SAÍDA DE VENDAS'!$B$6:$B$500,0)+COUNTIF('SAÍDA DE VENDAS'!$B$6:$B$500, B1173)),"")))</f>
        <v/>
      </c>
      <c r="C1174" s="29">
        <f>IFERROR(VLOOKUP(B1174,'SAÍDA DE VENDAS'!$B$6:$P$500,3,FALSE),"")</f>
        <v>0</v>
      </c>
      <c r="D1174" s="28">
        <f>IFERROR(VLOOKUP(B1174,'SAÍDA DE VENDAS'!$B$6:$P$500,4,FALSE),"")</f>
        <v>0</v>
      </c>
      <c r="E1174" s="28" t="str">
        <f>IFERROR(VLOOKUP(B1174,'SAÍDA DE VENDAS'!$B$6:$P$500,5,FALSE),"")</f>
        <v/>
      </c>
      <c r="F1174" s="28" t="str">
        <f>IF(OR(ISBLANK(B1174),B1174=""), "", IFERROR(INDEX('SAÍDA DE VENDAS'!$H$6:$H$500 &amp; "x " &amp; 'SAÍDA DE VENDAS'!$G$6:$G$500, MATCH(B1174, 'SAÍDA DE VENDAS'!$B$6:$B$500, 0)), "")&amp; IF(COUNTIF('SAÍDA DE VENDAS'!$B$6:$B$500, B1174)&gt;1, " + " &amp; IFERROR(INDEX('SAÍDA DE VENDAS'!$H$6:$H$500 &amp; "x " &amp; 'SAÍDA DE VENDAS'!$G$6:$G$500, MATCH(B1174, 'SAÍDA DE VENDAS'!$B$6:$B$500, 0)+1), ""), "")&amp; IF(COUNTIF('SAÍDA DE VENDAS'!$B$6:$B$500, B1174)&gt;2, " + " &amp; IFERROR(INDEX('SAÍDA DE VENDAS'!$H$6:$H$500 &amp; "x " &amp; 'SAÍDA DE VENDAS'!$G$6:$G$500, MATCH(B1174, 'SAÍDA DE VENDAS'!$B$6:$B$500, 0)+2), ""), "")&amp; IF(COUNTIF('SAÍDA DE VENDAS'!$B$6:$B$500, B1174)&gt;3, " + " &amp; IFERROR(INDEX('SAÍDA DE VENDAS'!$H$6:$H$500 &amp; "x " &amp; 'SAÍDA DE VENDAS'!$G$6:$G$500, MATCH(B1174, 'SAÍDA DE VENDAS'!$B$6:$B$500, 0)+3), ""), "")&amp; IF(COUNTIF('SAÍDA DE VENDAS'!$B$6:$B$500, B1174)&gt;4, " + " &amp; IFERROR(INDEX('SAÍDA DE VENDAS'!$H$6:$H$500 &amp; "x " &amp; 'SAÍDA DE VENDAS'!$G$6:$G$500, MATCH(B1174, 'SAÍDA DE VENDAS'!$B$6:$B$500, 0)+4), ""), "")&amp; IF(COUNTIF('SAÍDA DE VENDAS'!$B$6:$B$500, B1174)&gt;5, " + " &amp; IFERROR(INDEX('SAÍDA DE VENDAS'!$H$6:$H$500 &amp; "x " &amp; 'SAÍDA DE VENDAS'!$G$6:$G$500, MATCH(B1174, 'SAÍDA DE VENDAS'!$B$6:$B$500, 0)+5), ""), ""))</f>
        <v/>
      </c>
      <c r="G1174" s="28">
        <f>IFERROR(VLOOKUP(B1174,'SAÍDA DE VENDAS'!$B$6:$P$500,10,FALSE),"")</f>
        <v>0</v>
      </c>
      <c r="H1174" s="28" t="str">
        <f>IF(OR(ISBLANK(B1174),B1174=""), "", IF(B1174=B1173, (VALUE(LEFT(H1173,FIND("/",H1173)-1))+1)&amp;"/"&amp;RIGHT(H1173,LEN(H1173)-FIND("/",H1173)), "1/"&amp;IFERROR(VLOOKUP(B1174,'SAÍDA DE VENDAS'!$B$6:$P$500,13,FALSE),"1")))</f>
        <v/>
      </c>
      <c r="I1174" s="69" t="str">
        <f t="shared" si="36"/>
        <v/>
      </c>
      <c r="J1174" s="33" t="str">
        <f>IFERROR(VLOOKUP(B1174,'SAÍDA DE VENDAS'!$B$6:$P$500,15,FALSE),"")</f>
        <v/>
      </c>
      <c r="K1174" s="28" t="str">
        <f t="shared" ca="1" si="37"/>
        <v/>
      </c>
      <c r="L1174" s="28"/>
      <c r="M1174" s="28"/>
    </row>
    <row r="1175" spans="2:13" ht="15" customHeight="1" x14ac:dyDescent="0.3">
      <c r="B1175" s="34" t="str">
        <f>IF(B1174="","", IF(VALUE(LEFT(H1174,FIND("/",H1174)-1)) &lt; VALUE(RIGHT(H1174,LEN(H1174)-FIND("/",H1174))), B1174, IFERROR(INDEX('SAÍDA DE VENDAS'!$B$6:$B$500, MATCH(B1174,'SAÍDA DE VENDAS'!$B$6:$B$500,0)+COUNTIF('SAÍDA DE VENDAS'!$B$6:$B$500, B1174)),"")))</f>
        <v/>
      </c>
      <c r="C1175" s="35">
        <f>IFERROR(VLOOKUP(B1175,'SAÍDA DE VENDAS'!$B$6:$P$500,3,FALSE),"")</f>
        <v>0</v>
      </c>
      <c r="D1175" s="34">
        <f>IFERROR(VLOOKUP(B1175,'SAÍDA DE VENDAS'!$B$6:$P$500,4,FALSE),"")</f>
        <v>0</v>
      </c>
      <c r="E1175" s="34" t="str">
        <f>IFERROR(VLOOKUP(B1175,'SAÍDA DE VENDAS'!$B$6:$P$500,5,FALSE),"")</f>
        <v/>
      </c>
      <c r="F1175" s="34" t="str">
        <f>IF(OR(ISBLANK(B1175),B1175=""), "", IFERROR(INDEX('SAÍDA DE VENDAS'!$H$6:$H$500 &amp; "x " &amp; 'SAÍDA DE VENDAS'!$G$6:$G$500, MATCH(B1175, 'SAÍDA DE VENDAS'!$B$6:$B$500, 0)), "")&amp; IF(COUNTIF('SAÍDA DE VENDAS'!$B$6:$B$500, B1175)&gt;1, " + " &amp; IFERROR(INDEX('SAÍDA DE VENDAS'!$H$6:$H$500 &amp; "x " &amp; 'SAÍDA DE VENDAS'!$G$6:$G$500, MATCH(B1175, 'SAÍDA DE VENDAS'!$B$6:$B$500, 0)+1), ""), "")&amp; IF(COUNTIF('SAÍDA DE VENDAS'!$B$6:$B$500, B1175)&gt;2, " + " &amp; IFERROR(INDEX('SAÍDA DE VENDAS'!$H$6:$H$500 &amp; "x " &amp; 'SAÍDA DE VENDAS'!$G$6:$G$500, MATCH(B1175, 'SAÍDA DE VENDAS'!$B$6:$B$500, 0)+2), ""), "")&amp; IF(COUNTIF('SAÍDA DE VENDAS'!$B$6:$B$500, B1175)&gt;3, " + " &amp; IFERROR(INDEX('SAÍDA DE VENDAS'!$H$6:$H$500 &amp; "x " &amp; 'SAÍDA DE VENDAS'!$G$6:$G$500, MATCH(B1175, 'SAÍDA DE VENDAS'!$B$6:$B$500, 0)+3), ""), "")&amp; IF(COUNTIF('SAÍDA DE VENDAS'!$B$6:$B$500, B1175)&gt;4, " + " &amp; IFERROR(INDEX('SAÍDA DE VENDAS'!$H$6:$H$500 &amp; "x " &amp; 'SAÍDA DE VENDAS'!$G$6:$G$500, MATCH(B1175, 'SAÍDA DE VENDAS'!$B$6:$B$500, 0)+4), ""), "")&amp; IF(COUNTIF('SAÍDA DE VENDAS'!$B$6:$B$500, B1175)&gt;5, " + " &amp; IFERROR(INDEX('SAÍDA DE VENDAS'!$H$6:$H$500 &amp; "x " &amp; 'SAÍDA DE VENDAS'!$G$6:$G$500, MATCH(B1175, 'SAÍDA DE VENDAS'!$B$6:$B$500, 0)+5), ""), ""))</f>
        <v/>
      </c>
      <c r="G1175" s="34">
        <f>IFERROR(VLOOKUP(B1175,'SAÍDA DE VENDAS'!$B$6:$P$500,10,FALSE),"")</f>
        <v>0</v>
      </c>
      <c r="H1175" s="34" t="str">
        <f>IF(OR(ISBLANK(B1175),B1175=""), "", IF(B1175=B1174, (VALUE(LEFT(H1174,FIND("/",H1174)-1))+1)&amp;"/"&amp;RIGHT(H1174,LEN(H1174)-FIND("/",H1174)), "1/"&amp;IFERROR(VLOOKUP(B1175,'SAÍDA DE VENDAS'!$B$6:$P$500,13,FALSE),"1")))</f>
        <v/>
      </c>
      <c r="I1175" s="35" t="str">
        <f t="shared" si="36"/>
        <v/>
      </c>
      <c r="J1175" s="39" t="str">
        <f>IFERROR(VLOOKUP(B1175,'SAÍDA DE VENDAS'!$B$6:$P$500,15,FALSE),"")</f>
        <v/>
      </c>
      <c r="K1175" s="34" t="str">
        <f t="shared" ca="1" si="37"/>
        <v/>
      </c>
      <c r="L1175" s="34"/>
      <c r="M1175" s="34"/>
    </row>
    <row r="1176" spans="2:13" ht="15" customHeight="1" x14ac:dyDescent="0.3">
      <c r="B1176" s="28" t="str">
        <f>IF(B1175="","", IF(VALUE(LEFT(H1175,FIND("/",H1175)-1)) &lt; VALUE(RIGHT(H1175,LEN(H1175)-FIND("/",H1175))), B1175, IFERROR(INDEX('SAÍDA DE VENDAS'!$B$6:$B$500, MATCH(B1175,'SAÍDA DE VENDAS'!$B$6:$B$500,0)+COUNTIF('SAÍDA DE VENDAS'!$B$6:$B$500, B1175)),"")))</f>
        <v/>
      </c>
      <c r="C1176" s="29">
        <f>IFERROR(VLOOKUP(B1176,'SAÍDA DE VENDAS'!$B$6:$P$500,3,FALSE),"")</f>
        <v>0</v>
      </c>
      <c r="D1176" s="28">
        <f>IFERROR(VLOOKUP(B1176,'SAÍDA DE VENDAS'!$B$6:$P$500,4,FALSE),"")</f>
        <v>0</v>
      </c>
      <c r="E1176" s="28" t="str">
        <f>IFERROR(VLOOKUP(B1176,'SAÍDA DE VENDAS'!$B$6:$P$500,5,FALSE),"")</f>
        <v/>
      </c>
      <c r="F1176" s="28" t="str">
        <f>IF(OR(ISBLANK(B1176),B1176=""), "", IFERROR(INDEX('SAÍDA DE VENDAS'!$H$6:$H$500 &amp; "x " &amp; 'SAÍDA DE VENDAS'!$G$6:$G$500, MATCH(B1176, 'SAÍDA DE VENDAS'!$B$6:$B$500, 0)), "")&amp; IF(COUNTIF('SAÍDA DE VENDAS'!$B$6:$B$500, B1176)&gt;1, " + " &amp; IFERROR(INDEX('SAÍDA DE VENDAS'!$H$6:$H$500 &amp; "x " &amp; 'SAÍDA DE VENDAS'!$G$6:$G$500, MATCH(B1176, 'SAÍDA DE VENDAS'!$B$6:$B$500, 0)+1), ""), "")&amp; IF(COUNTIF('SAÍDA DE VENDAS'!$B$6:$B$500, B1176)&gt;2, " + " &amp; IFERROR(INDEX('SAÍDA DE VENDAS'!$H$6:$H$500 &amp; "x " &amp; 'SAÍDA DE VENDAS'!$G$6:$G$500, MATCH(B1176, 'SAÍDA DE VENDAS'!$B$6:$B$500, 0)+2), ""), "")&amp; IF(COUNTIF('SAÍDA DE VENDAS'!$B$6:$B$500, B1176)&gt;3, " + " &amp; IFERROR(INDEX('SAÍDA DE VENDAS'!$H$6:$H$500 &amp; "x " &amp; 'SAÍDA DE VENDAS'!$G$6:$G$500, MATCH(B1176, 'SAÍDA DE VENDAS'!$B$6:$B$500, 0)+3), ""), "")&amp; IF(COUNTIF('SAÍDA DE VENDAS'!$B$6:$B$500, B1176)&gt;4, " + " &amp; IFERROR(INDEX('SAÍDA DE VENDAS'!$H$6:$H$500 &amp; "x " &amp; 'SAÍDA DE VENDAS'!$G$6:$G$500, MATCH(B1176, 'SAÍDA DE VENDAS'!$B$6:$B$500, 0)+4), ""), "")&amp; IF(COUNTIF('SAÍDA DE VENDAS'!$B$6:$B$500, B1176)&gt;5, " + " &amp; IFERROR(INDEX('SAÍDA DE VENDAS'!$H$6:$H$500 &amp; "x " &amp; 'SAÍDA DE VENDAS'!$G$6:$G$500, MATCH(B1176, 'SAÍDA DE VENDAS'!$B$6:$B$500, 0)+5), ""), ""))</f>
        <v/>
      </c>
      <c r="G1176" s="28">
        <f>IFERROR(VLOOKUP(B1176,'SAÍDA DE VENDAS'!$B$6:$P$500,10,FALSE),"")</f>
        <v>0</v>
      </c>
      <c r="H1176" s="28" t="str">
        <f>IF(OR(ISBLANK(B1176),B1176=""), "", IF(B1176=B1175, (VALUE(LEFT(H1175,FIND("/",H1175)-1))+1)&amp;"/"&amp;RIGHT(H1175,LEN(H1175)-FIND("/",H1175)), "1/"&amp;IFERROR(VLOOKUP(B1176,'SAÍDA DE VENDAS'!$B$6:$P$500,13,FALSE),"1")))</f>
        <v/>
      </c>
      <c r="I1176" s="69" t="str">
        <f t="shared" si="36"/>
        <v/>
      </c>
      <c r="J1176" s="33" t="str">
        <f>IFERROR(VLOOKUP(B1176,'SAÍDA DE VENDAS'!$B$6:$P$500,15,FALSE),"")</f>
        <v/>
      </c>
      <c r="K1176" s="28" t="str">
        <f t="shared" ca="1" si="37"/>
        <v/>
      </c>
      <c r="L1176" s="28"/>
      <c r="M1176" s="28"/>
    </row>
    <row r="1177" spans="2:13" ht="15" customHeight="1" x14ac:dyDescent="0.3">
      <c r="B1177" s="34" t="str">
        <f>IF(B1176="","", IF(VALUE(LEFT(H1176,FIND("/",H1176)-1)) &lt; VALUE(RIGHT(H1176,LEN(H1176)-FIND("/",H1176))), B1176, IFERROR(INDEX('SAÍDA DE VENDAS'!$B$6:$B$500, MATCH(B1176,'SAÍDA DE VENDAS'!$B$6:$B$500,0)+COUNTIF('SAÍDA DE VENDAS'!$B$6:$B$500, B1176)),"")))</f>
        <v/>
      </c>
      <c r="C1177" s="35">
        <f>IFERROR(VLOOKUP(B1177,'SAÍDA DE VENDAS'!$B$6:$P$500,3,FALSE),"")</f>
        <v>0</v>
      </c>
      <c r="D1177" s="34">
        <f>IFERROR(VLOOKUP(B1177,'SAÍDA DE VENDAS'!$B$6:$P$500,4,FALSE),"")</f>
        <v>0</v>
      </c>
      <c r="E1177" s="34" t="str">
        <f>IFERROR(VLOOKUP(B1177,'SAÍDA DE VENDAS'!$B$6:$P$500,5,FALSE),"")</f>
        <v/>
      </c>
      <c r="F1177" s="34" t="str">
        <f>IF(OR(ISBLANK(B1177),B1177=""), "", IFERROR(INDEX('SAÍDA DE VENDAS'!$H$6:$H$500 &amp; "x " &amp; 'SAÍDA DE VENDAS'!$G$6:$G$500, MATCH(B1177, 'SAÍDA DE VENDAS'!$B$6:$B$500, 0)), "")&amp; IF(COUNTIF('SAÍDA DE VENDAS'!$B$6:$B$500, B1177)&gt;1, " + " &amp; IFERROR(INDEX('SAÍDA DE VENDAS'!$H$6:$H$500 &amp; "x " &amp; 'SAÍDA DE VENDAS'!$G$6:$G$500, MATCH(B1177, 'SAÍDA DE VENDAS'!$B$6:$B$500, 0)+1), ""), "")&amp; IF(COUNTIF('SAÍDA DE VENDAS'!$B$6:$B$500, B1177)&gt;2, " + " &amp; IFERROR(INDEX('SAÍDA DE VENDAS'!$H$6:$H$500 &amp; "x " &amp; 'SAÍDA DE VENDAS'!$G$6:$G$500, MATCH(B1177, 'SAÍDA DE VENDAS'!$B$6:$B$500, 0)+2), ""), "")&amp; IF(COUNTIF('SAÍDA DE VENDAS'!$B$6:$B$500, B1177)&gt;3, " + " &amp; IFERROR(INDEX('SAÍDA DE VENDAS'!$H$6:$H$500 &amp; "x " &amp; 'SAÍDA DE VENDAS'!$G$6:$G$500, MATCH(B1177, 'SAÍDA DE VENDAS'!$B$6:$B$500, 0)+3), ""), "")&amp; IF(COUNTIF('SAÍDA DE VENDAS'!$B$6:$B$500, B1177)&gt;4, " + " &amp; IFERROR(INDEX('SAÍDA DE VENDAS'!$H$6:$H$500 &amp; "x " &amp; 'SAÍDA DE VENDAS'!$G$6:$G$500, MATCH(B1177, 'SAÍDA DE VENDAS'!$B$6:$B$500, 0)+4), ""), "")&amp; IF(COUNTIF('SAÍDA DE VENDAS'!$B$6:$B$500, B1177)&gt;5, " + " &amp; IFERROR(INDEX('SAÍDA DE VENDAS'!$H$6:$H$500 &amp; "x " &amp; 'SAÍDA DE VENDAS'!$G$6:$G$500, MATCH(B1177, 'SAÍDA DE VENDAS'!$B$6:$B$500, 0)+5), ""), ""))</f>
        <v/>
      </c>
      <c r="G1177" s="34">
        <f>IFERROR(VLOOKUP(B1177,'SAÍDA DE VENDAS'!$B$6:$P$500,10,FALSE),"")</f>
        <v>0</v>
      </c>
      <c r="H1177" s="34" t="str">
        <f>IF(OR(ISBLANK(B1177),B1177=""), "", IF(B1177=B1176, (VALUE(LEFT(H1176,FIND("/",H1176)-1))+1)&amp;"/"&amp;RIGHT(H1176,LEN(H1176)-FIND("/",H1176)), "1/"&amp;IFERROR(VLOOKUP(B1177,'SAÍDA DE VENDAS'!$B$6:$P$500,13,FALSE),"1")))</f>
        <v/>
      </c>
      <c r="I1177" s="35" t="str">
        <f t="shared" si="36"/>
        <v/>
      </c>
      <c r="J1177" s="39" t="str">
        <f>IFERROR(VLOOKUP(B1177,'SAÍDA DE VENDAS'!$B$6:$P$500,15,FALSE),"")</f>
        <v/>
      </c>
      <c r="K1177" s="34" t="str">
        <f t="shared" ca="1" si="37"/>
        <v/>
      </c>
      <c r="L1177" s="34"/>
      <c r="M1177" s="34"/>
    </row>
    <row r="1178" spans="2:13" ht="15" customHeight="1" x14ac:dyDescent="0.3">
      <c r="B1178" s="28" t="str">
        <f>IF(B1177="","", IF(VALUE(LEFT(H1177,FIND("/",H1177)-1)) &lt; VALUE(RIGHT(H1177,LEN(H1177)-FIND("/",H1177))), B1177, IFERROR(INDEX('SAÍDA DE VENDAS'!$B$6:$B$500, MATCH(B1177,'SAÍDA DE VENDAS'!$B$6:$B$500,0)+COUNTIF('SAÍDA DE VENDAS'!$B$6:$B$500, B1177)),"")))</f>
        <v/>
      </c>
      <c r="C1178" s="29">
        <f>IFERROR(VLOOKUP(B1178,'SAÍDA DE VENDAS'!$B$6:$P$500,3,FALSE),"")</f>
        <v>0</v>
      </c>
      <c r="D1178" s="28">
        <f>IFERROR(VLOOKUP(B1178,'SAÍDA DE VENDAS'!$B$6:$P$500,4,FALSE),"")</f>
        <v>0</v>
      </c>
      <c r="E1178" s="28" t="str">
        <f>IFERROR(VLOOKUP(B1178,'SAÍDA DE VENDAS'!$B$6:$P$500,5,FALSE),"")</f>
        <v/>
      </c>
      <c r="F1178" s="28" t="str">
        <f>IF(OR(ISBLANK(B1178),B1178=""), "", IFERROR(INDEX('SAÍDA DE VENDAS'!$H$6:$H$500 &amp; "x " &amp; 'SAÍDA DE VENDAS'!$G$6:$G$500, MATCH(B1178, 'SAÍDA DE VENDAS'!$B$6:$B$500, 0)), "")&amp; IF(COUNTIF('SAÍDA DE VENDAS'!$B$6:$B$500, B1178)&gt;1, " + " &amp; IFERROR(INDEX('SAÍDA DE VENDAS'!$H$6:$H$500 &amp; "x " &amp; 'SAÍDA DE VENDAS'!$G$6:$G$500, MATCH(B1178, 'SAÍDA DE VENDAS'!$B$6:$B$500, 0)+1), ""), "")&amp; IF(COUNTIF('SAÍDA DE VENDAS'!$B$6:$B$500, B1178)&gt;2, " + " &amp; IFERROR(INDEX('SAÍDA DE VENDAS'!$H$6:$H$500 &amp; "x " &amp; 'SAÍDA DE VENDAS'!$G$6:$G$500, MATCH(B1178, 'SAÍDA DE VENDAS'!$B$6:$B$500, 0)+2), ""), "")&amp; IF(COUNTIF('SAÍDA DE VENDAS'!$B$6:$B$500, B1178)&gt;3, " + " &amp; IFERROR(INDEX('SAÍDA DE VENDAS'!$H$6:$H$500 &amp; "x " &amp; 'SAÍDA DE VENDAS'!$G$6:$G$500, MATCH(B1178, 'SAÍDA DE VENDAS'!$B$6:$B$500, 0)+3), ""), "")&amp; IF(COUNTIF('SAÍDA DE VENDAS'!$B$6:$B$500, B1178)&gt;4, " + " &amp; IFERROR(INDEX('SAÍDA DE VENDAS'!$H$6:$H$500 &amp; "x " &amp; 'SAÍDA DE VENDAS'!$G$6:$G$500, MATCH(B1178, 'SAÍDA DE VENDAS'!$B$6:$B$500, 0)+4), ""), "")&amp; IF(COUNTIF('SAÍDA DE VENDAS'!$B$6:$B$500, B1178)&gt;5, " + " &amp; IFERROR(INDEX('SAÍDA DE VENDAS'!$H$6:$H$500 &amp; "x " &amp; 'SAÍDA DE VENDAS'!$G$6:$G$500, MATCH(B1178, 'SAÍDA DE VENDAS'!$B$6:$B$500, 0)+5), ""), ""))</f>
        <v/>
      </c>
      <c r="G1178" s="28">
        <f>IFERROR(VLOOKUP(B1178,'SAÍDA DE VENDAS'!$B$6:$P$500,10,FALSE),"")</f>
        <v>0</v>
      </c>
      <c r="H1178" s="28" t="str">
        <f>IF(OR(ISBLANK(B1178),B1178=""), "", IF(B1178=B1177, (VALUE(LEFT(H1177,FIND("/",H1177)-1))+1)&amp;"/"&amp;RIGHT(H1177,LEN(H1177)-FIND("/",H1177)), "1/"&amp;IFERROR(VLOOKUP(B1178,'SAÍDA DE VENDAS'!$B$6:$P$500,13,FALSE),"1")))</f>
        <v/>
      </c>
      <c r="I1178" s="69" t="str">
        <f t="shared" si="36"/>
        <v/>
      </c>
      <c r="J1178" s="33" t="str">
        <f>IFERROR(VLOOKUP(B1178,'SAÍDA DE VENDAS'!$B$6:$P$500,15,FALSE),"")</f>
        <v/>
      </c>
      <c r="K1178" s="28" t="str">
        <f t="shared" ca="1" si="37"/>
        <v/>
      </c>
      <c r="L1178" s="28"/>
      <c r="M1178" s="28"/>
    </row>
    <row r="1179" spans="2:13" ht="15" customHeight="1" x14ac:dyDescent="0.3">
      <c r="B1179" s="34" t="str">
        <f>IF(B1178="","", IF(VALUE(LEFT(H1178,FIND("/",H1178)-1)) &lt; VALUE(RIGHT(H1178,LEN(H1178)-FIND("/",H1178))), B1178, IFERROR(INDEX('SAÍDA DE VENDAS'!$B$6:$B$500, MATCH(B1178,'SAÍDA DE VENDAS'!$B$6:$B$500,0)+COUNTIF('SAÍDA DE VENDAS'!$B$6:$B$500, B1178)),"")))</f>
        <v/>
      </c>
      <c r="C1179" s="35">
        <f>IFERROR(VLOOKUP(B1179,'SAÍDA DE VENDAS'!$B$6:$P$500,3,FALSE),"")</f>
        <v>0</v>
      </c>
      <c r="D1179" s="34">
        <f>IFERROR(VLOOKUP(B1179,'SAÍDA DE VENDAS'!$B$6:$P$500,4,FALSE),"")</f>
        <v>0</v>
      </c>
      <c r="E1179" s="34" t="str">
        <f>IFERROR(VLOOKUP(B1179,'SAÍDA DE VENDAS'!$B$6:$P$500,5,FALSE),"")</f>
        <v/>
      </c>
      <c r="F1179" s="34" t="str">
        <f>IF(OR(ISBLANK(B1179),B1179=""), "", IFERROR(INDEX('SAÍDA DE VENDAS'!$H$6:$H$500 &amp; "x " &amp; 'SAÍDA DE VENDAS'!$G$6:$G$500, MATCH(B1179, 'SAÍDA DE VENDAS'!$B$6:$B$500, 0)), "")&amp; IF(COUNTIF('SAÍDA DE VENDAS'!$B$6:$B$500, B1179)&gt;1, " + " &amp; IFERROR(INDEX('SAÍDA DE VENDAS'!$H$6:$H$500 &amp; "x " &amp; 'SAÍDA DE VENDAS'!$G$6:$G$500, MATCH(B1179, 'SAÍDA DE VENDAS'!$B$6:$B$500, 0)+1), ""), "")&amp; IF(COUNTIF('SAÍDA DE VENDAS'!$B$6:$B$500, B1179)&gt;2, " + " &amp; IFERROR(INDEX('SAÍDA DE VENDAS'!$H$6:$H$500 &amp; "x " &amp; 'SAÍDA DE VENDAS'!$G$6:$G$500, MATCH(B1179, 'SAÍDA DE VENDAS'!$B$6:$B$500, 0)+2), ""), "")&amp; IF(COUNTIF('SAÍDA DE VENDAS'!$B$6:$B$500, B1179)&gt;3, " + " &amp; IFERROR(INDEX('SAÍDA DE VENDAS'!$H$6:$H$500 &amp; "x " &amp; 'SAÍDA DE VENDAS'!$G$6:$G$500, MATCH(B1179, 'SAÍDA DE VENDAS'!$B$6:$B$500, 0)+3), ""), "")&amp; IF(COUNTIF('SAÍDA DE VENDAS'!$B$6:$B$500, B1179)&gt;4, " + " &amp; IFERROR(INDEX('SAÍDA DE VENDAS'!$H$6:$H$500 &amp; "x " &amp; 'SAÍDA DE VENDAS'!$G$6:$G$500, MATCH(B1179, 'SAÍDA DE VENDAS'!$B$6:$B$500, 0)+4), ""), "")&amp; IF(COUNTIF('SAÍDA DE VENDAS'!$B$6:$B$500, B1179)&gt;5, " + " &amp; IFERROR(INDEX('SAÍDA DE VENDAS'!$H$6:$H$500 &amp; "x " &amp; 'SAÍDA DE VENDAS'!$G$6:$G$500, MATCH(B1179, 'SAÍDA DE VENDAS'!$B$6:$B$500, 0)+5), ""), ""))</f>
        <v/>
      </c>
      <c r="G1179" s="34">
        <f>IFERROR(VLOOKUP(B1179,'SAÍDA DE VENDAS'!$B$6:$P$500,10,FALSE),"")</f>
        <v>0</v>
      </c>
      <c r="H1179" s="34" t="str">
        <f>IF(OR(ISBLANK(B1179),B1179=""), "", IF(B1179=B1178, (VALUE(LEFT(H1178,FIND("/",H1178)-1))+1)&amp;"/"&amp;RIGHT(H1178,LEN(H1178)-FIND("/",H1178)), "1/"&amp;IFERROR(VLOOKUP(B1179,'SAÍDA DE VENDAS'!$B$6:$P$500,13,FALSE),"1")))</f>
        <v/>
      </c>
      <c r="I1179" s="35" t="str">
        <f t="shared" si="36"/>
        <v/>
      </c>
      <c r="J1179" s="39" t="str">
        <f>IFERROR(VLOOKUP(B1179,'SAÍDA DE VENDAS'!$B$6:$P$500,15,FALSE),"")</f>
        <v/>
      </c>
      <c r="K1179" s="34" t="str">
        <f t="shared" ca="1" si="37"/>
        <v/>
      </c>
      <c r="L1179" s="34"/>
      <c r="M1179" s="34"/>
    </row>
    <row r="1180" spans="2:13" ht="15" customHeight="1" x14ac:dyDescent="0.3">
      <c r="B1180" s="28" t="str">
        <f>IF(B1179="","", IF(VALUE(LEFT(H1179,FIND("/",H1179)-1)) &lt; VALUE(RIGHT(H1179,LEN(H1179)-FIND("/",H1179))), B1179, IFERROR(INDEX('SAÍDA DE VENDAS'!$B$6:$B$500, MATCH(B1179,'SAÍDA DE VENDAS'!$B$6:$B$500,0)+COUNTIF('SAÍDA DE VENDAS'!$B$6:$B$500, B1179)),"")))</f>
        <v/>
      </c>
      <c r="C1180" s="29">
        <f>IFERROR(VLOOKUP(B1180,'SAÍDA DE VENDAS'!$B$6:$P$500,3,FALSE),"")</f>
        <v>0</v>
      </c>
      <c r="D1180" s="28">
        <f>IFERROR(VLOOKUP(B1180,'SAÍDA DE VENDAS'!$B$6:$P$500,4,FALSE),"")</f>
        <v>0</v>
      </c>
      <c r="E1180" s="28" t="str">
        <f>IFERROR(VLOOKUP(B1180,'SAÍDA DE VENDAS'!$B$6:$P$500,5,FALSE),"")</f>
        <v/>
      </c>
      <c r="F1180" s="28" t="str">
        <f>IF(OR(ISBLANK(B1180),B1180=""), "", IFERROR(INDEX('SAÍDA DE VENDAS'!$H$6:$H$500 &amp; "x " &amp; 'SAÍDA DE VENDAS'!$G$6:$G$500, MATCH(B1180, 'SAÍDA DE VENDAS'!$B$6:$B$500, 0)), "")&amp; IF(COUNTIF('SAÍDA DE VENDAS'!$B$6:$B$500, B1180)&gt;1, " + " &amp; IFERROR(INDEX('SAÍDA DE VENDAS'!$H$6:$H$500 &amp; "x " &amp; 'SAÍDA DE VENDAS'!$G$6:$G$500, MATCH(B1180, 'SAÍDA DE VENDAS'!$B$6:$B$500, 0)+1), ""), "")&amp; IF(COUNTIF('SAÍDA DE VENDAS'!$B$6:$B$500, B1180)&gt;2, " + " &amp; IFERROR(INDEX('SAÍDA DE VENDAS'!$H$6:$H$500 &amp; "x " &amp; 'SAÍDA DE VENDAS'!$G$6:$G$500, MATCH(B1180, 'SAÍDA DE VENDAS'!$B$6:$B$500, 0)+2), ""), "")&amp; IF(COUNTIF('SAÍDA DE VENDAS'!$B$6:$B$500, B1180)&gt;3, " + " &amp; IFERROR(INDEX('SAÍDA DE VENDAS'!$H$6:$H$500 &amp; "x " &amp; 'SAÍDA DE VENDAS'!$G$6:$G$500, MATCH(B1180, 'SAÍDA DE VENDAS'!$B$6:$B$500, 0)+3), ""), "")&amp; IF(COUNTIF('SAÍDA DE VENDAS'!$B$6:$B$500, B1180)&gt;4, " + " &amp; IFERROR(INDEX('SAÍDA DE VENDAS'!$H$6:$H$500 &amp; "x " &amp; 'SAÍDA DE VENDAS'!$G$6:$G$500, MATCH(B1180, 'SAÍDA DE VENDAS'!$B$6:$B$500, 0)+4), ""), "")&amp; IF(COUNTIF('SAÍDA DE VENDAS'!$B$6:$B$500, B1180)&gt;5, " + " &amp; IFERROR(INDEX('SAÍDA DE VENDAS'!$H$6:$H$500 &amp; "x " &amp; 'SAÍDA DE VENDAS'!$G$6:$G$500, MATCH(B1180, 'SAÍDA DE VENDAS'!$B$6:$B$500, 0)+5), ""), ""))</f>
        <v/>
      </c>
      <c r="G1180" s="28">
        <f>IFERROR(VLOOKUP(B1180,'SAÍDA DE VENDAS'!$B$6:$P$500,10,FALSE),"")</f>
        <v>0</v>
      </c>
      <c r="H1180" s="28" t="str">
        <f>IF(OR(ISBLANK(B1180),B1180=""), "", IF(B1180=B1179, (VALUE(LEFT(H1179,FIND("/",H1179)-1))+1)&amp;"/"&amp;RIGHT(H1179,LEN(H1179)-FIND("/",H1179)), "1/"&amp;IFERROR(VLOOKUP(B1180,'SAÍDA DE VENDAS'!$B$6:$P$500,13,FALSE),"1")))</f>
        <v/>
      </c>
      <c r="I1180" s="69" t="str">
        <f t="shared" si="36"/>
        <v/>
      </c>
      <c r="J1180" s="33" t="str">
        <f>IFERROR(VLOOKUP(B1180,'SAÍDA DE VENDAS'!$B$6:$P$500,15,FALSE),"")</f>
        <v/>
      </c>
      <c r="K1180" s="28" t="str">
        <f t="shared" ca="1" si="37"/>
        <v/>
      </c>
      <c r="L1180" s="28"/>
      <c r="M1180" s="28"/>
    </row>
    <row r="1181" spans="2:13" ht="15" customHeight="1" x14ac:dyDescent="0.3">
      <c r="B1181" s="34" t="str">
        <f>IF(B1180="","", IF(VALUE(LEFT(H1180,FIND("/",H1180)-1)) &lt; VALUE(RIGHT(H1180,LEN(H1180)-FIND("/",H1180))), B1180, IFERROR(INDEX('SAÍDA DE VENDAS'!$B$6:$B$500, MATCH(B1180,'SAÍDA DE VENDAS'!$B$6:$B$500,0)+COUNTIF('SAÍDA DE VENDAS'!$B$6:$B$500, B1180)),"")))</f>
        <v/>
      </c>
      <c r="C1181" s="35">
        <f>IFERROR(VLOOKUP(B1181,'SAÍDA DE VENDAS'!$B$6:$P$500,3,FALSE),"")</f>
        <v>0</v>
      </c>
      <c r="D1181" s="34">
        <f>IFERROR(VLOOKUP(B1181,'SAÍDA DE VENDAS'!$B$6:$P$500,4,FALSE),"")</f>
        <v>0</v>
      </c>
      <c r="E1181" s="34" t="str">
        <f>IFERROR(VLOOKUP(B1181,'SAÍDA DE VENDAS'!$B$6:$P$500,5,FALSE),"")</f>
        <v/>
      </c>
      <c r="F1181" s="34" t="str">
        <f>IF(OR(ISBLANK(B1181),B1181=""), "", IFERROR(INDEX('SAÍDA DE VENDAS'!$H$6:$H$500 &amp; "x " &amp; 'SAÍDA DE VENDAS'!$G$6:$G$500, MATCH(B1181, 'SAÍDA DE VENDAS'!$B$6:$B$500, 0)), "")&amp; IF(COUNTIF('SAÍDA DE VENDAS'!$B$6:$B$500, B1181)&gt;1, " + " &amp; IFERROR(INDEX('SAÍDA DE VENDAS'!$H$6:$H$500 &amp; "x " &amp; 'SAÍDA DE VENDAS'!$G$6:$G$500, MATCH(B1181, 'SAÍDA DE VENDAS'!$B$6:$B$500, 0)+1), ""), "")&amp; IF(COUNTIF('SAÍDA DE VENDAS'!$B$6:$B$500, B1181)&gt;2, " + " &amp; IFERROR(INDEX('SAÍDA DE VENDAS'!$H$6:$H$500 &amp; "x " &amp; 'SAÍDA DE VENDAS'!$G$6:$G$500, MATCH(B1181, 'SAÍDA DE VENDAS'!$B$6:$B$500, 0)+2), ""), "")&amp; IF(COUNTIF('SAÍDA DE VENDAS'!$B$6:$B$500, B1181)&gt;3, " + " &amp; IFERROR(INDEX('SAÍDA DE VENDAS'!$H$6:$H$500 &amp; "x " &amp; 'SAÍDA DE VENDAS'!$G$6:$G$500, MATCH(B1181, 'SAÍDA DE VENDAS'!$B$6:$B$500, 0)+3), ""), "")&amp; IF(COUNTIF('SAÍDA DE VENDAS'!$B$6:$B$500, B1181)&gt;4, " + " &amp; IFERROR(INDEX('SAÍDA DE VENDAS'!$H$6:$H$500 &amp; "x " &amp; 'SAÍDA DE VENDAS'!$G$6:$G$500, MATCH(B1181, 'SAÍDA DE VENDAS'!$B$6:$B$500, 0)+4), ""), "")&amp; IF(COUNTIF('SAÍDA DE VENDAS'!$B$6:$B$500, B1181)&gt;5, " + " &amp; IFERROR(INDEX('SAÍDA DE VENDAS'!$H$6:$H$500 &amp; "x " &amp; 'SAÍDA DE VENDAS'!$G$6:$G$500, MATCH(B1181, 'SAÍDA DE VENDAS'!$B$6:$B$500, 0)+5), ""), ""))</f>
        <v/>
      </c>
      <c r="G1181" s="34">
        <f>IFERROR(VLOOKUP(B1181,'SAÍDA DE VENDAS'!$B$6:$P$500,10,FALSE),"")</f>
        <v>0</v>
      </c>
      <c r="H1181" s="34" t="str">
        <f>IF(OR(ISBLANK(B1181),B1181=""), "", IF(B1181=B1180, (VALUE(LEFT(H1180,FIND("/",H1180)-1))+1)&amp;"/"&amp;RIGHT(H1180,LEN(H1180)-FIND("/",H1180)), "1/"&amp;IFERROR(VLOOKUP(B1181,'SAÍDA DE VENDAS'!$B$6:$P$500,13,FALSE),"1")))</f>
        <v/>
      </c>
      <c r="I1181" s="35" t="str">
        <f t="shared" si="36"/>
        <v/>
      </c>
      <c r="J1181" s="39" t="str">
        <f>IFERROR(VLOOKUP(B1181,'SAÍDA DE VENDAS'!$B$6:$P$500,15,FALSE),"")</f>
        <v/>
      </c>
      <c r="K1181" s="34" t="str">
        <f t="shared" ca="1" si="37"/>
        <v/>
      </c>
      <c r="L1181" s="34"/>
      <c r="M1181" s="34"/>
    </row>
    <row r="1182" spans="2:13" ht="15" customHeight="1" x14ac:dyDescent="0.3">
      <c r="B1182" s="28" t="str">
        <f>IF(B1181="","", IF(VALUE(LEFT(H1181,FIND("/",H1181)-1)) &lt; VALUE(RIGHT(H1181,LEN(H1181)-FIND("/",H1181))), B1181, IFERROR(INDEX('SAÍDA DE VENDAS'!$B$6:$B$500, MATCH(B1181,'SAÍDA DE VENDAS'!$B$6:$B$500,0)+COUNTIF('SAÍDA DE VENDAS'!$B$6:$B$500, B1181)),"")))</f>
        <v/>
      </c>
      <c r="C1182" s="29">
        <f>IFERROR(VLOOKUP(B1182,'SAÍDA DE VENDAS'!$B$6:$P$500,3,FALSE),"")</f>
        <v>0</v>
      </c>
      <c r="D1182" s="28">
        <f>IFERROR(VLOOKUP(B1182,'SAÍDA DE VENDAS'!$B$6:$P$500,4,FALSE),"")</f>
        <v>0</v>
      </c>
      <c r="E1182" s="28" t="str">
        <f>IFERROR(VLOOKUP(B1182,'SAÍDA DE VENDAS'!$B$6:$P$500,5,FALSE),"")</f>
        <v/>
      </c>
      <c r="F1182" s="28" t="str">
        <f>IF(OR(ISBLANK(B1182),B1182=""), "", IFERROR(INDEX('SAÍDA DE VENDAS'!$H$6:$H$500 &amp; "x " &amp; 'SAÍDA DE VENDAS'!$G$6:$G$500, MATCH(B1182, 'SAÍDA DE VENDAS'!$B$6:$B$500, 0)), "")&amp; IF(COUNTIF('SAÍDA DE VENDAS'!$B$6:$B$500, B1182)&gt;1, " + " &amp; IFERROR(INDEX('SAÍDA DE VENDAS'!$H$6:$H$500 &amp; "x " &amp; 'SAÍDA DE VENDAS'!$G$6:$G$500, MATCH(B1182, 'SAÍDA DE VENDAS'!$B$6:$B$500, 0)+1), ""), "")&amp; IF(COUNTIF('SAÍDA DE VENDAS'!$B$6:$B$500, B1182)&gt;2, " + " &amp; IFERROR(INDEX('SAÍDA DE VENDAS'!$H$6:$H$500 &amp; "x " &amp; 'SAÍDA DE VENDAS'!$G$6:$G$500, MATCH(B1182, 'SAÍDA DE VENDAS'!$B$6:$B$500, 0)+2), ""), "")&amp; IF(COUNTIF('SAÍDA DE VENDAS'!$B$6:$B$500, B1182)&gt;3, " + " &amp; IFERROR(INDEX('SAÍDA DE VENDAS'!$H$6:$H$500 &amp; "x " &amp; 'SAÍDA DE VENDAS'!$G$6:$G$500, MATCH(B1182, 'SAÍDA DE VENDAS'!$B$6:$B$500, 0)+3), ""), "")&amp; IF(COUNTIF('SAÍDA DE VENDAS'!$B$6:$B$500, B1182)&gt;4, " + " &amp; IFERROR(INDEX('SAÍDA DE VENDAS'!$H$6:$H$500 &amp; "x " &amp; 'SAÍDA DE VENDAS'!$G$6:$G$500, MATCH(B1182, 'SAÍDA DE VENDAS'!$B$6:$B$500, 0)+4), ""), "")&amp; IF(COUNTIF('SAÍDA DE VENDAS'!$B$6:$B$500, B1182)&gt;5, " + " &amp; IFERROR(INDEX('SAÍDA DE VENDAS'!$H$6:$H$500 &amp; "x " &amp; 'SAÍDA DE VENDAS'!$G$6:$G$500, MATCH(B1182, 'SAÍDA DE VENDAS'!$B$6:$B$500, 0)+5), ""), ""))</f>
        <v/>
      </c>
      <c r="G1182" s="28">
        <f>IFERROR(VLOOKUP(B1182,'SAÍDA DE VENDAS'!$B$6:$P$500,10,FALSE),"")</f>
        <v>0</v>
      </c>
      <c r="H1182" s="28" t="str">
        <f>IF(OR(ISBLANK(B1182),B1182=""), "", IF(B1182=B1181, (VALUE(LEFT(H1181,FIND("/",H1181)-1))+1)&amp;"/"&amp;RIGHT(H1181,LEN(H1181)-FIND("/",H1181)), "1/"&amp;IFERROR(VLOOKUP(B1182,'SAÍDA DE VENDAS'!$B$6:$P$500,13,FALSE),"1")))</f>
        <v/>
      </c>
      <c r="I1182" s="69" t="str">
        <f t="shared" si="36"/>
        <v/>
      </c>
      <c r="J1182" s="33" t="str">
        <f>IFERROR(VLOOKUP(B1182,'SAÍDA DE VENDAS'!$B$6:$P$500,15,FALSE),"")</f>
        <v/>
      </c>
      <c r="K1182" s="28" t="str">
        <f t="shared" ca="1" si="37"/>
        <v/>
      </c>
      <c r="L1182" s="28"/>
      <c r="M1182" s="28"/>
    </row>
    <row r="1183" spans="2:13" ht="15" customHeight="1" x14ac:dyDescent="0.3">
      <c r="B1183" s="34" t="str">
        <f>IF(B1182="","", IF(VALUE(LEFT(H1182,FIND("/",H1182)-1)) &lt; VALUE(RIGHT(H1182,LEN(H1182)-FIND("/",H1182))), B1182, IFERROR(INDEX('SAÍDA DE VENDAS'!$B$6:$B$500, MATCH(B1182,'SAÍDA DE VENDAS'!$B$6:$B$500,0)+COUNTIF('SAÍDA DE VENDAS'!$B$6:$B$500, B1182)),"")))</f>
        <v/>
      </c>
      <c r="C1183" s="35">
        <f>IFERROR(VLOOKUP(B1183,'SAÍDA DE VENDAS'!$B$6:$P$500,3,FALSE),"")</f>
        <v>0</v>
      </c>
      <c r="D1183" s="34">
        <f>IFERROR(VLOOKUP(B1183,'SAÍDA DE VENDAS'!$B$6:$P$500,4,FALSE),"")</f>
        <v>0</v>
      </c>
      <c r="E1183" s="34" t="str">
        <f>IFERROR(VLOOKUP(B1183,'SAÍDA DE VENDAS'!$B$6:$P$500,5,FALSE),"")</f>
        <v/>
      </c>
      <c r="F1183" s="34" t="str">
        <f>IF(OR(ISBLANK(B1183),B1183=""), "", IFERROR(INDEX('SAÍDA DE VENDAS'!$H$6:$H$500 &amp; "x " &amp; 'SAÍDA DE VENDAS'!$G$6:$G$500, MATCH(B1183, 'SAÍDA DE VENDAS'!$B$6:$B$500, 0)), "")&amp; IF(COUNTIF('SAÍDA DE VENDAS'!$B$6:$B$500, B1183)&gt;1, " + " &amp; IFERROR(INDEX('SAÍDA DE VENDAS'!$H$6:$H$500 &amp; "x " &amp; 'SAÍDA DE VENDAS'!$G$6:$G$500, MATCH(B1183, 'SAÍDA DE VENDAS'!$B$6:$B$500, 0)+1), ""), "")&amp; IF(COUNTIF('SAÍDA DE VENDAS'!$B$6:$B$500, B1183)&gt;2, " + " &amp; IFERROR(INDEX('SAÍDA DE VENDAS'!$H$6:$H$500 &amp; "x " &amp; 'SAÍDA DE VENDAS'!$G$6:$G$500, MATCH(B1183, 'SAÍDA DE VENDAS'!$B$6:$B$500, 0)+2), ""), "")&amp; IF(COUNTIF('SAÍDA DE VENDAS'!$B$6:$B$500, B1183)&gt;3, " + " &amp; IFERROR(INDEX('SAÍDA DE VENDAS'!$H$6:$H$500 &amp; "x " &amp; 'SAÍDA DE VENDAS'!$G$6:$G$500, MATCH(B1183, 'SAÍDA DE VENDAS'!$B$6:$B$500, 0)+3), ""), "")&amp; IF(COUNTIF('SAÍDA DE VENDAS'!$B$6:$B$500, B1183)&gt;4, " + " &amp; IFERROR(INDEX('SAÍDA DE VENDAS'!$H$6:$H$500 &amp; "x " &amp; 'SAÍDA DE VENDAS'!$G$6:$G$500, MATCH(B1183, 'SAÍDA DE VENDAS'!$B$6:$B$500, 0)+4), ""), "")&amp; IF(COUNTIF('SAÍDA DE VENDAS'!$B$6:$B$500, B1183)&gt;5, " + " &amp; IFERROR(INDEX('SAÍDA DE VENDAS'!$H$6:$H$500 &amp; "x " &amp; 'SAÍDA DE VENDAS'!$G$6:$G$500, MATCH(B1183, 'SAÍDA DE VENDAS'!$B$6:$B$500, 0)+5), ""), ""))</f>
        <v/>
      </c>
      <c r="G1183" s="34">
        <f>IFERROR(VLOOKUP(B1183,'SAÍDA DE VENDAS'!$B$6:$P$500,10,FALSE),"")</f>
        <v>0</v>
      </c>
      <c r="H1183" s="34" t="str">
        <f>IF(OR(ISBLANK(B1183),B1183=""), "", IF(B1183=B1182, (VALUE(LEFT(H1182,FIND("/",H1182)-1))+1)&amp;"/"&amp;RIGHT(H1182,LEN(H1182)-FIND("/",H1182)), "1/"&amp;IFERROR(VLOOKUP(B1183,'SAÍDA DE VENDAS'!$B$6:$P$500,13,FALSE),"1")))</f>
        <v/>
      </c>
      <c r="I1183" s="35" t="str">
        <f t="shared" si="36"/>
        <v/>
      </c>
      <c r="J1183" s="39" t="str">
        <f>IFERROR(VLOOKUP(B1183,'SAÍDA DE VENDAS'!$B$6:$P$500,15,FALSE),"")</f>
        <v/>
      </c>
      <c r="K1183" s="34" t="str">
        <f t="shared" ca="1" si="37"/>
        <v/>
      </c>
      <c r="L1183" s="34"/>
      <c r="M1183" s="34"/>
    </row>
    <row r="1184" spans="2:13" ht="15" customHeight="1" x14ac:dyDescent="0.3">
      <c r="B1184" s="28" t="str">
        <f>IF(B1183="","", IF(VALUE(LEFT(H1183,FIND("/",H1183)-1)) &lt; VALUE(RIGHT(H1183,LEN(H1183)-FIND("/",H1183))), B1183, IFERROR(INDEX('SAÍDA DE VENDAS'!$B$6:$B$500, MATCH(B1183,'SAÍDA DE VENDAS'!$B$6:$B$500,0)+COUNTIF('SAÍDA DE VENDAS'!$B$6:$B$500, B1183)),"")))</f>
        <v/>
      </c>
      <c r="C1184" s="29">
        <f>IFERROR(VLOOKUP(B1184,'SAÍDA DE VENDAS'!$B$6:$P$500,3,FALSE),"")</f>
        <v>0</v>
      </c>
      <c r="D1184" s="28">
        <f>IFERROR(VLOOKUP(B1184,'SAÍDA DE VENDAS'!$B$6:$P$500,4,FALSE),"")</f>
        <v>0</v>
      </c>
      <c r="E1184" s="28" t="str">
        <f>IFERROR(VLOOKUP(B1184,'SAÍDA DE VENDAS'!$B$6:$P$500,5,FALSE),"")</f>
        <v/>
      </c>
      <c r="F1184" s="28" t="str">
        <f>IF(OR(ISBLANK(B1184),B1184=""), "", IFERROR(INDEX('SAÍDA DE VENDAS'!$H$6:$H$500 &amp; "x " &amp; 'SAÍDA DE VENDAS'!$G$6:$G$500, MATCH(B1184, 'SAÍDA DE VENDAS'!$B$6:$B$500, 0)), "")&amp; IF(COUNTIF('SAÍDA DE VENDAS'!$B$6:$B$500, B1184)&gt;1, " + " &amp; IFERROR(INDEX('SAÍDA DE VENDAS'!$H$6:$H$500 &amp; "x " &amp; 'SAÍDA DE VENDAS'!$G$6:$G$500, MATCH(B1184, 'SAÍDA DE VENDAS'!$B$6:$B$500, 0)+1), ""), "")&amp; IF(COUNTIF('SAÍDA DE VENDAS'!$B$6:$B$500, B1184)&gt;2, " + " &amp; IFERROR(INDEX('SAÍDA DE VENDAS'!$H$6:$H$500 &amp; "x " &amp; 'SAÍDA DE VENDAS'!$G$6:$G$500, MATCH(B1184, 'SAÍDA DE VENDAS'!$B$6:$B$500, 0)+2), ""), "")&amp; IF(COUNTIF('SAÍDA DE VENDAS'!$B$6:$B$500, B1184)&gt;3, " + " &amp; IFERROR(INDEX('SAÍDA DE VENDAS'!$H$6:$H$500 &amp; "x " &amp; 'SAÍDA DE VENDAS'!$G$6:$G$500, MATCH(B1184, 'SAÍDA DE VENDAS'!$B$6:$B$500, 0)+3), ""), "")&amp; IF(COUNTIF('SAÍDA DE VENDAS'!$B$6:$B$500, B1184)&gt;4, " + " &amp; IFERROR(INDEX('SAÍDA DE VENDAS'!$H$6:$H$500 &amp; "x " &amp; 'SAÍDA DE VENDAS'!$G$6:$G$500, MATCH(B1184, 'SAÍDA DE VENDAS'!$B$6:$B$500, 0)+4), ""), "")&amp; IF(COUNTIF('SAÍDA DE VENDAS'!$B$6:$B$500, B1184)&gt;5, " + " &amp; IFERROR(INDEX('SAÍDA DE VENDAS'!$H$6:$H$500 &amp; "x " &amp; 'SAÍDA DE VENDAS'!$G$6:$G$500, MATCH(B1184, 'SAÍDA DE VENDAS'!$B$6:$B$500, 0)+5), ""), ""))</f>
        <v/>
      </c>
      <c r="G1184" s="28">
        <f>IFERROR(VLOOKUP(B1184,'SAÍDA DE VENDAS'!$B$6:$P$500,10,FALSE),"")</f>
        <v>0</v>
      </c>
      <c r="H1184" s="28" t="str">
        <f>IF(OR(ISBLANK(B1184),B1184=""), "", IF(B1184=B1183, (VALUE(LEFT(H1183,FIND("/",H1183)-1))+1)&amp;"/"&amp;RIGHT(H1183,LEN(H1183)-FIND("/",H1183)), "1/"&amp;IFERROR(VLOOKUP(B1184,'SAÍDA DE VENDAS'!$B$6:$P$500,13,FALSE),"1")))</f>
        <v/>
      </c>
      <c r="I1184" s="69" t="str">
        <f t="shared" si="36"/>
        <v/>
      </c>
      <c r="J1184" s="33" t="str">
        <f>IFERROR(VLOOKUP(B1184,'SAÍDA DE VENDAS'!$B$6:$P$500,15,FALSE),"")</f>
        <v/>
      </c>
      <c r="K1184" s="28" t="str">
        <f t="shared" ca="1" si="37"/>
        <v/>
      </c>
      <c r="L1184" s="28"/>
      <c r="M1184" s="28"/>
    </row>
    <row r="1185" spans="2:13" ht="15" customHeight="1" x14ac:dyDescent="0.3">
      <c r="B1185" s="34" t="str">
        <f>IF(B1184="","", IF(VALUE(LEFT(H1184,FIND("/",H1184)-1)) &lt; VALUE(RIGHT(H1184,LEN(H1184)-FIND("/",H1184))), B1184, IFERROR(INDEX('SAÍDA DE VENDAS'!$B$6:$B$500, MATCH(B1184,'SAÍDA DE VENDAS'!$B$6:$B$500,0)+COUNTIF('SAÍDA DE VENDAS'!$B$6:$B$500, B1184)),"")))</f>
        <v/>
      </c>
      <c r="C1185" s="35">
        <f>IFERROR(VLOOKUP(B1185,'SAÍDA DE VENDAS'!$B$6:$P$500,3,FALSE),"")</f>
        <v>0</v>
      </c>
      <c r="D1185" s="34">
        <f>IFERROR(VLOOKUP(B1185,'SAÍDA DE VENDAS'!$B$6:$P$500,4,FALSE),"")</f>
        <v>0</v>
      </c>
      <c r="E1185" s="34" t="str">
        <f>IFERROR(VLOOKUP(B1185,'SAÍDA DE VENDAS'!$B$6:$P$500,5,FALSE),"")</f>
        <v/>
      </c>
      <c r="F1185" s="34" t="str">
        <f>IF(OR(ISBLANK(B1185),B1185=""), "", IFERROR(INDEX('SAÍDA DE VENDAS'!$H$6:$H$500 &amp; "x " &amp; 'SAÍDA DE VENDAS'!$G$6:$G$500, MATCH(B1185, 'SAÍDA DE VENDAS'!$B$6:$B$500, 0)), "")&amp; IF(COUNTIF('SAÍDA DE VENDAS'!$B$6:$B$500, B1185)&gt;1, " + " &amp; IFERROR(INDEX('SAÍDA DE VENDAS'!$H$6:$H$500 &amp; "x " &amp; 'SAÍDA DE VENDAS'!$G$6:$G$500, MATCH(B1185, 'SAÍDA DE VENDAS'!$B$6:$B$500, 0)+1), ""), "")&amp; IF(COUNTIF('SAÍDA DE VENDAS'!$B$6:$B$500, B1185)&gt;2, " + " &amp; IFERROR(INDEX('SAÍDA DE VENDAS'!$H$6:$H$500 &amp; "x " &amp; 'SAÍDA DE VENDAS'!$G$6:$G$500, MATCH(B1185, 'SAÍDA DE VENDAS'!$B$6:$B$500, 0)+2), ""), "")&amp; IF(COUNTIF('SAÍDA DE VENDAS'!$B$6:$B$500, B1185)&gt;3, " + " &amp; IFERROR(INDEX('SAÍDA DE VENDAS'!$H$6:$H$500 &amp; "x " &amp; 'SAÍDA DE VENDAS'!$G$6:$G$500, MATCH(B1185, 'SAÍDA DE VENDAS'!$B$6:$B$500, 0)+3), ""), "")&amp; IF(COUNTIF('SAÍDA DE VENDAS'!$B$6:$B$500, B1185)&gt;4, " + " &amp; IFERROR(INDEX('SAÍDA DE VENDAS'!$H$6:$H$500 &amp; "x " &amp; 'SAÍDA DE VENDAS'!$G$6:$G$500, MATCH(B1185, 'SAÍDA DE VENDAS'!$B$6:$B$500, 0)+4), ""), "")&amp; IF(COUNTIF('SAÍDA DE VENDAS'!$B$6:$B$500, B1185)&gt;5, " + " &amp; IFERROR(INDEX('SAÍDA DE VENDAS'!$H$6:$H$500 &amp; "x " &amp; 'SAÍDA DE VENDAS'!$G$6:$G$500, MATCH(B1185, 'SAÍDA DE VENDAS'!$B$6:$B$500, 0)+5), ""), ""))</f>
        <v/>
      </c>
      <c r="G1185" s="34">
        <f>IFERROR(VLOOKUP(B1185,'SAÍDA DE VENDAS'!$B$6:$P$500,10,FALSE),"")</f>
        <v>0</v>
      </c>
      <c r="H1185" s="34" t="str">
        <f>IF(OR(ISBLANK(B1185),B1185=""), "", IF(B1185=B1184, (VALUE(LEFT(H1184,FIND("/",H1184)-1))+1)&amp;"/"&amp;RIGHT(H1184,LEN(H1184)-FIND("/",H1184)), "1/"&amp;IFERROR(VLOOKUP(B1185,'SAÍDA DE VENDAS'!$B$6:$P$500,13,FALSE),"1")))</f>
        <v/>
      </c>
      <c r="I1185" s="35" t="str">
        <f t="shared" si="36"/>
        <v/>
      </c>
      <c r="J1185" s="39" t="str">
        <f>IFERROR(VLOOKUP(B1185,'SAÍDA DE VENDAS'!$B$6:$P$500,15,FALSE),"")</f>
        <v/>
      </c>
      <c r="K1185" s="34" t="str">
        <f t="shared" ca="1" si="37"/>
        <v/>
      </c>
      <c r="L1185" s="34"/>
      <c r="M1185" s="34"/>
    </row>
    <row r="1186" spans="2:13" ht="15" customHeight="1" x14ac:dyDescent="0.3">
      <c r="B1186" s="28" t="str">
        <f>IF(B1185="","", IF(VALUE(LEFT(H1185,FIND("/",H1185)-1)) &lt; VALUE(RIGHT(H1185,LEN(H1185)-FIND("/",H1185))), B1185, IFERROR(INDEX('SAÍDA DE VENDAS'!$B$6:$B$500, MATCH(B1185,'SAÍDA DE VENDAS'!$B$6:$B$500,0)+COUNTIF('SAÍDA DE VENDAS'!$B$6:$B$500, B1185)),"")))</f>
        <v/>
      </c>
      <c r="C1186" s="29">
        <f>IFERROR(VLOOKUP(B1186,'SAÍDA DE VENDAS'!$B$6:$P$500,3,FALSE),"")</f>
        <v>0</v>
      </c>
      <c r="D1186" s="28">
        <f>IFERROR(VLOOKUP(B1186,'SAÍDA DE VENDAS'!$B$6:$P$500,4,FALSE),"")</f>
        <v>0</v>
      </c>
      <c r="E1186" s="28" t="str">
        <f>IFERROR(VLOOKUP(B1186,'SAÍDA DE VENDAS'!$B$6:$P$500,5,FALSE),"")</f>
        <v/>
      </c>
      <c r="F1186" s="28" t="str">
        <f>IF(OR(ISBLANK(B1186),B1186=""), "", IFERROR(INDEX('SAÍDA DE VENDAS'!$H$6:$H$500 &amp; "x " &amp; 'SAÍDA DE VENDAS'!$G$6:$G$500, MATCH(B1186, 'SAÍDA DE VENDAS'!$B$6:$B$500, 0)), "")&amp; IF(COUNTIF('SAÍDA DE VENDAS'!$B$6:$B$500, B1186)&gt;1, " + " &amp; IFERROR(INDEX('SAÍDA DE VENDAS'!$H$6:$H$500 &amp; "x " &amp; 'SAÍDA DE VENDAS'!$G$6:$G$500, MATCH(B1186, 'SAÍDA DE VENDAS'!$B$6:$B$500, 0)+1), ""), "")&amp; IF(COUNTIF('SAÍDA DE VENDAS'!$B$6:$B$500, B1186)&gt;2, " + " &amp; IFERROR(INDEX('SAÍDA DE VENDAS'!$H$6:$H$500 &amp; "x " &amp; 'SAÍDA DE VENDAS'!$G$6:$G$500, MATCH(B1186, 'SAÍDA DE VENDAS'!$B$6:$B$500, 0)+2), ""), "")&amp; IF(COUNTIF('SAÍDA DE VENDAS'!$B$6:$B$500, B1186)&gt;3, " + " &amp; IFERROR(INDEX('SAÍDA DE VENDAS'!$H$6:$H$500 &amp; "x " &amp; 'SAÍDA DE VENDAS'!$G$6:$G$500, MATCH(B1186, 'SAÍDA DE VENDAS'!$B$6:$B$500, 0)+3), ""), "")&amp; IF(COUNTIF('SAÍDA DE VENDAS'!$B$6:$B$500, B1186)&gt;4, " + " &amp; IFERROR(INDEX('SAÍDA DE VENDAS'!$H$6:$H$500 &amp; "x " &amp; 'SAÍDA DE VENDAS'!$G$6:$G$500, MATCH(B1186, 'SAÍDA DE VENDAS'!$B$6:$B$500, 0)+4), ""), "")&amp; IF(COUNTIF('SAÍDA DE VENDAS'!$B$6:$B$500, B1186)&gt;5, " + " &amp; IFERROR(INDEX('SAÍDA DE VENDAS'!$H$6:$H$500 &amp; "x " &amp; 'SAÍDA DE VENDAS'!$G$6:$G$500, MATCH(B1186, 'SAÍDA DE VENDAS'!$B$6:$B$500, 0)+5), ""), ""))</f>
        <v/>
      </c>
      <c r="G1186" s="28">
        <f>IFERROR(VLOOKUP(B1186,'SAÍDA DE VENDAS'!$B$6:$P$500,10,FALSE),"")</f>
        <v>0</v>
      </c>
      <c r="H1186" s="28" t="str">
        <f>IF(OR(ISBLANK(B1186),B1186=""), "", IF(B1186=B1185, (VALUE(LEFT(H1185,FIND("/",H1185)-1))+1)&amp;"/"&amp;RIGHT(H1185,LEN(H1185)-FIND("/",H1185)), "1/"&amp;IFERROR(VLOOKUP(B1186,'SAÍDA DE VENDAS'!$B$6:$P$500,13,FALSE),"1")))</f>
        <v/>
      </c>
      <c r="I1186" s="69" t="str">
        <f t="shared" si="36"/>
        <v/>
      </c>
      <c r="J1186" s="33" t="str">
        <f>IFERROR(VLOOKUP(B1186,'SAÍDA DE VENDAS'!$B$6:$P$500,15,FALSE),"")</f>
        <v/>
      </c>
      <c r="K1186" s="28" t="str">
        <f t="shared" ca="1" si="37"/>
        <v/>
      </c>
      <c r="L1186" s="28"/>
      <c r="M1186" s="28"/>
    </row>
    <row r="1187" spans="2:13" ht="15" customHeight="1" x14ac:dyDescent="0.3">
      <c r="B1187" s="34" t="str">
        <f>IF(B1186="","", IF(VALUE(LEFT(H1186,FIND("/",H1186)-1)) &lt; VALUE(RIGHT(H1186,LEN(H1186)-FIND("/",H1186))), B1186, IFERROR(INDEX('SAÍDA DE VENDAS'!$B$6:$B$500, MATCH(B1186,'SAÍDA DE VENDAS'!$B$6:$B$500,0)+COUNTIF('SAÍDA DE VENDAS'!$B$6:$B$500, B1186)),"")))</f>
        <v/>
      </c>
      <c r="C1187" s="35">
        <f>IFERROR(VLOOKUP(B1187,'SAÍDA DE VENDAS'!$B$6:$P$500,3,FALSE),"")</f>
        <v>0</v>
      </c>
      <c r="D1187" s="34">
        <f>IFERROR(VLOOKUP(B1187,'SAÍDA DE VENDAS'!$B$6:$P$500,4,FALSE),"")</f>
        <v>0</v>
      </c>
      <c r="E1187" s="34" t="str">
        <f>IFERROR(VLOOKUP(B1187,'SAÍDA DE VENDAS'!$B$6:$P$500,5,FALSE),"")</f>
        <v/>
      </c>
      <c r="F1187" s="34" t="str">
        <f>IF(OR(ISBLANK(B1187),B1187=""), "", IFERROR(INDEX('SAÍDA DE VENDAS'!$H$6:$H$500 &amp; "x " &amp; 'SAÍDA DE VENDAS'!$G$6:$G$500, MATCH(B1187, 'SAÍDA DE VENDAS'!$B$6:$B$500, 0)), "")&amp; IF(COUNTIF('SAÍDA DE VENDAS'!$B$6:$B$500, B1187)&gt;1, " + " &amp; IFERROR(INDEX('SAÍDA DE VENDAS'!$H$6:$H$500 &amp; "x " &amp; 'SAÍDA DE VENDAS'!$G$6:$G$500, MATCH(B1187, 'SAÍDA DE VENDAS'!$B$6:$B$500, 0)+1), ""), "")&amp; IF(COUNTIF('SAÍDA DE VENDAS'!$B$6:$B$500, B1187)&gt;2, " + " &amp; IFERROR(INDEX('SAÍDA DE VENDAS'!$H$6:$H$500 &amp; "x " &amp; 'SAÍDA DE VENDAS'!$G$6:$G$500, MATCH(B1187, 'SAÍDA DE VENDAS'!$B$6:$B$500, 0)+2), ""), "")&amp; IF(COUNTIF('SAÍDA DE VENDAS'!$B$6:$B$500, B1187)&gt;3, " + " &amp; IFERROR(INDEX('SAÍDA DE VENDAS'!$H$6:$H$500 &amp; "x " &amp; 'SAÍDA DE VENDAS'!$G$6:$G$500, MATCH(B1187, 'SAÍDA DE VENDAS'!$B$6:$B$500, 0)+3), ""), "")&amp; IF(COUNTIF('SAÍDA DE VENDAS'!$B$6:$B$500, B1187)&gt;4, " + " &amp; IFERROR(INDEX('SAÍDA DE VENDAS'!$H$6:$H$500 &amp; "x " &amp; 'SAÍDA DE VENDAS'!$G$6:$G$500, MATCH(B1187, 'SAÍDA DE VENDAS'!$B$6:$B$500, 0)+4), ""), "")&amp; IF(COUNTIF('SAÍDA DE VENDAS'!$B$6:$B$500, B1187)&gt;5, " + " &amp; IFERROR(INDEX('SAÍDA DE VENDAS'!$H$6:$H$500 &amp; "x " &amp; 'SAÍDA DE VENDAS'!$G$6:$G$500, MATCH(B1187, 'SAÍDA DE VENDAS'!$B$6:$B$500, 0)+5), ""), ""))</f>
        <v/>
      </c>
      <c r="G1187" s="34">
        <f>IFERROR(VLOOKUP(B1187,'SAÍDA DE VENDAS'!$B$6:$P$500,10,FALSE),"")</f>
        <v>0</v>
      </c>
      <c r="H1187" s="34" t="str">
        <f>IF(OR(ISBLANK(B1187),B1187=""), "", IF(B1187=B1186, (VALUE(LEFT(H1186,FIND("/",H1186)-1))+1)&amp;"/"&amp;RIGHT(H1186,LEN(H1186)-FIND("/",H1186)), "1/"&amp;IFERROR(VLOOKUP(B1187,'SAÍDA DE VENDAS'!$B$6:$P$500,13,FALSE),"1")))</f>
        <v/>
      </c>
      <c r="I1187" s="35" t="str">
        <f t="shared" si="36"/>
        <v/>
      </c>
      <c r="J1187" s="39" t="str">
        <f>IFERROR(VLOOKUP(B1187,'SAÍDA DE VENDAS'!$B$6:$P$500,15,FALSE),"")</f>
        <v/>
      </c>
      <c r="K1187" s="34" t="str">
        <f t="shared" ca="1" si="37"/>
        <v/>
      </c>
      <c r="L1187" s="34"/>
      <c r="M1187" s="34"/>
    </row>
    <row r="1188" spans="2:13" ht="15" customHeight="1" x14ac:dyDescent="0.3">
      <c r="B1188" s="28" t="str">
        <f>IF(B1187="","", IF(VALUE(LEFT(H1187,FIND("/",H1187)-1)) &lt; VALUE(RIGHT(H1187,LEN(H1187)-FIND("/",H1187))), B1187, IFERROR(INDEX('SAÍDA DE VENDAS'!$B$6:$B$500, MATCH(B1187,'SAÍDA DE VENDAS'!$B$6:$B$500,0)+COUNTIF('SAÍDA DE VENDAS'!$B$6:$B$500, B1187)),"")))</f>
        <v/>
      </c>
      <c r="C1188" s="29">
        <f>IFERROR(VLOOKUP(B1188,'SAÍDA DE VENDAS'!$B$6:$P$500,3,FALSE),"")</f>
        <v>0</v>
      </c>
      <c r="D1188" s="28">
        <f>IFERROR(VLOOKUP(B1188,'SAÍDA DE VENDAS'!$B$6:$P$500,4,FALSE),"")</f>
        <v>0</v>
      </c>
      <c r="E1188" s="28" t="str">
        <f>IFERROR(VLOOKUP(B1188,'SAÍDA DE VENDAS'!$B$6:$P$500,5,FALSE),"")</f>
        <v/>
      </c>
      <c r="F1188" s="28" t="str">
        <f>IF(OR(ISBLANK(B1188),B1188=""), "", IFERROR(INDEX('SAÍDA DE VENDAS'!$H$6:$H$500 &amp; "x " &amp; 'SAÍDA DE VENDAS'!$G$6:$G$500, MATCH(B1188, 'SAÍDA DE VENDAS'!$B$6:$B$500, 0)), "")&amp; IF(COUNTIF('SAÍDA DE VENDAS'!$B$6:$B$500, B1188)&gt;1, " + " &amp; IFERROR(INDEX('SAÍDA DE VENDAS'!$H$6:$H$500 &amp; "x " &amp; 'SAÍDA DE VENDAS'!$G$6:$G$500, MATCH(B1188, 'SAÍDA DE VENDAS'!$B$6:$B$500, 0)+1), ""), "")&amp; IF(COUNTIF('SAÍDA DE VENDAS'!$B$6:$B$500, B1188)&gt;2, " + " &amp; IFERROR(INDEX('SAÍDA DE VENDAS'!$H$6:$H$500 &amp; "x " &amp; 'SAÍDA DE VENDAS'!$G$6:$G$500, MATCH(B1188, 'SAÍDA DE VENDAS'!$B$6:$B$500, 0)+2), ""), "")&amp; IF(COUNTIF('SAÍDA DE VENDAS'!$B$6:$B$500, B1188)&gt;3, " + " &amp; IFERROR(INDEX('SAÍDA DE VENDAS'!$H$6:$H$500 &amp; "x " &amp; 'SAÍDA DE VENDAS'!$G$6:$G$500, MATCH(B1188, 'SAÍDA DE VENDAS'!$B$6:$B$500, 0)+3), ""), "")&amp; IF(COUNTIF('SAÍDA DE VENDAS'!$B$6:$B$500, B1188)&gt;4, " + " &amp; IFERROR(INDEX('SAÍDA DE VENDAS'!$H$6:$H$500 &amp; "x " &amp; 'SAÍDA DE VENDAS'!$G$6:$G$500, MATCH(B1188, 'SAÍDA DE VENDAS'!$B$6:$B$500, 0)+4), ""), "")&amp; IF(COUNTIF('SAÍDA DE VENDAS'!$B$6:$B$500, B1188)&gt;5, " + " &amp; IFERROR(INDEX('SAÍDA DE VENDAS'!$H$6:$H$500 &amp; "x " &amp; 'SAÍDA DE VENDAS'!$G$6:$G$500, MATCH(B1188, 'SAÍDA DE VENDAS'!$B$6:$B$500, 0)+5), ""), ""))</f>
        <v/>
      </c>
      <c r="G1188" s="28">
        <f>IFERROR(VLOOKUP(B1188,'SAÍDA DE VENDAS'!$B$6:$P$500,10,FALSE),"")</f>
        <v>0</v>
      </c>
      <c r="H1188" s="28" t="str">
        <f>IF(OR(ISBLANK(B1188),B1188=""), "", IF(B1188=B1187, (VALUE(LEFT(H1187,FIND("/",H1187)-1))+1)&amp;"/"&amp;RIGHT(H1187,LEN(H1187)-FIND("/",H1187)), "1/"&amp;IFERROR(VLOOKUP(B1188,'SAÍDA DE VENDAS'!$B$6:$P$500,13,FALSE),"1")))</f>
        <v/>
      </c>
      <c r="I1188" s="69" t="str">
        <f t="shared" si="36"/>
        <v/>
      </c>
      <c r="J1188" s="33" t="str">
        <f>IFERROR(VLOOKUP(B1188,'SAÍDA DE VENDAS'!$B$6:$P$500,15,FALSE),"")</f>
        <v/>
      </c>
      <c r="K1188" s="28" t="str">
        <f t="shared" ca="1" si="37"/>
        <v/>
      </c>
      <c r="L1188" s="28"/>
      <c r="M1188" s="28"/>
    </row>
    <row r="1189" spans="2:13" ht="15" customHeight="1" x14ac:dyDescent="0.3">
      <c r="B1189" s="34" t="str">
        <f>IF(B1188="","", IF(VALUE(LEFT(H1188,FIND("/",H1188)-1)) &lt; VALUE(RIGHT(H1188,LEN(H1188)-FIND("/",H1188))), B1188, IFERROR(INDEX('SAÍDA DE VENDAS'!$B$6:$B$500, MATCH(B1188,'SAÍDA DE VENDAS'!$B$6:$B$500,0)+COUNTIF('SAÍDA DE VENDAS'!$B$6:$B$500, B1188)),"")))</f>
        <v/>
      </c>
      <c r="C1189" s="35">
        <f>IFERROR(VLOOKUP(B1189,'SAÍDA DE VENDAS'!$B$6:$P$500,3,FALSE),"")</f>
        <v>0</v>
      </c>
      <c r="D1189" s="34">
        <f>IFERROR(VLOOKUP(B1189,'SAÍDA DE VENDAS'!$B$6:$P$500,4,FALSE),"")</f>
        <v>0</v>
      </c>
      <c r="E1189" s="34" t="str">
        <f>IFERROR(VLOOKUP(B1189,'SAÍDA DE VENDAS'!$B$6:$P$500,5,FALSE),"")</f>
        <v/>
      </c>
      <c r="F1189" s="34" t="str">
        <f>IF(OR(ISBLANK(B1189),B1189=""), "", IFERROR(INDEX('SAÍDA DE VENDAS'!$H$6:$H$500 &amp; "x " &amp; 'SAÍDA DE VENDAS'!$G$6:$G$500, MATCH(B1189, 'SAÍDA DE VENDAS'!$B$6:$B$500, 0)), "")&amp; IF(COUNTIF('SAÍDA DE VENDAS'!$B$6:$B$500, B1189)&gt;1, " + " &amp; IFERROR(INDEX('SAÍDA DE VENDAS'!$H$6:$H$500 &amp; "x " &amp; 'SAÍDA DE VENDAS'!$G$6:$G$500, MATCH(B1189, 'SAÍDA DE VENDAS'!$B$6:$B$500, 0)+1), ""), "")&amp; IF(COUNTIF('SAÍDA DE VENDAS'!$B$6:$B$500, B1189)&gt;2, " + " &amp; IFERROR(INDEX('SAÍDA DE VENDAS'!$H$6:$H$500 &amp; "x " &amp; 'SAÍDA DE VENDAS'!$G$6:$G$500, MATCH(B1189, 'SAÍDA DE VENDAS'!$B$6:$B$500, 0)+2), ""), "")&amp; IF(COUNTIF('SAÍDA DE VENDAS'!$B$6:$B$500, B1189)&gt;3, " + " &amp; IFERROR(INDEX('SAÍDA DE VENDAS'!$H$6:$H$500 &amp; "x " &amp; 'SAÍDA DE VENDAS'!$G$6:$G$500, MATCH(B1189, 'SAÍDA DE VENDAS'!$B$6:$B$500, 0)+3), ""), "")&amp; IF(COUNTIF('SAÍDA DE VENDAS'!$B$6:$B$500, B1189)&gt;4, " + " &amp; IFERROR(INDEX('SAÍDA DE VENDAS'!$H$6:$H$500 &amp; "x " &amp; 'SAÍDA DE VENDAS'!$G$6:$G$500, MATCH(B1189, 'SAÍDA DE VENDAS'!$B$6:$B$500, 0)+4), ""), "")&amp; IF(COUNTIF('SAÍDA DE VENDAS'!$B$6:$B$500, B1189)&gt;5, " + " &amp; IFERROR(INDEX('SAÍDA DE VENDAS'!$H$6:$H$500 &amp; "x " &amp; 'SAÍDA DE VENDAS'!$G$6:$G$500, MATCH(B1189, 'SAÍDA DE VENDAS'!$B$6:$B$500, 0)+5), ""), ""))</f>
        <v/>
      </c>
      <c r="G1189" s="34">
        <f>IFERROR(VLOOKUP(B1189,'SAÍDA DE VENDAS'!$B$6:$P$500,10,FALSE),"")</f>
        <v>0</v>
      </c>
      <c r="H1189" s="34" t="str">
        <f>IF(OR(ISBLANK(B1189),B1189=""), "", IF(B1189=B1188, (VALUE(LEFT(H1188,FIND("/",H1188)-1))+1)&amp;"/"&amp;RIGHT(H1188,LEN(H1188)-FIND("/",H1188)), "1/"&amp;IFERROR(VLOOKUP(B1189,'SAÍDA DE VENDAS'!$B$6:$P$500,13,FALSE),"1")))</f>
        <v/>
      </c>
      <c r="I1189" s="35" t="str">
        <f t="shared" si="36"/>
        <v/>
      </c>
      <c r="J1189" s="39" t="str">
        <f>IFERROR(VLOOKUP(B1189,'SAÍDA DE VENDAS'!$B$6:$P$500,15,FALSE),"")</f>
        <v/>
      </c>
      <c r="K1189" s="34" t="str">
        <f t="shared" ca="1" si="37"/>
        <v/>
      </c>
      <c r="L1189" s="34"/>
      <c r="M1189" s="34"/>
    </row>
    <row r="1190" spans="2:13" ht="15" customHeight="1" x14ac:dyDescent="0.3">
      <c r="B1190" s="28" t="str">
        <f>IF(B1189="","", IF(VALUE(LEFT(H1189,FIND("/",H1189)-1)) &lt; VALUE(RIGHT(H1189,LEN(H1189)-FIND("/",H1189))), B1189, IFERROR(INDEX('SAÍDA DE VENDAS'!$B$6:$B$500, MATCH(B1189,'SAÍDA DE VENDAS'!$B$6:$B$500,0)+COUNTIF('SAÍDA DE VENDAS'!$B$6:$B$500, B1189)),"")))</f>
        <v/>
      </c>
      <c r="C1190" s="29">
        <f>IFERROR(VLOOKUP(B1190,'SAÍDA DE VENDAS'!$B$6:$P$500,3,FALSE),"")</f>
        <v>0</v>
      </c>
      <c r="D1190" s="28">
        <f>IFERROR(VLOOKUP(B1190,'SAÍDA DE VENDAS'!$B$6:$P$500,4,FALSE),"")</f>
        <v>0</v>
      </c>
      <c r="E1190" s="28" t="str">
        <f>IFERROR(VLOOKUP(B1190,'SAÍDA DE VENDAS'!$B$6:$P$500,5,FALSE),"")</f>
        <v/>
      </c>
      <c r="F1190" s="28" t="str">
        <f>IF(OR(ISBLANK(B1190),B1190=""), "", IFERROR(INDEX('SAÍDA DE VENDAS'!$H$6:$H$500 &amp; "x " &amp; 'SAÍDA DE VENDAS'!$G$6:$G$500, MATCH(B1190, 'SAÍDA DE VENDAS'!$B$6:$B$500, 0)), "")&amp; IF(COUNTIF('SAÍDA DE VENDAS'!$B$6:$B$500, B1190)&gt;1, " + " &amp; IFERROR(INDEX('SAÍDA DE VENDAS'!$H$6:$H$500 &amp; "x " &amp; 'SAÍDA DE VENDAS'!$G$6:$G$500, MATCH(B1190, 'SAÍDA DE VENDAS'!$B$6:$B$500, 0)+1), ""), "")&amp; IF(COUNTIF('SAÍDA DE VENDAS'!$B$6:$B$500, B1190)&gt;2, " + " &amp; IFERROR(INDEX('SAÍDA DE VENDAS'!$H$6:$H$500 &amp; "x " &amp; 'SAÍDA DE VENDAS'!$G$6:$G$500, MATCH(B1190, 'SAÍDA DE VENDAS'!$B$6:$B$500, 0)+2), ""), "")&amp; IF(COUNTIF('SAÍDA DE VENDAS'!$B$6:$B$500, B1190)&gt;3, " + " &amp; IFERROR(INDEX('SAÍDA DE VENDAS'!$H$6:$H$500 &amp; "x " &amp; 'SAÍDA DE VENDAS'!$G$6:$G$500, MATCH(B1190, 'SAÍDA DE VENDAS'!$B$6:$B$500, 0)+3), ""), "")&amp; IF(COUNTIF('SAÍDA DE VENDAS'!$B$6:$B$500, B1190)&gt;4, " + " &amp; IFERROR(INDEX('SAÍDA DE VENDAS'!$H$6:$H$500 &amp; "x " &amp; 'SAÍDA DE VENDAS'!$G$6:$G$500, MATCH(B1190, 'SAÍDA DE VENDAS'!$B$6:$B$500, 0)+4), ""), "")&amp; IF(COUNTIF('SAÍDA DE VENDAS'!$B$6:$B$500, B1190)&gt;5, " + " &amp; IFERROR(INDEX('SAÍDA DE VENDAS'!$H$6:$H$500 &amp; "x " &amp; 'SAÍDA DE VENDAS'!$G$6:$G$500, MATCH(B1190, 'SAÍDA DE VENDAS'!$B$6:$B$500, 0)+5), ""), ""))</f>
        <v/>
      </c>
      <c r="G1190" s="28">
        <f>IFERROR(VLOOKUP(B1190,'SAÍDA DE VENDAS'!$B$6:$P$500,10,FALSE),"")</f>
        <v>0</v>
      </c>
      <c r="H1190" s="28" t="str">
        <f>IF(OR(ISBLANK(B1190),B1190=""), "", IF(B1190=B1189, (VALUE(LEFT(H1189,FIND("/",H1189)-1))+1)&amp;"/"&amp;RIGHT(H1189,LEN(H1189)-FIND("/",H1189)), "1/"&amp;IFERROR(VLOOKUP(B1190,'SAÍDA DE VENDAS'!$B$6:$P$500,13,FALSE),"1")))</f>
        <v/>
      </c>
      <c r="I1190" s="69" t="str">
        <f t="shared" si="36"/>
        <v/>
      </c>
      <c r="J1190" s="33" t="str">
        <f>IFERROR(VLOOKUP(B1190,'SAÍDA DE VENDAS'!$B$6:$P$500,15,FALSE),"")</f>
        <v/>
      </c>
      <c r="K1190" s="28" t="str">
        <f t="shared" ca="1" si="37"/>
        <v/>
      </c>
      <c r="L1190" s="28"/>
      <c r="M1190" s="28"/>
    </row>
    <row r="1191" spans="2:13" ht="15" customHeight="1" x14ac:dyDescent="0.3">
      <c r="B1191" s="34" t="str">
        <f>IF(B1190="","", IF(VALUE(LEFT(H1190,FIND("/",H1190)-1)) &lt; VALUE(RIGHT(H1190,LEN(H1190)-FIND("/",H1190))), B1190, IFERROR(INDEX('SAÍDA DE VENDAS'!$B$6:$B$500, MATCH(B1190,'SAÍDA DE VENDAS'!$B$6:$B$500,0)+COUNTIF('SAÍDA DE VENDAS'!$B$6:$B$500, B1190)),"")))</f>
        <v/>
      </c>
      <c r="C1191" s="35">
        <f>IFERROR(VLOOKUP(B1191,'SAÍDA DE VENDAS'!$B$6:$P$500,3,FALSE),"")</f>
        <v>0</v>
      </c>
      <c r="D1191" s="34">
        <f>IFERROR(VLOOKUP(B1191,'SAÍDA DE VENDAS'!$B$6:$P$500,4,FALSE),"")</f>
        <v>0</v>
      </c>
      <c r="E1191" s="34" t="str">
        <f>IFERROR(VLOOKUP(B1191,'SAÍDA DE VENDAS'!$B$6:$P$500,5,FALSE),"")</f>
        <v/>
      </c>
      <c r="F1191" s="34" t="str">
        <f>IF(OR(ISBLANK(B1191),B1191=""), "", IFERROR(INDEX('SAÍDA DE VENDAS'!$H$6:$H$500 &amp; "x " &amp; 'SAÍDA DE VENDAS'!$G$6:$G$500, MATCH(B1191, 'SAÍDA DE VENDAS'!$B$6:$B$500, 0)), "")&amp; IF(COUNTIF('SAÍDA DE VENDAS'!$B$6:$B$500, B1191)&gt;1, " + " &amp; IFERROR(INDEX('SAÍDA DE VENDAS'!$H$6:$H$500 &amp; "x " &amp; 'SAÍDA DE VENDAS'!$G$6:$G$500, MATCH(B1191, 'SAÍDA DE VENDAS'!$B$6:$B$500, 0)+1), ""), "")&amp; IF(COUNTIF('SAÍDA DE VENDAS'!$B$6:$B$500, B1191)&gt;2, " + " &amp; IFERROR(INDEX('SAÍDA DE VENDAS'!$H$6:$H$500 &amp; "x " &amp; 'SAÍDA DE VENDAS'!$G$6:$G$500, MATCH(B1191, 'SAÍDA DE VENDAS'!$B$6:$B$500, 0)+2), ""), "")&amp; IF(COUNTIF('SAÍDA DE VENDAS'!$B$6:$B$500, B1191)&gt;3, " + " &amp; IFERROR(INDEX('SAÍDA DE VENDAS'!$H$6:$H$500 &amp; "x " &amp; 'SAÍDA DE VENDAS'!$G$6:$G$500, MATCH(B1191, 'SAÍDA DE VENDAS'!$B$6:$B$500, 0)+3), ""), "")&amp; IF(COUNTIF('SAÍDA DE VENDAS'!$B$6:$B$500, B1191)&gt;4, " + " &amp; IFERROR(INDEX('SAÍDA DE VENDAS'!$H$6:$H$500 &amp; "x " &amp; 'SAÍDA DE VENDAS'!$G$6:$G$500, MATCH(B1191, 'SAÍDA DE VENDAS'!$B$6:$B$500, 0)+4), ""), "")&amp; IF(COUNTIF('SAÍDA DE VENDAS'!$B$6:$B$500, B1191)&gt;5, " + " &amp; IFERROR(INDEX('SAÍDA DE VENDAS'!$H$6:$H$500 &amp; "x " &amp; 'SAÍDA DE VENDAS'!$G$6:$G$500, MATCH(B1191, 'SAÍDA DE VENDAS'!$B$6:$B$500, 0)+5), ""), ""))</f>
        <v/>
      </c>
      <c r="G1191" s="34">
        <f>IFERROR(VLOOKUP(B1191,'SAÍDA DE VENDAS'!$B$6:$P$500,10,FALSE),"")</f>
        <v>0</v>
      </c>
      <c r="H1191" s="34" t="str">
        <f>IF(OR(ISBLANK(B1191),B1191=""), "", IF(B1191=B1190, (VALUE(LEFT(H1190,FIND("/",H1190)-1))+1)&amp;"/"&amp;RIGHT(H1190,LEN(H1190)-FIND("/",H1190)), "1/"&amp;IFERROR(VLOOKUP(B1191,'SAÍDA DE VENDAS'!$B$6:$P$500,13,FALSE),"1")))</f>
        <v/>
      </c>
      <c r="I1191" s="35" t="str">
        <f t="shared" si="36"/>
        <v/>
      </c>
      <c r="J1191" s="39" t="str">
        <f>IFERROR(VLOOKUP(B1191,'SAÍDA DE VENDAS'!$B$6:$P$500,15,FALSE),"")</f>
        <v/>
      </c>
      <c r="K1191" s="34" t="str">
        <f t="shared" ca="1" si="37"/>
        <v/>
      </c>
      <c r="L1191" s="34"/>
      <c r="M1191" s="34"/>
    </row>
    <row r="1192" spans="2:13" ht="15" customHeight="1" x14ac:dyDescent="0.3">
      <c r="B1192" s="28" t="str">
        <f>IF(B1191="","", IF(VALUE(LEFT(H1191,FIND("/",H1191)-1)) &lt; VALUE(RIGHT(H1191,LEN(H1191)-FIND("/",H1191))), B1191, IFERROR(INDEX('SAÍDA DE VENDAS'!$B$6:$B$500, MATCH(B1191,'SAÍDA DE VENDAS'!$B$6:$B$500,0)+COUNTIF('SAÍDA DE VENDAS'!$B$6:$B$500, B1191)),"")))</f>
        <v/>
      </c>
      <c r="C1192" s="29">
        <f>IFERROR(VLOOKUP(B1192,'SAÍDA DE VENDAS'!$B$6:$P$500,3,FALSE),"")</f>
        <v>0</v>
      </c>
      <c r="D1192" s="28">
        <f>IFERROR(VLOOKUP(B1192,'SAÍDA DE VENDAS'!$B$6:$P$500,4,FALSE),"")</f>
        <v>0</v>
      </c>
      <c r="E1192" s="28" t="str">
        <f>IFERROR(VLOOKUP(B1192,'SAÍDA DE VENDAS'!$B$6:$P$500,5,FALSE),"")</f>
        <v/>
      </c>
      <c r="F1192" s="28" t="str">
        <f>IF(OR(ISBLANK(B1192),B1192=""), "", IFERROR(INDEX('SAÍDA DE VENDAS'!$H$6:$H$500 &amp; "x " &amp; 'SAÍDA DE VENDAS'!$G$6:$G$500, MATCH(B1192, 'SAÍDA DE VENDAS'!$B$6:$B$500, 0)), "")&amp; IF(COUNTIF('SAÍDA DE VENDAS'!$B$6:$B$500, B1192)&gt;1, " + " &amp; IFERROR(INDEX('SAÍDA DE VENDAS'!$H$6:$H$500 &amp; "x " &amp; 'SAÍDA DE VENDAS'!$G$6:$G$500, MATCH(B1192, 'SAÍDA DE VENDAS'!$B$6:$B$500, 0)+1), ""), "")&amp; IF(COUNTIF('SAÍDA DE VENDAS'!$B$6:$B$500, B1192)&gt;2, " + " &amp; IFERROR(INDEX('SAÍDA DE VENDAS'!$H$6:$H$500 &amp; "x " &amp; 'SAÍDA DE VENDAS'!$G$6:$G$500, MATCH(B1192, 'SAÍDA DE VENDAS'!$B$6:$B$500, 0)+2), ""), "")&amp; IF(COUNTIF('SAÍDA DE VENDAS'!$B$6:$B$500, B1192)&gt;3, " + " &amp; IFERROR(INDEX('SAÍDA DE VENDAS'!$H$6:$H$500 &amp; "x " &amp; 'SAÍDA DE VENDAS'!$G$6:$G$500, MATCH(B1192, 'SAÍDA DE VENDAS'!$B$6:$B$500, 0)+3), ""), "")&amp; IF(COUNTIF('SAÍDA DE VENDAS'!$B$6:$B$500, B1192)&gt;4, " + " &amp; IFERROR(INDEX('SAÍDA DE VENDAS'!$H$6:$H$500 &amp; "x " &amp; 'SAÍDA DE VENDAS'!$G$6:$G$500, MATCH(B1192, 'SAÍDA DE VENDAS'!$B$6:$B$500, 0)+4), ""), "")&amp; IF(COUNTIF('SAÍDA DE VENDAS'!$B$6:$B$500, B1192)&gt;5, " + " &amp; IFERROR(INDEX('SAÍDA DE VENDAS'!$H$6:$H$500 &amp; "x " &amp; 'SAÍDA DE VENDAS'!$G$6:$G$500, MATCH(B1192, 'SAÍDA DE VENDAS'!$B$6:$B$500, 0)+5), ""), ""))</f>
        <v/>
      </c>
      <c r="G1192" s="28">
        <f>IFERROR(VLOOKUP(B1192,'SAÍDA DE VENDAS'!$B$6:$P$500,10,FALSE),"")</f>
        <v>0</v>
      </c>
      <c r="H1192" s="28" t="str">
        <f>IF(OR(ISBLANK(B1192),B1192=""), "", IF(B1192=B1191, (VALUE(LEFT(H1191,FIND("/",H1191)-1))+1)&amp;"/"&amp;RIGHT(H1191,LEN(H1191)-FIND("/",H1191)), "1/"&amp;IFERROR(VLOOKUP(B1192,'SAÍDA DE VENDAS'!$B$6:$P$500,13,FALSE),"1")))</f>
        <v/>
      </c>
      <c r="I1192" s="69" t="str">
        <f t="shared" si="36"/>
        <v/>
      </c>
      <c r="J1192" s="33" t="str">
        <f>IFERROR(VLOOKUP(B1192,'SAÍDA DE VENDAS'!$B$6:$P$500,15,FALSE),"")</f>
        <v/>
      </c>
      <c r="K1192" s="28" t="str">
        <f t="shared" ca="1" si="37"/>
        <v/>
      </c>
      <c r="L1192" s="28"/>
      <c r="M1192" s="28"/>
    </row>
    <row r="1193" spans="2:13" ht="15" customHeight="1" x14ac:dyDescent="0.3">
      <c r="B1193" s="34" t="str">
        <f>IF(B1192="","", IF(VALUE(LEFT(H1192,FIND("/",H1192)-1)) &lt; VALUE(RIGHT(H1192,LEN(H1192)-FIND("/",H1192))), B1192, IFERROR(INDEX('SAÍDA DE VENDAS'!$B$6:$B$500, MATCH(B1192,'SAÍDA DE VENDAS'!$B$6:$B$500,0)+COUNTIF('SAÍDA DE VENDAS'!$B$6:$B$500, B1192)),"")))</f>
        <v/>
      </c>
      <c r="C1193" s="35">
        <f>IFERROR(VLOOKUP(B1193,'SAÍDA DE VENDAS'!$B$6:$P$500,3,FALSE),"")</f>
        <v>0</v>
      </c>
      <c r="D1193" s="34">
        <f>IFERROR(VLOOKUP(B1193,'SAÍDA DE VENDAS'!$B$6:$P$500,4,FALSE),"")</f>
        <v>0</v>
      </c>
      <c r="E1193" s="34" t="str">
        <f>IFERROR(VLOOKUP(B1193,'SAÍDA DE VENDAS'!$B$6:$P$500,5,FALSE),"")</f>
        <v/>
      </c>
      <c r="F1193" s="34" t="str">
        <f>IF(OR(ISBLANK(B1193),B1193=""), "", IFERROR(INDEX('SAÍDA DE VENDAS'!$H$6:$H$500 &amp; "x " &amp; 'SAÍDA DE VENDAS'!$G$6:$G$500, MATCH(B1193, 'SAÍDA DE VENDAS'!$B$6:$B$500, 0)), "")&amp; IF(COUNTIF('SAÍDA DE VENDAS'!$B$6:$B$500, B1193)&gt;1, " + " &amp; IFERROR(INDEX('SAÍDA DE VENDAS'!$H$6:$H$500 &amp; "x " &amp; 'SAÍDA DE VENDAS'!$G$6:$G$500, MATCH(B1193, 'SAÍDA DE VENDAS'!$B$6:$B$500, 0)+1), ""), "")&amp; IF(COUNTIF('SAÍDA DE VENDAS'!$B$6:$B$500, B1193)&gt;2, " + " &amp; IFERROR(INDEX('SAÍDA DE VENDAS'!$H$6:$H$500 &amp; "x " &amp; 'SAÍDA DE VENDAS'!$G$6:$G$500, MATCH(B1193, 'SAÍDA DE VENDAS'!$B$6:$B$500, 0)+2), ""), "")&amp; IF(COUNTIF('SAÍDA DE VENDAS'!$B$6:$B$500, B1193)&gt;3, " + " &amp; IFERROR(INDEX('SAÍDA DE VENDAS'!$H$6:$H$500 &amp; "x " &amp; 'SAÍDA DE VENDAS'!$G$6:$G$500, MATCH(B1193, 'SAÍDA DE VENDAS'!$B$6:$B$500, 0)+3), ""), "")&amp; IF(COUNTIF('SAÍDA DE VENDAS'!$B$6:$B$500, B1193)&gt;4, " + " &amp; IFERROR(INDEX('SAÍDA DE VENDAS'!$H$6:$H$500 &amp; "x " &amp; 'SAÍDA DE VENDAS'!$G$6:$G$500, MATCH(B1193, 'SAÍDA DE VENDAS'!$B$6:$B$500, 0)+4), ""), "")&amp; IF(COUNTIF('SAÍDA DE VENDAS'!$B$6:$B$500, B1193)&gt;5, " + " &amp; IFERROR(INDEX('SAÍDA DE VENDAS'!$H$6:$H$500 &amp; "x " &amp; 'SAÍDA DE VENDAS'!$G$6:$G$500, MATCH(B1193, 'SAÍDA DE VENDAS'!$B$6:$B$500, 0)+5), ""), ""))</f>
        <v/>
      </c>
      <c r="G1193" s="34">
        <f>IFERROR(VLOOKUP(B1193,'SAÍDA DE VENDAS'!$B$6:$P$500,10,FALSE),"")</f>
        <v>0</v>
      </c>
      <c r="H1193" s="34" t="str">
        <f>IF(OR(ISBLANK(B1193),B1193=""), "", IF(B1193=B1192, (VALUE(LEFT(H1192,FIND("/",H1192)-1))+1)&amp;"/"&amp;RIGHT(H1192,LEN(H1192)-FIND("/",H1192)), "1/"&amp;IFERROR(VLOOKUP(B1193,'SAÍDA DE VENDAS'!$B$6:$P$500,13,FALSE),"1")))</f>
        <v/>
      </c>
      <c r="I1193" s="35" t="str">
        <f t="shared" si="36"/>
        <v/>
      </c>
      <c r="J1193" s="39" t="str">
        <f>IFERROR(VLOOKUP(B1193,'SAÍDA DE VENDAS'!$B$6:$P$500,15,FALSE),"")</f>
        <v/>
      </c>
      <c r="K1193" s="34" t="str">
        <f t="shared" ca="1" si="37"/>
        <v/>
      </c>
      <c r="L1193" s="34"/>
      <c r="M1193" s="34"/>
    </row>
    <row r="1194" spans="2:13" ht="15" customHeight="1" x14ac:dyDescent="0.3">
      <c r="B1194" s="28" t="str">
        <f>IF(B1193="","", IF(VALUE(LEFT(H1193,FIND("/",H1193)-1)) &lt; VALUE(RIGHT(H1193,LEN(H1193)-FIND("/",H1193))), B1193, IFERROR(INDEX('SAÍDA DE VENDAS'!$B$6:$B$500, MATCH(B1193,'SAÍDA DE VENDAS'!$B$6:$B$500,0)+COUNTIF('SAÍDA DE VENDAS'!$B$6:$B$500, B1193)),"")))</f>
        <v/>
      </c>
      <c r="C1194" s="29">
        <f>IFERROR(VLOOKUP(B1194,'SAÍDA DE VENDAS'!$B$6:$P$500,3,FALSE),"")</f>
        <v>0</v>
      </c>
      <c r="D1194" s="28">
        <f>IFERROR(VLOOKUP(B1194,'SAÍDA DE VENDAS'!$B$6:$P$500,4,FALSE),"")</f>
        <v>0</v>
      </c>
      <c r="E1194" s="28" t="str">
        <f>IFERROR(VLOOKUP(B1194,'SAÍDA DE VENDAS'!$B$6:$P$500,5,FALSE),"")</f>
        <v/>
      </c>
      <c r="F1194" s="28" t="str">
        <f>IF(OR(ISBLANK(B1194),B1194=""), "", IFERROR(INDEX('SAÍDA DE VENDAS'!$H$6:$H$500 &amp; "x " &amp; 'SAÍDA DE VENDAS'!$G$6:$G$500, MATCH(B1194, 'SAÍDA DE VENDAS'!$B$6:$B$500, 0)), "")&amp; IF(COUNTIF('SAÍDA DE VENDAS'!$B$6:$B$500, B1194)&gt;1, " + " &amp; IFERROR(INDEX('SAÍDA DE VENDAS'!$H$6:$H$500 &amp; "x " &amp; 'SAÍDA DE VENDAS'!$G$6:$G$500, MATCH(B1194, 'SAÍDA DE VENDAS'!$B$6:$B$500, 0)+1), ""), "")&amp; IF(COUNTIF('SAÍDA DE VENDAS'!$B$6:$B$500, B1194)&gt;2, " + " &amp; IFERROR(INDEX('SAÍDA DE VENDAS'!$H$6:$H$500 &amp; "x " &amp; 'SAÍDA DE VENDAS'!$G$6:$G$500, MATCH(B1194, 'SAÍDA DE VENDAS'!$B$6:$B$500, 0)+2), ""), "")&amp; IF(COUNTIF('SAÍDA DE VENDAS'!$B$6:$B$500, B1194)&gt;3, " + " &amp; IFERROR(INDEX('SAÍDA DE VENDAS'!$H$6:$H$500 &amp; "x " &amp; 'SAÍDA DE VENDAS'!$G$6:$G$500, MATCH(B1194, 'SAÍDA DE VENDAS'!$B$6:$B$500, 0)+3), ""), "")&amp; IF(COUNTIF('SAÍDA DE VENDAS'!$B$6:$B$500, B1194)&gt;4, " + " &amp; IFERROR(INDEX('SAÍDA DE VENDAS'!$H$6:$H$500 &amp; "x " &amp; 'SAÍDA DE VENDAS'!$G$6:$G$500, MATCH(B1194, 'SAÍDA DE VENDAS'!$B$6:$B$500, 0)+4), ""), "")&amp; IF(COUNTIF('SAÍDA DE VENDAS'!$B$6:$B$500, B1194)&gt;5, " + " &amp; IFERROR(INDEX('SAÍDA DE VENDAS'!$H$6:$H$500 &amp; "x " &amp; 'SAÍDA DE VENDAS'!$G$6:$G$500, MATCH(B1194, 'SAÍDA DE VENDAS'!$B$6:$B$500, 0)+5), ""), ""))</f>
        <v/>
      </c>
      <c r="G1194" s="28">
        <f>IFERROR(VLOOKUP(B1194,'SAÍDA DE VENDAS'!$B$6:$P$500,10,FALSE),"")</f>
        <v>0</v>
      </c>
      <c r="H1194" s="28" t="str">
        <f>IF(OR(ISBLANK(B1194),B1194=""), "", IF(B1194=B1193, (VALUE(LEFT(H1193,FIND("/",H1193)-1))+1)&amp;"/"&amp;RIGHT(H1193,LEN(H1193)-FIND("/",H1193)), "1/"&amp;IFERROR(VLOOKUP(B1194,'SAÍDA DE VENDAS'!$B$6:$P$500,13,FALSE),"1")))</f>
        <v/>
      </c>
      <c r="I1194" s="69" t="str">
        <f t="shared" si="36"/>
        <v/>
      </c>
      <c r="J1194" s="33" t="str">
        <f>IFERROR(VLOOKUP(B1194,'SAÍDA DE VENDAS'!$B$6:$P$500,15,FALSE),"")</f>
        <v/>
      </c>
      <c r="K1194" s="28" t="str">
        <f t="shared" ca="1" si="37"/>
        <v/>
      </c>
      <c r="L1194" s="28"/>
      <c r="M1194" s="28"/>
    </row>
    <row r="1195" spans="2:13" ht="15" customHeight="1" x14ac:dyDescent="0.3">
      <c r="B1195" s="34" t="str">
        <f>IF(B1194="","", IF(VALUE(LEFT(H1194,FIND("/",H1194)-1)) &lt; VALUE(RIGHT(H1194,LEN(H1194)-FIND("/",H1194))), B1194, IFERROR(INDEX('SAÍDA DE VENDAS'!$B$6:$B$500, MATCH(B1194,'SAÍDA DE VENDAS'!$B$6:$B$500,0)+COUNTIF('SAÍDA DE VENDAS'!$B$6:$B$500, B1194)),"")))</f>
        <v/>
      </c>
      <c r="C1195" s="35">
        <f>IFERROR(VLOOKUP(B1195,'SAÍDA DE VENDAS'!$B$6:$P$500,3,FALSE),"")</f>
        <v>0</v>
      </c>
      <c r="D1195" s="34">
        <f>IFERROR(VLOOKUP(B1195,'SAÍDA DE VENDAS'!$B$6:$P$500,4,FALSE),"")</f>
        <v>0</v>
      </c>
      <c r="E1195" s="34" t="str">
        <f>IFERROR(VLOOKUP(B1195,'SAÍDA DE VENDAS'!$B$6:$P$500,5,FALSE),"")</f>
        <v/>
      </c>
      <c r="F1195" s="34" t="str">
        <f>IF(OR(ISBLANK(B1195),B1195=""), "", IFERROR(INDEX('SAÍDA DE VENDAS'!$H$6:$H$500 &amp; "x " &amp; 'SAÍDA DE VENDAS'!$G$6:$G$500, MATCH(B1195, 'SAÍDA DE VENDAS'!$B$6:$B$500, 0)), "")&amp; IF(COUNTIF('SAÍDA DE VENDAS'!$B$6:$B$500, B1195)&gt;1, " + " &amp; IFERROR(INDEX('SAÍDA DE VENDAS'!$H$6:$H$500 &amp; "x " &amp; 'SAÍDA DE VENDAS'!$G$6:$G$500, MATCH(B1195, 'SAÍDA DE VENDAS'!$B$6:$B$500, 0)+1), ""), "")&amp; IF(COUNTIF('SAÍDA DE VENDAS'!$B$6:$B$500, B1195)&gt;2, " + " &amp; IFERROR(INDEX('SAÍDA DE VENDAS'!$H$6:$H$500 &amp; "x " &amp; 'SAÍDA DE VENDAS'!$G$6:$G$500, MATCH(B1195, 'SAÍDA DE VENDAS'!$B$6:$B$500, 0)+2), ""), "")&amp; IF(COUNTIF('SAÍDA DE VENDAS'!$B$6:$B$500, B1195)&gt;3, " + " &amp; IFERROR(INDEX('SAÍDA DE VENDAS'!$H$6:$H$500 &amp; "x " &amp; 'SAÍDA DE VENDAS'!$G$6:$G$500, MATCH(B1195, 'SAÍDA DE VENDAS'!$B$6:$B$500, 0)+3), ""), "")&amp; IF(COUNTIF('SAÍDA DE VENDAS'!$B$6:$B$500, B1195)&gt;4, " + " &amp; IFERROR(INDEX('SAÍDA DE VENDAS'!$H$6:$H$500 &amp; "x " &amp; 'SAÍDA DE VENDAS'!$G$6:$G$500, MATCH(B1195, 'SAÍDA DE VENDAS'!$B$6:$B$500, 0)+4), ""), "")&amp; IF(COUNTIF('SAÍDA DE VENDAS'!$B$6:$B$500, B1195)&gt;5, " + " &amp; IFERROR(INDEX('SAÍDA DE VENDAS'!$H$6:$H$500 &amp; "x " &amp; 'SAÍDA DE VENDAS'!$G$6:$G$500, MATCH(B1195, 'SAÍDA DE VENDAS'!$B$6:$B$500, 0)+5), ""), ""))</f>
        <v/>
      </c>
      <c r="G1195" s="34">
        <f>IFERROR(VLOOKUP(B1195,'SAÍDA DE VENDAS'!$B$6:$P$500,10,FALSE),"")</f>
        <v>0</v>
      </c>
      <c r="H1195" s="34" t="str">
        <f>IF(OR(ISBLANK(B1195),B1195=""), "", IF(B1195=B1194, (VALUE(LEFT(H1194,FIND("/",H1194)-1))+1)&amp;"/"&amp;RIGHT(H1194,LEN(H1194)-FIND("/",H1194)), "1/"&amp;IFERROR(VLOOKUP(B1195,'SAÍDA DE VENDAS'!$B$6:$P$500,13,FALSE),"1")))</f>
        <v/>
      </c>
      <c r="I1195" s="35" t="str">
        <f t="shared" si="36"/>
        <v/>
      </c>
      <c r="J1195" s="39" t="str">
        <f>IFERROR(VLOOKUP(B1195,'SAÍDA DE VENDAS'!$B$6:$P$500,15,FALSE),"")</f>
        <v/>
      </c>
      <c r="K1195" s="34" t="str">
        <f t="shared" ca="1" si="37"/>
        <v/>
      </c>
      <c r="L1195" s="34"/>
      <c r="M1195" s="34"/>
    </row>
    <row r="1196" spans="2:13" ht="15" customHeight="1" x14ac:dyDescent="0.3">
      <c r="B1196" s="28" t="str">
        <f>IF(B1195="","", IF(VALUE(LEFT(H1195,FIND("/",H1195)-1)) &lt; VALUE(RIGHT(H1195,LEN(H1195)-FIND("/",H1195))), B1195, IFERROR(INDEX('SAÍDA DE VENDAS'!$B$6:$B$500, MATCH(B1195,'SAÍDA DE VENDAS'!$B$6:$B$500,0)+COUNTIF('SAÍDA DE VENDAS'!$B$6:$B$500, B1195)),"")))</f>
        <v/>
      </c>
      <c r="C1196" s="29">
        <f>IFERROR(VLOOKUP(B1196,'SAÍDA DE VENDAS'!$B$6:$P$500,3,FALSE),"")</f>
        <v>0</v>
      </c>
      <c r="D1196" s="28">
        <f>IFERROR(VLOOKUP(B1196,'SAÍDA DE VENDAS'!$B$6:$P$500,4,FALSE),"")</f>
        <v>0</v>
      </c>
      <c r="E1196" s="28" t="str">
        <f>IFERROR(VLOOKUP(B1196,'SAÍDA DE VENDAS'!$B$6:$P$500,5,FALSE),"")</f>
        <v/>
      </c>
      <c r="F1196" s="28" t="str">
        <f>IF(OR(ISBLANK(B1196),B1196=""), "", IFERROR(INDEX('SAÍDA DE VENDAS'!$H$6:$H$500 &amp; "x " &amp; 'SAÍDA DE VENDAS'!$G$6:$G$500, MATCH(B1196, 'SAÍDA DE VENDAS'!$B$6:$B$500, 0)), "")&amp; IF(COUNTIF('SAÍDA DE VENDAS'!$B$6:$B$500, B1196)&gt;1, " + " &amp; IFERROR(INDEX('SAÍDA DE VENDAS'!$H$6:$H$500 &amp; "x " &amp; 'SAÍDA DE VENDAS'!$G$6:$G$500, MATCH(B1196, 'SAÍDA DE VENDAS'!$B$6:$B$500, 0)+1), ""), "")&amp; IF(COUNTIF('SAÍDA DE VENDAS'!$B$6:$B$500, B1196)&gt;2, " + " &amp; IFERROR(INDEX('SAÍDA DE VENDAS'!$H$6:$H$500 &amp; "x " &amp; 'SAÍDA DE VENDAS'!$G$6:$G$500, MATCH(B1196, 'SAÍDA DE VENDAS'!$B$6:$B$500, 0)+2), ""), "")&amp; IF(COUNTIF('SAÍDA DE VENDAS'!$B$6:$B$500, B1196)&gt;3, " + " &amp; IFERROR(INDEX('SAÍDA DE VENDAS'!$H$6:$H$500 &amp; "x " &amp; 'SAÍDA DE VENDAS'!$G$6:$G$500, MATCH(B1196, 'SAÍDA DE VENDAS'!$B$6:$B$500, 0)+3), ""), "")&amp; IF(COUNTIF('SAÍDA DE VENDAS'!$B$6:$B$500, B1196)&gt;4, " + " &amp; IFERROR(INDEX('SAÍDA DE VENDAS'!$H$6:$H$500 &amp; "x " &amp; 'SAÍDA DE VENDAS'!$G$6:$G$500, MATCH(B1196, 'SAÍDA DE VENDAS'!$B$6:$B$500, 0)+4), ""), "")&amp; IF(COUNTIF('SAÍDA DE VENDAS'!$B$6:$B$500, B1196)&gt;5, " + " &amp; IFERROR(INDEX('SAÍDA DE VENDAS'!$H$6:$H$500 &amp; "x " &amp; 'SAÍDA DE VENDAS'!$G$6:$G$500, MATCH(B1196, 'SAÍDA DE VENDAS'!$B$6:$B$500, 0)+5), ""), ""))</f>
        <v/>
      </c>
      <c r="G1196" s="28">
        <f>IFERROR(VLOOKUP(B1196,'SAÍDA DE VENDAS'!$B$6:$P$500,10,FALSE),"")</f>
        <v>0</v>
      </c>
      <c r="H1196" s="28" t="str">
        <f>IF(OR(ISBLANK(B1196),B1196=""), "", IF(B1196=B1195, (VALUE(LEFT(H1195,FIND("/",H1195)-1))+1)&amp;"/"&amp;RIGHT(H1195,LEN(H1195)-FIND("/",H1195)), "1/"&amp;IFERROR(VLOOKUP(B1196,'SAÍDA DE VENDAS'!$B$6:$P$500,13,FALSE),"1")))</f>
        <v/>
      </c>
      <c r="I1196" s="69" t="str">
        <f t="shared" si="36"/>
        <v/>
      </c>
      <c r="J1196" s="33" t="str">
        <f>IFERROR(VLOOKUP(B1196,'SAÍDA DE VENDAS'!$B$6:$P$500,15,FALSE),"")</f>
        <v/>
      </c>
      <c r="K1196" s="28" t="str">
        <f t="shared" ca="1" si="37"/>
        <v/>
      </c>
      <c r="L1196" s="28"/>
      <c r="M1196" s="28"/>
    </row>
    <row r="1197" spans="2:13" ht="15" customHeight="1" x14ac:dyDescent="0.3">
      <c r="B1197" s="34" t="str">
        <f>IF(B1196="","", IF(VALUE(LEFT(H1196,FIND("/",H1196)-1)) &lt; VALUE(RIGHT(H1196,LEN(H1196)-FIND("/",H1196))), B1196, IFERROR(INDEX('SAÍDA DE VENDAS'!$B$6:$B$500, MATCH(B1196,'SAÍDA DE VENDAS'!$B$6:$B$500,0)+COUNTIF('SAÍDA DE VENDAS'!$B$6:$B$500, B1196)),"")))</f>
        <v/>
      </c>
      <c r="C1197" s="35">
        <f>IFERROR(VLOOKUP(B1197,'SAÍDA DE VENDAS'!$B$6:$P$500,3,FALSE),"")</f>
        <v>0</v>
      </c>
      <c r="D1197" s="34">
        <f>IFERROR(VLOOKUP(B1197,'SAÍDA DE VENDAS'!$B$6:$P$500,4,FALSE),"")</f>
        <v>0</v>
      </c>
      <c r="E1197" s="34" t="str">
        <f>IFERROR(VLOOKUP(B1197,'SAÍDA DE VENDAS'!$B$6:$P$500,5,FALSE),"")</f>
        <v/>
      </c>
      <c r="F1197" s="34" t="str">
        <f>IF(OR(ISBLANK(B1197),B1197=""), "", IFERROR(INDEX('SAÍDA DE VENDAS'!$H$6:$H$500 &amp; "x " &amp; 'SAÍDA DE VENDAS'!$G$6:$G$500, MATCH(B1197, 'SAÍDA DE VENDAS'!$B$6:$B$500, 0)), "")&amp; IF(COUNTIF('SAÍDA DE VENDAS'!$B$6:$B$500, B1197)&gt;1, " + " &amp; IFERROR(INDEX('SAÍDA DE VENDAS'!$H$6:$H$500 &amp; "x " &amp; 'SAÍDA DE VENDAS'!$G$6:$G$500, MATCH(B1197, 'SAÍDA DE VENDAS'!$B$6:$B$500, 0)+1), ""), "")&amp; IF(COUNTIF('SAÍDA DE VENDAS'!$B$6:$B$500, B1197)&gt;2, " + " &amp; IFERROR(INDEX('SAÍDA DE VENDAS'!$H$6:$H$500 &amp; "x " &amp; 'SAÍDA DE VENDAS'!$G$6:$G$500, MATCH(B1197, 'SAÍDA DE VENDAS'!$B$6:$B$500, 0)+2), ""), "")&amp; IF(COUNTIF('SAÍDA DE VENDAS'!$B$6:$B$500, B1197)&gt;3, " + " &amp; IFERROR(INDEX('SAÍDA DE VENDAS'!$H$6:$H$500 &amp; "x " &amp; 'SAÍDA DE VENDAS'!$G$6:$G$500, MATCH(B1197, 'SAÍDA DE VENDAS'!$B$6:$B$500, 0)+3), ""), "")&amp; IF(COUNTIF('SAÍDA DE VENDAS'!$B$6:$B$500, B1197)&gt;4, " + " &amp; IFERROR(INDEX('SAÍDA DE VENDAS'!$H$6:$H$500 &amp; "x " &amp; 'SAÍDA DE VENDAS'!$G$6:$G$500, MATCH(B1197, 'SAÍDA DE VENDAS'!$B$6:$B$500, 0)+4), ""), "")&amp; IF(COUNTIF('SAÍDA DE VENDAS'!$B$6:$B$500, B1197)&gt;5, " + " &amp; IFERROR(INDEX('SAÍDA DE VENDAS'!$H$6:$H$500 &amp; "x " &amp; 'SAÍDA DE VENDAS'!$G$6:$G$500, MATCH(B1197, 'SAÍDA DE VENDAS'!$B$6:$B$500, 0)+5), ""), ""))</f>
        <v/>
      </c>
      <c r="G1197" s="34">
        <f>IFERROR(VLOOKUP(B1197,'SAÍDA DE VENDAS'!$B$6:$P$500,10,FALSE),"")</f>
        <v>0</v>
      </c>
      <c r="H1197" s="34" t="str">
        <f>IF(OR(ISBLANK(B1197),B1197=""), "", IF(B1197=B1196, (VALUE(LEFT(H1196,FIND("/",H1196)-1))+1)&amp;"/"&amp;RIGHT(H1196,LEN(H1196)-FIND("/",H1196)), "1/"&amp;IFERROR(VLOOKUP(B1197,'SAÍDA DE VENDAS'!$B$6:$P$500,13,FALSE),"1")))</f>
        <v/>
      </c>
      <c r="I1197" s="35" t="str">
        <f t="shared" si="36"/>
        <v/>
      </c>
      <c r="J1197" s="39" t="str">
        <f>IFERROR(VLOOKUP(B1197,'SAÍDA DE VENDAS'!$B$6:$P$500,15,FALSE),"")</f>
        <v/>
      </c>
      <c r="K1197" s="34" t="str">
        <f t="shared" ca="1" si="37"/>
        <v/>
      </c>
      <c r="L1197" s="34"/>
      <c r="M1197" s="34"/>
    </row>
    <row r="1198" spans="2:13" ht="15" customHeight="1" x14ac:dyDescent="0.3">
      <c r="B1198" s="28" t="str">
        <f>IF(B1197="","", IF(VALUE(LEFT(H1197,FIND("/",H1197)-1)) &lt; VALUE(RIGHT(H1197,LEN(H1197)-FIND("/",H1197))), B1197, IFERROR(INDEX('SAÍDA DE VENDAS'!$B$6:$B$500, MATCH(B1197,'SAÍDA DE VENDAS'!$B$6:$B$500,0)+COUNTIF('SAÍDA DE VENDAS'!$B$6:$B$500, B1197)),"")))</f>
        <v/>
      </c>
      <c r="C1198" s="29">
        <f>IFERROR(VLOOKUP(B1198,'SAÍDA DE VENDAS'!$B$6:$P$500,3,FALSE),"")</f>
        <v>0</v>
      </c>
      <c r="D1198" s="28">
        <f>IFERROR(VLOOKUP(B1198,'SAÍDA DE VENDAS'!$B$6:$P$500,4,FALSE),"")</f>
        <v>0</v>
      </c>
      <c r="E1198" s="28" t="str">
        <f>IFERROR(VLOOKUP(B1198,'SAÍDA DE VENDAS'!$B$6:$P$500,5,FALSE),"")</f>
        <v/>
      </c>
      <c r="F1198" s="28" t="str">
        <f>IF(OR(ISBLANK(B1198),B1198=""), "", IFERROR(INDEX('SAÍDA DE VENDAS'!$H$6:$H$500 &amp; "x " &amp; 'SAÍDA DE VENDAS'!$G$6:$G$500, MATCH(B1198, 'SAÍDA DE VENDAS'!$B$6:$B$500, 0)), "")&amp; IF(COUNTIF('SAÍDA DE VENDAS'!$B$6:$B$500, B1198)&gt;1, " + " &amp; IFERROR(INDEX('SAÍDA DE VENDAS'!$H$6:$H$500 &amp; "x " &amp; 'SAÍDA DE VENDAS'!$G$6:$G$500, MATCH(B1198, 'SAÍDA DE VENDAS'!$B$6:$B$500, 0)+1), ""), "")&amp; IF(COUNTIF('SAÍDA DE VENDAS'!$B$6:$B$500, B1198)&gt;2, " + " &amp; IFERROR(INDEX('SAÍDA DE VENDAS'!$H$6:$H$500 &amp; "x " &amp; 'SAÍDA DE VENDAS'!$G$6:$G$500, MATCH(B1198, 'SAÍDA DE VENDAS'!$B$6:$B$500, 0)+2), ""), "")&amp; IF(COUNTIF('SAÍDA DE VENDAS'!$B$6:$B$500, B1198)&gt;3, " + " &amp; IFERROR(INDEX('SAÍDA DE VENDAS'!$H$6:$H$500 &amp; "x " &amp; 'SAÍDA DE VENDAS'!$G$6:$G$500, MATCH(B1198, 'SAÍDA DE VENDAS'!$B$6:$B$500, 0)+3), ""), "")&amp; IF(COUNTIF('SAÍDA DE VENDAS'!$B$6:$B$500, B1198)&gt;4, " + " &amp; IFERROR(INDEX('SAÍDA DE VENDAS'!$H$6:$H$500 &amp; "x " &amp; 'SAÍDA DE VENDAS'!$G$6:$G$500, MATCH(B1198, 'SAÍDA DE VENDAS'!$B$6:$B$500, 0)+4), ""), "")&amp; IF(COUNTIF('SAÍDA DE VENDAS'!$B$6:$B$500, B1198)&gt;5, " + " &amp; IFERROR(INDEX('SAÍDA DE VENDAS'!$H$6:$H$500 &amp; "x " &amp; 'SAÍDA DE VENDAS'!$G$6:$G$500, MATCH(B1198, 'SAÍDA DE VENDAS'!$B$6:$B$500, 0)+5), ""), ""))</f>
        <v/>
      </c>
      <c r="G1198" s="28">
        <f>IFERROR(VLOOKUP(B1198,'SAÍDA DE VENDAS'!$B$6:$P$500,10,FALSE),"")</f>
        <v>0</v>
      </c>
      <c r="H1198" s="28" t="str">
        <f>IF(OR(ISBLANK(B1198),B1198=""), "", IF(B1198=B1197, (VALUE(LEFT(H1197,FIND("/",H1197)-1))+1)&amp;"/"&amp;RIGHT(H1197,LEN(H1197)-FIND("/",H1197)), "1/"&amp;IFERROR(VLOOKUP(B1198,'SAÍDA DE VENDAS'!$B$6:$P$500,13,FALSE),"1")))</f>
        <v/>
      </c>
      <c r="I1198" s="69" t="str">
        <f t="shared" si="36"/>
        <v/>
      </c>
      <c r="J1198" s="33" t="str">
        <f>IFERROR(VLOOKUP(B1198,'SAÍDA DE VENDAS'!$B$6:$P$500,15,FALSE),"")</f>
        <v/>
      </c>
      <c r="K1198" s="28" t="str">
        <f t="shared" ca="1" si="37"/>
        <v/>
      </c>
      <c r="L1198" s="28"/>
      <c r="M1198" s="28"/>
    </row>
    <row r="1199" spans="2:13" ht="15" customHeight="1" x14ac:dyDescent="0.3">
      <c r="B1199" s="34" t="str">
        <f>IF(B1198="","", IF(VALUE(LEFT(H1198,FIND("/",H1198)-1)) &lt; VALUE(RIGHT(H1198,LEN(H1198)-FIND("/",H1198))), B1198, IFERROR(INDEX('SAÍDA DE VENDAS'!$B$6:$B$500, MATCH(B1198,'SAÍDA DE VENDAS'!$B$6:$B$500,0)+COUNTIF('SAÍDA DE VENDAS'!$B$6:$B$500, B1198)),"")))</f>
        <v/>
      </c>
      <c r="C1199" s="35">
        <f>IFERROR(VLOOKUP(B1199,'SAÍDA DE VENDAS'!$B$6:$P$500,3,FALSE),"")</f>
        <v>0</v>
      </c>
      <c r="D1199" s="34">
        <f>IFERROR(VLOOKUP(B1199,'SAÍDA DE VENDAS'!$B$6:$P$500,4,FALSE),"")</f>
        <v>0</v>
      </c>
      <c r="E1199" s="34" t="str">
        <f>IFERROR(VLOOKUP(B1199,'SAÍDA DE VENDAS'!$B$6:$P$500,5,FALSE),"")</f>
        <v/>
      </c>
      <c r="F1199" s="34" t="str">
        <f>IF(OR(ISBLANK(B1199),B1199=""), "", IFERROR(INDEX('SAÍDA DE VENDAS'!$H$6:$H$500 &amp; "x " &amp; 'SAÍDA DE VENDAS'!$G$6:$G$500, MATCH(B1199, 'SAÍDA DE VENDAS'!$B$6:$B$500, 0)), "")&amp; IF(COUNTIF('SAÍDA DE VENDAS'!$B$6:$B$500, B1199)&gt;1, " + " &amp; IFERROR(INDEX('SAÍDA DE VENDAS'!$H$6:$H$500 &amp; "x " &amp; 'SAÍDA DE VENDAS'!$G$6:$G$500, MATCH(B1199, 'SAÍDA DE VENDAS'!$B$6:$B$500, 0)+1), ""), "")&amp; IF(COUNTIF('SAÍDA DE VENDAS'!$B$6:$B$500, B1199)&gt;2, " + " &amp; IFERROR(INDEX('SAÍDA DE VENDAS'!$H$6:$H$500 &amp; "x " &amp; 'SAÍDA DE VENDAS'!$G$6:$G$500, MATCH(B1199, 'SAÍDA DE VENDAS'!$B$6:$B$500, 0)+2), ""), "")&amp; IF(COUNTIF('SAÍDA DE VENDAS'!$B$6:$B$500, B1199)&gt;3, " + " &amp; IFERROR(INDEX('SAÍDA DE VENDAS'!$H$6:$H$500 &amp; "x " &amp; 'SAÍDA DE VENDAS'!$G$6:$G$500, MATCH(B1199, 'SAÍDA DE VENDAS'!$B$6:$B$500, 0)+3), ""), "")&amp; IF(COUNTIF('SAÍDA DE VENDAS'!$B$6:$B$500, B1199)&gt;4, " + " &amp; IFERROR(INDEX('SAÍDA DE VENDAS'!$H$6:$H$500 &amp; "x " &amp; 'SAÍDA DE VENDAS'!$G$6:$G$500, MATCH(B1199, 'SAÍDA DE VENDAS'!$B$6:$B$500, 0)+4), ""), "")&amp; IF(COUNTIF('SAÍDA DE VENDAS'!$B$6:$B$500, B1199)&gt;5, " + " &amp; IFERROR(INDEX('SAÍDA DE VENDAS'!$H$6:$H$500 &amp; "x " &amp; 'SAÍDA DE VENDAS'!$G$6:$G$500, MATCH(B1199, 'SAÍDA DE VENDAS'!$B$6:$B$500, 0)+5), ""), ""))</f>
        <v/>
      </c>
      <c r="G1199" s="34">
        <f>IFERROR(VLOOKUP(B1199,'SAÍDA DE VENDAS'!$B$6:$P$500,10,FALSE),"")</f>
        <v>0</v>
      </c>
      <c r="H1199" s="34" t="str">
        <f>IF(OR(ISBLANK(B1199),B1199=""), "", IF(B1199=B1198, (VALUE(LEFT(H1198,FIND("/",H1198)-1))+1)&amp;"/"&amp;RIGHT(H1198,LEN(H1198)-FIND("/",H1198)), "1/"&amp;IFERROR(VLOOKUP(B1199,'SAÍDA DE VENDAS'!$B$6:$P$500,13,FALSE),"1")))</f>
        <v/>
      </c>
      <c r="I1199" s="35" t="str">
        <f t="shared" si="36"/>
        <v/>
      </c>
      <c r="J1199" s="39" t="str">
        <f>IFERROR(VLOOKUP(B1199,'SAÍDA DE VENDAS'!$B$6:$P$500,15,FALSE),"")</f>
        <v/>
      </c>
      <c r="K1199" s="34" t="str">
        <f t="shared" ca="1" si="37"/>
        <v/>
      </c>
      <c r="L1199" s="34"/>
      <c r="M1199" s="34"/>
    </row>
    <row r="1200" spans="2:13" ht="15" customHeight="1" x14ac:dyDescent="0.3">
      <c r="B1200" s="28" t="str">
        <f>IF(B1199="","", IF(VALUE(LEFT(H1199,FIND("/",H1199)-1)) &lt; VALUE(RIGHT(H1199,LEN(H1199)-FIND("/",H1199))), B1199, IFERROR(INDEX('SAÍDA DE VENDAS'!$B$6:$B$500, MATCH(B1199,'SAÍDA DE VENDAS'!$B$6:$B$500,0)+COUNTIF('SAÍDA DE VENDAS'!$B$6:$B$500, B1199)),"")))</f>
        <v/>
      </c>
      <c r="C1200" s="29">
        <f>IFERROR(VLOOKUP(B1200,'SAÍDA DE VENDAS'!$B$6:$P$500,3,FALSE),"")</f>
        <v>0</v>
      </c>
      <c r="D1200" s="28">
        <f>IFERROR(VLOOKUP(B1200,'SAÍDA DE VENDAS'!$B$6:$P$500,4,FALSE),"")</f>
        <v>0</v>
      </c>
      <c r="E1200" s="28" t="str">
        <f>IFERROR(VLOOKUP(B1200,'SAÍDA DE VENDAS'!$B$6:$P$500,5,FALSE),"")</f>
        <v/>
      </c>
      <c r="F1200" s="28" t="str">
        <f>IF(OR(ISBLANK(B1200),B1200=""), "", IFERROR(INDEX('SAÍDA DE VENDAS'!$H$6:$H$500 &amp; "x " &amp; 'SAÍDA DE VENDAS'!$G$6:$G$500, MATCH(B1200, 'SAÍDA DE VENDAS'!$B$6:$B$500, 0)), "")&amp; IF(COUNTIF('SAÍDA DE VENDAS'!$B$6:$B$500, B1200)&gt;1, " + " &amp; IFERROR(INDEX('SAÍDA DE VENDAS'!$H$6:$H$500 &amp; "x " &amp; 'SAÍDA DE VENDAS'!$G$6:$G$500, MATCH(B1200, 'SAÍDA DE VENDAS'!$B$6:$B$500, 0)+1), ""), "")&amp; IF(COUNTIF('SAÍDA DE VENDAS'!$B$6:$B$500, B1200)&gt;2, " + " &amp; IFERROR(INDEX('SAÍDA DE VENDAS'!$H$6:$H$500 &amp; "x " &amp; 'SAÍDA DE VENDAS'!$G$6:$G$500, MATCH(B1200, 'SAÍDA DE VENDAS'!$B$6:$B$500, 0)+2), ""), "")&amp; IF(COUNTIF('SAÍDA DE VENDAS'!$B$6:$B$500, B1200)&gt;3, " + " &amp; IFERROR(INDEX('SAÍDA DE VENDAS'!$H$6:$H$500 &amp; "x " &amp; 'SAÍDA DE VENDAS'!$G$6:$G$500, MATCH(B1200, 'SAÍDA DE VENDAS'!$B$6:$B$500, 0)+3), ""), "")&amp; IF(COUNTIF('SAÍDA DE VENDAS'!$B$6:$B$500, B1200)&gt;4, " + " &amp; IFERROR(INDEX('SAÍDA DE VENDAS'!$H$6:$H$500 &amp; "x " &amp; 'SAÍDA DE VENDAS'!$G$6:$G$500, MATCH(B1200, 'SAÍDA DE VENDAS'!$B$6:$B$500, 0)+4), ""), "")&amp; IF(COUNTIF('SAÍDA DE VENDAS'!$B$6:$B$500, B1200)&gt;5, " + " &amp; IFERROR(INDEX('SAÍDA DE VENDAS'!$H$6:$H$500 &amp; "x " &amp; 'SAÍDA DE VENDAS'!$G$6:$G$500, MATCH(B1200, 'SAÍDA DE VENDAS'!$B$6:$B$500, 0)+5), ""), ""))</f>
        <v/>
      </c>
      <c r="G1200" s="28">
        <f>IFERROR(VLOOKUP(B1200,'SAÍDA DE VENDAS'!$B$6:$P$500,10,FALSE),"")</f>
        <v>0</v>
      </c>
      <c r="H1200" s="28" t="str">
        <f>IF(OR(ISBLANK(B1200),B1200=""), "", IF(B1200=B1199, (VALUE(LEFT(H1199,FIND("/",H1199)-1))+1)&amp;"/"&amp;RIGHT(H1199,LEN(H1199)-FIND("/",H1199)), "1/"&amp;IFERROR(VLOOKUP(B1200,'SAÍDA DE VENDAS'!$B$6:$P$500,13,FALSE),"1")))</f>
        <v/>
      </c>
      <c r="I1200" s="69" t="str">
        <f t="shared" si="36"/>
        <v/>
      </c>
      <c r="J1200" s="33" t="str">
        <f>IFERROR(VLOOKUP(B1200,'SAÍDA DE VENDAS'!$B$6:$P$500,15,FALSE),"")</f>
        <v/>
      </c>
      <c r="K1200" s="28" t="str">
        <f t="shared" ca="1" si="37"/>
        <v/>
      </c>
      <c r="L1200" s="28"/>
      <c r="M1200" s="28"/>
    </row>
    <row r="1201" spans="2:13" ht="15" customHeight="1" x14ac:dyDescent="0.3">
      <c r="B1201" s="34" t="str">
        <f>IF(B1200="","", IF(VALUE(LEFT(H1200,FIND("/",H1200)-1)) &lt; VALUE(RIGHT(H1200,LEN(H1200)-FIND("/",H1200))), B1200, IFERROR(INDEX('SAÍDA DE VENDAS'!$B$6:$B$500, MATCH(B1200,'SAÍDA DE VENDAS'!$B$6:$B$500,0)+COUNTIF('SAÍDA DE VENDAS'!$B$6:$B$500, B1200)),"")))</f>
        <v/>
      </c>
      <c r="C1201" s="35">
        <f>IFERROR(VLOOKUP(B1201,'SAÍDA DE VENDAS'!$B$6:$P$500,3,FALSE),"")</f>
        <v>0</v>
      </c>
      <c r="D1201" s="34">
        <f>IFERROR(VLOOKUP(B1201,'SAÍDA DE VENDAS'!$B$6:$P$500,4,FALSE),"")</f>
        <v>0</v>
      </c>
      <c r="E1201" s="34" t="str">
        <f>IFERROR(VLOOKUP(B1201,'SAÍDA DE VENDAS'!$B$6:$P$500,5,FALSE),"")</f>
        <v/>
      </c>
      <c r="F1201" s="34" t="str">
        <f>IF(OR(ISBLANK(B1201),B1201=""), "", IFERROR(INDEX('SAÍDA DE VENDAS'!$H$6:$H$500 &amp; "x " &amp; 'SAÍDA DE VENDAS'!$G$6:$G$500, MATCH(B1201, 'SAÍDA DE VENDAS'!$B$6:$B$500, 0)), "")&amp; IF(COUNTIF('SAÍDA DE VENDAS'!$B$6:$B$500, B1201)&gt;1, " + " &amp; IFERROR(INDEX('SAÍDA DE VENDAS'!$H$6:$H$500 &amp; "x " &amp; 'SAÍDA DE VENDAS'!$G$6:$G$500, MATCH(B1201, 'SAÍDA DE VENDAS'!$B$6:$B$500, 0)+1), ""), "")&amp; IF(COUNTIF('SAÍDA DE VENDAS'!$B$6:$B$500, B1201)&gt;2, " + " &amp; IFERROR(INDEX('SAÍDA DE VENDAS'!$H$6:$H$500 &amp; "x " &amp; 'SAÍDA DE VENDAS'!$G$6:$G$500, MATCH(B1201, 'SAÍDA DE VENDAS'!$B$6:$B$500, 0)+2), ""), "")&amp; IF(COUNTIF('SAÍDA DE VENDAS'!$B$6:$B$500, B1201)&gt;3, " + " &amp; IFERROR(INDEX('SAÍDA DE VENDAS'!$H$6:$H$500 &amp; "x " &amp; 'SAÍDA DE VENDAS'!$G$6:$G$500, MATCH(B1201, 'SAÍDA DE VENDAS'!$B$6:$B$500, 0)+3), ""), "")&amp; IF(COUNTIF('SAÍDA DE VENDAS'!$B$6:$B$500, B1201)&gt;4, " + " &amp; IFERROR(INDEX('SAÍDA DE VENDAS'!$H$6:$H$500 &amp; "x " &amp; 'SAÍDA DE VENDAS'!$G$6:$G$500, MATCH(B1201, 'SAÍDA DE VENDAS'!$B$6:$B$500, 0)+4), ""), "")&amp; IF(COUNTIF('SAÍDA DE VENDAS'!$B$6:$B$500, B1201)&gt;5, " + " &amp; IFERROR(INDEX('SAÍDA DE VENDAS'!$H$6:$H$500 &amp; "x " &amp; 'SAÍDA DE VENDAS'!$G$6:$G$500, MATCH(B1201, 'SAÍDA DE VENDAS'!$B$6:$B$500, 0)+5), ""), ""))</f>
        <v/>
      </c>
      <c r="G1201" s="34">
        <f>IFERROR(VLOOKUP(B1201,'SAÍDA DE VENDAS'!$B$6:$P$500,10,FALSE),"")</f>
        <v>0</v>
      </c>
      <c r="H1201" s="34" t="str">
        <f>IF(OR(ISBLANK(B1201),B1201=""), "", IF(B1201=B1200, (VALUE(LEFT(H1200,FIND("/",H1200)-1))+1)&amp;"/"&amp;RIGHT(H1200,LEN(H1200)-FIND("/",H1200)), "1/"&amp;IFERROR(VLOOKUP(B1201,'SAÍDA DE VENDAS'!$B$6:$P$500,13,FALSE),"1")))</f>
        <v/>
      </c>
      <c r="I1201" s="35" t="str">
        <f t="shared" si="36"/>
        <v/>
      </c>
      <c r="J1201" s="39" t="str">
        <f>IFERROR(VLOOKUP(B1201,'SAÍDA DE VENDAS'!$B$6:$P$500,15,FALSE),"")</f>
        <v/>
      </c>
      <c r="K1201" s="34" t="str">
        <f t="shared" ca="1" si="37"/>
        <v/>
      </c>
      <c r="L1201" s="34"/>
      <c r="M1201" s="34"/>
    </row>
    <row r="1202" spans="2:13" ht="15" customHeight="1" x14ac:dyDescent="0.3">
      <c r="B1202" s="28" t="str">
        <f>IF(B1201="","", IF(VALUE(LEFT(H1201,FIND("/",H1201)-1)) &lt; VALUE(RIGHT(H1201,LEN(H1201)-FIND("/",H1201))), B1201, IFERROR(INDEX('SAÍDA DE VENDAS'!$B$6:$B$500, MATCH(B1201,'SAÍDA DE VENDAS'!$B$6:$B$500,0)+COUNTIF('SAÍDA DE VENDAS'!$B$6:$B$500, B1201)),"")))</f>
        <v/>
      </c>
      <c r="C1202" s="29">
        <f>IFERROR(VLOOKUP(B1202,'SAÍDA DE VENDAS'!$B$6:$P$500,3,FALSE),"")</f>
        <v>0</v>
      </c>
      <c r="D1202" s="28">
        <f>IFERROR(VLOOKUP(B1202,'SAÍDA DE VENDAS'!$B$6:$P$500,4,FALSE),"")</f>
        <v>0</v>
      </c>
      <c r="E1202" s="28" t="str">
        <f>IFERROR(VLOOKUP(B1202,'SAÍDA DE VENDAS'!$B$6:$P$500,5,FALSE),"")</f>
        <v/>
      </c>
      <c r="F1202" s="28" t="str">
        <f>IF(OR(ISBLANK(B1202),B1202=""), "", IFERROR(INDEX('SAÍDA DE VENDAS'!$H$6:$H$500 &amp; "x " &amp; 'SAÍDA DE VENDAS'!$G$6:$G$500, MATCH(B1202, 'SAÍDA DE VENDAS'!$B$6:$B$500, 0)), "")&amp; IF(COUNTIF('SAÍDA DE VENDAS'!$B$6:$B$500, B1202)&gt;1, " + " &amp; IFERROR(INDEX('SAÍDA DE VENDAS'!$H$6:$H$500 &amp; "x " &amp; 'SAÍDA DE VENDAS'!$G$6:$G$500, MATCH(B1202, 'SAÍDA DE VENDAS'!$B$6:$B$500, 0)+1), ""), "")&amp; IF(COUNTIF('SAÍDA DE VENDAS'!$B$6:$B$500, B1202)&gt;2, " + " &amp; IFERROR(INDEX('SAÍDA DE VENDAS'!$H$6:$H$500 &amp; "x " &amp; 'SAÍDA DE VENDAS'!$G$6:$G$500, MATCH(B1202, 'SAÍDA DE VENDAS'!$B$6:$B$500, 0)+2), ""), "")&amp; IF(COUNTIF('SAÍDA DE VENDAS'!$B$6:$B$500, B1202)&gt;3, " + " &amp; IFERROR(INDEX('SAÍDA DE VENDAS'!$H$6:$H$500 &amp; "x " &amp; 'SAÍDA DE VENDAS'!$G$6:$G$500, MATCH(B1202, 'SAÍDA DE VENDAS'!$B$6:$B$500, 0)+3), ""), "")&amp; IF(COUNTIF('SAÍDA DE VENDAS'!$B$6:$B$500, B1202)&gt;4, " + " &amp; IFERROR(INDEX('SAÍDA DE VENDAS'!$H$6:$H$500 &amp; "x " &amp; 'SAÍDA DE VENDAS'!$G$6:$G$500, MATCH(B1202, 'SAÍDA DE VENDAS'!$B$6:$B$500, 0)+4), ""), "")&amp; IF(COUNTIF('SAÍDA DE VENDAS'!$B$6:$B$500, B1202)&gt;5, " + " &amp; IFERROR(INDEX('SAÍDA DE VENDAS'!$H$6:$H$500 &amp; "x " &amp; 'SAÍDA DE VENDAS'!$G$6:$G$500, MATCH(B1202, 'SAÍDA DE VENDAS'!$B$6:$B$500, 0)+5), ""), ""))</f>
        <v/>
      </c>
      <c r="G1202" s="28">
        <f>IFERROR(VLOOKUP(B1202,'SAÍDA DE VENDAS'!$B$6:$P$500,10,FALSE),"")</f>
        <v>0</v>
      </c>
      <c r="H1202" s="28" t="str">
        <f>IF(OR(ISBLANK(B1202),B1202=""), "", IF(B1202=B1201, (VALUE(LEFT(H1201,FIND("/",H1201)-1))+1)&amp;"/"&amp;RIGHT(H1201,LEN(H1201)-FIND("/",H1201)), "1/"&amp;IFERROR(VLOOKUP(B1202,'SAÍDA DE VENDAS'!$B$6:$P$500,13,FALSE),"1")))</f>
        <v/>
      </c>
      <c r="I1202" s="69" t="str">
        <f t="shared" si="36"/>
        <v/>
      </c>
      <c r="J1202" s="33" t="str">
        <f>IFERROR(VLOOKUP(B1202,'SAÍDA DE VENDAS'!$B$6:$P$500,15,FALSE),"")</f>
        <v/>
      </c>
      <c r="K1202" s="28" t="str">
        <f t="shared" ca="1" si="37"/>
        <v/>
      </c>
      <c r="L1202" s="28"/>
      <c r="M1202" s="28"/>
    </row>
    <row r="1203" spans="2:13" ht="15" customHeight="1" x14ac:dyDescent="0.3">
      <c r="B1203" s="34" t="str">
        <f>IF(B1202="","", IF(VALUE(LEFT(H1202,FIND("/",H1202)-1)) &lt; VALUE(RIGHT(H1202,LEN(H1202)-FIND("/",H1202))), B1202, IFERROR(INDEX('SAÍDA DE VENDAS'!$B$6:$B$500, MATCH(B1202,'SAÍDA DE VENDAS'!$B$6:$B$500,0)+COUNTIF('SAÍDA DE VENDAS'!$B$6:$B$500, B1202)),"")))</f>
        <v/>
      </c>
      <c r="C1203" s="35">
        <f>IFERROR(VLOOKUP(B1203,'SAÍDA DE VENDAS'!$B$6:$P$500,3,FALSE),"")</f>
        <v>0</v>
      </c>
      <c r="D1203" s="34">
        <f>IFERROR(VLOOKUP(B1203,'SAÍDA DE VENDAS'!$B$6:$P$500,4,FALSE),"")</f>
        <v>0</v>
      </c>
      <c r="E1203" s="34" t="str">
        <f>IFERROR(VLOOKUP(B1203,'SAÍDA DE VENDAS'!$B$6:$P$500,5,FALSE),"")</f>
        <v/>
      </c>
      <c r="F1203" s="34" t="str">
        <f>IF(OR(ISBLANK(B1203),B1203=""), "", IFERROR(INDEX('SAÍDA DE VENDAS'!$H$6:$H$500 &amp; "x " &amp; 'SAÍDA DE VENDAS'!$G$6:$G$500, MATCH(B1203, 'SAÍDA DE VENDAS'!$B$6:$B$500, 0)), "")&amp; IF(COUNTIF('SAÍDA DE VENDAS'!$B$6:$B$500, B1203)&gt;1, " + " &amp; IFERROR(INDEX('SAÍDA DE VENDAS'!$H$6:$H$500 &amp; "x " &amp; 'SAÍDA DE VENDAS'!$G$6:$G$500, MATCH(B1203, 'SAÍDA DE VENDAS'!$B$6:$B$500, 0)+1), ""), "")&amp; IF(COUNTIF('SAÍDA DE VENDAS'!$B$6:$B$500, B1203)&gt;2, " + " &amp; IFERROR(INDEX('SAÍDA DE VENDAS'!$H$6:$H$500 &amp; "x " &amp; 'SAÍDA DE VENDAS'!$G$6:$G$500, MATCH(B1203, 'SAÍDA DE VENDAS'!$B$6:$B$500, 0)+2), ""), "")&amp; IF(COUNTIF('SAÍDA DE VENDAS'!$B$6:$B$500, B1203)&gt;3, " + " &amp; IFERROR(INDEX('SAÍDA DE VENDAS'!$H$6:$H$500 &amp; "x " &amp; 'SAÍDA DE VENDAS'!$G$6:$G$500, MATCH(B1203, 'SAÍDA DE VENDAS'!$B$6:$B$500, 0)+3), ""), "")&amp; IF(COUNTIF('SAÍDA DE VENDAS'!$B$6:$B$500, B1203)&gt;4, " + " &amp; IFERROR(INDEX('SAÍDA DE VENDAS'!$H$6:$H$500 &amp; "x " &amp; 'SAÍDA DE VENDAS'!$G$6:$G$500, MATCH(B1203, 'SAÍDA DE VENDAS'!$B$6:$B$500, 0)+4), ""), "")&amp; IF(COUNTIF('SAÍDA DE VENDAS'!$B$6:$B$500, B1203)&gt;5, " + " &amp; IFERROR(INDEX('SAÍDA DE VENDAS'!$H$6:$H$500 &amp; "x " &amp; 'SAÍDA DE VENDAS'!$G$6:$G$500, MATCH(B1203, 'SAÍDA DE VENDAS'!$B$6:$B$500, 0)+5), ""), ""))</f>
        <v/>
      </c>
      <c r="G1203" s="34">
        <f>IFERROR(VLOOKUP(B1203,'SAÍDA DE VENDAS'!$B$6:$P$500,10,FALSE),"")</f>
        <v>0</v>
      </c>
      <c r="H1203" s="34" t="str">
        <f>IF(OR(ISBLANK(B1203),B1203=""), "", IF(B1203=B1202, (VALUE(LEFT(H1202,FIND("/",H1202)-1))+1)&amp;"/"&amp;RIGHT(H1202,LEN(H1202)-FIND("/",H1202)), "1/"&amp;IFERROR(VLOOKUP(B1203,'SAÍDA DE VENDAS'!$B$6:$P$500,13,FALSE),"1")))</f>
        <v/>
      </c>
      <c r="I1203" s="35" t="str">
        <f t="shared" si="36"/>
        <v/>
      </c>
      <c r="J1203" s="39" t="str">
        <f>IFERROR(VLOOKUP(B1203,'SAÍDA DE VENDAS'!$B$6:$P$500,15,FALSE),"")</f>
        <v/>
      </c>
      <c r="K1203" s="34" t="str">
        <f t="shared" ca="1" si="37"/>
        <v/>
      </c>
      <c r="L1203" s="34"/>
      <c r="M1203" s="34"/>
    </row>
    <row r="1204" spans="2:13" ht="15" customHeight="1" x14ac:dyDescent="0.3">
      <c r="B1204" s="28" t="str">
        <f>IF(B1203="","", IF(VALUE(LEFT(H1203,FIND("/",H1203)-1)) &lt; VALUE(RIGHT(H1203,LEN(H1203)-FIND("/",H1203))), B1203, IFERROR(INDEX('SAÍDA DE VENDAS'!$B$6:$B$500, MATCH(B1203,'SAÍDA DE VENDAS'!$B$6:$B$500,0)+COUNTIF('SAÍDA DE VENDAS'!$B$6:$B$500, B1203)),"")))</f>
        <v/>
      </c>
      <c r="C1204" s="29">
        <f>IFERROR(VLOOKUP(B1204,'SAÍDA DE VENDAS'!$B$6:$P$500,3,FALSE),"")</f>
        <v>0</v>
      </c>
      <c r="D1204" s="28">
        <f>IFERROR(VLOOKUP(B1204,'SAÍDA DE VENDAS'!$B$6:$P$500,4,FALSE),"")</f>
        <v>0</v>
      </c>
      <c r="E1204" s="28" t="str">
        <f>IFERROR(VLOOKUP(B1204,'SAÍDA DE VENDAS'!$B$6:$P$500,5,FALSE),"")</f>
        <v/>
      </c>
      <c r="F1204" s="28" t="str">
        <f>IF(OR(ISBLANK(B1204),B1204=""), "", IFERROR(INDEX('SAÍDA DE VENDAS'!$H$6:$H$500 &amp; "x " &amp; 'SAÍDA DE VENDAS'!$G$6:$G$500, MATCH(B1204, 'SAÍDA DE VENDAS'!$B$6:$B$500, 0)), "")&amp; IF(COUNTIF('SAÍDA DE VENDAS'!$B$6:$B$500, B1204)&gt;1, " + " &amp; IFERROR(INDEX('SAÍDA DE VENDAS'!$H$6:$H$500 &amp; "x " &amp; 'SAÍDA DE VENDAS'!$G$6:$G$500, MATCH(B1204, 'SAÍDA DE VENDAS'!$B$6:$B$500, 0)+1), ""), "")&amp; IF(COUNTIF('SAÍDA DE VENDAS'!$B$6:$B$500, B1204)&gt;2, " + " &amp; IFERROR(INDEX('SAÍDA DE VENDAS'!$H$6:$H$500 &amp; "x " &amp; 'SAÍDA DE VENDAS'!$G$6:$G$500, MATCH(B1204, 'SAÍDA DE VENDAS'!$B$6:$B$500, 0)+2), ""), "")&amp; IF(COUNTIF('SAÍDA DE VENDAS'!$B$6:$B$500, B1204)&gt;3, " + " &amp; IFERROR(INDEX('SAÍDA DE VENDAS'!$H$6:$H$500 &amp; "x " &amp; 'SAÍDA DE VENDAS'!$G$6:$G$500, MATCH(B1204, 'SAÍDA DE VENDAS'!$B$6:$B$500, 0)+3), ""), "")&amp; IF(COUNTIF('SAÍDA DE VENDAS'!$B$6:$B$500, B1204)&gt;4, " + " &amp; IFERROR(INDEX('SAÍDA DE VENDAS'!$H$6:$H$500 &amp; "x " &amp; 'SAÍDA DE VENDAS'!$G$6:$G$500, MATCH(B1204, 'SAÍDA DE VENDAS'!$B$6:$B$500, 0)+4), ""), "")&amp; IF(COUNTIF('SAÍDA DE VENDAS'!$B$6:$B$500, B1204)&gt;5, " + " &amp; IFERROR(INDEX('SAÍDA DE VENDAS'!$H$6:$H$500 &amp; "x " &amp; 'SAÍDA DE VENDAS'!$G$6:$G$500, MATCH(B1204, 'SAÍDA DE VENDAS'!$B$6:$B$500, 0)+5), ""), ""))</f>
        <v/>
      </c>
      <c r="G1204" s="28">
        <f>IFERROR(VLOOKUP(B1204,'SAÍDA DE VENDAS'!$B$6:$P$500,10,FALSE),"")</f>
        <v>0</v>
      </c>
      <c r="H1204" s="28" t="str">
        <f>IF(OR(ISBLANK(B1204),B1204=""), "", IF(B1204=B1203, (VALUE(LEFT(H1203,FIND("/",H1203)-1))+1)&amp;"/"&amp;RIGHT(H1203,LEN(H1203)-FIND("/",H1203)), "1/"&amp;IFERROR(VLOOKUP(B1204,'SAÍDA DE VENDAS'!$B$6:$P$500,13,FALSE),"1")))</f>
        <v/>
      </c>
      <c r="I1204" s="69" t="str">
        <f t="shared" si="36"/>
        <v/>
      </c>
      <c r="J1204" s="33" t="str">
        <f>IFERROR(VLOOKUP(B1204,'SAÍDA DE VENDAS'!$B$6:$P$500,15,FALSE),"")</f>
        <v/>
      </c>
      <c r="K1204" s="28" t="str">
        <f t="shared" ca="1" si="37"/>
        <v/>
      </c>
      <c r="L1204" s="28"/>
      <c r="M1204" s="28"/>
    </row>
    <row r="1205" spans="2:13" ht="15" customHeight="1" x14ac:dyDescent="0.3">
      <c r="B1205" s="34" t="str">
        <f>IF(B1204="","", IF(VALUE(LEFT(H1204,FIND("/",H1204)-1)) &lt; VALUE(RIGHT(H1204,LEN(H1204)-FIND("/",H1204))), B1204, IFERROR(INDEX('SAÍDA DE VENDAS'!$B$6:$B$500, MATCH(B1204,'SAÍDA DE VENDAS'!$B$6:$B$500,0)+COUNTIF('SAÍDA DE VENDAS'!$B$6:$B$500, B1204)),"")))</f>
        <v/>
      </c>
      <c r="C1205" s="35">
        <f>IFERROR(VLOOKUP(B1205,'SAÍDA DE VENDAS'!$B$6:$P$500,3,FALSE),"")</f>
        <v>0</v>
      </c>
      <c r="D1205" s="34">
        <f>IFERROR(VLOOKUP(B1205,'SAÍDA DE VENDAS'!$B$6:$P$500,4,FALSE),"")</f>
        <v>0</v>
      </c>
      <c r="E1205" s="34" t="str">
        <f>IFERROR(VLOOKUP(B1205,'SAÍDA DE VENDAS'!$B$6:$P$500,5,FALSE),"")</f>
        <v/>
      </c>
      <c r="F1205" s="34" t="str">
        <f>IF(OR(ISBLANK(B1205),B1205=""), "", IFERROR(INDEX('SAÍDA DE VENDAS'!$H$6:$H$500 &amp; "x " &amp; 'SAÍDA DE VENDAS'!$G$6:$G$500, MATCH(B1205, 'SAÍDA DE VENDAS'!$B$6:$B$500, 0)), "")&amp; IF(COUNTIF('SAÍDA DE VENDAS'!$B$6:$B$500, B1205)&gt;1, " + " &amp; IFERROR(INDEX('SAÍDA DE VENDAS'!$H$6:$H$500 &amp; "x " &amp; 'SAÍDA DE VENDAS'!$G$6:$G$500, MATCH(B1205, 'SAÍDA DE VENDAS'!$B$6:$B$500, 0)+1), ""), "")&amp; IF(COUNTIF('SAÍDA DE VENDAS'!$B$6:$B$500, B1205)&gt;2, " + " &amp; IFERROR(INDEX('SAÍDA DE VENDAS'!$H$6:$H$500 &amp; "x " &amp; 'SAÍDA DE VENDAS'!$G$6:$G$500, MATCH(B1205, 'SAÍDA DE VENDAS'!$B$6:$B$500, 0)+2), ""), "")&amp; IF(COUNTIF('SAÍDA DE VENDAS'!$B$6:$B$500, B1205)&gt;3, " + " &amp; IFERROR(INDEX('SAÍDA DE VENDAS'!$H$6:$H$500 &amp; "x " &amp; 'SAÍDA DE VENDAS'!$G$6:$G$500, MATCH(B1205, 'SAÍDA DE VENDAS'!$B$6:$B$500, 0)+3), ""), "")&amp; IF(COUNTIF('SAÍDA DE VENDAS'!$B$6:$B$500, B1205)&gt;4, " + " &amp; IFERROR(INDEX('SAÍDA DE VENDAS'!$H$6:$H$500 &amp; "x " &amp; 'SAÍDA DE VENDAS'!$G$6:$G$500, MATCH(B1205, 'SAÍDA DE VENDAS'!$B$6:$B$500, 0)+4), ""), "")&amp; IF(COUNTIF('SAÍDA DE VENDAS'!$B$6:$B$500, B1205)&gt;5, " + " &amp; IFERROR(INDEX('SAÍDA DE VENDAS'!$H$6:$H$500 &amp; "x " &amp; 'SAÍDA DE VENDAS'!$G$6:$G$500, MATCH(B1205, 'SAÍDA DE VENDAS'!$B$6:$B$500, 0)+5), ""), ""))</f>
        <v/>
      </c>
      <c r="G1205" s="34">
        <f>IFERROR(VLOOKUP(B1205,'SAÍDA DE VENDAS'!$B$6:$P$500,10,FALSE),"")</f>
        <v>0</v>
      </c>
      <c r="H1205" s="34" t="str">
        <f>IF(OR(ISBLANK(B1205),B1205=""), "", IF(B1205=B1204, (VALUE(LEFT(H1204,FIND("/",H1204)-1))+1)&amp;"/"&amp;RIGHT(H1204,LEN(H1204)-FIND("/",H1204)), "1/"&amp;IFERROR(VLOOKUP(B1205,'SAÍDA DE VENDAS'!$B$6:$P$500,13,FALSE),"1")))</f>
        <v/>
      </c>
      <c r="I1205" s="35" t="str">
        <f t="shared" si="36"/>
        <v/>
      </c>
      <c r="J1205" s="39" t="str">
        <f>IFERROR(VLOOKUP(B1205,'SAÍDA DE VENDAS'!$B$6:$P$500,15,FALSE),"")</f>
        <v/>
      </c>
      <c r="K1205" s="34" t="str">
        <f t="shared" ca="1" si="37"/>
        <v/>
      </c>
      <c r="L1205" s="34"/>
      <c r="M1205" s="34"/>
    </row>
    <row r="1206" spans="2:13" ht="15" customHeight="1" x14ac:dyDescent="0.3">
      <c r="B1206" s="28" t="str">
        <f>IF(B1205="","", IF(VALUE(LEFT(H1205,FIND("/",H1205)-1)) &lt; VALUE(RIGHT(H1205,LEN(H1205)-FIND("/",H1205))), B1205, IFERROR(INDEX('SAÍDA DE VENDAS'!$B$6:$B$500, MATCH(B1205,'SAÍDA DE VENDAS'!$B$6:$B$500,0)+COUNTIF('SAÍDA DE VENDAS'!$B$6:$B$500, B1205)),"")))</f>
        <v/>
      </c>
      <c r="C1206" s="29">
        <f>IFERROR(VLOOKUP(B1206,'SAÍDA DE VENDAS'!$B$6:$P$500,3,FALSE),"")</f>
        <v>0</v>
      </c>
      <c r="D1206" s="28">
        <f>IFERROR(VLOOKUP(B1206,'SAÍDA DE VENDAS'!$B$6:$P$500,4,FALSE),"")</f>
        <v>0</v>
      </c>
      <c r="E1206" s="28" t="str">
        <f>IFERROR(VLOOKUP(B1206,'SAÍDA DE VENDAS'!$B$6:$P$500,5,FALSE),"")</f>
        <v/>
      </c>
      <c r="F1206" s="28" t="str">
        <f>IF(OR(ISBLANK(B1206),B1206=""), "", IFERROR(INDEX('SAÍDA DE VENDAS'!$H$6:$H$500 &amp; "x " &amp; 'SAÍDA DE VENDAS'!$G$6:$G$500, MATCH(B1206, 'SAÍDA DE VENDAS'!$B$6:$B$500, 0)), "")&amp; IF(COUNTIF('SAÍDA DE VENDAS'!$B$6:$B$500, B1206)&gt;1, " + " &amp; IFERROR(INDEX('SAÍDA DE VENDAS'!$H$6:$H$500 &amp; "x " &amp; 'SAÍDA DE VENDAS'!$G$6:$G$500, MATCH(B1206, 'SAÍDA DE VENDAS'!$B$6:$B$500, 0)+1), ""), "")&amp; IF(COUNTIF('SAÍDA DE VENDAS'!$B$6:$B$500, B1206)&gt;2, " + " &amp; IFERROR(INDEX('SAÍDA DE VENDAS'!$H$6:$H$500 &amp; "x " &amp; 'SAÍDA DE VENDAS'!$G$6:$G$500, MATCH(B1206, 'SAÍDA DE VENDAS'!$B$6:$B$500, 0)+2), ""), "")&amp; IF(COUNTIF('SAÍDA DE VENDAS'!$B$6:$B$500, B1206)&gt;3, " + " &amp; IFERROR(INDEX('SAÍDA DE VENDAS'!$H$6:$H$500 &amp; "x " &amp; 'SAÍDA DE VENDAS'!$G$6:$G$500, MATCH(B1206, 'SAÍDA DE VENDAS'!$B$6:$B$500, 0)+3), ""), "")&amp; IF(COUNTIF('SAÍDA DE VENDAS'!$B$6:$B$500, B1206)&gt;4, " + " &amp; IFERROR(INDEX('SAÍDA DE VENDAS'!$H$6:$H$500 &amp; "x " &amp; 'SAÍDA DE VENDAS'!$G$6:$G$500, MATCH(B1206, 'SAÍDA DE VENDAS'!$B$6:$B$500, 0)+4), ""), "")&amp; IF(COUNTIF('SAÍDA DE VENDAS'!$B$6:$B$500, B1206)&gt;5, " + " &amp; IFERROR(INDEX('SAÍDA DE VENDAS'!$H$6:$H$500 &amp; "x " &amp; 'SAÍDA DE VENDAS'!$G$6:$G$500, MATCH(B1206, 'SAÍDA DE VENDAS'!$B$6:$B$500, 0)+5), ""), ""))</f>
        <v/>
      </c>
      <c r="G1206" s="28">
        <f>IFERROR(VLOOKUP(B1206,'SAÍDA DE VENDAS'!$B$6:$P$500,10,FALSE),"")</f>
        <v>0</v>
      </c>
      <c r="H1206" s="28" t="str">
        <f>IF(OR(ISBLANK(B1206),B1206=""), "", IF(B1206=B1205, (VALUE(LEFT(H1205,FIND("/",H1205)-1))+1)&amp;"/"&amp;RIGHT(H1205,LEN(H1205)-FIND("/",H1205)), "1/"&amp;IFERROR(VLOOKUP(B1206,'SAÍDA DE VENDAS'!$B$6:$P$500,13,FALSE),"1")))</f>
        <v/>
      </c>
      <c r="I1206" s="69" t="str">
        <f t="shared" si="36"/>
        <v/>
      </c>
      <c r="J1206" s="33" t="str">
        <f>IFERROR(VLOOKUP(B1206,'SAÍDA DE VENDAS'!$B$6:$P$500,15,FALSE),"")</f>
        <v/>
      </c>
      <c r="K1206" s="28" t="str">
        <f t="shared" ca="1" si="37"/>
        <v/>
      </c>
      <c r="L1206" s="28"/>
      <c r="M1206" s="28"/>
    </row>
    <row r="1207" spans="2:13" ht="15" customHeight="1" x14ac:dyDescent="0.3">
      <c r="B1207" s="34" t="str">
        <f>IF(B1206="","", IF(VALUE(LEFT(H1206,FIND("/",H1206)-1)) &lt; VALUE(RIGHT(H1206,LEN(H1206)-FIND("/",H1206))), B1206, IFERROR(INDEX('SAÍDA DE VENDAS'!$B$6:$B$500, MATCH(B1206,'SAÍDA DE VENDAS'!$B$6:$B$500,0)+COUNTIF('SAÍDA DE VENDAS'!$B$6:$B$500, B1206)),"")))</f>
        <v/>
      </c>
      <c r="C1207" s="35">
        <f>IFERROR(VLOOKUP(B1207,'SAÍDA DE VENDAS'!$B$6:$P$500,3,FALSE),"")</f>
        <v>0</v>
      </c>
      <c r="D1207" s="34">
        <f>IFERROR(VLOOKUP(B1207,'SAÍDA DE VENDAS'!$B$6:$P$500,4,FALSE),"")</f>
        <v>0</v>
      </c>
      <c r="E1207" s="34" t="str">
        <f>IFERROR(VLOOKUP(B1207,'SAÍDA DE VENDAS'!$B$6:$P$500,5,FALSE),"")</f>
        <v/>
      </c>
      <c r="F1207" s="34" t="str">
        <f>IF(OR(ISBLANK(B1207),B1207=""), "", IFERROR(INDEX('SAÍDA DE VENDAS'!$H$6:$H$500 &amp; "x " &amp; 'SAÍDA DE VENDAS'!$G$6:$G$500, MATCH(B1207, 'SAÍDA DE VENDAS'!$B$6:$B$500, 0)), "")&amp; IF(COUNTIF('SAÍDA DE VENDAS'!$B$6:$B$500, B1207)&gt;1, " + " &amp; IFERROR(INDEX('SAÍDA DE VENDAS'!$H$6:$H$500 &amp; "x " &amp; 'SAÍDA DE VENDAS'!$G$6:$G$500, MATCH(B1207, 'SAÍDA DE VENDAS'!$B$6:$B$500, 0)+1), ""), "")&amp; IF(COUNTIF('SAÍDA DE VENDAS'!$B$6:$B$500, B1207)&gt;2, " + " &amp; IFERROR(INDEX('SAÍDA DE VENDAS'!$H$6:$H$500 &amp; "x " &amp; 'SAÍDA DE VENDAS'!$G$6:$G$500, MATCH(B1207, 'SAÍDA DE VENDAS'!$B$6:$B$500, 0)+2), ""), "")&amp; IF(COUNTIF('SAÍDA DE VENDAS'!$B$6:$B$500, B1207)&gt;3, " + " &amp; IFERROR(INDEX('SAÍDA DE VENDAS'!$H$6:$H$500 &amp; "x " &amp; 'SAÍDA DE VENDAS'!$G$6:$G$500, MATCH(B1207, 'SAÍDA DE VENDAS'!$B$6:$B$500, 0)+3), ""), "")&amp; IF(COUNTIF('SAÍDA DE VENDAS'!$B$6:$B$500, B1207)&gt;4, " + " &amp; IFERROR(INDEX('SAÍDA DE VENDAS'!$H$6:$H$500 &amp; "x " &amp; 'SAÍDA DE VENDAS'!$G$6:$G$500, MATCH(B1207, 'SAÍDA DE VENDAS'!$B$6:$B$500, 0)+4), ""), "")&amp; IF(COUNTIF('SAÍDA DE VENDAS'!$B$6:$B$500, B1207)&gt;5, " + " &amp; IFERROR(INDEX('SAÍDA DE VENDAS'!$H$6:$H$500 &amp; "x " &amp; 'SAÍDA DE VENDAS'!$G$6:$G$500, MATCH(B1207, 'SAÍDA DE VENDAS'!$B$6:$B$500, 0)+5), ""), ""))</f>
        <v/>
      </c>
      <c r="G1207" s="34">
        <f>IFERROR(VLOOKUP(B1207,'SAÍDA DE VENDAS'!$B$6:$P$500,10,FALSE),"")</f>
        <v>0</v>
      </c>
      <c r="H1207" s="34" t="str">
        <f>IF(OR(ISBLANK(B1207),B1207=""), "", IF(B1207=B1206, (VALUE(LEFT(H1206,FIND("/",H1206)-1))+1)&amp;"/"&amp;RIGHT(H1206,LEN(H1206)-FIND("/",H1206)), "1/"&amp;IFERROR(VLOOKUP(B1207,'SAÍDA DE VENDAS'!$B$6:$P$500,13,FALSE),"1")))</f>
        <v/>
      </c>
      <c r="I1207" s="35" t="str">
        <f t="shared" si="36"/>
        <v/>
      </c>
      <c r="J1207" s="39" t="str">
        <f>IFERROR(VLOOKUP(B1207,'SAÍDA DE VENDAS'!$B$6:$P$500,15,FALSE),"")</f>
        <v/>
      </c>
      <c r="K1207" s="34" t="str">
        <f t="shared" ca="1" si="37"/>
        <v/>
      </c>
      <c r="L1207" s="34"/>
      <c r="M1207" s="34"/>
    </row>
    <row r="1208" spans="2:13" ht="15" customHeight="1" x14ac:dyDescent="0.3">
      <c r="B1208" s="28" t="str">
        <f>IF(B1207="","", IF(VALUE(LEFT(H1207,FIND("/",H1207)-1)) &lt; VALUE(RIGHT(H1207,LEN(H1207)-FIND("/",H1207))), B1207, IFERROR(INDEX('SAÍDA DE VENDAS'!$B$6:$B$500, MATCH(B1207,'SAÍDA DE VENDAS'!$B$6:$B$500,0)+COUNTIF('SAÍDA DE VENDAS'!$B$6:$B$500, B1207)),"")))</f>
        <v/>
      </c>
      <c r="C1208" s="29">
        <f>IFERROR(VLOOKUP(B1208,'SAÍDA DE VENDAS'!$B$6:$P$500,3,FALSE),"")</f>
        <v>0</v>
      </c>
      <c r="D1208" s="28">
        <f>IFERROR(VLOOKUP(B1208,'SAÍDA DE VENDAS'!$B$6:$P$500,4,FALSE),"")</f>
        <v>0</v>
      </c>
      <c r="E1208" s="28" t="str">
        <f>IFERROR(VLOOKUP(B1208,'SAÍDA DE VENDAS'!$B$6:$P$500,5,FALSE),"")</f>
        <v/>
      </c>
      <c r="F1208" s="28" t="str">
        <f>IF(OR(ISBLANK(B1208),B1208=""), "", IFERROR(INDEX('SAÍDA DE VENDAS'!$H$6:$H$500 &amp; "x " &amp; 'SAÍDA DE VENDAS'!$G$6:$G$500, MATCH(B1208, 'SAÍDA DE VENDAS'!$B$6:$B$500, 0)), "")&amp; IF(COUNTIF('SAÍDA DE VENDAS'!$B$6:$B$500, B1208)&gt;1, " + " &amp; IFERROR(INDEX('SAÍDA DE VENDAS'!$H$6:$H$500 &amp; "x " &amp; 'SAÍDA DE VENDAS'!$G$6:$G$500, MATCH(B1208, 'SAÍDA DE VENDAS'!$B$6:$B$500, 0)+1), ""), "")&amp; IF(COUNTIF('SAÍDA DE VENDAS'!$B$6:$B$500, B1208)&gt;2, " + " &amp; IFERROR(INDEX('SAÍDA DE VENDAS'!$H$6:$H$500 &amp; "x " &amp; 'SAÍDA DE VENDAS'!$G$6:$G$500, MATCH(B1208, 'SAÍDA DE VENDAS'!$B$6:$B$500, 0)+2), ""), "")&amp; IF(COUNTIF('SAÍDA DE VENDAS'!$B$6:$B$500, B1208)&gt;3, " + " &amp; IFERROR(INDEX('SAÍDA DE VENDAS'!$H$6:$H$500 &amp; "x " &amp; 'SAÍDA DE VENDAS'!$G$6:$G$500, MATCH(B1208, 'SAÍDA DE VENDAS'!$B$6:$B$500, 0)+3), ""), "")&amp; IF(COUNTIF('SAÍDA DE VENDAS'!$B$6:$B$500, B1208)&gt;4, " + " &amp; IFERROR(INDEX('SAÍDA DE VENDAS'!$H$6:$H$500 &amp; "x " &amp; 'SAÍDA DE VENDAS'!$G$6:$G$500, MATCH(B1208, 'SAÍDA DE VENDAS'!$B$6:$B$500, 0)+4), ""), "")&amp; IF(COUNTIF('SAÍDA DE VENDAS'!$B$6:$B$500, B1208)&gt;5, " + " &amp; IFERROR(INDEX('SAÍDA DE VENDAS'!$H$6:$H$500 &amp; "x " &amp; 'SAÍDA DE VENDAS'!$G$6:$G$500, MATCH(B1208, 'SAÍDA DE VENDAS'!$B$6:$B$500, 0)+5), ""), ""))</f>
        <v/>
      </c>
      <c r="G1208" s="28">
        <f>IFERROR(VLOOKUP(B1208,'SAÍDA DE VENDAS'!$B$6:$P$500,10,FALSE),"")</f>
        <v>0</v>
      </c>
      <c r="H1208" s="28" t="str">
        <f>IF(OR(ISBLANK(B1208),B1208=""), "", IF(B1208=B1207, (VALUE(LEFT(H1207,FIND("/",H1207)-1))+1)&amp;"/"&amp;RIGHT(H1207,LEN(H1207)-FIND("/",H1207)), "1/"&amp;IFERROR(VLOOKUP(B1208,'SAÍDA DE VENDAS'!$B$6:$P$500,13,FALSE),"1")))</f>
        <v/>
      </c>
      <c r="I1208" s="69" t="str">
        <f t="shared" si="36"/>
        <v/>
      </c>
      <c r="J1208" s="33" t="str">
        <f>IFERROR(VLOOKUP(B1208,'SAÍDA DE VENDAS'!$B$6:$P$500,15,FALSE),"")</f>
        <v/>
      </c>
      <c r="K1208" s="28" t="str">
        <f t="shared" ca="1" si="37"/>
        <v/>
      </c>
      <c r="L1208" s="28"/>
      <c r="M1208" s="28"/>
    </row>
    <row r="1209" spans="2:13" ht="15" customHeight="1" x14ac:dyDescent="0.3">
      <c r="B1209" s="34" t="str">
        <f>IF(B1208="","", IF(VALUE(LEFT(H1208,FIND("/",H1208)-1)) &lt; VALUE(RIGHT(H1208,LEN(H1208)-FIND("/",H1208))), B1208, IFERROR(INDEX('SAÍDA DE VENDAS'!$B$6:$B$500, MATCH(B1208,'SAÍDA DE VENDAS'!$B$6:$B$500,0)+COUNTIF('SAÍDA DE VENDAS'!$B$6:$B$500, B1208)),"")))</f>
        <v/>
      </c>
      <c r="C1209" s="35">
        <f>IFERROR(VLOOKUP(B1209,'SAÍDA DE VENDAS'!$B$6:$P$500,3,FALSE),"")</f>
        <v>0</v>
      </c>
      <c r="D1209" s="34">
        <f>IFERROR(VLOOKUP(B1209,'SAÍDA DE VENDAS'!$B$6:$P$500,4,FALSE),"")</f>
        <v>0</v>
      </c>
      <c r="E1209" s="34" t="str">
        <f>IFERROR(VLOOKUP(B1209,'SAÍDA DE VENDAS'!$B$6:$P$500,5,FALSE),"")</f>
        <v/>
      </c>
      <c r="F1209" s="34" t="str">
        <f>IF(OR(ISBLANK(B1209),B1209=""), "", IFERROR(INDEX('SAÍDA DE VENDAS'!$H$6:$H$500 &amp; "x " &amp; 'SAÍDA DE VENDAS'!$G$6:$G$500, MATCH(B1209, 'SAÍDA DE VENDAS'!$B$6:$B$500, 0)), "")&amp; IF(COUNTIF('SAÍDA DE VENDAS'!$B$6:$B$500, B1209)&gt;1, " + " &amp; IFERROR(INDEX('SAÍDA DE VENDAS'!$H$6:$H$500 &amp; "x " &amp; 'SAÍDA DE VENDAS'!$G$6:$G$500, MATCH(B1209, 'SAÍDA DE VENDAS'!$B$6:$B$500, 0)+1), ""), "")&amp; IF(COUNTIF('SAÍDA DE VENDAS'!$B$6:$B$500, B1209)&gt;2, " + " &amp; IFERROR(INDEX('SAÍDA DE VENDAS'!$H$6:$H$500 &amp; "x " &amp; 'SAÍDA DE VENDAS'!$G$6:$G$500, MATCH(B1209, 'SAÍDA DE VENDAS'!$B$6:$B$500, 0)+2), ""), "")&amp; IF(COUNTIF('SAÍDA DE VENDAS'!$B$6:$B$500, B1209)&gt;3, " + " &amp; IFERROR(INDEX('SAÍDA DE VENDAS'!$H$6:$H$500 &amp; "x " &amp; 'SAÍDA DE VENDAS'!$G$6:$G$500, MATCH(B1209, 'SAÍDA DE VENDAS'!$B$6:$B$500, 0)+3), ""), "")&amp; IF(COUNTIF('SAÍDA DE VENDAS'!$B$6:$B$500, B1209)&gt;4, " + " &amp; IFERROR(INDEX('SAÍDA DE VENDAS'!$H$6:$H$500 &amp; "x " &amp; 'SAÍDA DE VENDAS'!$G$6:$G$500, MATCH(B1209, 'SAÍDA DE VENDAS'!$B$6:$B$500, 0)+4), ""), "")&amp; IF(COUNTIF('SAÍDA DE VENDAS'!$B$6:$B$500, B1209)&gt;5, " + " &amp; IFERROR(INDEX('SAÍDA DE VENDAS'!$H$6:$H$500 &amp; "x " &amp; 'SAÍDA DE VENDAS'!$G$6:$G$500, MATCH(B1209, 'SAÍDA DE VENDAS'!$B$6:$B$500, 0)+5), ""), ""))</f>
        <v/>
      </c>
      <c r="G1209" s="34">
        <f>IFERROR(VLOOKUP(B1209,'SAÍDA DE VENDAS'!$B$6:$P$500,10,FALSE),"")</f>
        <v>0</v>
      </c>
      <c r="H1209" s="34" t="str">
        <f>IF(OR(ISBLANK(B1209),B1209=""), "", IF(B1209=B1208, (VALUE(LEFT(H1208,FIND("/",H1208)-1))+1)&amp;"/"&amp;RIGHT(H1208,LEN(H1208)-FIND("/",H1208)), "1/"&amp;IFERROR(VLOOKUP(B1209,'SAÍDA DE VENDAS'!$B$6:$P$500,13,FALSE),"1")))</f>
        <v/>
      </c>
      <c r="I1209" s="35" t="str">
        <f t="shared" si="36"/>
        <v/>
      </c>
      <c r="J1209" s="39" t="str">
        <f>IFERROR(VLOOKUP(B1209,'SAÍDA DE VENDAS'!$B$6:$P$500,15,FALSE),"")</f>
        <v/>
      </c>
      <c r="K1209" s="34" t="str">
        <f t="shared" ca="1" si="37"/>
        <v/>
      </c>
      <c r="L1209" s="34"/>
      <c r="M1209" s="34"/>
    </row>
    <row r="1210" spans="2:13" ht="15" customHeight="1" x14ac:dyDescent="0.3">
      <c r="B1210" s="28" t="str">
        <f>IF(B1209="","", IF(VALUE(LEFT(H1209,FIND("/",H1209)-1)) &lt; VALUE(RIGHT(H1209,LEN(H1209)-FIND("/",H1209))), B1209, IFERROR(INDEX('SAÍDA DE VENDAS'!$B$6:$B$500, MATCH(B1209,'SAÍDA DE VENDAS'!$B$6:$B$500,0)+COUNTIF('SAÍDA DE VENDAS'!$B$6:$B$500, B1209)),"")))</f>
        <v/>
      </c>
      <c r="C1210" s="29">
        <f>IFERROR(VLOOKUP(B1210,'SAÍDA DE VENDAS'!$B$6:$P$500,3,FALSE),"")</f>
        <v>0</v>
      </c>
      <c r="D1210" s="28">
        <f>IFERROR(VLOOKUP(B1210,'SAÍDA DE VENDAS'!$B$6:$P$500,4,FALSE),"")</f>
        <v>0</v>
      </c>
      <c r="E1210" s="28" t="str">
        <f>IFERROR(VLOOKUP(B1210,'SAÍDA DE VENDAS'!$B$6:$P$500,5,FALSE),"")</f>
        <v/>
      </c>
      <c r="F1210" s="28" t="str">
        <f>IF(OR(ISBLANK(B1210),B1210=""), "", IFERROR(INDEX('SAÍDA DE VENDAS'!$H$6:$H$500 &amp; "x " &amp; 'SAÍDA DE VENDAS'!$G$6:$G$500, MATCH(B1210, 'SAÍDA DE VENDAS'!$B$6:$B$500, 0)), "")&amp; IF(COUNTIF('SAÍDA DE VENDAS'!$B$6:$B$500, B1210)&gt;1, " + " &amp; IFERROR(INDEX('SAÍDA DE VENDAS'!$H$6:$H$500 &amp; "x " &amp; 'SAÍDA DE VENDAS'!$G$6:$G$500, MATCH(B1210, 'SAÍDA DE VENDAS'!$B$6:$B$500, 0)+1), ""), "")&amp; IF(COUNTIF('SAÍDA DE VENDAS'!$B$6:$B$500, B1210)&gt;2, " + " &amp; IFERROR(INDEX('SAÍDA DE VENDAS'!$H$6:$H$500 &amp; "x " &amp; 'SAÍDA DE VENDAS'!$G$6:$G$500, MATCH(B1210, 'SAÍDA DE VENDAS'!$B$6:$B$500, 0)+2), ""), "")&amp; IF(COUNTIF('SAÍDA DE VENDAS'!$B$6:$B$500, B1210)&gt;3, " + " &amp; IFERROR(INDEX('SAÍDA DE VENDAS'!$H$6:$H$500 &amp; "x " &amp; 'SAÍDA DE VENDAS'!$G$6:$G$500, MATCH(B1210, 'SAÍDA DE VENDAS'!$B$6:$B$500, 0)+3), ""), "")&amp; IF(COUNTIF('SAÍDA DE VENDAS'!$B$6:$B$500, B1210)&gt;4, " + " &amp; IFERROR(INDEX('SAÍDA DE VENDAS'!$H$6:$H$500 &amp; "x " &amp; 'SAÍDA DE VENDAS'!$G$6:$G$500, MATCH(B1210, 'SAÍDA DE VENDAS'!$B$6:$B$500, 0)+4), ""), "")&amp; IF(COUNTIF('SAÍDA DE VENDAS'!$B$6:$B$500, B1210)&gt;5, " + " &amp; IFERROR(INDEX('SAÍDA DE VENDAS'!$H$6:$H$500 &amp; "x " &amp; 'SAÍDA DE VENDAS'!$G$6:$G$500, MATCH(B1210, 'SAÍDA DE VENDAS'!$B$6:$B$500, 0)+5), ""), ""))</f>
        <v/>
      </c>
      <c r="G1210" s="28">
        <f>IFERROR(VLOOKUP(B1210,'SAÍDA DE VENDAS'!$B$6:$P$500,10,FALSE),"")</f>
        <v>0</v>
      </c>
      <c r="H1210" s="28" t="str">
        <f>IF(OR(ISBLANK(B1210),B1210=""), "", IF(B1210=B1209, (VALUE(LEFT(H1209,FIND("/",H1209)-1))+1)&amp;"/"&amp;RIGHT(H1209,LEN(H1209)-FIND("/",H1209)), "1/"&amp;IFERROR(VLOOKUP(B1210,'SAÍDA DE VENDAS'!$B$6:$P$500,13,FALSE),"1")))</f>
        <v/>
      </c>
      <c r="I1210" s="69" t="str">
        <f t="shared" si="36"/>
        <v/>
      </c>
      <c r="J1210" s="33" t="str">
        <f>IFERROR(VLOOKUP(B1210,'SAÍDA DE VENDAS'!$B$6:$P$500,15,FALSE),"")</f>
        <v/>
      </c>
      <c r="K1210" s="28" t="str">
        <f t="shared" ca="1" si="37"/>
        <v/>
      </c>
      <c r="L1210" s="28"/>
      <c r="M1210" s="28"/>
    </row>
    <row r="1211" spans="2:13" ht="15" customHeight="1" x14ac:dyDescent="0.3">
      <c r="B1211" s="34" t="str">
        <f>IF(B1210="","", IF(VALUE(LEFT(H1210,FIND("/",H1210)-1)) &lt; VALUE(RIGHT(H1210,LEN(H1210)-FIND("/",H1210))), B1210, IFERROR(INDEX('SAÍDA DE VENDAS'!$B$6:$B$500, MATCH(B1210,'SAÍDA DE VENDAS'!$B$6:$B$500,0)+COUNTIF('SAÍDA DE VENDAS'!$B$6:$B$500, B1210)),"")))</f>
        <v/>
      </c>
      <c r="C1211" s="35">
        <f>IFERROR(VLOOKUP(B1211,'SAÍDA DE VENDAS'!$B$6:$P$500,3,FALSE),"")</f>
        <v>0</v>
      </c>
      <c r="D1211" s="34">
        <f>IFERROR(VLOOKUP(B1211,'SAÍDA DE VENDAS'!$B$6:$P$500,4,FALSE),"")</f>
        <v>0</v>
      </c>
      <c r="E1211" s="34" t="str">
        <f>IFERROR(VLOOKUP(B1211,'SAÍDA DE VENDAS'!$B$6:$P$500,5,FALSE),"")</f>
        <v/>
      </c>
      <c r="F1211" s="34" t="str">
        <f>IF(OR(ISBLANK(B1211),B1211=""), "", IFERROR(INDEX('SAÍDA DE VENDAS'!$H$6:$H$500 &amp; "x " &amp; 'SAÍDA DE VENDAS'!$G$6:$G$500, MATCH(B1211, 'SAÍDA DE VENDAS'!$B$6:$B$500, 0)), "")&amp; IF(COUNTIF('SAÍDA DE VENDAS'!$B$6:$B$500, B1211)&gt;1, " + " &amp; IFERROR(INDEX('SAÍDA DE VENDAS'!$H$6:$H$500 &amp; "x " &amp; 'SAÍDA DE VENDAS'!$G$6:$G$500, MATCH(B1211, 'SAÍDA DE VENDAS'!$B$6:$B$500, 0)+1), ""), "")&amp; IF(COUNTIF('SAÍDA DE VENDAS'!$B$6:$B$500, B1211)&gt;2, " + " &amp; IFERROR(INDEX('SAÍDA DE VENDAS'!$H$6:$H$500 &amp; "x " &amp; 'SAÍDA DE VENDAS'!$G$6:$G$500, MATCH(B1211, 'SAÍDA DE VENDAS'!$B$6:$B$500, 0)+2), ""), "")&amp; IF(COUNTIF('SAÍDA DE VENDAS'!$B$6:$B$500, B1211)&gt;3, " + " &amp; IFERROR(INDEX('SAÍDA DE VENDAS'!$H$6:$H$500 &amp; "x " &amp; 'SAÍDA DE VENDAS'!$G$6:$G$500, MATCH(B1211, 'SAÍDA DE VENDAS'!$B$6:$B$500, 0)+3), ""), "")&amp; IF(COUNTIF('SAÍDA DE VENDAS'!$B$6:$B$500, B1211)&gt;4, " + " &amp; IFERROR(INDEX('SAÍDA DE VENDAS'!$H$6:$H$500 &amp; "x " &amp; 'SAÍDA DE VENDAS'!$G$6:$G$500, MATCH(B1211, 'SAÍDA DE VENDAS'!$B$6:$B$500, 0)+4), ""), "")&amp; IF(COUNTIF('SAÍDA DE VENDAS'!$B$6:$B$500, B1211)&gt;5, " + " &amp; IFERROR(INDEX('SAÍDA DE VENDAS'!$H$6:$H$500 &amp; "x " &amp; 'SAÍDA DE VENDAS'!$G$6:$G$500, MATCH(B1211, 'SAÍDA DE VENDAS'!$B$6:$B$500, 0)+5), ""), ""))</f>
        <v/>
      </c>
      <c r="G1211" s="34">
        <f>IFERROR(VLOOKUP(B1211,'SAÍDA DE VENDAS'!$B$6:$P$500,10,FALSE),"")</f>
        <v>0</v>
      </c>
      <c r="H1211" s="34" t="str">
        <f>IF(OR(ISBLANK(B1211),B1211=""), "", IF(B1211=B1210, (VALUE(LEFT(H1210,FIND("/",H1210)-1))+1)&amp;"/"&amp;RIGHT(H1210,LEN(H1210)-FIND("/",H1210)), "1/"&amp;IFERROR(VLOOKUP(B1211,'SAÍDA DE VENDAS'!$B$6:$P$500,13,FALSE),"1")))</f>
        <v/>
      </c>
      <c r="I1211" s="35" t="str">
        <f t="shared" si="36"/>
        <v/>
      </c>
      <c r="J1211" s="39" t="str">
        <f>IFERROR(VLOOKUP(B1211,'SAÍDA DE VENDAS'!$B$6:$P$500,15,FALSE),"")</f>
        <v/>
      </c>
      <c r="K1211" s="34" t="str">
        <f t="shared" ca="1" si="37"/>
        <v/>
      </c>
      <c r="L1211" s="34"/>
      <c r="M1211" s="34"/>
    </row>
    <row r="1212" spans="2:13" ht="15" customHeight="1" x14ac:dyDescent="0.3">
      <c r="B1212" s="28" t="str">
        <f>IF(B1211="","", IF(VALUE(LEFT(H1211,FIND("/",H1211)-1)) &lt; VALUE(RIGHT(H1211,LEN(H1211)-FIND("/",H1211))), B1211, IFERROR(INDEX('SAÍDA DE VENDAS'!$B$6:$B$500, MATCH(B1211,'SAÍDA DE VENDAS'!$B$6:$B$500,0)+COUNTIF('SAÍDA DE VENDAS'!$B$6:$B$500, B1211)),"")))</f>
        <v/>
      </c>
      <c r="C1212" s="29">
        <f>IFERROR(VLOOKUP(B1212,'SAÍDA DE VENDAS'!$B$6:$P$500,3,FALSE),"")</f>
        <v>0</v>
      </c>
      <c r="D1212" s="28">
        <f>IFERROR(VLOOKUP(B1212,'SAÍDA DE VENDAS'!$B$6:$P$500,4,FALSE),"")</f>
        <v>0</v>
      </c>
      <c r="E1212" s="28" t="str">
        <f>IFERROR(VLOOKUP(B1212,'SAÍDA DE VENDAS'!$B$6:$P$500,5,FALSE),"")</f>
        <v/>
      </c>
      <c r="F1212" s="28" t="str">
        <f>IF(OR(ISBLANK(B1212),B1212=""), "", IFERROR(INDEX('SAÍDA DE VENDAS'!$H$6:$H$500 &amp; "x " &amp; 'SAÍDA DE VENDAS'!$G$6:$G$500, MATCH(B1212, 'SAÍDA DE VENDAS'!$B$6:$B$500, 0)), "")&amp; IF(COUNTIF('SAÍDA DE VENDAS'!$B$6:$B$500, B1212)&gt;1, " + " &amp; IFERROR(INDEX('SAÍDA DE VENDAS'!$H$6:$H$500 &amp; "x " &amp; 'SAÍDA DE VENDAS'!$G$6:$G$500, MATCH(B1212, 'SAÍDA DE VENDAS'!$B$6:$B$500, 0)+1), ""), "")&amp; IF(COUNTIF('SAÍDA DE VENDAS'!$B$6:$B$500, B1212)&gt;2, " + " &amp; IFERROR(INDEX('SAÍDA DE VENDAS'!$H$6:$H$500 &amp; "x " &amp; 'SAÍDA DE VENDAS'!$G$6:$G$500, MATCH(B1212, 'SAÍDA DE VENDAS'!$B$6:$B$500, 0)+2), ""), "")&amp; IF(COUNTIF('SAÍDA DE VENDAS'!$B$6:$B$500, B1212)&gt;3, " + " &amp; IFERROR(INDEX('SAÍDA DE VENDAS'!$H$6:$H$500 &amp; "x " &amp; 'SAÍDA DE VENDAS'!$G$6:$G$500, MATCH(B1212, 'SAÍDA DE VENDAS'!$B$6:$B$500, 0)+3), ""), "")&amp; IF(COUNTIF('SAÍDA DE VENDAS'!$B$6:$B$500, B1212)&gt;4, " + " &amp; IFERROR(INDEX('SAÍDA DE VENDAS'!$H$6:$H$500 &amp; "x " &amp; 'SAÍDA DE VENDAS'!$G$6:$G$500, MATCH(B1212, 'SAÍDA DE VENDAS'!$B$6:$B$500, 0)+4), ""), "")&amp; IF(COUNTIF('SAÍDA DE VENDAS'!$B$6:$B$500, B1212)&gt;5, " + " &amp; IFERROR(INDEX('SAÍDA DE VENDAS'!$H$6:$H$500 &amp; "x " &amp; 'SAÍDA DE VENDAS'!$G$6:$G$500, MATCH(B1212, 'SAÍDA DE VENDAS'!$B$6:$B$500, 0)+5), ""), ""))</f>
        <v/>
      </c>
      <c r="G1212" s="28">
        <f>IFERROR(VLOOKUP(B1212,'SAÍDA DE VENDAS'!$B$6:$P$500,10,FALSE),"")</f>
        <v>0</v>
      </c>
      <c r="H1212" s="28" t="str">
        <f>IF(OR(ISBLANK(B1212),B1212=""), "", IF(B1212=B1211, (VALUE(LEFT(H1211,FIND("/",H1211)-1))+1)&amp;"/"&amp;RIGHT(H1211,LEN(H1211)-FIND("/",H1211)), "1/"&amp;IFERROR(VLOOKUP(B1212,'SAÍDA DE VENDAS'!$B$6:$P$500,13,FALSE),"1")))</f>
        <v/>
      </c>
      <c r="I1212" s="69" t="str">
        <f t="shared" si="36"/>
        <v/>
      </c>
      <c r="J1212" s="33" t="str">
        <f>IFERROR(VLOOKUP(B1212,'SAÍDA DE VENDAS'!$B$6:$P$500,15,FALSE),"")</f>
        <v/>
      </c>
      <c r="K1212" s="28" t="str">
        <f t="shared" ca="1" si="37"/>
        <v/>
      </c>
      <c r="L1212" s="28"/>
      <c r="M1212" s="28"/>
    </row>
    <row r="1213" spans="2:13" ht="15" customHeight="1" x14ac:dyDescent="0.3">
      <c r="B1213" s="34" t="str">
        <f>IF(B1212="","", IF(VALUE(LEFT(H1212,FIND("/",H1212)-1)) &lt; VALUE(RIGHT(H1212,LEN(H1212)-FIND("/",H1212))), B1212, IFERROR(INDEX('SAÍDA DE VENDAS'!$B$6:$B$500, MATCH(B1212,'SAÍDA DE VENDAS'!$B$6:$B$500,0)+COUNTIF('SAÍDA DE VENDAS'!$B$6:$B$500, B1212)),"")))</f>
        <v/>
      </c>
      <c r="C1213" s="35">
        <f>IFERROR(VLOOKUP(B1213,'SAÍDA DE VENDAS'!$B$6:$P$500,3,FALSE),"")</f>
        <v>0</v>
      </c>
      <c r="D1213" s="34">
        <f>IFERROR(VLOOKUP(B1213,'SAÍDA DE VENDAS'!$B$6:$P$500,4,FALSE),"")</f>
        <v>0</v>
      </c>
      <c r="E1213" s="34" t="str">
        <f>IFERROR(VLOOKUP(B1213,'SAÍDA DE VENDAS'!$B$6:$P$500,5,FALSE),"")</f>
        <v/>
      </c>
      <c r="F1213" s="34" t="str">
        <f>IF(OR(ISBLANK(B1213),B1213=""), "", IFERROR(INDEX('SAÍDA DE VENDAS'!$H$6:$H$500 &amp; "x " &amp; 'SAÍDA DE VENDAS'!$G$6:$G$500, MATCH(B1213, 'SAÍDA DE VENDAS'!$B$6:$B$500, 0)), "")&amp; IF(COUNTIF('SAÍDA DE VENDAS'!$B$6:$B$500, B1213)&gt;1, " + " &amp; IFERROR(INDEX('SAÍDA DE VENDAS'!$H$6:$H$500 &amp; "x " &amp; 'SAÍDA DE VENDAS'!$G$6:$G$500, MATCH(B1213, 'SAÍDA DE VENDAS'!$B$6:$B$500, 0)+1), ""), "")&amp; IF(COUNTIF('SAÍDA DE VENDAS'!$B$6:$B$500, B1213)&gt;2, " + " &amp; IFERROR(INDEX('SAÍDA DE VENDAS'!$H$6:$H$500 &amp; "x " &amp; 'SAÍDA DE VENDAS'!$G$6:$G$500, MATCH(B1213, 'SAÍDA DE VENDAS'!$B$6:$B$500, 0)+2), ""), "")&amp; IF(COUNTIF('SAÍDA DE VENDAS'!$B$6:$B$500, B1213)&gt;3, " + " &amp; IFERROR(INDEX('SAÍDA DE VENDAS'!$H$6:$H$500 &amp; "x " &amp; 'SAÍDA DE VENDAS'!$G$6:$G$500, MATCH(B1213, 'SAÍDA DE VENDAS'!$B$6:$B$500, 0)+3), ""), "")&amp; IF(COUNTIF('SAÍDA DE VENDAS'!$B$6:$B$500, B1213)&gt;4, " + " &amp; IFERROR(INDEX('SAÍDA DE VENDAS'!$H$6:$H$500 &amp; "x " &amp; 'SAÍDA DE VENDAS'!$G$6:$G$500, MATCH(B1213, 'SAÍDA DE VENDAS'!$B$6:$B$500, 0)+4), ""), "")&amp; IF(COUNTIF('SAÍDA DE VENDAS'!$B$6:$B$500, B1213)&gt;5, " + " &amp; IFERROR(INDEX('SAÍDA DE VENDAS'!$H$6:$H$500 &amp; "x " &amp; 'SAÍDA DE VENDAS'!$G$6:$G$500, MATCH(B1213, 'SAÍDA DE VENDAS'!$B$6:$B$500, 0)+5), ""), ""))</f>
        <v/>
      </c>
      <c r="G1213" s="34">
        <f>IFERROR(VLOOKUP(B1213,'SAÍDA DE VENDAS'!$B$6:$P$500,10,FALSE),"")</f>
        <v>0</v>
      </c>
      <c r="H1213" s="34" t="str">
        <f>IF(OR(ISBLANK(B1213),B1213=""), "", IF(B1213=B1212, (VALUE(LEFT(H1212,FIND("/",H1212)-1))+1)&amp;"/"&amp;RIGHT(H1212,LEN(H1212)-FIND("/",H1212)), "1/"&amp;IFERROR(VLOOKUP(B1213,'SAÍDA DE VENDAS'!$B$6:$P$500,13,FALSE),"1")))</f>
        <v/>
      </c>
      <c r="I1213" s="35" t="str">
        <f t="shared" si="36"/>
        <v/>
      </c>
      <c r="J1213" s="39" t="str">
        <f>IFERROR(VLOOKUP(B1213,'SAÍDA DE VENDAS'!$B$6:$P$500,15,FALSE),"")</f>
        <v/>
      </c>
      <c r="K1213" s="34" t="str">
        <f t="shared" ca="1" si="37"/>
        <v/>
      </c>
      <c r="L1213" s="34"/>
      <c r="M1213" s="34"/>
    </row>
    <row r="1214" spans="2:13" ht="15" customHeight="1" x14ac:dyDescent="0.3">
      <c r="B1214" s="28" t="str">
        <f>IF(B1213="","", IF(VALUE(LEFT(H1213,FIND("/",H1213)-1)) &lt; VALUE(RIGHT(H1213,LEN(H1213)-FIND("/",H1213))), B1213, IFERROR(INDEX('SAÍDA DE VENDAS'!$B$6:$B$500, MATCH(B1213,'SAÍDA DE VENDAS'!$B$6:$B$500,0)+COUNTIF('SAÍDA DE VENDAS'!$B$6:$B$500, B1213)),"")))</f>
        <v/>
      </c>
      <c r="C1214" s="29">
        <f>IFERROR(VLOOKUP(B1214,'SAÍDA DE VENDAS'!$B$6:$P$500,3,FALSE),"")</f>
        <v>0</v>
      </c>
      <c r="D1214" s="28">
        <f>IFERROR(VLOOKUP(B1214,'SAÍDA DE VENDAS'!$B$6:$P$500,4,FALSE),"")</f>
        <v>0</v>
      </c>
      <c r="E1214" s="28" t="str">
        <f>IFERROR(VLOOKUP(B1214,'SAÍDA DE VENDAS'!$B$6:$P$500,5,FALSE),"")</f>
        <v/>
      </c>
      <c r="F1214" s="28" t="str">
        <f>IF(OR(ISBLANK(B1214),B1214=""), "", IFERROR(INDEX('SAÍDA DE VENDAS'!$H$6:$H$500 &amp; "x " &amp; 'SAÍDA DE VENDAS'!$G$6:$G$500, MATCH(B1214, 'SAÍDA DE VENDAS'!$B$6:$B$500, 0)), "")&amp; IF(COUNTIF('SAÍDA DE VENDAS'!$B$6:$B$500, B1214)&gt;1, " + " &amp; IFERROR(INDEX('SAÍDA DE VENDAS'!$H$6:$H$500 &amp; "x " &amp; 'SAÍDA DE VENDAS'!$G$6:$G$500, MATCH(B1214, 'SAÍDA DE VENDAS'!$B$6:$B$500, 0)+1), ""), "")&amp; IF(COUNTIF('SAÍDA DE VENDAS'!$B$6:$B$500, B1214)&gt;2, " + " &amp; IFERROR(INDEX('SAÍDA DE VENDAS'!$H$6:$H$500 &amp; "x " &amp; 'SAÍDA DE VENDAS'!$G$6:$G$500, MATCH(B1214, 'SAÍDA DE VENDAS'!$B$6:$B$500, 0)+2), ""), "")&amp; IF(COUNTIF('SAÍDA DE VENDAS'!$B$6:$B$500, B1214)&gt;3, " + " &amp; IFERROR(INDEX('SAÍDA DE VENDAS'!$H$6:$H$500 &amp; "x " &amp; 'SAÍDA DE VENDAS'!$G$6:$G$500, MATCH(B1214, 'SAÍDA DE VENDAS'!$B$6:$B$500, 0)+3), ""), "")&amp; IF(COUNTIF('SAÍDA DE VENDAS'!$B$6:$B$500, B1214)&gt;4, " + " &amp; IFERROR(INDEX('SAÍDA DE VENDAS'!$H$6:$H$500 &amp; "x " &amp; 'SAÍDA DE VENDAS'!$G$6:$G$500, MATCH(B1214, 'SAÍDA DE VENDAS'!$B$6:$B$500, 0)+4), ""), "")&amp; IF(COUNTIF('SAÍDA DE VENDAS'!$B$6:$B$500, B1214)&gt;5, " + " &amp; IFERROR(INDEX('SAÍDA DE VENDAS'!$H$6:$H$500 &amp; "x " &amp; 'SAÍDA DE VENDAS'!$G$6:$G$500, MATCH(B1214, 'SAÍDA DE VENDAS'!$B$6:$B$500, 0)+5), ""), ""))</f>
        <v/>
      </c>
      <c r="G1214" s="28">
        <f>IFERROR(VLOOKUP(B1214,'SAÍDA DE VENDAS'!$B$6:$P$500,10,FALSE),"")</f>
        <v>0</v>
      </c>
      <c r="H1214" s="28" t="str">
        <f>IF(OR(ISBLANK(B1214),B1214=""), "", IF(B1214=B1213, (VALUE(LEFT(H1213,FIND("/",H1213)-1))+1)&amp;"/"&amp;RIGHT(H1213,LEN(H1213)-FIND("/",H1213)), "1/"&amp;IFERROR(VLOOKUP(B1214,'SAÍDA DE VENDAS'!$B$6:$P$500,13,FALSE),"1")))</f>
        <v/>
      </c>
      <c r="I1214" s="69" t="str">
        <f t="shared" si="36"/>
        <v/>
      </c>
      <c r="J1214" s="33" t="str">
        <f>IFERROR(VLOOKUP(B1214,'SAÍDA DE VENDAS'!$B$6:$P$500,15,FALSE),"")</f>
        <v/>
      </c>
      <c r="K1214" s="28" t="str">
        <f t="shared" ca="1" si="37"/>
        <v/>
      </c>
      <c r="L1214" s="28"/>
      <c r="M1214" s="28"/>
    </row>
    <row r="1215" spans="2:13" ht="15" customHeight="1" x14ac:dyDescent="0.3">
      <c r="B1215" s="34" t="str">
        <f>IF(B1214="","", IF(VALUE(LEFT(H1214,FIND("/",H1214)-1)) &lt; VALUE(RIGHT(H1214,LEN(H1214)-FIND("/",H1214))), B1214, IFERROR(INDEX('SAÍDA DE VENDAS'!$B$6:$B$500, MATCH(B1214,'SAÍDA DE VENDAS'!$B$6:$B$500,0)+COUNTIF('SAÍDA DE VENDAS'!$B$6:$B$500, B1214)),"")))</f>
        <v/>
      </c>
      <c r="C1215" s="35">
        <f>IFERROR(VLOOKUP(B1215,'SAÍDA DE VENDAS'!$B$6:$P$500,3,FALSE),"")</f>
        <v>0</v>
      </c>
      <c r="D1215" s="34">
        <f>IFERROR(VLOOKUP(B1215,'SAÍDA DE VENDAS'!$B$6:$P$500,4,FALSE),"")</f>
        <v>0</v>
      </c>
      <c r="E1215" s="34" t="str">
        <f>IFERROR(VLOOKUP(B1215,'SAÍDA DE VENDAS'!$B$6:$P$500,5,FALSE),"")</f>
        <v/>
      </c>
      <c r="F1215" s="34" t="str">
        <f>IF(OR(ISBLANK(B1215),B1215=""), "", IFERROR(INDEX('SAÍDA DE VENDAS'!$H$6:$H$500 &amp; "x " &amp; 'SAÍDA DE VENDAS'!$G$6:$G$500, MATCH(B1215, 'SAÍDA DE VENDAS'!$B$6:$B$500, 0)), "")&amp; IF(COUNTIF('SAÍDA DE VENDAS'!$B$6:$B$500, B1215)&gt;1, " + " &amp; IFERROR(INDEX('SAÍDA DE VENDAS'!$H$6:$H$500 &amp; "x " &amp; 'SAÍDA DE VENDAS'!$G$6:$G$500, MATCH(B1215, 'SAÍDA DE VENDAS'!$B$6:$B$500, 0)+1), ""), "")&amp; IF(COUNTIF('SAÍDA DE VENDAS'!$B$6:$B$500, B1215)&gt;2, " + " &amp; IFERROR(INDEX('SAÍDA DE VENDAS'!$H$6:$H$500 &amp; "x " &amp; 'SAÍDA DE VENDAS'!$G$6:$G$500, MATCH(B1215, 'SAÍDA DE VENDAS'!$B$6:$B$500, 0)+2), ""), "")&amp; IF(COUNTIF('SAÍDA DE VENDAS'!$B$6:$B$500, B1215)&gt;3, " + " &amp; IFERROR(INDEX('SAÍDA DE VENDAS'!$H$6:$H$500 &amp; "x " &amp; 'SAÍDA DE VENDAS'!$G$6:$G$500, MATCH(B1215, 'SAÍDA DE VENDAS'!$B$6:$B$500, 0)+3), ""), "")&amp; IF(COUNTIF('SAÍDA DE VENDAS'!$B$6:$B$500, B1215)&gt;4, " + " &amp; IFERROR(INDEX('SAÍDA DE VENDAS'!$H$6:$H$500 &amp; "x " &amp; 'SAÍDA DE VENDAS'!$G$6:$G$500, MATCH(B1215, 'SAÍDA DE VENDAS'!$B$6:$B$500, 0)+4), ""), "")&amp; IF(COUNTIF('SAÍDA DE VENDAS'!$B$6:$B$500, B1215)&gt;5, " + " &amp; IFERROR(INDEX('SAÍDA DE VENDAS'!$H$6:$H$500 &amp; "x " &amp; 'SAÍDA DE VENDAS'!$G$6:$G$500, MATCH(B1215, 'SAÍDA DE VENDAS'!$B$6:$B$500, 0)+5), ""), ""))</f>
        <v/>
      </c>
      <c r="G1215" s="34">
        <f>IFERROR(VLOOKUP(B1215,'SAÍDA DE VENDAS'!$B$6:$P$500,10,FALSE),"")</f>
        <v>0</v>
      </c>
      <c r="H1215" s="34" t="str">
        <f>IF(OR(ISBLANK(B1215),B1215=""), "", IF(B1215=B1214, (VALUE(LEFT(H1214,FIND("/",H1214)-1))+1)&amp;"/"&amp;RIGHT(H1214,LEN(H1214)-FIND("/",H1214)), "1/"&amp;IFERROR(VLOOKUP(B1215,'SAÍDA DE VENDAS'!$B$6:$P$500,13,FALSE),"1")))</f>
        <v/>
      </c>
      <c r="I1215" s="35" t="str">
        <f t="shared" si="36"/>
        <v/>
      </c>
      <c r="J1215" s="39" t="str">
        <f>IFERROR(VLOOKUP(B1215,'SAÍDA DE VENDAS'!$B$6:$P$500,15,FALSE),"")</f>
        <v/>
      </c>
      <c r="K1215" s="34" t="str">
        <f t="shared" ca="1" si="37"/>
        <v/>
      </c>
      <c r="L1215" s="34"/>
      <c r="M1215" s="34"/>
    </row>
    <row r="1216" spans="2:13" ht="15" customHeight="1" x14ac:dyDescent="0.3">
      <c r="B1216" s="28" t="str">
        <f>IF(B1215="","", IF(VALUE(LEFT(H1215,FIND("/",H1215)-1)) &lt; VALUE(RIGHT(H1215,LEN(H1215)-FIND("/",H1215))), B1215, IFERROR(INDEX('SAÍDA DE VENDAS'!$B$6:$B$500, MATCH(B1215,'SAÍDA DE VENDAS'!$B$6:$B$500,0)+COUNTIF('SAÍDA DE VENDAS'!$B$6:$B$500, B1215)),"")))</f>
        <v/>
      </c>
      <c r="C1216" s="29">
        <f>IFERROR(VLOOKUP(B1216,'SAÍDA DE VENDAS'!$B$6:$P$500,3,FALSE),"")</f>
        <v>0</v>
      </c>
      <c r="D1216" s="28">
        <f>IFERROR(VLOOKUP(B1216,'SAÍDA DE VENDAS'!$B$6:$P$500,4,FALSE),"")</f>
        <v>0</v>
      </c>
      <c r="E1216" s="28" t="str">
        <f>IFERROR(VLOOKUP(B1216,'SAÍDA DE VENDAS'!$B$6:$P$500,5,FALSE),"")</f>
        <v/>
      </c>
      <c r="F1216" s="28" t="str">
        <f>IF(OR(ISBLANK(B1216),B1216=""), "", IFERROR(INDEX('SAÍDA DE VENDAS'!$H$6:$H$500 &amp; "x " &amp; 'SAÍDA DE VENDAS'!$G$6:$G$500, MATCH(B1216, 'SAÍDA DE VENDAS'!$B$6:$B$500, 0)), "")&amp; IF(COUNTIF('SAÍDA DE VENDAS'!$B$6:$B$500, B1216)&gt;1, " + " &amp; IFERROR(INDEX('SAÍDA DE VENDAS'!$H$6:$H$500 &amp; "x " &amp; 'SAÍDA DE VENDAS'!$G$6:$G$500, MATCH(B1216, 'SAÍDA DE VENDAS'!$B$6:$B$500, 0)+1), ""), "")&amp; IF(COUNTIF('SAÍDA DE VENDAS'!$B$6:$B$500, B1216)&gt;2, " + " &amp; IFERROR(INDEX('SAÍDA DE VENDAS'!$H$6:$H$500 &amp; "x " &amp; 'SAÍDA DE VENDAS'!$G$6:$G$500, MATCH(B1216, 'SAÍDA DE VENDAS'!$B$6:$B$500, 0)+2), ""), "")&amp; IF(COUNTIF('SAÍDA DE VENDAS'!$B$6:$B$500, B1216)&gt;3, " + " &amp; IFERROR(INDEX('SAÍDA DE VENDAS'!$H$6:$H$500 &amp; "x " &amp; 'SAÍDA DE VENDAS'!$G$6:$G$500, MATCH(B1216, 'SAÍDA DE VENDAS'!$B$6:$B$500, 0)+3), ""), "")&amp; IF(COUNTIF('SAÍDA DE VENDAS'!$B$6:$B$500, B1216)&gt;4, " + " &amp; IFERROR(INDEX('SAÍDA DE VENDAS'!$H$6:$H$500 &amp; "x " &amp; 'SAÍDA DE VENDAS'!$G$6:$G$500, MATCH(B1216, 'SAÍDA DE VENDAS'!$B$6:$B$500, 0)+4), ""), "")&amp; IF(COUNTIF('SAÍDA DE VENDAS'!$B$6:$B$500, B1216)&gt;5, " + " &amp; IFERROR(INDEX('SAÍDA DE VENDAS'!$H$6:$H$500 &amp; "x " &amp; 'SAÍDA DE VENDAS'!$G$6:$G$500, MATCH(B1216, 'SAÍDA DE VENDAS'!$B$6:$B$500, 0)+5), ""), ""))</f>
        <v/>
      </c>
      <c r="G1216" s="28">
        <f>IFERROR(VLOOKUP(B1216,'SAÍDA DE VENDAS'!$B$6:$P$500,10,FALSE),"")</f>
        <v>0</v>
      </c>
      <c r="H1216" s="28" t="str">
        <f>IF(OR(ISBLANK(B1216),B1216=""), "", IF(B1216=B1215, (VALUE(LEFT(H1215,FIND("/",H1215)-1))+1)&amp;"/"&amp;RIGHT(H1215,LEN(H1215)-FIND("/",H1215)), "1/"&amp;IFERROR(VLOOKUP(B1216,'SAÍDA DE VENDAS'!$B$6:$P$500,13,FALSE),"1")))</f>
        <v/>
      </c>
      <c r="I1216" s="69" t="str">
        <f t="shared" si="36"/>
        <v/>
      </c>
      <c r="J1216" s="33" t="str">
        <f>IFERROR(VLOOKUP(B1216,'SAÍDA DE VENDAS'!$B$6:$P$500,15,FALSE),"")</f>
        <v/>
      </c>
      <c r="K1216" s="28" t="str">
        <f t="shared" ca="1" si="37"/>
        <v/>
      </c>
      <c r="L1216" s="28"/>
      <c r="M1216" s="28"/>
    </row>
    <row r="1217" spans="2:13" ht="15" customHeight="1" x14ac:dyDescent="0.3">
      <c r="B1217" s="34" t="str">
        <f>IF(B1216="","", IF(VALUE(LEFT(H1216,FIND("/",H1216)-1)) &lt; VALUE(RIGHT(H1216,LEN(H1216)-FIND("/",H1216))), B1216, IFERROR(INDEX('SAÍDA DE VENDAS'!$B$6:$B$500, MATCH(B1216,'SAÍDA DE VENDAS'!$B$6:$B$500,0)+COUNTIF('SAÍDA DE VENDAS'!$B$6:$B$500, B1216)),"")))</f>
        <v/>
      </c>
      <c r="C1217" s="35">
        <f>IFERROR(VLOOKUP(B1217,'SAÍDA DE VENDAS'!$B$6:$P$500,3,FALSE),"")</f>
        <v>0</v>
      </c>
      <c r="D1217" s="34">
        <f>IFERROR(VLOOKUP(B1217,'SAÍDA DE VENDAS'!$B$6:$P$500,4,FALSE),"")</f>
        <v>0</v>
      </c>
      <c r="E1217" s="34" t="str">
        <f>IFERROR(VLOOKUP(B1217,'SAÍDA DE VENDAS'!$B$6:$P$500,5,FALSE),"")</f>
        <v/>
      </c>
      <c r="F1217" s="34" t="str">
        <f>IF(OR(ISBLANK(B1217),B1217=""), "", IFERROR(INDEX('SAÍDA DE VENDAS'!$H$6:$H$500 &amp; "x " &amp; 'SAÍDA DE VENDAS'!$G$6:$G$500, MATCH(B1217, 'SAÍDA DE VENDAS'!$B$6:$B$500, 0)), "")&amp; IF(COUNTIF('SAÍDA DE VENDAS'!$B$6:$B$500, B1217)&gt;1, " + " &amp; IFERROR(INDEX('SAÍDA DE VENDAS'!$H$6:$H$500 &amp; "x " &amp; 'SAÍDA DE VENDAS'!$G$6:$G$500, MATCH(B1217, 'SAÍDA DE VENDAS'!$B$6:$B$500, 0)+1), ""), "")&amp; IF(COUNTIF('SAÍDA DE VENDAS'!$B$6:$B$500, B1217)&gt;2, " + " &amp; IFERROR(INDEX('SAÍDA DE VENDAS'!$H$6:$H$500 &amp; "x " &amp; 'SAÍDA DE VENDAS'!$G$6:$G$500, MATCH(B1217, 'SAÍDA DE VENDAS'!$B$6:$B$500, 0)+2), ""), "")&amp; IF(COUNTIF('SAÍDA DE VENDAS'!$B$6:$B$500, B1217)&gt;3, " + " &amp; IFERROR(INDEX('SAÍDA DE VENDAS'!$H$6:$H$500 &amp; "x " &amp; 'SAÍDA DE VENDAS'!$G$6:$G$500, MATCH(B1217, 'SAÍDA DE VENDAS'!$B$6:$B$500, 0)+3), ""), "")&amp; IF(COUNTIF('SAÍDA DE VENDAS'!$B$6:$B$500, B1217)&gt;4, " + " &amp; IFERROR(INDEX('SAÍDA DE VENDAS'!$H$6:$H$500 &amp; "x " &amp; 'SAÍDA DE VENDAS'!$G$6:$G$500, MATCH(B1217, 'SAÍDA DE VENDAS'!$B$6:$B$500, 0)+4), ""), "")&amp; IF(COUNTIF('SAÍDA DE VENDAS'!$B$6:$B$500, B1217)&gt;5, " + " &amp; IFERROR(INDEX('SAÍDA DE VENDAS'!$H$6:$H$500 &amp; "x " &amp; 'SAÍDA DE VENDAS'!$G$6:$G$500, MATCH(B1217, 'SAÍDA DE VENDAS'!$B$6:$B$500, 0)+5), ""), ""))</f>
        <v/>
      </c>
      <c r="G1217" s="34">
        <f>IFERROR(VLOOKUP(B1217,'SAÍDA DE VENDAS'!$B$6:$P$500,10,FALSE),"")</f>
        <v>0</v>
      </c>
      <c r="H1217" s="34" t="str">
        <f>IF(OR(ISBLANK(B1217),B1217=""), "", IF(B1217=B1216, (VALUE(LEFT(H1216,FIND("/",H1216)-1))+1)&amp;"/"&amp;RIGHT(H1216,LEN(H1216)-FIND("/",H1216)), "1/"&amp;IFERROR(VLOOKUP(B1217,'SAÍDA DE VENDAS'!$B$6:$P$500,13,FALSE),"1")))</f>
        <v/>
      </c>
      <c r="I1217" s="35" t="str">
        <f t="shared" si="36"/>
        <v/>
      </c>
      <c r="J1217" s="39" t="str">
        <f>IFERROR(VLOOKUP(B1217,'SAÍDA DE VENDAS'!$B$6:$P$500,15,FALSE),"")</f>
        <v/>
      </c>
      <c r="K1217" s="34" t="str">
        <f t="shared" ca="1" si="37"/>
        <v/>
      </c>
      <c r="L1217" s="34"/>
      <c r="M1217" s="34"/>
    </row>
    <row r="1218" spans="2:13" ht="15" customHeight="1" x14ac:dyDescent="0.3">
      <c r="B1218" s="28" t="str">
        <f>IF(B1217="","", IF(VALUE(LEFT(H1217,FIND("/",H1217)-1)) &lt; VALUE(RIGHT(H1217,LEN(H1217)-FIND("/",H1217))), B1217, IFERROR(INDEX('SAÍDA DE VENDAS'!$B$6:$B$500, MATCH(B1217,'SAÍDA DE VENDAS'!$B$6:$B$500,0)+COUNTIF('SAÍDA DE VENDAS'!$B$6:$B$500, B1217)),"")))</f>
        <v/>
      </c>
      <c r="C1218" s="29">
        <f>IFERROR(VLOOKUP(B1218,'SAÍDA DE VENDAS'!$B$6:$P$500,3,FALSE),"")</f>
        <v>0</v>
      </c>
      <c r="D1218" s="28">
        <f>IFERROR(VLOOKUP(B1218,'SAÍDA DE VENDAS'!$B$6:$P$500,4,FALSE),"")</f>
        <v>0</v>
      </c>
      <c r="E1218" s="28" t="str">
        <f>IFERROR(VLOOKUP(B1218,'SAÍDA DE VENDAS'!$B$6:$P$500,5,FALSE),"")</f>
        <v/>
      </c>
      <c r="F1218" s="28" t="str">
        <f>IF(OR(ISBLANK(B1218),B1218=""), "", IFERROR(INDEX('SAÍDA DE VENDAS'!$H$6:$H$500 &amp; "x " &amp; 'SAÍDA DE VENDAS'!$G$6:$G$500, MATCH(B1218, 'SAÍDA DE VENDAS'!$B$6:$B$500, 0)), "")&amp; IF(COUNTIF('SAÍDA DE VENDAS'!$B$6:$B$500, B1218)&gt;1, " + " &amp; IFERROR(INDEX('SAÍDA DE VENDAS'!$H$6:$H$500 &amp; "x " &amp; 'SAÍDA DE VENDAS'!$G$6:$G$500, MATCH(B1218, 'SAÍDA DE VENDAS'!$B$6:$B$500, 0)+1), ""), "")&amp; IF(COUNTIF('SAÍDA DE VENDAS'!$B$6:$B$500, B1218)&gt;2, " + " &amp; IFERROR(INDEX('SAÍDA DE VENDAS'!$H$6:$H$500 &amp; "x " &amp; 'SAÍDA DE VENDAS'!$G$6:$G$500, MATCH(B1218, 'SAÍDA DE VENDAS'!$B$6:$B$500, 0)+2), ""), "")&amp; IF(COUNTIF('SAÍDA DE VENDAS'!$B$6:$B$500, B1218)&gt;3, " + " &amp; IFERROR(INDEX('SAÍDA DE VENDAS'!$H$6:$H$500 &amp; "x " &amp; 'SAÍDA DE VENDAS'!$G$6:$G$500, MATCH(B1218, 'SAÍDA DE VENDAS'!$B$6:$B$500, 0)+3), ""), "")&amp; IF(COUNTIF('SAÍDA DE VENDAS'!$B$6:$B$500, B1218)&gt;4, " + " &amp; IFERROR(INDEX('SAÍDA DE VENDAS'!$H$6:$H$500 &amp; "x " &amp; 'SAÍDA DE VENDAS'!$G$6:$G$500, MATCH(B1218, 'SAÍDA DE VENDAS'!$B$6:$B$500, 0)+4), ""), "")&amp; IF(COUNTIF('SAÍDA DE VENDAS'!$B$6:$B$500, B1218)&gt;5, " + " &amp; IFERROR(INDEX('SAÍDA DE VENDAS'!$H$6:$H$500 &amp; "x " &amp; 'SAÍDA DE VENDAS'!$G$6:$G$500, MATCH(B1218, 'SAÍDA DE VENDAS'!$B$6:$B$500, 0)+5), ""), ""))</f>
        <v/>
      </c>
      <c r="G1218" s="28">
        <f>IFERROR(VLOOKUP(B1218,'SAÍDA DE VENDAS'!$B$6:$P$500,10,FALSE),"")</f>
        <v>0</v>
      </c>
      <c r="H1218" s="28" t="str">
        <f>IF(OR(ISBLANK(B1218),B1218=""), "", IF(B1218=B1217, (VALUE(LEFT(H1217,FIND("/",H1217)-1))+1)&amp;"/"&amp;RIGHT(H1217,LEN(H1217)-FIND("/",H1217)), "1/"&amp;IFERROR(VLOOKUP(B1218,'SAÍDA DE VENDAS'!$B$6:$P$500,13,FALSE),"1")))</f>
        <v/>
      </c>
      <c r="I1218" s="69" t="str">
        <f t="shared" si="36"/>
        <v/>
      </c>
      <c r="J1218" s="33" t="str">
        <f>IFERROR(VLOOKUP(B1218,'SAÍDA DE VENDAS'!$B$6:$P$500,15,FALSE),"")</f>
        <v/>
      </c>
      <c r="K1218" s="28" t="str">
        <f t="shared" ca="1" si="37"/>
        <v/>
      </c>
      <c r="L1218" s="28"/>
      <c r="M1218" s="28"/>
    </row>
    <row r="1219" spans="2:13" ht="15" customHeight="1" x14ac:dyDescent="0.3">
      <c r="B1219" s="34" t="str">
        <f>IF(B1218="","", IF(VALUE(LEFT(H1218,FIND("/",H1218)-1)) &lt; VALUE(RIGHT(H1218,LEN(H1218)-FIND("/",H1218))), B1218, IFERROR(INDEX('SAÍDA DE VENDAS'!$B$6:$B$500, MATCH(B1218,'SAÍDA DE VENDAS'!$B$6:$B$500,0)+COUNTIF('SAÍDA DE VENDAS'!$B$6:$B$500, B1218)),"")))</f>
        <v/>
      </c>
      <c r="C1219" s="35">
        <f>IFERROR(VLOOKUP(B1219,'SAÍDA DE VENDAS'!$B$6:$P$500,3,FALSE),"")</f>
        <v>0</v>
      </c>
      <c r="D1219" s="34">
        <f>IFERROR(VLOOKUP(B1219,'SAÍDA DE VENDAS'!$B$6:$P$500,4,FALSE),"")</f>
        <v>0</v>
      </c>
      <c r="E1219" s="34" t="str">
        <f>IFERROR(VLOOKUP(B1219,'SAÍDA DE VENDAS'!$B$6:$P$500,5,FALSE),"")</f>
        <v/>
      </c>
      <c r="F1219" s="34" t="str">
        <f>IF(OR(ISBLANK(B1219),B1219=""), "", IFERROR(INDEX('SAÍDA DE VENDAS'!$H$6:$H$500 &amp; "x " &amp; 'SAÍDA DE VENDAS'!$G$6:$G$500, MATCH(B1219, 'SAÍDA DE VENDAS'!$B$6:$B$500, 0)), "")&amp; IF(COUNTIF('SAÍDA DE VENDAS'!$B$6:$B$500, B1219)&gt;1, " + " &amp; IFERROR(INDEX('SAÍDA DE VENDAS'!$H$6:$H$500 &amp; "x " &amp; 'SAÍDA DE VENDAS'!$G$6:$G$500, MATCH(B1219, 'SAÍDA DE VENDAS'!$B$6:$B$500, 0)+1), ""), "")&amp; IF(COUNTIF('SAÍDA DE VENDAS'!$B$6:$B$500, B1219)&gt;2, " + " &amp; IFERROR(INDEX('SAÍDA DE VENDAS'!$H$6:$H$500 &amp; "x " &amp; 'SAÍDA DE VENDAS'!$G$6:$G$500, MATCH(B1219, 'SAÍDA DE VENDAS'!$B$6:$B$500, 0)+2), ""), "")&amp; IF(COUNTIF('SAÍDA DE VENDAS'!$B$6:$B$500, B1219)&gt;3, " + " &amp; IFERROR(INDEX('SAÍDA DE VENDAS'!$H$6:$H$500 &amp; "x " &amp; 'SAÍDA DE VENDAS'!$G$6:$G$500, MATCH(B1219, 'SAÍDA DE VENDAS'!$B$6:$B$500, 0)+3), ""), "")&amp; IF(COUNTIF('SAÍDA DE VENDAS'!$B$6:$B$500, B1219)&gt;4, " + " &amp; IFERROR(INDEX('SAÍDA DE VENDAS'!$H$6:$H$500 &amp; "x " &amp; 'SAÍDA DE VENDAS'!$G$6:$G$500, MATCH(B1219, 'SAÍDA DE VENDAS'!$B$6:$B$500, 0)+4), ""), "")&amp; IF(COUNTIF('SAÍDA DE VENDAS'!$B$6:$B$500, B1219)&gt;5, " + " &amp; IFERROR(INDEX('SAÍDA DE VENDAS'!$H$6:$H$500 &amp; "x " &amp; 'SAÍDA DE VENDAS'!$G$6:$G$500, MATCH(B1219, 'SAÍDA DE VENDAS'!$B$6:$B$500, 0)+5), ""), ""))</f>
        <v/>
      </c>
      <c r="G1219" s="34">
        <f>IFERROR(VLOOKUP(B1219,'SAÍDA DE VENDAS'!$B$6:$P$500,10,FALSE),"")</f>
        <v>0</v>
      </c>
      <c r="H1219" s="34" t="str">
        <f>IF(OR(ISBLANK(B1219),B1219=""), "", IF(B1219=B1218, (VALUE(LEFT(H1218,FIND("/",H1218)-1))+1)&amp;"/"&amp;RIGHT(H1218,LEN(H1218)-FIND("/",H1218)), "1/"&amp;IFERROR(VLOOKUP(B1219,'SAÍDA DE VENDAS'!$B$6:$P$500,13,FALSE),"1")))</f>
        <v/>
      </c>
      <c r="I1219" s="35" t="str">
        <f t="shared" si="36"/>
        <v/>
      </c>
      <c r="J1219" s="39" t="str">
        <f>IFERROR(VLOOKUP(B1219,'SAÍDA DE VENDAS'!$B$6:$P$500,15,FALSE),"")</f>
        <v/>
      </c>
      <c r="K1219" s="34" t="str">
        <f t="shared" ca="1" si="37"/>
        <v/>
      </c>
      <c r="L1219" s="34"/>
      <c r="M1219" s="34"/>
    </row>
    <row r="1220" spans="2:13" ht="15" customHeight="1" x14ac:dyDescent="0.3">
      <c r="B1220" s="28" t="str">
        <f>IF(B1219="","", IF(VALUE(LEFT(H1219,FIND("/",H1219)-1)) &lt; VALUE(RIGHT(H1219,LEN(H1219)-FIND("/",H1219))), B1219, IFERROR(INDEX('SAÍDA DE VENDAS'!$B$6:$B$500, MATCH(B1219,'SAÍDA DE VENDAS'!$B$6:$B$500,0)+COUNTIF('SAÍDA DE VENDAS'!$B$6:$B$500, B1219)),"")))</f>
        <v/>
      </c>
      <c r="C1220" s="29">
        <f>IFERROR(VLOOKUP(B1220,'SAÍDA DE VENDAS'!$B$6:$P$500,3,FALSE),"")</f>
        <v>0</v>
      </c>
      <c r="D1220" s="28">
        <f>IFERROR(VLOOKUP(B1220,'SAÍDA DE VENDAS'!$B$6:$P$500,4,FALSE),"")</f>
        <v>0</v>
      </c>
      <c r="E1220" s="28" t="str">
        <f>IFERROR(VLOOKUP(B1220,'SAÍDA DE VENDAS'!$B$6:$P$500,5,FALSE),"")</f>
        <v/>
      </c>
      <c r="F1220" s="28" t="str">
        <f>IF(OR(ISBLANK(B1220),B1220=""), "", IFERROR(INDEX('SAÍDA DE VENDAS'!$H$6:$H$500 &amp; "x " &amp; 'SAÍDA DE VENDAS'!$G$6:$G$500, MATCH(B1220, 'SAÍDA DE VENDAS'!$B$6:$B$500, 0)), "")&amp; IF(COUNTIF('SAÍDA DE VENDAS'!$B$6:$B$500, B1220)&gt;1, " + " &amp; IFERROR(INDEX('SAÍDA DE VENDAS'!$H$6:$H$500 &amp; "x " &amp; 'SAÍDA DE VENDAS'!$G$6:$G$500, MATCH(B1220, 'SAÍDA DE VENDAS'!$B$6:$B$500, 0)+1), ""), "")&amp; IF(COUNTIF('SAÍDA DE VENDAS'!$B$6:$B$500, B1220)&gt;2, " + " &amp; IFERROR(INDEX('SAÍDA DE VENDAS'!$H$6:$H$500 &amp; "x " &amp; 'SAÍDA DE VENDAS'!$G$6:$G$500, MATCH(B1220, 'SAÍDA DE VENDAS'!$B$6:$B$500, 0)+2), ""), "")&amp; IF(COUNTIF('SAÍDA DE VENDAS'!$B$6:$B$500, B1220)&gt;3, " + " &amp; IFERROR(INDEX('SAÍDA DE VENDAS'!$H$6:$H$500 &amp; "x " &amp; 'SAÍDA DE VENDAS'!$G$6:$G$500, MATCH(B1220, 'SAÍDA DE VENDAS'!$B$6:$B$500, 0)+3), ""), "")&amp; IF(COUNTIF('SAÍDA DE VENDAS'!$B$6:$B$500, B1220)&gt;4, " + " &amp; IFERROR(INDEX('SAÍDA DE VENDAS'!$H$6:$H$500 &amp; "x " &amp; 'SAÍDA DE VENDAS'!$G$6:$G$500, MATCH(B1220, 'SAÍDA DE VENDAS'!$B$6:$B$500, 0)+4), ""), "")&amp; IF(COUNTIF('SAÍDA DE VENDAS'!$B$6:$B$500, B1220)&gt;5, " + " &amp; IFERROR(INDEX('SAÍDA DE VENDAS'!$H$6:$H$500 &amp; "x " &amp; 'SAÍDA DE VENDAS'!$G$6:$G$500, MATCH(B1220, 'SAÍDA DE VENDAS'!$B$6:$B$500, 0)+5), ""), ""))</f>
        <v/>
      </c>
      <c r="G1220" s="28">
        <f>IFERROR(VLOOKUP(B1220,'SAÍDA DE VENDAS'!$B$6:$P$500,10,FALSE),"")</f>
        <v>0</v>
      </c>
      <c r="H1220" s="28" t="str">
        <f>IF(OR(ISBLANK(B1220),B1220=""), "", IF(B1220=B1219, (VALUE(LEFT(H1219,FIND("/",H1219)-1))+1)&amp;"/"&amp;RIGHT(H1219,LEN(H1219)-FIND("/",H1219)), "1/"&amp;IFERROR(VLOOKUP(B1220,'SAÍDA DE VENDAS'!$B$6:$P$500,13,FALSE),"1")))</f>
        <v/>
      </c>
      <c r="I1220" s="69" t="str">
        <f t="shared" si="36"/>
        <v/>
      </c>
      <c r="J1220" s="33" t="str">
        <f>IFERROR(VLOOKUP(B1220,'SAÍDA DE VENDAS'!$B$6:$P$500,15,FALSE),"")</f>
        <v/>
      </c>
      <c r="K1220" s="28" t="str">
        <f t="shared" ca="1" si="37"/>
        <v/>
      </c>
      <c r="L1220" s="28"/>
      <c r="M1220" s="28"/>
    </row>
    <row r="1221" spans="2:13" ht="15" customHeight="1" x14ac:dyDescent="0.3">
      <c r="B1221" s="34" t="str">
        <f>IF(B1220="","", IF(VALUE(LEFT(H1220,FIND("/",H1220)-1)) &lt; VALUE(RIGHT(H1220,LEN(H1220)-FIND("/",H1220))), B1220, IFERROR(INDEX('SAÍDA DE VENDAS'!$B$6:$B$500, MATCH(B1220,'SAÍDA DE VENDAS'!$B$6:$B$500,0)+COUNTIF('SAÍDA DE VENDAS'!$B$6:$B$500, B1220)),"")))</f>
        <v/>
      </c>
      <c r="C1221" s="35">
        <f>IFERROR(VLOOKUP(B1221,'SAÍDA DE VENDAS'!$B$6:$P$500,3,FALSE),"")</f>
        <v>0</v>
      </c>
      <c r="D1221" s="34">
        <f>IFERROR(VLOOKUP(B1221,'SAÍDA DE VENDAS'!$B$6:$P$500,4,FALSE),"")</f>
        <v>0</v>
      </c>
      <c r="E1221" s="34" t="str">
        <f>IFERROR(VLOOKUP(B1221,'SAÍDA DE VENDAS'!$B$6:$P$500,5,FALSE),"")</f>
        <v/>
      </c>
      <c r="F1221" s="34" t="str">
        <f>IF(OR(ISBLANK(B1221),B1221=""), "", IFERROR(INDEX('SAÍDA DE VENDAS'!$H$6:$H$500 &amp; "x " &amp; 'SAÍDA DE VENDAS'!$G$6:$G$500, MATCH(B1221, 'SAÍDA DE VENDAS'!$B$6:$B$500, 0)), "")&amp; IF(COUNTIF('SAÍDA DE VENDAS'!$B$6:$B$500, B1221)&gt;1, " + " &amp; IFERROR(INDEX('SAÍDA DE VENDAS'!$H$6:$H$500 &amp; "x " &amp; 'SAÍDA DE VENDAS'!$G$6:$G$500, MATCH(B1221, 'SAÍDA DE VENDAS'!$B$6:$B$500, 0)+1), ""), "")&amp; IF(COUNTIF('SAÍDA DE VENDAS'!$B$6:$B$500, B1221)&gt;2, " + " &amp; IFERROR(INDEX('SAÍDA DE VENDAS'!$H$6:$H$500 &amp; "x " &amp; 'SAÍDA DE VENDAS'!$G$6:$G$500, MATCH(B1221, 'SAÍDA DE VENDAS'!$B$6:$B$500, 0)+2), ""), "")&amp; IF(COUNTIF('SAÍDA DE VENDAS'!$B$6:$B$500, B1221)&gt;3, " + " &amp; IFERROR(INDEX('SAÍDA DE VENDAS'!$H$6:$H$500 &amp; "x " &amp; 'SAÍDA DE VENDAS'!$G$6:$G$500, MATCH(B1221, 'SAÍDA DE VENDAS'!$B$6:$B$500, 0)+3), ""), "")&amp; IF(COUNTIF('SAÍDA DE VENDAS'!$B$6:$B$500, B1221)&gt;4, " + " &amp; IFERROR(INDEX('SAÍDA DE VENDAS'!$H$6:$H$500 &amp; "x " &amp; 'SAÍDA DE VENDAS'!$G$6:$G$500, MATCH(B1221, 'SAÍDA DE VENDAS'!$B$6:$B$500, 0)+4), ""), "")&amp; IF(COUNTIF('SAÍDA DE VENDAS'!$B$6:$B$500, B1221)&gt;5, " + " &amp; IFERROR(INDEX('SAÍDA DE VENDAS'!$H$6:$H$500 &amp; "x " &amp; 'SAÍDA DE VENDAS'!$G$6:$G$500, MATCH(B1221, 'SAÍDA DE VENDAS'!$B$6:$B$500, 0)+5), ""), ""))</f>
        <v/>
      </c>
      <c r="G1221" s="34">
        <f>IFERROR(VLOOKUP(B1221,'SAÍDA DE VENDAS'!$B$6:$P$500,10,FALSE),"")</f>
        <v>0</v>
      </c>
      <c r="H1221" s="34" t="str">
        <f>IF(OR(ISBLANK(B1221),B1221=""), "", IF(B1221=B1220, (VALUE(LEFT(H1220,FIND("/",H1220)-1))+1)&amp;"/"&amp;RIGHT(H1220,LEN(H1220)-FIND("/",H1220)), "1/"&amp;IFERROR(VLOOKUP(B1221,'SAÍDA DE VENDAS'!$B$6:$P$500,13,FALSE),"1")))</f>
        <v/>
      </c>
      <c r="I1221" s="35" t="str">
        <f t="shared" si="36"/>
        <v/>
      </c>
      <c r="J1221" s="39" t="str">
        <f>IFERROR(VLOOKUP(B1221,'SAÍDA DE VENDAS'!$B$6:$P$500,15,FALSE),"")</f>
        <v/>
      </c>
      <c r="K1221" s="34" t="str">
        <f t="shared" ca="1" si="37"/>
        <v/>
      </c>
      <c r="L1221" s="34"/>
      <c r="M1221" s="34"/>
    </row>
    <row r="1222" spans="2:13" ht="15" customHeight="1" x14ac:dyDescent="0.3">
      <c r="B1222" s="28" t="str">
        <f>IF(B1221="","", IF(VALUE(LEFT(H1221,FIND("/",H1221)-1)) &lt; VALUE(RIGHT(H1221,LEN(H1221)-FIND("/",H1221))), B1221, IFERROR(INDEX('SAÍDA DE VENDAS'!$B$6:$B$500, MATCH(B1221,'SAÍDA DE VENDAS'!$B$6:$B$500,0)+COUNTIF('SAÍDA DE VENDAS'!$B$6:$B$500, B1221)),"")))</f>
        <v/>
      </c>
      <c r="C1222" s="29">
        <f>IFERROR(VLOOKUP(B1222,'SAÍDA DE VENDAS'!$B$6:$P$500,3,FALSE),"")</f>
        <v>0</v>
      </c>
      <c r="D1222" s="28">
        <f>IFERROR(VLOOKUP(B1222,'SAÍDA DE VENDAS'!$B$6:$P$500,4,FALSE),"")</f>
        <v>0</v>
      </c>
      <c r="E1222" s="28" t="str">
        <f>IFERROR(VLOOKUP(B1222,'SAÍDA DE VENDAS'!$B$6:$P$500,5,FALSE),"")</f>
        <v/>
      </c>
      <c r="F1222" s="28" t="str">
        <f>IF(OR(ISBLANK(B1222),B1222=""), "", IFERROR(INDEX('SAÍDA DE VENDAS'!$H$6:$H$500 &amp; "x " &amp; 'SAÍDA DE VENDAS'!$G$6:$G$500, MATCH(B1222, 'SAÍDA DE VENDAS'!$B$6:$B$500, 0)), "")&amp; IF(COUNTIF('SAÍDA DE VENDAS'!$B$6:$B$500, B1222)&gt;1, " + " &amp; IFERROR(INDEX('SAÍDA DE VENDAS'!$H$6:$H$500 &amp; "x " &amp; 'SAÍDA DE VENDAS'!$G$6:$G$500, MATCH(B1222, 'SAÍDA DE VENDAS'!$B$6:$B$500, 0)+1), ""), "")&amp; IF(COUNTIF('SAÍDA DE VENDAS'!$B$6:$B$500, B1222)&gt;2, " + " &amp; IFERROR(INDEX('SAÍDA DE VENDAS'!$H$6:$H$500 &amp; "x " &amp; 'SAÍDA DE VENDAS'!$G$6:$G$500, MATCH(B1222, 'SAÍDA DE VENDAS'!$B$6:$B$500, 0)+2), ""), "")&amp; IF(COUNTIF('SAÍDA DE VENDAS'!$B$6:$B$500, B1222)&gt;3, " + " &amp; IFERROR(INDEX('SAÍDA DE VENDAS'!$H$6:$H$500 &amp; "x " &amp; 'SAÍDA DE VENDAS'!$G$6:$G$500, MATCH(B1222, 'SAÍDA DE VENDAS'!$B$6:$B$500, 0)+3), ""), "")&amp; IF(COUNTIF('SAÍDA DE VENDAS'!$B$6:$B$500, B1222)&gt;4, " + " &amp; IFERROR(INDEX('SAÍDA DE VENDAS'!$H$6:$H$500 &amp; "x " &amp; 'SAÍDA DE VENDAS'!$G$6:$G$500, MATCH(B1222, 'SAÍDA DE VENDAS'!$B$6:$B$500, 0)+4), ""), "")&amp; IF(COUNTIF('SAÍDA DE VENDAS'!$B$6:$B$500, B1222)&gt;5, " + " &amp; IFERROR(INDEX('SAÍDA DE VENDAS'!$H$6:$H$500 &amp; "x " &amp; 'SAÍDA DE VENDAS'!$G$6:$G$500, MATCH(B1222, 'SAÍDA DE VENDAS'!$B$6:$B$500, 0)+5), ""), ""))</f>
        <v/>
      </c>
      <c r="G1222" s="28">
        <f>IFERROR(VLOOKUP(B1222,'SAÍDA DE VENDAS'!$B$6:$P$500,10,FALSE),"")</f>
        <v>0</v>
      </c>
      <c r="H1222" s="28" t="str">
        <f>IF(OR(ISBLANK(B1222),B1222=""), "", IF(B1222=B1221, (VALUE(LEFT(H1221,FIND("/",H1221)-1))+1)&amp;"/"&amp;RIGHT(H1221,LEN(H1221)-FIND("/",H1221)), "1/"&amp;IFERROR(VLOOKUP(B1222,'SAÍDA DE VENDAS'!$B$6:$P$500,13,FALSE),"1")))</f>
        <v/>
      </c>
      <c r="I1222" s="69" t="str">
        <f t="shared" ref="I1222:I1285" si="38">IF(OR(ISBLANK(B1222), B1222="", C1222=""), "", C1222 + (IFERROR(VALUE(LEFT(H1222, FIND("/", H1222)-1)), 1) * 30))</f>
        <v/>
      </c>
      <c r="J1222" s="33" t="str">
        <f>IFERROR(VLOOKUP(B1222,'SAÍDA DE VENDAS'!$B$6:$P$500,15,FALSE),"")</f>
        <v/>
      </c>
      <c r="K1222" s="28" t="str">
        <f t="shared" ref="K1222:K1285" ca="1" si="39">IF(B1222="","", IF(OR(G1222="À Vista", L1222&lt;&gt;""), "Pago", IF(AND(I1222&lt;&gt;"", I1222&lt;TODAY()), "Atrasado", "Pendente")))</f>
        <v/>
      </c>
      <c r="L1222" s="28"/>
      <c r="M1222" s="28"/>
    </row>
    <row r="1223" spans="2:13" ht="15" customHeight="1" x14ac:dyDescent="0.3">
      <c r="B1223" s="34" t="str">
        <f>IF(B1222="","", IF(VALUE(LEFT(H1222,FIND("/",H1222)-1)) &lt; VALUE(RIGHT(H1222,LEN(H1222)-FIND("/",H1222))), B1222, IFERROR(INDEX('SAÍDA DE VENDAS'!$B$6:$B$500, MATCH(B1222,'SAÍDA DE VENDAS'!$B$6:$B$500,0)+COUNTIF('SAÍDA DE VENDAS'!$B$6:$B$500, B1222)),"")))</f>
        <v/>
      </c>
      <c r="C1223" s="35">
        <f>IFERROR(VLOOKUP(B1223,'SAÍDA DE VENDAS'!$B$6:$P$500,3,FALSE),"")</f>
        <v>0</v>
      </c>
      <c r="D1223" s="34">
        <f>IFERROR(VLOOKUP(B1223,'SAÍDA DE VENDAS'!$B$6:$P$500,4,FALSE),"")</f>
        <v>0</v>
      </c>
      <c r="E1223" s="34" t="str">
        <f>IFERROR(VLOOKUP(B1223,'SAÍDA DE VENDAS'!$B$6:$P$500,5,FALSE),"")</f>
        <v/>
      </c>
      <c r="F1223" s="34" t="str">
        <f>IF(OR(ISBLANK(B1223),B1223=""), "", IFERROR(INDEX('SAÍDA DE VENDAS'!$H$6:$H$500 &amp; "x " &amp; 'SAÍDA DE VENDAS'!$G$6:$G$500, MATCH(B1223, 'SAÍDA DE VENDAS'!$B$6:$B$500, 0)), "")&amp; IF(COUNTIF('SAÍDA DE VENDAS'!$B$6:$B$500, B1223)&gt;1, " + " &amp; IFERROR(INDEX('SAÍDA DE VENDAS'!$H$6:$H$500 &amp; "x " &amp; 'SAÍDA DE VENDAS'!$G$6:$G$500, MATCH(B1223, 'SAÍDA DE VENDAS'!$B$6:$B$500, 0)+1), ""), "")&amp; IF(COUNTIF('SAÍDA DE VENDAS'!$B$6:$B$500, B1223)&gt;2, " + " &amp; IFERROR(INDEX('SAÍDA DE VENDAS'!$H$6:$H$500 &amp; "x " &amp; 'SAÍDA DE VENDAS'!$G$6:$G$500, MATCH(B1223, 'SAÍDA DE VENDAS'!$B$6:$B$500, 0)+2), ""), "")&amp; IF(COUNTIF('SAÍDA DE VENDAS'!$B$6:$B$500, B1223)&gt;3, " + " &amp; IFERROR(INDEX('SAÍDA DE VENDAS'!$H$6:$H$500 &amp; "x " &amp; 'SAÍDA DE VENDAS'!$G$6:$G$500, MATCH(B1223, 'SAÍDA DE VENDAS'!$B$6:$B$500, 0)+3), ""), "")&amp; IF(COUNTIF('SAÍDA DE VENDAS'!$B$6:$B$500, B1223)&gt;4, " + " &amp; IFERROR(INDEX('SAÍDA DE VENDAS'!$H$6:$H$500 &amp; "x " &amp; 'SAÍDA DE VENDAS'!$G$6:$G$500, MATCH(B1223, 'SAÍDA DE VENDAS'!$B$6:$B$500, 0)+4), ""), "")&amp; IF(COUNTIF('SAÍDA DE VENDAS'!$B$6:$B$500, B1223)&gt;5, " + " &amp; IFERROR(INDEX('SAÍDA DE VENDAS'!$H$6:$H$500 &amp; "x " &amp; 'SAÍDA DE VENDAS'!$G$6:$G$500, MATCH(B1223, 'SAÍDA DE VENDAS'!$B$6:$B$500, 0)+5), ""), ""))</f>
        <v/>
      </c>
      <c r="G1223" s="34">
        <f>IFERROR(VLOOKUP(B1223,'SAÍDA DE VENDAS'!$B$6:$P$500,10,FALSE),"")</f>
        <v>0</v>
      </c>
      <c r="H1223" s="34" t="str">
        <f>IF(OR(ISBLANK(B1223),B1223=""), "", IF(B1223=B1222, (VALUE(LEFT(H1222,FIND("/",H1222)-1))+1)&amp;"/"&amp;RIGHT(H1222,LEN(H1222)-FIND("/",H1222)), "1/"&amp;IFERROR(VLOOKUP(B1223,'SAÍDA DE VENDAS'!$B$6:$P$500,13,FALSE),"1")))</f>
        <v/>
      </c>
      <c r="I1223" s="35" t="str">
        <f t="shared" si="38"/>
        <v/>
      </c>
      <c r="J1223" s="39" t="str">
        <f>IFERROR(VLOOKUP(B1223,'SAÍDA DE VENDAS'!$B$6:$P$500,15,FALSE),"")</f>
        <v/>
      </c>
      <c r="K1223" s="34" t="str">
        <f t="shared" ca="1" si="39"/>
        <v/>
      </c>
      <c r="L1223" s="34"/>
      <c r="M1223" s="34"/>
    </row>
    <row r="1224" spans="2:13" ht="15" customHeight="1" x14ac:dyDescent="0.3">
      <c r="B1224" s="28" t="str">
        <f>IF(B1223="","", IF(VALUE(LEFT(H1223,FIND("/",H1223)-1)) &lt; VALUE(RIGHT(H1223,LEN(H1223)-FIND("/",H1223))), B1223, IFERROR(INDEX('SAÍDA DE VENDAS'!$B$6:$B$500, MATCH(B1223,'SAÍDA DE VENDAS'!$B$6:$B$500,0)+COUNTIF('SAÍDA DE VENDAS'!$B$6:$B$500, B1223)),"")))</f>
        <v/>
      </c>
      <c r="C1224" s="29">
        <f>IFERROR(VLOOKUP(B1224,'SAÍDA DE VENDAS'!$B$6:$P$500,3,FALSE),"")</f>
        <v>0</v>
      </c>
      <c r="D1224" s="28">
        <f>IFERROR(VLOOKUP(B1224,'SAÍDA DE VENDAS'!$B$6:$P$500,4,FALSE),"")</f>
        <v>0</v>
      </c>
      <c r="E1224" s="28" t="str">
        <f>IFERROR(VLOOKUP(B1224,'SAÍDA DE VENDAS'!$B$6:$P$500,5,FALSE),"")</f>
        <v/>
      </c>
      <c r="F1224" s="28" t="str">
        <f>IF(OR(ISBLANK(B1224),B1224=""), "", IFERROR(INDEX('SAÍDA DE VENDAS'!$H$6:$H$500 &amp; "x " &amp; 'SAÍDA DE VENDAS'!$G$6:$G$500, MATCH(B1224, 'SAÍDA DE VENDAS'!$B$6:$B$500, 0)), "")&amp; IF(COUNTIF('SAÍDA DE VENDAS'!$B$6:$B$500, B1224)&gt;1, " + " &amp; IFERROR(INDEX('SAÍDA DE VENDAS'!$H$6:$H$500 &amp; "x " &amp; 'SAÍDA DE VENDAS'!$G$6:$G$500, MATCH(B1224, 'SAÍDA DE VENDAS'!$B$6:$B$500, 0)+1), ""), "")&amp; IF(COUNTIF('SAÍDA DE VENDAS'!$B$6:$B$500, B1224)&gt;2, " + " &amp; IFERROR(INDEX('SAÍDA DE VENDAS'!$H$6:$H$500 &amp; "x " &amp; 'SAÍDA DE VENDAS'!$G$6:$G$500, MATCH(B1224, 'SAÍDA DE VENDAS'!$B$6:$B$500, 0)+2), ""), "")&amp; IF(COUNTIF('SAÍDA DE VENDAS'!$B$6:$B$500, B1224)&gt;3, " + " &amp; IFERROR(INDEX('SAÍDA DE VENDAS'!$H$6:$H$500 &amp; "x " &amp; 'SAÍDA DE VENDAS'!$G$6:$G$500, MATCH(B1224, 'SAÍDA DE VENDAS'!$B$6:$B$500, 0)+3), ""), "")&amp; IF(COUNTIF('SAÍDA DE VENDAS'!$B$6:$B$500, B1224)&gt;4, " + " &amp; IFERROR(INDEX('SAÍDA DE VENDAS'!$H$6:$H$500 &amp; "x " &amp; 'SAÍDA DE VENDAS'!$G$6:$G$500, MATCH(B1224, 'SAÍDA DE VENDAS'!$B$6:$B$500, 0)+4), ""), "")&amp; IF(COUNTIF('SAÍDA DE VENDAS'!$B$6:$B$500, B1224)&gt;5, " + " &amp; IFERROR(INDEX('SAÍDA DE VENDAS'!$H$6:$H$500 &amp; "x " &amp; 'SAÍDA DE VENDAS'!$G$6:$G$500, MATCH(B1224, 'SAÍDA DE VENDAS'!$B$6:$B$500, 0)+5), ""), ""))</f>
        <v/>
      </c>
      <c r="G1224" s="28">
        <f>IFERROR(VLOOKUP(B1224,'SAÍDA DE VENDAS'!$B$6:$P$500,10,FALSE),"")</f>
        <v>0</v>
      </c>
      <c r="H1224" s="28" t="str">
        <f>IF(OR(ISBLANK(B1224),B1224=""), "", IF(B1224=B1223, (VALUE(LEFT(H1223,FIND("/",H1223)-1))+1)&amp;"/"&amp;RIGHT(H1223,LEN(H1223)-FIND("/",H1223)), "1/"&amp;IFERROR(VLOOKUP(B1224,'SAÍDA DE VENDAS'!$B$6:$P$500,13,FALSE),"1")))</f>
        <v/>
      </c>
      <c r="I1224" s="69" t="str">
        <f t="shared" si="38"/>
        <v/>
      </c>
      <c r="J1224" s="33" t="str">
        <f>IFERROR(VLOOKUP(B1224,'SAÍDA DE VENDAS'!$B$6:$P$500,15,FALSE),"")</f>
        <v/>
      </c>
      <c r="K1224" s="28" t="str">
        <f t="shared" ca="1" si="39"/>
        <v/>
      </c>
      <c r="L1224" s="28"/>
      <c r="M1224" s="28"/>
    </row>
    <row r="1225" spans="2:13" ht="15" customHeight="1" x14ac:dyDescent="0.3">
      <c r="B1225" s="34" t="str">
        <f>IF(B1224="","", IF(VALUE(LEFT(H1224,FIND("/",H1224)-1)) &lt; VALUE(RIGHT(H1224,LEN(H1224)-FIND("/",H1224))), B1224, IFERROR(INDEX('SAÍDA DE VENDAS'!$B$6:$B$500, MATCH(B1224,'SAÍDA DE VENDAS'!$B$6:$B$500,0)+COUNTIF('SAÍDA DE VENDAS'!$B$6:$B$500, B1224)),"")))</f>
        <v/>
      </c>
      <c r="C1225" s="35">
        <f>IFERROR(VLOOKUP(B1225,'SAÍDA DE VENDAS'!$B$6:$P$500,3,FALSE),"")</f>
        <v>0</v>
      </c>
      <c r="D1225" s="34">
        <f>IFERROR(VLOOKUP(B1225,'SAÍDA DE VENDAS'!$B$6:$P$500,4,FALSE),"")</f>
        <v>0</v>
      </c>
      <c r="E1225" s="34" t="str">
        <f>IFERROR(VLOOKUP(B1225,'SAÍDA DE VENDAS'!$B$6:$P$500,5,FALSE),"")</f>
        <v/>
      </c>
      <c r="F1225" s="34" t="str">
        <f>IF(OR(ISBLANK(B1225),B1225=""), "", IFERROR(INDEX('SAÍDA DE VENDAS'!$H$6:$H$500 &amp; "x " &amp; 'SAÍDA DE VENDAS'!$G$6:$G$500, MATCH(B1225, 'SAÍDA DE VENDAS'!$B$6:$B$500, 0)), "")&amp; IF(COUNTIF('SAÍDA DE VENDAS'!$B$6:$B$500, B1225)&gt;1, " + " &amp; IFERROR(INDEX('SAÍDA DE VENDAS'!$H$6:$H$500 &amp; "x " &amp; 'SAÍDA DE VENDAS'!$G$6:$G$500, MATCH(B1225, 'SAÍDA DE VENDAS'!$B$6:$B$500, 0)+1), ""), "")&amp; IF(COUNTIF('SAÍDA DE VENDAS'!$B$6:$B$500, B1225)&gt;2, " + " &amp; IFERROR(INDEX('SAÍDA DE VENDAS'!$H$6:$H$500 &amp; "x " &amp; 'SAÍDA DE VENDAS'!$G$6:$G$500, MATCH(B1225, 'SAÍDA DE VENDAS'!$B$6:$B$500, 0)+2), ""), "")&amp; IF(COUNTIF('SAÍDA DE VENDAS'!$B$6:$B$500, B1225)&gt;3, " + " &amp; IFERROR(INDEX('SAÍDA DE VENDAS'!$H$6:$H$500 &amp; "x " &amp; 'SAÍDA DE VENDAS'!$G$6:$G$500, MATCH(B1225, 'SAÍDA DE VENDAS'!$B$6:$B$500, 0)+3), ""), "")&amp; IF(COUNTIF('SAÍDA DE VENDAS'!$B$6:$B$500, B1225)&gt;4, " + " &amp; IFERROR(INDEX('SAÍDA DE VENDAS'!$H$6:$H$500 &amp; "x " &amp; 'SAÍDA DE VENDAS'!$G$6:$G$500, MATCH(B1225, 'SAÍDA DE VENDAS'!$B$6:$B$500, 0)+4), ""), "")&amp; IF(COUNTIF('SAÍDA DE VENDAS'!$B$6:$B$500, B1225)&gt;5, " + " &amp; IFERROR(INDEX('SAÍDA DE VENDAS'!$H$6:$H$500 &amp; "x " &amp; 'SAÍDA DE VENDAS'!$G$6:$G$500, MATCH(B1225, 'SAÍDA DE VENDAS'!$B$6:$B$500, 0)+5), ""), ""))</f>
        <v/>
      </c>
      <c r="G1225" s="34">
        <f>IFERROR(VLOOKUP(B1225,'SAÍDA DE VENDAS'!$B$6:$P$500,10,FALSE),"")</f>
        <v>0</v>
      </c>
      <c r="H1225" s="34" t="str">
        <f>IF(OR(ISBLANK(B1225),B1225=""), "", IF(B1225=B1224, (VALUE(LEFT(H1224,FIND("/",H1224)-1))+1)&amp;"/"&amp;RIGHT(H1224,LEN(H1224)-FIND("/",H1224)), "1/"&amp;IFERROR(VLOOKUP(B1225,'SAÍDA DE VENDAS'!$B$6:$P$500,13,FALSE),"1")))</f>
        <v/>
      </c>
      <c r="I1225" s="35" t="str">
        <f t="shared" si="38"/>
        <v/>
      </c>
      <c r="J1225" s="39" t="str">
        <f>IFERROR(VLOOKUP(B1225,'SAÍDA DE VENDAS'!$B$6:$P$500,15,FALSE),"")</f>
        <v/>
      </c>
      <c r="K1225" s="34" t="str">
        <f t="shared" ca="1" si="39"/>
        <v/>
      </c>
      <c r="L1225" s="34"/>
      <c r="M1225" s="34"/>
    </row>
    <row r="1226" spans="2:13" ht="15" customHeight="1" x14ac:dyDescent="0.3">
      <c r="B1226" s="28" t="str">
        <f>IF(B1225="","", IF(VALUE(LEFT(H1225,FIND("/",H1225)-1)) &lt; VALUE(RIGHT(H1225,LEN(H1225)-FIND("/",H1225))), B1225, IFERROR(INDEX('SAÍDA DE VENDAS'!$B$6:$B$500, MATCH(B1225,'SAÍDA DE VENDAS'!$B$6:$B$500,0)+COUNTIF('SAÍDA DE VENDAS'!$B$6:$B$500, B1225)),"")))</f>
        <v/>
      </c>
      <c r="C1226" s="29">
        <f>IFERROR(VLOOKUP(B1226,'SAÍDA DE VENDAS'!$B$6:$P$500,3,FALSE),"")</f>
        <v>0</v>
      </c>
      <c r="D1226" s="28">
        <f>IFERROR(VLOOKUP(B1226,'SAÍDA DE VENDAS'!$B$6:$P$500,4,FALSE),"")</f>
        <v>0</v>
      </c>
      <c r="E1226" s="28" t="str">
        <f>IFERROR(VLOOKUP(B1226,'SAÍDA DE VENDAS'!$B$6:$P$500,5,FALSE),"")</f>
        <v/>
      </c>
      <c r="F1226" s="28" t="str">
        <f>IF(OR(ISBLANK(B1226),B1226=""), "", IFERROR(INDEX('SAÍDA DE VENDAS'!$H$6:$H$500 &amp; "x " &amp; 'SAÍDA DE VENDAS'!$G$6:$G$500, MATCH(B1226, 'SAÍDA DE VENDAS'!$B$6:$B$500, 0)), "")&amp; IF(COUNTIF('SAÍDA DE VENDAS'!$B$6:$B$500, B1226)&gt;1, " + " &amp; IFERROR(INDEX('SAÍDA DE VENDAS'!$H$6:$H$500 &amp; "x " &amp; 'SAÍDA DE VENDAS'!$G$6:$G$500, MATCH(B1226, 'SAÍDA DE VENDAS'!$B$6:$B$500, 0)+1), ""), "")&amp; IF(COUNTIF('SAÍDA DE VENDAS'!$B$6:$B$500, B1226)&gt;2, " + " &amp; IFERROR(INDEX('SAÍDA DE VENDAS'!$H$6:$H$500 &amp; "x " &amp; 'SAÍDA DE VENDAS'!$G$6:$G$500, MATCH(B1226, 'SAÍDA DE VENDAS'!$B$6:$B$500, 0)+2), ""), "")&amp; IF(COUNTIF('SAÍDA DE VENDAS'!$B$6:$B$500, B1226)&gt;3, " + " &amp; IFERROR(INDEX('SAÍDA DE VENDAS'!$H$6:$H$500 &amp; "x " &amp; 'SAÍDA DE VENDAS'!$G$6:$G$500, MATCH(B1226, 'SAÍDA DE VENDAS'!$B$6:$B$500, 0)+3), ""), "")&amp; IF(COUNTIF('SAÍDA DE VENDAS'!$B$6:$B$500, B1226)&gt;4, " + " &amp; IFERROR(INDEX('SAÍDA DE VENDAS'!$H$6:$H$500 &amp; "x " &amp; 'SAÍDA DE VENDAS'!$G$6:$G$500, MATCH(B1226, 'SAÍDA DE VENDAS'!$B$6:$B$500, 0)+4), ""), "")&amp; IF(COUNTIF('SAÍDA DE VENDAS'!$B$6:$B$500, B1226)&gt;5, " + " &amp; IFERROR(INDEX('SAÍDA DE VENDAS'!$H$6:$H$500 &amp; "x " &amp; 'SAÍDA DE VENDAS'!$G$6:$G$500, MATCH(B1226, 'SAÍDA DE VENDAS'!$B$6:$B$500, 0)+5), ""), ""))</f>
        <v/>
      </c>
      <c r="G1226" s="28">
        <f>IFERROR(VLOOKUP(B1226,'SAÍDA DE VENDAS'!$B$6:$P$500,10,FALSE),"")</f>
        <v>0</v>
      </c>
      <c r="H1226" s="28" t="str">
        <f>IF(OR(ISBLANK(B1226),B1226=""), "", IF(B1226=B1225, (VALUE(LEFT(H1225,FIND("/",H1225)-1))+1)&amp;"/"&amp;RIGHT(H1225,LEN(H1225)-FIND("/",H1225)), "1/"&amp;IFERROR(VLOOKUP(B1226,'SAÍDA DE VENDAS'!$B$6:$P$500,13,FALSE),"1")))</f>
        <v/>
      </c>
      <c r="I1226" s="69" t="str">
        <f t="shared" si="38"/>
        <v/>
      </c>
      <c r="J1226" s="33" t="str">
        <f>IFERROR(VLOOKUP(B1226,'SAÍDA DE VENDAS'!$B$6:$P$500,15,FALSE),"")</f>
        <v/>
      </c>
      <c r="K1226" s="28" t="str">
        <f t="shared" ca="1" si="39"/>
        <v/>
      </c>
      <c r="L1226" s="28"/>
      <c r="M1226" s="28"/>
    </row>
    <row r="1227" spans="2:13" ht="15" customHeight="1" x14ac:dyDescent="0.3">
      <c r="B1227" s="34" t="str">
        <f>IF(B1226="","", IF(VALUE(LEFT(H1226,FIND("/",H1226)-1)) &lt; VALUE(RIGHT(H1226,LEN(H1226)-FIND("/",H1226))), B1226, IFERROR(INDEX('SAÍDA DE VENDAS'!$B$6:$B$500, MATCH(B1226,'SAÍDA DE VENDAS'!$B$6:$B$500,0)+COUNTIF('SAÍDA DE VENDAS'!$B$6:$B$500, B1226)),"")))</f>
        <v/>
      </c>
      <c r="C1227" s="35">
        <f>IFERROR(VLOOKUP(B1227,'SAÍDA DE VENDAS'!$B$6:$P$500,3,FALSE),"")</f>
        <v>0</v>
      </c>
      <c r="D1227" s="34">
        <f>IFERROR(VLOOKUP(B1227,'SAÍDA DE VENDAS'!$B$6:$P$500,4,FALSE),"")</f>
        <v>0</v>
      </c>
      <c r="E1227" s="34" t="str">
        <f>IFERROR(VLOOKUP(B1227,'SAÍDA DE VENDAS'!$B$6:$P$500,5,FALSE),"")</f>
        <v/>
      </c>
      <c r="F1227" s="34" t="str">
        <f>IF(OR(ISBLANK(B1227),B1227=""), "", IFERROR(INDEX('SAÍDA DE VENDAS'!$H$6:$H$500 &amp; "x " &amp; 'SAÍDA DE VENDAS'!$G$6:$G$500, MATCH(B1227, 'SAÍDA DE VENDAS'!$B$6:$B$500, 0)), "")&amp; IF(COUNTIF('SAÍDA DE VENDAS'!$B$6:$B$500, B1227)&gt;1, " + " &amp; IFERROR(INDEX('SAÍDA DE VENDAS'!$H$6:$H$500 &amp; "x " &amp; 'SAÍDA DE VENDAS'!$G$6:$G$500, MATCH(B1227, 'SAÍDA DE VENDAS'!$B$6:$B$500, 0)+1), ""), "")&amp; IF(COUNTIF('SAÍDA DE VENDAS'!$B$6:$B$500, B1227)&gt;2, " + " &amp; IFERROR(INDEX('SAÍDA DE VENDAS'!$H$6:$H$500 &amp; "x " &amp; 'SAÍDA DE VENDAS'!$G$6:$G$500, MATCH(B1227, 'SAÍDA DE VENDAS'!$B$6:$B$500, 0)+2), ""), "")&amp; IF(COUNTIF('SAÍDA DE VENDAS'!$B$6:$B$500, B1227)&gt;3, " + " &amp; IFERROR(INDEX('SAÍDA DE VENDAS'!$H$6:$H$500 &amp; "x " &amp; 'SAÍDA DE VENDAS'!$G$6:$G$500, MATCH(B1227, 'SAÍDA DE VENDAS'!$B$6:$B$500, 0)+3), ""), "")&amp; IF(COUNTIF('SAÍDA DE VENDAS'!$B$6:$B$500, B1227)&gt;4, " + " &amp; IFERROR(INDEX('SAÍDA DE VENDAS'!$H$6:$H$500 &amp; "x " &amp; 'SAÍDA DE VENDAS'!$G$6:$G$500, MATCH(B1227, 'SAÍDA DE VENDAS'!$B$6:$B$500, 0)+4), ""), "")&amp; IF(COUNTIF('SAÍDA DE VENDAS'!$B$6:$B$500, B1227)&gt;5, " + " &amp; IFERROR(INDEX('SAÍDA DE VENDAS'!$H$6:$H$500 &amp; "x " &amp; 'SAÍDA DE VENDAS'!$G$6:$G$500, MATCH(B1227, 'SAÍDA DE VENDAS'!$B$6:$B$500, 0)+5), ""), ""))</f>
        <v/>
      </c>
      <c r="G1227" s="34">
        <f>IFERROR(VLOOKUP(B1227,'SAÍDA DE VENDAS'!$B$6:$P$500,10,FALSE),"")</f>
        <v>0</v>
      </c>
      <c r="H1227" s="34" t="str">
        <f>IF(OR(ISBLANK(B1227),B1227=""), "", IF(B1227=B1226, (VALUE(LEFT(H1226,FIND("/",H1226)-1))+1)&amp;"/"&amp;RIGHT(H1226,LEN(H1226)-FIND("/",H1226)), "1/"&amp;IFERROR(VLOOKUP(B1227,'SAÍDA DE VENDAS'!$B$6:$P$500,13,FALSE),"1")))</f>
        <v/>
      </c>
      <c r="I1227" s="35" t="str">
        <f t="shared" si="38"/>
        <v/>
      </c>
      <c r="J1227" s="39" t="str">
        <f>IFERROR(VLOOKUP(B1227,'SAÍDA DE VENDAS'!$B$6:$P$500,15,FALSE),"")</f>
        <v/>
      </c>
      <c r="K1227" s="34" t="str">
        <f t="shared" ca="1" si="39"/>
        <v/>
      </c>
      <c r="L1227" s="34"/>
      <c r="M1227" s="34"/>
    </row>
    <row r="1228" spans="2:13" ht="15" customHeight="1" x14ac:dyDescent="0.3">
      <c r="B1228" s="28" t="str">
        <f>IF(B1227="","", IF(VALUE(LEFT(H1227,FIND("/",H1227)-1)) &lt; VALUE(RIGHT(H1227,LEN(H1227)-FIND("/",H1227))), B1227, IFERROR(INDEX('SAÍDA DE VENDAS'!$B$6:$B$500, MATCH(B1227,'SAÍDA DE VENDAS'!$B$6:$B$500,0)+COUNTIF('SAÍDA DE VENDAS'!$B$6:$B$500, B1227)),"")))</f>
        <v/>
      </c>
      <c r="C1228" s="29">
        <f>IFERROR(VLOOKUP(B1228,'SAÍDA DE VENDAS'!$B$6:$P$500,3,FALSE),"")</f>
        <v>0</v>
      </c>
      <c r="D1228" s="28">
        <f>IFERROR(VLOOKUP(B1228,'SAÍDA DE VENDAS'!$B$6:$P$500,4,FALSE),"")</f>
        <v>0</v>
      </c>
      <c r="E1228" s="28" t="str">
        <f>IFERROR(VLOOKUP(B1228,'SAÍDA DE VENDAS'!$B$6:$P$500,5,FALSE),"")</f>
        <v/>
      </c>
      <c r="F1228" s="28" t="str">
        <f>IF(OR(ISBLANK(B1228),B1228=""), "", IFERROR(INDEX('SAÍDA DE VENDAS'!$H$6:$H$500 &amp; "x " &amp; 'SAÍDA DE VENDAS'!$G$6:$G$500, MATCH(B1228, 'SAÍDA DE VENDAS'!$B$6:$B$500, 0)), "")&amp; IF(COUNTIF('SAÍDA DE VENDAS'!$B$6:$B$500, B1228)&gt;1, " + " &amp; IFERROR(INDEX('SAÍDA DE VENDAS'!$H$6:$H$500 &amp; "x " &amp; 'SAÍDA DE VENDAS'!$G$6:$G$500, MATCH(B1228, 'SAÍDA DE VENDAS'!$B$6:$B$500, 0)+1), ""), "")&amp; IF(COUNTIF('SAÍDA DE VENDAS'!$B$6:$B$500, B1228)&gt;2, " + " &amp; IFERROR(INDEX('SAÍDA DE VENDAS'!$H$6:$H$500 &amp; "x " &amp; 'SAÍDA DE VENDAS'!$G$6:$G$500, MATCH(B1228, 'SAÍDA DE VENDAS'!$B$6:$B$500, 0)+2), ""), "")&amp; IF(COUNTIF('SAÍDA DE VENDAS'!$B$6:$B$500, B1228)&gt;3, " + " &amp; IFERROR(INDEX('SAÍDA DE VENDAS'!$H$6:$H$500 &amp; "x " &amp; 'SAÍDA DE VENDAS'!$G$6:$G$500, MATCH(B1228, 'SAÍDA DE VENDAS'!$B$6:$B$500, 0)+3), ""), "")&amp; IF(COUNTIF('SAÍDA DE VENDAS'!$B$6:$B$500, B1228)&gt;4, " + " &amp; IFERROR(INDEX('SAÍDA DE VENDAS'!$H$6:$H$500 &amp; "x " &amp; 'SAÍDA DE VENDAS'!$G$6:$G$500, MATCH(B1228, 'SAÍDA DE VENDAS'!$B$6:$B$500, 0)+4), ""), "")&amp; IF(COUNTIF('SAÍDA DE VENDAS'!$B$6:$B$500, B1228)&gt;5, " + " &amp; IFERROR(INDEX('SAÍDA DE VENDAS'!$H$6:$H$500 &amp; "x " &amp; 'SAÍDA DE VENDAS'!$G$6:$G$500, MATCH(B1228, 'SAÍDA DE VENDAS'!$B$6:$B$500, 0)+5), ""), ""))</f>
        <v/>
      </c>
      <c r="G1228" s="28">
        <f>IFERROR(VLOOKUP(B1228,'SAÍDA DE VENDAS'!$B$6:$P$500,10,FALSE),"")</f>
        <v>0</v>
      </c>
      <c r="H1228" s="28" t="str">
        <f>IF(OR(ISBLANK(B1228),B1228=""), "", IF(B1228=B1227, (VALUE(LEFT(H1227,FIND("/",H1227)-1))+1)&amp;"/"&amp;RIGHT(H1227,LEN(H1227)-FIND("/",H1227)), "1/"&amp;IFERROR(VLOOKUP(B1228,'SAÍDA DE VENDAS'!$B$6:$P$500,13,FALSE),"1")))</f>
        <v/>
      </c>
      <c r="I1228" s="69" t="str">
        <f t="shared" si="38"/>
        <v/>
      </c>
      <c r="J1228" s="33" t="str">
        <f>IFERROR(VLOOKUP(B1228,'SAÍDA DE VENDAS'!$B$6:$P$500,15,FALSE),"")</f>
        <v/>
      </c>
      <c r="K1228" s="28" t="str">
        <f t="shared" ca="1" si="39"/>
        <v/>
      </c>
      <c r="L1228" s="28"/>
      <c r="M1228" s="28"/>
    </row>
    <row r="1229" spans="2:13" ht="15" customHeight="1" x14ac:dyDescent="0.3">
      <c r="B1229" s="34" t="str">
        <f>IF(B1228="","", IF(VALUE(LEFT(H1228,FIND("/",H1228)-1)) &lt; VALUE(RIGHT(H1228,LEN(H1228)-FIND("/",H1228))), B1228, IFERROR(INDEX('SAÍDA DE VENDAS'!$B$6:$B$500, MATCH(B1228,'SAÍDA DE VENDAS'!$B$6:$B$500,0)+COUNTIF('SAÍDA DE VENDAS'!$B$6:$B$500, B1228)),"")))</f>
        <v/>
      </c>
      <c r="C1229" s="35">
        <f>IFERROR(VLOOKUP(B1229,'SAÍDA DE VENDAS'!$B$6:$P$500,3,FALSE),"")</f>
        <v>0</v>
      </c>
      <c r="D1229" s="34">
        <f>IFERROR(VLOOKUP(B1229,'SAÍDA DE VENDAS'!$B$6:$P$500,4,FALSE),"")</f>
        <v>0</v>
      </c>
      <c r="E1229" s="34" t="str">
        <f>IFERROR(VLOOKUP(B1229,'SAÍDA DE VENDAS'!$B$6:$P$500,5,FALSE),"")</f>
        <v/>
      </c>
      <c r="F1229" s="34" t="str">
        <f>IF(OR(ISBLANK(B1229),B1229=""), "", IFERROR(INDEX('SAÍDA DE VENDAS'!$H$6:$H$500 &amp; "x " &amp; 'SAÍDA DE VENDAS'!$G$6:$G$500, MATCH(B1229, 'SAÍDA DE VENDAS'!$B$6:$B$500, 0)), "")&amp; IF(COUNTIF('SAÍDA DE VENDAS'!$B$6:$B$500, B1229)&gt;1, " + " &amp; IFERROR(INDEX('SAÍDA DE VENDAS'!$H$6:$H$500 &amp; "x " &amp; 'SAÍDA DE VENDAS'!$G$6:$G$500, MATCH(B1229, 'SAÍDA DE VENDAS'!$B$6:$B$500, 0)+1), ""), "")&amp; IF(COUNTIF('SAÍDA DE VENDAS'!$B$6:$B$500, B1229)&gt;2, " + " &amp; IFERROR(INDEX('SAÍDA DE VENDAS'!$H$6:$H$500 &amp; "x " &amp; 'SAÍDA DE VENDAS'!$G$6:$G$500, MATCH(B1229, 'SAÍDA DE VENDAS'!$B$6:$B$500, 0)+2), ""), "")&amp; IF(COUNTIF('SAÍDA DE VENDAS'!$B$6:$B$500, B1229)&gt;3, " + " &amp; IFERROR(INDEX('SAÍDA DE VENDAS'!$H$6:$H$500 &amp; "x " &amp; 'SAÍDA DE VENDAS'!$G$6:$G$500, MATCH(B1229, 'SAÍDA DE VENDAS'!$B$6:$B$500, 0)+3), ""), "")&amp; IF(COUNTIF('SAÍDA DE VENDAS'!$B$6:$B$500, B1229)&gt;4, " + " &amp; IFERROR(INDEX('SAÍDA DE VENDAS'!$H$6:$H$500 &amp; "x " &amp; 'SAÍDA DE VENDAS'!$G$6:$G$500, MATCH(B1229, 'SAÍDA DE VENDAS'!$B$6:$B$500, 0)+4), ""), "")&amp; IF(COUNTIF('SAÍDA DE VENDAS'!$B$6:$B$500, B1229)&gt;5, " + " &amp; IFERROR(INDEX('SAÍDA DE VENDAS'!$H$6:$H$500 &amp; "x " &amp; 'SAÍDA DE VENDAS'!$G$6:$G$500, MATCH(B1229, 'SAÍDA DE VENDAS'!$B$6:$B$500, 0)+5), ""), ""))</f>
        <v/>
      </c>
      <c r="G1229" s="34">
        <f>IFERROR(VLOOKUP(B1229,'SAÍDA DE VENDAS'!$B$6:$P$500,10,FALSE),"")</f>
        <v>0</v>
      </c>
      <c r="H1229" s="34" t="str">
        <f>IF(OR(ISBLANK(B1229),B1229=""), "", IF(B1229=B1228, (VALUE(LEFT(H1228,FIND("/",H1228)-1))+1)&amp;"/"&amp;RIGHT(H1228,LEN(H1228)-FIND("/",H1228)), "1/"&amp;IFERROR(VLOOKUP(B1229,'SAÍDA DE VENDAS'!$B$6:$P$500,13,FALSE),"1")))</f>
        <v/>
      </c>
      <c r="I1229" s="35" t="str">
        <f t="shared" si="38"/>
        <v/>
      </c>
      <c r="J1229" s="39" t="str">
        <f>IFERROR(VLOOKUP(B1229,'SAÍDA DE VENDAS'!$B$6:$P$500,15,FALSE),"")</f>
        <v/>
      </c>
      <c r="K1229" s="34" t="str">
        <f t="shared" ca="1" si="39"/>
        <v/>
      </c>
      <c r="L1229" s="34"/>
      <c r="M1229" s="34"/>
    </row>
    <row r="1230" spans="2:13" ht="15" customHeight="1" x14ac:dyDescent="0.3">
      <c r="B1230" s="28" t="str">
        <f>IF(B1229="","", IF(VALUE(LEFT(H1229,FIND("/",H1229)-1)) &lt; VALUE(RIGHT(H1229,LEN(H1229)-FIND("/",H1229))), B1229, IFERROR(INDEX('SAÍDA DE VENDAS'!$B$6:$B$500, MATCH(B1229,'SAÍDA DE VENDAS'!$B$6:$B$500,0)+COUNTIF('SAÍDA DE VENDAS'!$B$6:$B$500, B1229)),"")))</f>
        <v/>
      </c>
      <c r="C1230" s="29">
        <f>IFERROR(VLOOKUP(B1230,'SAÍDA DE VENDAS'!$B$6:$P$500,3,FALSE),"")</f>
        <v>0</v>
      </c>
      <c r="D1230" s="28">
        <f>IFERROR(VLOOKUP(B1230,'SAÍDA DE VENDAS'!$B$6:$P$500,4,FALSE),"")</f>
        <v>0</v>
      </c>
      <c r="E1230" s="28" t="str">
        <f>IFERROR(VLOOKUP(B1230,'SAÍDA DE VENDAS'!$B$6:$P$500,5,FALSE),"")</f>
        <v/>
      </c>
      <c r="F1230" s="28" t="str">
        <f>IF(OR(ISBLANK(B1230),B1230=""), "", IFERROR(INDEX('SAÍDA DE VENDAS'!$H$6:$H$500 &amp; "x " &amp; 'SAÍDA DE VENDAS'!$G$6:$G$500, MATCH(B1230, 'SAÍDA DE VENDAS'!$B$6:$B$500, 0)), "")&amp; IF(COUNTIF('SAÍDA DE VENDAS'!$B$6:$B$500, B1230)&gt;1, " + " &amp; IFERROR(INDEX('SAÍDA DE VENDAS'!$H$6:$H$500 &amp; "x " &amp; 'SAÍDA DE VENDAS'!$G$6:$G$500, MATCH(B1230, 'SAÍDA DE VENDAS'!$B$6:$B$500, 0)+1), ""), "")&amp; IF(COUNTIF('SAÍDA DE VENDAS'!$B$6:$B$500, B1230)&gt;2, " + " &amp; IFERROR(INDEX('SAÍDA DE VENDAS'!$H$6:$H$500 &amp; "x " &amp; 'SAÍDA DE VENDAS'!$G$6:$G$500, MATCH(B1230, 'SAÍDA DE VENDAS'!$B$6:$B$500, 0)+2), ""), "")&amp; IF(COUNTIF('SAÍDA DE VENDAS'!$B$6:$B$500, B1230)&gt;3, " + " &amp; IFERROR(INDEX('SAÍDA DE VENDAS'!$H$6:$H$500 &amp; "x " &amp; 'SAÍDA DE VENDAS'!$G$6:$G$500, MATCH(B1230, 'SAÍDA DE VENDAS'!$B$6:$B$500, 0)+3), ""), "")&amp; IF(COUNTIF('SAÍDA DE VENDAS'!$B$6:$B$500, B1230)&gt;4, " + " &amp; IFERROR(INDEX('SAÍDA DE VENDAS'!$H$6:$H$500 &amp; "x " &amp; 'SAÍDA DE VENDAS'!$G$6:$G$500, MATCH(B1230, 'SAÍDA DE VENDAS'!$B$6:$B$500, 0)+4), ""), "")&amp; IF(COUNTIF('SAÍDA DE VENDAS'!$B$6:$B$500, B1230)&gt;5, " + " &amp; IFERROR(INDEX('SAÍDA DE VENDAS'!$H$6:$H$500 &amp; "x " &amp; 'SAÍDA DE VENDAS'!$G$6:$G$500, MATCH(B1230, 'SAÍDA DE VENDAS'!$B$6:$B$500, 0)+5), ""), ""))</f>
        <v/>
      </c>
      <c r="G1230" s="28">
        <f>IFERROR(VLOOKUP(B1230,'SAÍDA DE VENDAS'!$B$6:$P$500,10,FALSE),"")</f>
        <v>0</v>
      </c>
      <c r="H1230" s="28" t="str">
        <f>IF(OR(ISBLANK(B1230),B1230=""), "", IF(B1230=B1229, (VALUE(LEFT(H1229,FIND("/",H1229)-1))+1)&amp;"/"&amp;RIGHT(H1229,LEN(H1229)-FIND("/",H1229)), "1/"&amp;IFERROR(VLOOKUP(B1230,'SAÍDA DE VENDAS'!$B$6:$P$500,13,FALSE),"1")))</f>
        <v/>
      </c>
      <c r="I1230" s="69" t="str">
        <f t="shared" si="38"/>
        <v/>
      </c>
      <c r="J1230" s="33" t="str">
        <f>IFERROR(VLOOKUP(B1230,'SAÍDA DE VENDAS'!$B$6:$P$500,15,FALSE),"")</f>
        <v/>
      </c>
      <c r="K1230" s="28" t="str">
        <f t="shared" ca="1" si="39"/>
        <v/>
      </c>
      <c r="L1230" s="28"/>
      <c r="M1230" s="28"/>
    </row>
    <row r="1231" spans="2:13" ht="15" customHeight="1" x14ac:dyDescent="0.3">
      <c r="B1231" s="34" t="str">
        <f>IF(B1230="","", IF(VALUE(LEFT(H1230,FIND("/",H1230)-1)) &lt; VALUE(RIGHT(H1230,LEN(H1230)-FIND("/",H1230))), B1230, IFERROR(INDEX('SAÍDA DE VENDAS'!$B$6:$B$500, MATCH(B1230,'SAÍDA DE VENDAS'!$B$6:$B$500,0)+COUNTIF('SAÍDA DE VENDAS'!$B$6:$B$500, B1230)),"")))</f>
        <v/>
      </c>
      <c r="C1231" s="35">
        <f>IFERROR(VLOOKUP(B1231,'SAÍDA DE VENDAS'!$B$6:$P$500,3,FALSE),"")</f>
        <v>0</v>
      </c>
      <c r="D1231" s="34">
        <f>IFERROR(VLOOKUP(B1231,'SAÍDA DE VENDAS'!$B$6:$P$500,4,FALSE),"")</f>
        <v>0</v>
      </c>
      <c r="E1231" s="34" t="str">
        <f>IFERROR(VLOOKUP(B1231,'SAÍDA DE VENDAS'!$B$6:$P$500,5,FALSE),"")</f>
        <v/>
      </c>
      <c r="F1231" s="34" t="str">
        <f>IF(OR(ISBLANK(B1231),B1231=""), "", IFERROR(INDEX('SAÍDA DE VENDAS'!$H$6:$H$500 &amp; "x " &amp; 'SAÍDA DE VENDAS'!$G$6:$G$500, MATCH(B1231, 'SAÍDA DE VENDAS'!$B$6:$B$500, 0)), "")&amp; IF(COUNTIF('SAÍDA DE VENDAS'!$B$6:$B$500, B1231)&gt;1, " + " &amp; IFERROR(INDEX('SAÍDA DE VENDAS'!$H$6:$H$500 &amp; "x " &amp; 'SAÍDA DE VENDAS'!$G$6:$G$500, MATCH(B1231, 'SAÍDA DE VENDAS'!$B$6:$B$500, 0)+1), ""), "")&amp; IF(COUNTIF('SAÍDA DE VENDAS'!$B$6:$B$500, B1231)&gt;2, " + " &amp; IFERROR(INDEX('SAÍDA DE VENDAS'!$H$6:$H$500 &amp; "x " &amp; 'SAÍDA DE VENDAS'!$G$6:$G$500, MATCH(B1231, 'SAÍDA DE VENDAS'!$B$6:$B$500, 0)+2), ""), "")&amp; IF(COUNTIF('SAÍDA DE VENDAS'!$B$6:$B$500, B1231)&gt;3, " + " &amp; IFERROR(INDEX('SAÍDA DE VENDAS'!$H$6:$H$500 &amp; "x " &amp; 'SAÍDA DE VENDAS'!$G$6:$G$500, MATCH(B1231, 'SAÍDA DE VENDAS'!$B$6:$B$500, 0)+3), ""), "")&amp; IF(COUNTIF('SAÍDA DE VENDAS'!$B$6:$B$500, B1231)&gt;4, " + " &amp; IFERROR(INDEX('SAÍDA DE VENDAS'!$H$6:$H$500 &amp; "x " &amp; 'SAÍDA DE VENDAS'!$G$6:$G$500, MATCH(B1231, 'SAÍDA DE VENDAS'!$B$6:$B$500, 0)+4), ""), "")&amp; IF(COUNTIF('SAÍDA DE VENDAS'!$B$6:$B$500, B1231)&gt;5, " + " &amp; IFERROR(INDEX('SAÍDA DE VENDAS'!$H$6:$H$500 &amp; "x " &amp; 'SAÍDA DE VENDAS'!$G$6:$G$500, MATCH(B1231, 'SAÍDA DE VENDAS'!$B$6:$B$500, 0)+5), ""), ""))</f>
        <v/>
      </c>
      <c r="G1231" s="34">
        <f>IFERROR(VLOOKUP(B1231,'SAÍDA DE VENDAS'!$B$6:$P$500,10,FALSE),"")</f>
        <v>0</v>
      </c>
      <c r="H1231" s="34" t="str">
        <f>IF(OR(ISBLANK(B1231),B1231=""), "", IF(B1231=B1230, (VALUE(LEFT(H1230,FIND("/",H1230)-1))+1)&amp;"/"&amp;RIGHT(H1230,LEN(H1230)-FIND("/",H1230)), "1/"&amp;IFERROR(VLOOKUP(B1231,'SAÍDA DE VENDAS'!$B$6:$P$500,13,FALSE),"1")))</f>
        <v/>
      </c>
      <c r="I1231" s="35" t="str">
        <f t="shared" si="38"/>
        <v/>
      </c>
      <c r="J1231" s="39" t="str">
        <f>IFERROR(VLOOKUP(B1231,'SAÍDA DE VENDAS'!$B$6:$P$500,15,FALSE),"")</f>
        <v/>
      </c>
      <c r="K1231" s="34" t="str">
        <f t="shared" ca="1" si="39"/>
        <v/>
      </c>
      <c r="L1231" s="34"/>
      <c r="M1231" s="34"/>
    </row>
    <row r="1232" spans="2:13" ht="15" customHeight="1" x14ac:dyDescent="0.3">
      <c r="B1232" s="28" t="str">
        <f>IF(B1231="","", IF(VALUE(LEFT(H1231,FIND("/",H1231)-1)) &lt; VALUE(RIGHT(H1231,LEN(H1231)-FIND("/",H1231))), B1231, IFERROR(INDEX('SAÍDA DE VENDAS'!$B$6:$B$500, MATCH(B1231,'SAÍDA DE VENDAS'!$B$6:$B$500,0)+COUNTIF('SAÍDA DE VENDAS'!$B$6:$B$500, B1231)),"")))</f>
        <v/>
      </c>
      <c r="C1232" s="29">
        <f>IFERROR(VLOOKUP(B1232,'SAÍDA DE VENDAS'!$B$6:$P$500,3,FALSE),"")</f>
        <v>0</v>
      </c>
      <c r="D1232" s="28">
        <f>IFERROR(VLOOKUP(B1232,'SAÍDA DE VENDAS'!$B$6:$P$500,4,FALSE),"")</f>
        <v>0</v>
      </c>
      <c r="E1232" s="28" t="str">
        <f>IFERROR(VLOOKUP(B1232,'SAÍDA DE VENDAS'!$B$6:$P$500,5,FALSE),"")</f>
        <v/>
      </c>
      <c r="F1232" s="28" t="str">
        <f>IF(OR(ISBLANK(B1232),B1232=""), "", IFERROR(INDEX('SAÍDA DE VENDAS'!$H$6:$H$500 &amp; "x " &amp; 'SAÍDA DE VENDAS'!$G$6:$G$500, MATCH(B1232, 'SAÍDA DE VENDAS'!$B$6:$B$500, 0)), "")&amp; IF(COUNTIF('SAÍDA DE VENDAS'!$B$6:$B$500, B1232)&gt;1, " + " &amp; IFERROR(INDEX('SAÍDA DE VENDAS'!$H$6:$H$500 &amp; "x " &amp; 'SAÍDA DE VENDAS'!$G$6:$G$500, MATCH(B1232, 'SAÍDA DE VENDAS'!$B$6:$B$500, 0)+1), ""), "")&amp; IF(COUNTIF('SAÍDA DE VENDAS'!$B$6:$B$500, B1232)&gt;2, " + " &amp; IFERROR(INDEX('SAÍDA DE VENDAS'!$H$6:$H$500 &amp; "x " &amp; 'SAÍDA DE VENDAS'!$G$6:$G$500, MATCH(B1232, 'SAÍDA DE VENDAS'!$B$6:$B$500, 0)+2), ""), "")&amp; IF(COUNTIF('SAÍDA DE VENDAS'!$B$6:$B$500, B1232)&gt;3, " + " &amp; IFERROR(INDEX('SAÍDA DE VENDAS'!$H$6:$H$500 &amp; "x " &amp; 'SAÍDA DE VENDAS'!$G$6:$G$500, MATCH(B1232, 'SAÍDA DE VENDAS'!$B$6:$B$500, 0)+3), ""), "")&amp; IF(COUNTIF('SAÍDA DE VENDAS'!$B$6:$B$500, B1232)&gt;4, " + " &amp; IFERROR(INDEX('SAÍDA DE VENDAS'!$H$6:$H$500 &amp; "x " &amp; 'SAÍDA DE VENDAS'!$G$6:$G$500, MATCH(B1232, 'SAÍDA DE VENDAS'!$B$6:$B$500, 0)+4), ""), "")&amp; IF(COUNTIF('SAÍDA DE VENDAS'!$B$6:$B$500, B1232)&gt;5, " + " &amp; IFERROR(INDEX('SAÍDA DE VENDAS'!$H$6:$H$500 &amp; "x " &amp; 'SAÍDA DE VENDAS'!$G$6:$G$500, MATCH(B1232, 'SAÍDA DE VENDAS'!$B$6:$B$500, 0)+5), ""), ""))</f>
        <v/>
      </c>
      <c r="G1232" s="28">
        <f>IFERROR(VLOOKUP(B1232,'SAÍDA DE VENDAS'!$B$6:$P$500,10,FALSE),"")</f>
        <v>0</v>
      </c>
      <c r="H1232" s="28" t="str">
        <f>IF(OR(ISBLANK(B1232),B1232=""), "", IF(B1232=B1231, (VALUE(LEFT(H1231,FIND("/",H1231)-1))+1)&amp;"/"&amp;RIGHT(H1231,LEN(H1231)-FIND("/",H1231)), "1/"&amp;IFERROR(VLOOKUP(B1232,'SAÍDA DE VENDAS'!$B$6:$P$500,13,FALSE),"1")))</f>
        <v/>
      </c>
      <c r="I1232" s="69" t="str">
        <f t="shared" si="38"/>
        <v/>
      </c>
      <c r="J1232" s="33" t="str">
        <f>IFERROR(VLOOKUP(B1232,'SAÍDA DE VENDAS'!$B$6:$P$500,15,FALSE),"")</f>
        <v/>
      </c>
      <c r="K1232" s="28" t="str">
        <f t="shared" ca="1" si="39"/>
        <v/>
      </c>
      <c r="L1232" s="28"/>
      <c r="M1232" s="28"/>
    </row>
    <row r="1233" spans="2:13" ht="15" customHeight="1" x14ac:dyDescent="0.3">
      <c r="B1233" s="34" t="str">
        <f>IF(B1232="","", IF(VALUE(LEFT(H1232,FIND("/",H1232)-1)) &lt; VALUE(RIGHT(H1232,LEN(H1232)-FIND("/",H1232))), B1232, IFERROR(INDEX('SAÍDA DE VENDAS'!$B$6:$B$500, MATCH(B1232,'SAÍDA DE VENDAS'!$B$6:$B$500,0)+COUNTIF('SAÍDA DE VENDAS'!$B$6:$B$500, B1232)),"")))</f>
        <v/>
      </c>
      <c r="C1233" s="35">
        <f>IFERROR(VLOOKUP(B1233,'SAÍDA DE VENDAS'!$B$6:$P$500,3,FALSE),"")</f>
        <v>0</v>
      </c>
      <c r="D1233" s="34">
        <f>IFERROR(VLOOKUP(B1233,'SAÍDA DE VENDAS'!$B$6:$P$500,4,FALSE),"")</f>
        <v>0</v>
      </c>
      <c r="E1233" s="34" t="str">
        <f>IFERROR(VLOOKUP(B1233,'SAÍDA DE VENDAS'!$B$6:$P$500,5,FALSE),"")</f>
        <v/>
      </c>
      <c r="F1233" s="34" t="str">
        <f>IF(OR(ISBLANK(B1233),B1233=""), "", IFERROR(INDEX('SAÍDA DE VENDAS'!$H$6:$H$500 &amp; "x " &amp; 'SAÍDA DE VENDAS'!$G$6:$G$500, MATCH(B1233, 'SAÍDA DE VENDAS'!$B$6:$B$500, 0)), "")&amp; IF(COUNTIF('SAÍDA DE VENDAS'!$B$6:$B$500, B1233)&gt;1, " + " &amp; IFERROR(INDEX('SAÍDA DE VENDAS'!$H$6:$H$500 &amp; "x " &amp; 'SAÍDA DE VENDAS'!$G$6:$G$500, MATCH(B1233, 'SAÍDA DE VENDAS'!$B$6:$B$500, 0)+1), ""), "")&amp; IF(COUNTIF('SAÍDA DE VENDAS'!$B$6:$B$500, B1233)&gt;2, " + " &amp; IFERROR(INDEX('SAÍDA DE VENDAS'!$H$6:$H$500 &amp; "x " &amp; 'SAÍDA DE VENDAS'!$G$6:$G$500, MATCH(B1233, 'SAÍDA DE VENDAS'!$B$6:$B$500, 0)+2), ""), "")&amp; IF(COUNTIF('SAÍDA DE VENDAS'!$B$6:$B$500, B1233)&gt;3, " + " &amp; IFERROR(INDEX('SAÍDA DE VENDAS'!$H$6:$H$500 &amp; "x " &amp; 'SAÍDA DE VENDAS'!$G$6:$G$500, MATCH(B1233, 'SAÍDA DE VENDAS'!$B$6:$B$500, 0)+3), ""), "")&amp; IF(COUNTIF('SAÍDA DE VENDAS'!$B$6:$B$500, B1233)&gt;4, " + " &amp; IFERROR(INDEX('SAÍDA DE VENDAS'!$H$6:$H$500 &amp; "x " &amp; 'SAÍDA DE VENDAS'!$G$6:$G$500, MATCH(B1233, 'SAÍDA DE VENDAS'!$B$6:$B$500, 0)+4), ""), "")&amp; IF(COUNTIF('SAÍDA DE VENDAS'!$B$6:$B$500, B1233)&gt;5, " + " &amp; IFERROR(INDEX('SAÍDA DE VENDAS'!$H$6:$H$500 &amp; "x " &amp; 'SAÍDA DE VENDAS'!$G$6:$G$500, MATCH(B1233, 'SAÍDA DE VENDAS'!$B$6:$B$500, 0)+5), ""), ""))</f>
        <v/>
      </c>
      <c r="G1233" s="34">
        <f>IFERROR(VLOOKUP(B1233,'SAÍDA DE VENDAS'!$B$6:$P$500,10,FALSE),"")</f>
        <v>0</v>
      </c>
      <c r="H1233" s="34" t="str">
        <f>IF(OR(ISBLANK(B1233),B1233=""), "", IF(B1233=B1232, (VALUE(LEFT(H1232,FIND("/",H1232)-1))+1)&amp;"/"&amp;RIGHT(H1232,LEN(H1232)-FIND("/",H1232)), "1/"&amp;IFERROR(VLOOKUP(B1233,'SAÍDA DE VENDAS'!$B$6:$P$500,13,FALSE),"1")))</f>
        <v/>
      </c>
      <c r="I1233" s="35" t="str">
        <f t="shared" si="38"/>
        <v/>
      </c>
      <c r="J1233" s="39" t="str">
        <f>IFERROR(VLOOKUP(B1233,'SAÍDA DE VENDAS'!$B$6:$P$500,15,FALSE),"")</f>
        <v/>
      </c>
      <c r="K1233" s="34" t="str">
        <f t="shared" ca="1" si="39"/>
        <v/>
      </c>
      <c r="L1233" s="34"/>
      <c r="M1233" s="34"/>
    </row>
    <row r="1234" spans="2:13" ht="15" customHeight="1" x14ac:dyDescent="0.3">
      <c r="B1234" s="28" t="str">
        <f>IF(B1233="","", IF(VALUE(LEFT(H1233,FIND("/",H1233)-1)) &lt; VALUE(RIGHT(H1233,LEN(H1233)-FIND("/",H1233))), B1233, IFERROR(INDEX('SAÍDA DE VENDAS'!$B$6:$B$500, MATCH(B1233,'SAÍDA DE VENDAS'!$B$6:$B$500,0)+COUNTIF('SAÍDA DE VENDAS'!$B$6:$B$500, B1233)),"")))</f>
        <v/>
      </c>
      <c r="C1234" s="29">
        <f>IFERROR(VLOOKUP(B1234,'SAÍDA DE VENDAS'!$B$6:$P$500,3,FALSE),"")</f>
        <v>0</v>
      </c>
      <c r="D1234" s="28">
        <f>IFERROR(VLOOKUP(B1234,'SAÍDA DE VENDAS'!$B$6:$P$500,4,FALSE),"")</f>
        <v>0</v>
      </c>
      <c r="E1234" s="28" t="str">
        <f>IFERROR(VLOOKUP(B1234,'SAÍDA DE VENDAS'!$B$6:$P$500,5,FALSE),"")</f>
        <v/>
      </c>
      <c r="F1234" s="28" t="str">
        <f>IF(OR(ISBLANK(B1234),B1234=""), "", IFERROR(INDEX('SAÍDA DE VENDAS'!$H$6:$H$500 &amp; "x " &amp; 'SAÍDA DE VENDAS'!$G$6:$G$500, MATCH(B1234, 'SAÍDA DE VENDAS'!$B$6:$B$500, 0)), "")&amp; IF(COUNTIF('SAÍDA DE VENDAS'!$B$6:$B$500, B1234)&gt;1, " + " &amp; IFERROR(INDEX('SAÍDA DE VENDAS'!$H$6:$H$500 &amp; "x " &amp; 'SAÍDA DE VENDAS'!$G$6:$G$500, MATCH(B1234, 'SAÍDA DE VENDAS'!$B$6:$B$500, 0)+1), ""), "")&amp; IF(COUNTIF('SAÍDA DE VENDAS'!$B$6:$B$500, B1234)&gt;2, " + " &amp; IFERROR(INDEX('SAÍDA DE VENDAS'!$H$6:$H$500 &amp; "x " &amp; 'SAÍDA DE VENDAS'!$G$6:$G$500, MATCH(B1234, 'SAÍDA DE VENDAS'!$B$6:$B$500, 0)+2), ""), "")&amp; IF(COUNTIF('SAÍDA DE VENDAS'!$B$6:$B$500, B1234)&gt;3, " + " &amp; IFERROR(INDEX('SAÍDA DE VENDAS'!$H$6:$H$500 &amp; "x " &amp; 'SAÍDA DE VENDAS'!$G$6:$G$500, MATCH(B1234, 'SAÍDA DE VENDAS'!$B$6:$B$500, 0)+3), ""), "")&amp; IF(COUNTIF('SAÍDA DE VENDAS'!$B$6:$B$500, B1234)&gt;4, " + " &amp; IFERROR(INDEX('SAÍDA DE VENDAS'!$H$6:$H$500 &amp; "x " &amp; 'SAÍDA DE VENDAS'!$G$6:$G$500, MATCH(B1234, 'SAÍDA DE VENDAS'!$B$6:$B$500, 0)+4), ""), "")&amp; IF(COUNTIF('SAÍDA DE VENDAS'!$B$6:$B$500, B1234)&gt;5, " + " &amp; IFERROR(INDEX('SAÍDA DE VENDAS'!$H$6:$H$500 &amp; "x " &amp; 'SAÍDA DE VENDAS'!$G$6:$G$500, MATCH(B1234, 'SAÍDA DE VENDAS'!$B$6:$B$500, 0)+5), ""), ""))</f>
        <v/>
      </c>
      <c r="G1234" s="28">
        <f>IFERROR(VLOOKUP(B1234,'SAÍDA DE VENDAS'!$B$6:$P$500,10,FALSE),"")</f>
        <v>0</v>
      </c>
      <c r="H1234" s="28" t="str">
        <f>IF(OR(ISBLANK(B1234),B1234=""), "", IF(B1234=B1233, (VALUE(LEFT(H1233,FIND("/",H1233)-1))+1)&amp;"/"&amp;RIGHT(H1233,LEN(H1233)-FIND("/",H1233)), "1/"&amp;IFERROR(VLOOKUP(B1234,'SAÍDA DE VENDAS'!$B$6:$P$500,13,FALSE),"1")))</f>
        <v/>
      </c>
      <c r="I1234" s="69" t="str">
        <f t="shared" si="38"/>
        <v/>
      </c>
      <c r="J1234" s="33" t="str">
        <f>IFERROR(VLOOKUP(B1234,'SAÍDA DE VENDAS'!$B$6:$P$500,15,FALSE),"")</f>
        <v/>
      </c>
      <c r="K1234" s="28" t="str">
        <f t="shared" ca="1" si="39"/>
        <v/>
      </c>
      <c r="L1234" s="28"/>
      <c r="M1234" s="28"/>
    </row>
    <row r="1235" spans="2:13" ht="15" customHeight="1" x14ac:dyDescent="0.3">
      <c r="B1235" s="34" t="str">
        <f>IF(B1234="","", IF(VALUE(LEFT(H1234,FIND("/",H1234)-1)) &lt; VALUE(RIGHT(H1234,LEN(H1234)-FIND("/",H1234))), B1234, IFERROR(INDEX('SAÍDA DE VENDAS'!$B$6:$B$500, MATCH(B1234,'SAÍDA DE VENDAS'!$B$6:$B$500,0)+COUNTIF('SAÍDA DE VENDAS'!$B$6:$B$500, B1234)),"")))</f>
        <v/>
      </c>
      <c r="C1235" s="35">
        <f>IFERROR(VLOOKUP(B1235,'SAÍDA DE VENDAS'!$B$6:$P$500,3,FALSE),"")</f>
        <v>0</v>
      </c>
      <c r="D1235" s="34">
        <f>IFERROR(VLOOKUP(B1235,'SAÍDA DE VENDAS'!$B$6:$P$500,4,FALSE),"")</f>
        <v>0</v>
      </c>
      <c r="E1235" s="34" t="str">
        <f>IFERROR(VLOOKUP(B1235,'SAÍDA DE VENDAS'!$B$6:$P$500,5,FALSE),"")</f>
        <v/>
      </c>
      <c r="F1235" s="34" t="str">
        <f>IF(OR(ISBLANK(B1235),B1235=""), "", IFERROR(INDEX('SAÍDA DE VENDAS'!$H$6:$H$500 &amp; "x " &amp; 'SAÍDA DE VENDAS'!$G$6:$G$500, MATCH(B1235, 'SAÍDA DE VENDAS'!$B$6:$B$500, 0)), "")&amp; IF(COUNTIF('SAÍDA DE VENDAS'!$B$6:$B$500, B1235)&gt;1, " + " &amp; IFERROR(INDEX('SAÍDA DE VENDAS'!$H$6:$H$500 &amp; "x " &amp; 'SAÍDA DE VENDAS'!$G$6:$G$500, MATCH(B1235, 'SAÍDA DE VENDAS'!$B$6:$B$500, 0)+1), ""), "")&amp; IF(COUNTIF('SAÍDA DE VENDAS'!$B$6:$B$500, B1235)&gt;2, " + " &amp; IFERROR(INDEX('SAÍDA DE VENDAS'!$H$6:$H$500 &amp; "x " &amp; 'SAÍDA DE VENDAS'!$G$6:$G$500, MATCH(B1235, 'SAÍDA DE VENDAS'!$B$6:$B$500, 0)+2), ""), "")&amp; IF(COUNTIF('SAÍDA DE VENDAS'!$B$6:$B$500, B1235)&gt;3, " + " &amp; IFERROR(INDEX('SAÍDA DE VENDAS'!$H$6:$H$500 &amp; "x " &amp; 'SAÍDA DE VENDAS'!$G$6:$G$500, MATCH(B1235, 'SAÍDA DE VENDAS'!$B$6:$B$500, 0)+3), ""), "")&amp; IF(COUNTIF('SAÍDA DE VENDAS'!$B$6:$B$500, B1235)&gt;4, " + " &amp; IFERROR(INDEX('SAÍDA DE VENDAS'!$H$6:$H$500 &amp; "x " &amp; 'SAÍDA DE VENDAS'!$G$6:$G$500, MATCH(B1235, 'SAÍDA DE VENDAS'!$B$6:$B$500, 0)+4), ""), "")&amp; IF(COUNTIF('SAÍDA DE VENDAS'!$B$6:$B$500, B1235)&gt;5, " + " &amp; IFERROR(INDEX('SAÍDA DE VENDAS'!$H$6:$H$500 &amp; "x " &amp; 'SAÍDA DE VENDAS'!$G$6:$G$500, MATCH(B1235, 'SAÍDA DE VENDAS'!$B$6:$B$500, 0)+5), ""), ""))</f>
        <v/>
      </c>
      <c r="G1235" s="34">
        <f>IFERROR(VLOOKUP(B1235,'SAÍDA DE VENDAS'!$B$6:$P$500,10,FALSE),"")</f>
        <v>0</v>
      </c>
      <c r="H1235" s="34" t="str">
        <f>IF(OR(ISBLANK(B1235),B1235=""), "", IF(B1235=B1234, (VALUE(LEFT(H1234,FIND("/",H1234)-1))+1)&amp;"/"&amp;RIGHT(H1234,LEN(H1234)-FIND("/",H1234)), "1/"&amp;IFERROR(VLOOKUP(B1235,'SAÍDA DE VENDAS'!$B$6:$P$500,13,FALSE),"1")))</f>
        <v/>
      </c>
      <c r="I1235" s="35" t="str">
        <f t="shared" si="38"/>
        <v/>
      </c>
      <c r="J1235" s="39" t="str">
        <f>IFERROR(VLOOKUP(B1235,'SAÍDA DE VENDAS'!$B$6:$P$500,15,FALSE),"")</f>
        <v/>
      </c>
      <c r="K1235" s="34" t="str">
        <f t="shared" ca="1" si="39"/>
        <v/>
      </c>
      <c r="L1235" s="34"/>
      <c r="M1235" s="34"/>
    </row>
    <row r="1236" spans="2:13" ht="15" customHeight="1" x14ac:dyDescent="0.3">
      <c r="B1236" s="28" t="str">
        <f>IF(B1235="","", IF(VALUE(LEFT(H1235,FIND("/",H1235)-1)) &lt; VALUE(RIGHT(H1235,LEN(H1235)-FIND("/",H1235))), B1235, IFERROR(INDEX('SAÍDA DE VENDAS'!$B$6:$B$500, MATCH(B1235,'SAÍDA DE VENDAS'!$B$6:$B$500,0)+COUNTIF('SAÍDA DE VENDAS'!$B$6:$B$500, B1235)),"")))</f>
        <v/>
      </c>
      <c r="C1236" s="29">
        <f>IFERROR(VLOOKUP(B1236,'SAÍDA DE VENDAS'!$B$6:$P$500,3,FALSE),"")</f>
        <v>0</v>
      </c>
      <c r="D1236" s="28">
        <f>IFERROR(VLOOKUP(B1236,'SAÍDA DE VENDAS'!$B$6:$P$500,4,FALSE),"")</f>
        <v>0</v>
      </c>
      <c r="E1236" s="28" t="str">
        <f>IFERROR(VLOOKUP(B1236,'SAÍDA DE VENDAS'!$B$6:$P$500,5,FALSE),"")</f>
        <v/>
      </c>
      <c r="F1236" s="28" t="str">
        <f>IF(OR(ISBLANK(B1236),B1236=""), "", IFERROR(INDEX('SAÍDA DE VENDAS'!$H$6:$H$500 &amp; "x " &amp; 'SAÍDA DE VENDAS'!$G$6:$G$500, MATCH(B1236, 'SAÍDA DE VENDAS'!$B$6:$B$500, 0)), "")&amp; IF(COUNTIF('SAÍDA DE VENDAS'!$B$6:$B$500, B1236)&gt;1, " + " &amp; IFERROR(INDEX('SAÍDA DE VENDAS'!$H$6:$H$500 &amp; "x " &amp; 'SAÍDA DE VENDAS'!$G$6:$G$500, MATCH(B1236, 'SAÍDA DE VENDAS'!$B$6:$B$500, 0)+1), ""), "")&amp; IF(COUNTIF('SAÍDA DE VENDAS'!$B$6:$B$500, B1236)&gt;2, " + " &amp; IFERROR(INDEX('SAÍDA DE VENDAS'!$H$6:$H$500 &amp; "x " &amp; 'SAÍDA DE VENDAS'!$G$6:$G$500, MATCH(B1236, 'SAÍDA DE VENDAS'!$B$6:$B$500, 0)+2), ""), "")&amp; IF(COUNTIF('SAÍDA DE VENDAS'!$B$6:$B$500, B1236)&gt;3, " + " &amp; IFERROR(INDEX('SAÍDA DE VENDAS'!$H$6:$H$500 &amp; "x " &amp; 'SAÍDA DE VENDAS'!$G$6:$G$500, MATCH(B1236, 'SAÍDA DE VENDAS'!$B$6:$B$500, 0)+3), ""), "")&amp; IF(COUNTIF('SAÍDA DE VENDAS'!$B$6:$B$500, B1236)&gt;4, " + " &amp; IFERROR(INDEX('SAÍDA DE VENDAS'!$H$6:$H$500 &amp; "x " &amp; 'SAÍDA DE VENDAS'!$G$6:$G$500, MATCH(B1236, 'SAÍDA DE VENDAS'!$B$6:$B$500, 0)+4), ""), "")&amp; IF(COUNTIF('SAÍDA DE VENDAS'!$B$6:$B$500, B1236)&gt;5, " + " &amp; IFERROR(INDEX('SAÍDA DE VENDAS'!$H$6:$H$500 &amp; "x " &amp; 'SAÍDA DE VENDAS'!$G$6:$G$500, MATCH(B1236, 'SAÍDA DE VENDAS'!$B$6:$B$500, 0)+5), ""), ""))</f>
        <v/>
      </c>
      <c r="G1236" s="28">
        <f>IFERROR(VLOOKUP(B1236,'SAÍDA DE VENDAS'!$B$6:$P$500,10,FALSE),"")</f>
        <v>0</v>
      </c>
      <c r="H1236" s="28" t="str">
        <f>IF(OR(ISBLANK(B1236),B1236=""), "", IF(B1236=B1235, (VALUE(LEFT(H1235,FIND("/",H1235)-1))+1)&amp;"/"&amp;RIGHT(H1235,LEN(H1235)-FIND("/",H1235)), "1/"&amp;IFERROR(VLOOKUP(B1236,'SAÍDA DE VENDAS'!$B$6:$P$500,13,FALSE),"1")))</f>
        <v/>
      </c>
      <c r="I1236" s="69" t="str">
        <f t="shared" si="38"/>
        <v/>
      </c>
      <c r="J1236" s="33" t="str">
        <f>IFERROR(VLOOKUP(B1236,'SAÍDA DE VENDAS'!$B$6:$P$500,15,FALSE),"")</f>
        <v/>
      </c>
      <c r="K1236" s="28" t="str">
        <f t="shared" ca="1" si="39"/>
        <v/>
      </c>
      <c r="L1236" s="28"/>
      <c r="M1236" s="28"/>
    </row>
    <row r="1237" spans="2:13" ht="15" customHeight="1" x14ac:dyDescent="0.3">
      <c r="B1237" s="34" t="str">
        <f>IF(B1236="","", IF(VALUE(LEFT(H1236,FIND("/",H1236)-1)) &lt; VALUE(RIGHT(H1236,LEN(H1236)-FIND("/",H1236))), B1236, IFERROR(INDEX('SAÍDA DE VENDAS'!$B$6:$B$500, MATCH(B1236,'SAÍDA DE VENDAS'!$B$6:$B$500,0)+COUNTIF('SAÍDA DE VENDAS'!$B$6:$B$500, B1236)),"")))</f>
        <v/>
      </c>
      <c r="C1237" s="35">
        <f>IFERROR(VLOOKUP(B1237,'SAÍDA DE VENDAS'!$B$6:$P$500,3,FALSE),"")</f>
        <v>0</v>
      </c>
      <c r="D1237" s="34">
        <f>IFERROR(VLOOKUP(B1237,'SAÍDA DE VENDAS'!$B$6:$P$500,4,FALSE),"")</f>
        <v>0</v>
      </c>
      <c r="E1237" s="34" t="str">
        <f>IFERROR(VLOOKUP(B1237,'SAÍDA DE VENDAS'!$B$6:$P$500,5,FALSE),"")</f>
        <v/>
      </c>
      <c r="F1237" s="34" t="str">
        <f>IF(OR(ISBLANK(B1237),B1237=""), "", IFERROR(INDEX('SAÍDA DE VENDAS'!$H$6:$H$500 &amp; "x " &amp; 'SAÍDA DE VENDAS'!$G$6:$G$500, MATCH(B1237, 'SAÍDA DE VENDAS'!$B$6:$B$500, 0)), "")&amp; IF(COUNTIF('SAÍDA DE VENDAS'!$B$6:$B$500, B1237)&gt;1, " + " &amp; IFERROR(INDEX('SAÍDA DE VENDAS'!$H$6:$H$500 &amp; "x " &amp; 'SAÍDA DE VENDAS'!$G$6:$G$500, MATCH(B1237, 'SAÍDA DE VENDAS'!$B$6:$B$500, 0)+1), ""), "")&amp; IF(COUNTIF('SAÍDA DE VENDAS'!$B$6:$B$500, B1237)&gt;2, " + " &amp; IFERROR(INDEX('SAÍDA DE VENDAS'!$H$6:$H$500 &amp; "x " &amp; 'SAÍDA DE VENDAS'!$G$6:$G$500, MATCH(B1237, 'SAÍDA DE VENDAS'!$B$6:$B$500, 0)+2), ""), "")&amp; IF(COUNTIF('SAÍDA DE VENDAS'!$B$6:$B$500, B1237)&gt;3, " + " &amp; IFERROR(INDEX('SAÍDA DE VENDAS'!$H$6:$H$500 &amp; "x " &amp; 'SAÍDA DE VENDAS'!$G$6:$G$500, MATCH(B1237, 'SAÍDA DE VENDAS'!$B$6:$B$500, 0)+3), ""), "")&amp; IF(COUNTIF('SAÍDA DE VENDAS'!$B$6:$B$500, B1237)&gt;4, " + " &amp; IFERROR(INDEX('SAÍDA DE VENDAS'!$H$6:$H$500 &amp; "x " &amp; 'SAÍDA DE VENDAS'!$G$6:$G$500, MATCH(B1237, 'SAÍDA DE VENDAS'!$B$6:$B$500, 0)+4), ""), "")&amp; IF(COUNTIF('SAÍDA DE VENDAS'!$B$6:$B$500, B1237)&gt;5, " + " &amp; IFERROR(INDEX('SAÍDA DE VENDAS'!$H$6:$H$500 &amp; "x " &amp; 'SAÍDA DE VENDAS'!$G$6:$G$500, MATCH(B1237, 'SAÍDA DE VENDAS'!$B$6:$B$500, 0)+5), ""), ""))</f>
        <v/>
      </c>
      <c r="G1237" s="34">
        <f>IFERROR(VLOOKUP(B1237,'SAÍDA DE VENDAS'!$B$6:$P$500,10,FALSE),"")</f>
        <v>0</v>
      </c>
      <c r="H1237" s="34" t="str">
        <f>IF(OR(ISBLANK(B1237),B1237=""), "", IF(B1237=B1236, (VALUE(LEFT(H1236,FIND("/",H1236)-1))+1)&amp;"/"&amp;RIGHT(H1236,LEN(H1236)-FIND("/",H1236)), "1/"&amp;IFERROR(VLOOKUP(B1237,'SAÍDA DE VENDAS'!$B$6:$P$500,13,FALSE),"1")))</f>
        <v/>
      </c>
      <c r="I1237" s="35" t="str">
        <f t="shared" si="38"/>
        <v/>
      </c>
      <c r="J1237" s="39" t="str">
        <f>IFERROR(VLOOKUP(B1237,'SAÍDA DE VENDAS'!$B$6:$P$500,15,FALSE),"")</f>
        <v/>
      </c>
      <c r="K1237" s="34" t="str">
        <f t="shared" ca="1" si="39"/>
        <v/>
      </c>
      <c r="L1237" s="34"/>
      <c r="M1237" s="34"/>
    </row>
    <row r="1238" spans="2:13" ht="15" customHeight="1" x14ac:dyDescent="0.3">
      <c r="B1238" s="28" t="str">
        <f>IF(B1237="","", IF(VALUE(LEFT(H1237,FIND("/",H1237)-1)) &lt; VALUE(RIGHT(H1237,LEN(H1237)-FIND("/",H1237))), B1237, IFERROR(INDEX('SAÍDA DE VENDAS'!$B$6:$B$500, MATCH(B1237,'SAÍDA DE VENDAS'!$B$6:$B$500,0)+COUNTIF('SAÍDA DE VENDAS'!$B$6:$B$500, B1237)),"")))</f>
        <v/>
      </c>
      <c r="C1238" s="29">
        <f>IFERROR(VLOOKUP(B1238,'SAÍDA DE VENDAS'!$B$6:$P$500,3,FALSE),"")</f>
        <v>0</v>
      </c>
      <c r="D1238" s="28">
        <f>IFERROR(VLOOKUP(B1238,'SAÍDA DE VENDAS'!$B$6:$P$500,4,FALSE),"")</f>
        <v>0</v>
      </c>
      <c r="E1238" s="28" t="str">
        <f>IFERROR(VLOOKUP(B1238,'SAÍDA DE VENDAS'!$B$6:$P$500,5,FALSE),"")</f>
        <v/>
      </c>
      <c r="F1238" s="28" t="str">
        <f>IF(OR(ISBLANK(B1238),B1238=""), "", IFERROR(INDEX('SAÍDA DE VENDAS'!$H$6:$H$500 &amp; "x " &amp; 'SAÍDA DE VENDAS'!$G$6:$G$500, MATCH(B1238, 'SAÍDA DE VENDAS'!$B$6:$B$500, 0)), "")&amp; IF(COUNTIF('SAÍDA DE VENDAS'!$B$6:$B$500, B1238)&gt;1, " + " &amp; IFERROR(INDEX('SAÍDA DE VENDAS'!$H$6:$H$500 &amp; "x " &amp; 'SAÍDA DE VENDAS'!$G$6:$G$500, MATCH(B1238, 'SAÍDA DE VENDAS'!$B$6:$B$500, 0)+1), ""), "")&amp; IF(COUNTIF('SAÍDA DE VENDAS'!$B$6:$B$500, B1238)&gt;2, " + " &amp; IFERROR(INDEX('SAÍDA DE VENDAS'!$H$6:$H$500 &amp; "x " &amp; 'SAÍDA DE VENDAS'!$G$6:$G$500, MATCH(B1238, 'SAÍDA DE VENDAS'!$B$6:$B$500, 0)+2), ""), "")&amp; IF(COUNTIF('SAÍDA DE VENDAS'!$B$6:$B$500, B1238)&gt;3, " + " &amp; IFERROR(INDEX('SAÍDA DE VENDAS'!$H$6:$H$500 &amp; "x " &amp; 'SAÍDA DE VENDAS'!$G$6:$G$500, MATCH(B1238, 'SAÍDA DE VENDAS'!$B$6:$B$500, 0)+3), ""), "")&amp; IF(COUNTIF('SAÍDA DE VENDAS'!$B$6:$B$500, B1238)&gt;4, " + " &amp; IFERROR(INDEX('SAÍDA DE VENDAS'!$H$6:$H$500 &amp; "x " &amp; 'SAÍDA DE VENDAS'!$G$6:$G$500, MATCH(B1238, 'SAÍDA DE VENDAS'!$B$6:$B$500, 0)+4), ""), "")&amp; IF(COUNTIF('SAÍDA DE VENDAS'!$B$6:$B$500, B1238)&gt;5, " + " &amp; IFERROR(INDEX('SAÍDA DE VENDAS'!$H$6:$H$500 &amp; "x " &amp; 'SAÍDA DE VENDAS'!$G$6:$G$500, MATCH(B1238, 'SAÍDA DE VENDAS'!$B$6:$B$500, 0)+5), ""), ""))</f>
        <v/>
      </c>
      <c r="G1238" s="28">
        <f>IFERROR(VLOOKUP(B1238,'SAÍDA DE VENDAS'!$B$6:$P$500,10,FALSE),"")</f>
        <v>0</v>
      </c>
      <c r="H1238" s="28" t="str">
        <f>IF(OR(ISBLANK(B1238),B1238=""), "", IF(B1238=B1237, (VALUE(LEFT(H1237,FIND("/",H1237)-1))+1)&amp;"/"&amp;RIGHT(H1237,LEN(H1237)-FIND("/",H1237)), "1/"&amp;IFERROR(VLOOKUP(B1238,'SAÍDA DE VENDAS'!$B$6:$P$500,13,FALSE),"1")))</f>
        <v/>
      </c>
      <c r="I1238" s="69" t="str">
        <f t="shared" si="38"/>
        <v/>
      </c>
      <c r="J1238" s="33" t="str">
        <f>IFERROR(VLOOKUP(B1238,'SAÍDA DE VENDAS'!$B$6:$P$500,15,FALSE),"")</f>
        <v/>
      </c>
      <c r="K1238" s="28" t="str">
        <f t="shared" ca="1" si="39"/>
        <v/>
      </c>
      <c r="L1238" s="28"/>
      <c r="M1238" s="28"/>
    </row>
    <row r="1239" spans="2:13" ht="15" customHeight="1" x14ac:dyDescent="0.3">
      <c r="B1239" s="34" t="str">
        <f>IF(B1238="","", IF(VALUE(LEFT(H1238,FIND("/",H1238)-1)) &lt; VALUE(RIGHT(H1238,LEN(H1238)-FIND("/",H1238))), B1238, IFERROR(INDEX('SAÍDA DE VENDAS'!$B$6:$B$500, MATCH(B1238,'SAÍDA DE VENDAS'!$B$6:$B$500,0)+COUNTIF('SAÍDA DE VENDAS'!$B$6:$B$500, B1238)),"")))</f>
        <v/>
      </c>
      <c r="C1239" s="35">
        <f>IFERROR(VLOOKUP(B1239,'SAÍDA DE VENDAS'!$B$6:$P$500,3,FALSE),"")</f>
        <v>0</v>
      </c>
      <c r="D1239" s="34">
        <f>IFERROR(VLOOKUP(B1239,'SAÍDA DE VENDAS'!$B$6:$P$500,4,FALSE),"")</f>
        <v>0</v>
      </c>
      <c r="E1239" s="34" t="str">
        <f>IFERROR(VLOOKUP(B1239,'SAÍDA DE VENDAS'!$B$6:$P$500,5,FALSE),"")</f>
        <v/>
      </c>
      <c r="F1239" s="34" t="str">
        <f>IF(OR(ISBLANK(B1239),B1239=""), "", IFERROR(INDEX('SAÍDA DE VENDAS'!$H$6:$H$500 &amp; "x " &amp; 'SAÍDA DE VENDAS'!$G$6:$G$500, MATCH(B1239, 'SAÍDA DE VENDAS'!$B$6:$B$500, 0)), "")&amp; IF(COUNTIF('SAÍDA DE VENDAS'!$B$6:$B$500, B1239)&gt;1, " + " &amp; IFERROR(INDEX('SAÍDA DE VENDAS'!$H$6:$H$500 &amp; "x " &amp; 'SAÍDA DE VENDAS'!$G$6:$G$500, MATCH(B1239, 'SAÍDA DE VENDAS'!$B$6:$B$500, 0)+1), ""), "")&amp; IF(COUNTIF('SAÍDA DE VENDAS'!$B$6:$B$500, B1239)&gt;2, " + " &amp; IFERROR(INDEX('SAÍDA DE VENDAS'!$H$6:$H$500 &amp; "x " &amp; 'SAÍDA DE VENDAS'!$G$6:$G$500, MATCH(B1239, 'SAÍDA DE VENDAS'!$B$6:$B$500, 0)+2), ""), "")&amp; IF(COUNTIF('SAÍDA DE VENDAS'!$B$6:$B$500, B1239)&gt;3, " + " &amp; IFERROR(INDEX('SAÍDA DE VENDAS'!$H$6:$H$500 &amp; "x " &amp; 'SAÍDA DE VENDAS'!$G$6:$G$500, MATCH(B1239, 'SAÍDA DE VENDAS'!$B$6:$B$500, 0)+3), ""), "")&amp; IF(COUNTIF('SAÍDA DE VENDAS'!$B$6:$B$500, B1239)&gt;4, " + " &amp; IFERROR(INDEX('SAÍDA DE VENDAS'!$H$6:$H$500 &amp; "x " &amp; 'SAÍDA DE VENDAS'!$G$6:$G$500, MATCH(B1239, 'SAÍDA DE VENDAS'!$B$6:$B$500, 0)+4), ""), "")&amp; IF(COUNTIF('SAÍDA DE VENDAS'!$B$6:$B$500, B1239)&gt;5, " + " &amp; IFERROR(INDEX('SAÍDA DE VENDAS'!$H$6:$H$500 &amp; "x " &amp; 'SAÍDA DE VENDAS'!$G$6:$G$500, MATCH(B1239, 'SAÍDA DE VENDAS'!$B$6:$B$500, 0)+5), ""), ""))</f>
        <v/>
      </c>
      <c r="G1239" s="34">
        <f>IFERROR(VLOOKUP(B1239,'SAÍDA DE VENDAS'!$B$6:$P$500,10,FALSE),"")</f>
        <v>0</v>
      </c>
      <c r="H1239" s="34" t="str">
        <f>IF(OR(ISBLANK(B1239),B1239=""), "", IF(B1239=B1238, (VALUE(LEFT(H1238,FIND("/",H1238)-1))+1)&amp;"/"&amp;RIGHT(H1238,LEN(H1238)-FIND("/",H1238)), "1/"&amp;IFERROR(VLOOKUP(B1239,'SAÍDA DE VENDAS'!$B$6:$P$500,13,FALSE),"1")))</f>
        <v/>
      </c>
      <c r="I1239" s="35" t="str">
        <f t="shared" si="38"/>
        <v/>
      </c>
      <c r="J1239" s="39" t="str">
        <f>IFERROR(VLOOKUP(B1239,'SAÍDA DE VENDAS'!$B$6:$P$500,15,FALSE),"")</f>
        <v/>
      </c>
      <c r="K1239" s="34" t="str">
        <f t="shared" ca="1" si="39"/>
        <v/>
      </c>
      <c r="L1239" s="34"/>
      <c r="M1239" s="34"/>
    </row>
    <row r="1240" spans="2:13" ht="15" customHeight="1" x14ac:dyDescent="0.3">
      <c r="B1240" s="28" t="str">
        <f>IF(B1239="","", IF(VALUE(LEFT(H1239,FIND("/",H1239)-1)) &lt; VALUE(RIGHT(H1239,LEN(H1239)-FIND("/",H1239))), B1239, IFERROR(INDEX('SAÍDA DE VENDAS'!$B$6:$B$500, MATCH(B1239,'SAÍDA DE VENDAS'!$B$6:$B$500,0)+COUNTIF('SAÍDA DE VENDAS'!$B$6:$B$500, B1239)),"")))</f>
        <v/>
      </c>
      <c r="C1240" s="29">
        <f>IFERROR(VLOOKUP(B1240,'SAÍDA DE VENDAS'!$B$6:$P$500,3,FALSE),"")</f>
        <v>0</v>
      </c>
      <c r="D1240" s="28">
        <f>IFERROR(VLOOKUP(B1240,'SAÍDA DE VENDAS'!$B$6:$P$500,4,FALSE),"")</f>
        <v>0</v>
      </c>
      <c r="E1240" s="28" t="str">
        <f>IFERROR(VLOOKUP(B1240,'SAÍDA DE VENDAS'!$B$6:$P$500,5,FALSE),"")</f>
        <v/>
      </c>
      <c r="F1240" s="28" t="str">
        <f>IF(OR(ISBLANK(B1240),B1240=""), "", IFERROR(INDEX('SAÍDA DE VENDAS'!$H$6:$H$500 &amp; "x " &amp; 'SAÍDA DE VENDAS'!$G$6:$G$500, MATCH(B1240, 'SAÍDA DE VENDAS'!$B$6:$B$500, 0)), "")&amp; IF(COUNTIF('SAÍDA DE VENDAS'!$B$6:$B$500, B1240)&gt;1, " + " &amp; IFERROR(INDEX('SAÍDA DE VENDAS'!$H$6:$H$500 &amp; "x " &amp; 'SAÍDA DE VENDAS'!$G$6:$G$500, MATCH(B1240, 'SAÍDA DE VENDAS'!$B$6:$B$500, 0)+1), ""), "")&amp; IF(COUNTIF('SAÍDA DE VENDAS'!$B$6:$B$500, B1240)&gt;2, " + " &amp; IFERROR(INDEX('SAÍDA DE VENDAS'!$H$6:$H$500 &amp; "x " &amp; 'SAÍDA DE VENDAS'!$G$6:$G$500, MATCH(B1240, 'SAÍDA DE VENDAS'!$B$6:$B$500, 0)+2), ""), "")&amp; IF(COUNTIF('SAÍDA DE VENDAS'!$B$6:$B$500, B1240)&gt;3, " + " &amp; IFERROR(INDEX('SAÍDA DE VENDAS'!$H$6:$H$500 &amp; "x " &amp; 'SAÍDA DE VENDAS'!$G$6:$G$500, MATCH(B1240, 'SAÍDA DE VENDAS'!$B$6:$B$500, 0)+3), ""), "")&amp; IF(COUNTIF('SAÍDA DE VENDAS'!$B$6:$B$500, B1240)&gt;4, " + " &amp; IFERROR(INDEX('SAÍDA DE VENDAS'!$H$6:$H$500 &amp; "x " &amp; 'SAÍDA DE VENDAS'!$G$6:$G$500, MATCH(B1240, 'SAÍDA DE VENDAS'!$B$6:$B$500, 0)+4), ""), "")&amp; IF(COUNTIF('SAÍDA DE VENDAS'!$B$6:$B$500, B1240)&gt;5, " + " &amp; IFERROR(INDEX('SAÍDA DE VENDAS'!$H$6:$H$500 &amp; "x " &amp; 'SAÍDA DE VENDAS'!$G$6:$G$500, MATCH(B1240, 'SAÍDA DE VENDAS'!$B$6:$B$500, 0)+5), ""), ""))</f>
        <v/>
      </c>
      <c r="G1240" s="28">
        <f>IFERROR(VLOOKUP(B1240,'SAÍDA DE VENDAS'!$B$6:$P$500,10,FALSE),"")</f>
        <v>0</v>
      </c>
      <c r="H1240" s="28" t="str">
        <f>IF(OR(ISBLANK(B1240),B1240=""), "", IF(B1240=B1239, (VALUE(LEFT(H1239,FIND("/",H1239)-1))+1)&amp;"/"&amp;RIGHT(H1239,LEN(H1239)-FIND("/",H1239)), "1/"&amp;IFERROR(VLOOKUP(B1240,'SAÍDA DE VENDAS'!$B$6:$P$500,13,FALSE),"1")))</f>
        <v/>
      </c>
      <c r="I1240" s="69" t="str">
        <f t="shared" si="38"/>
        <v/>
      </c>
      <c r="J1240" s="33" t="str">
        <f>IFERROR(VLOOKUP(B1240,'SAÍDA DE VENDAS'!$B$6:$P$500,15,FALSE),"")</f>
        <v/>
      </c>
      <c r="K1240" s="28" t="str">
        <f t="shared" ca="1" si="39"/>
        <v/>
      </c>
      <c r="L1240" s="28"/>
      <c r="M1240" s="28"/>
    </row>
    <row r="1241" spans="2:13" ht="15" customHeight="1" x14ac:dyDescent="0.3">
      <c r="B1241" s="34" t="str">
        <f>IF(B1240="","", IF(VALUE(LEFT(H1240,FIND("/",H1240)-1)) &lt; VALUE(RIGHT(H1240,LEN(H1240)-FIND("/",H1240))), B1240, IFERROR(INDEX('SAÍDA DE VENDAS'!$B$6:$B$500, MATCH(B1240,'SAÍDA DE VENDAS'!$B$6:$B$500,0)+COUNTIF('SAÍDA DE VENDAS'!$B$6:$B$500, B1240)),"")))</f>
        <v/>
      </c>
      <c r="C1241" s="35">
        <f>IFERROR(VLOOKUP(B1241,'SAÍDA DE VENDAS'!$B$6:$P$500,3,FALSE),"")</f>
        <v>0</v>
      </c>
      <c r="D1241" s="34">
        <f>IFERROR(VLOOKUP(B1241,'SAÍDA DE VENDAS'!$B$6:$P$500,4,FALSE),"")</f>
        <v>0</v>
      </c>
      <c r="E1241" s="34" t="str">
        <f>IFERROR(VLOOKUP(B1241,'SAÍDA DE VENDAS'!$B$6:$P$500,5,FALSE),"")</f>
        <v/>
      </c>
      <c r="F1241" s="34" t="str">
        <f>IF(OR(ISBLANK(B1241),B1241=""), "", IFERROR(INDEX('SAÍDA DE VENDAS'!$H$6:$H$500 &amp; "x " &amp; 'SAÍDA DE VENDAS'!$G$6:$G$500, MATCH(B1241, 'SAÍDA DE VENDAS'!$B$6:$B$500, 0)), "")&amp; IF(COUNTIF('SAÍDA DE VENDAS'!$B$6:$B$500, B1241)&gt;1, " + " &amp; IFERROR(INDEX('SAÍDA DE VENDAS'!$H$6:$H$500 &amp; "x " &amp; 'SAÍDA DE VENDAS'!$G$6:$G$500, MATCH(B1241, 'SAÍDA DE VENDAS'!$B$6:$B$500, 0)+1), ""), "")&amp; IF(COUNTIF('SAÍDA DE VENDAS'!$B$6:$B$500, B1241)&gt;2, " + " &amp; IFERROR(INDEX('SAÍDA DE VENDAS'!$H$6:$H$500 &amp; "x " &amp; 'SAÍDA DE VENDAS'!$G$6:$G$500, MATCH(B1241, 'SAÍDA DE VENDAS'!$B$6:$B$500, 0)+2), ""), "")&amp; IF(COUNTIF('SAÍDA DE VENDAS'!$B$6:$B$500, B1241)&gt;3, " + " &amp; IFERROR(INDEX('SAÍDA DE VENDAS'!$H$6:$H$500 &amp; "x " &amp; 'SAÍDA DE VENDAS'!$G$6:$G$500, MATCH(B1241, 'SAÍDA DE VENDAS'!$B$6:$B$500, 0)+3), ""), "")&amp; IF(COUNTIF('SAÍDA DE VENDAS'!$B$6:$B$500, B1241)&gt;4, " + " &amp; IFERROR(INDEX('SAÍDA DE VENDAS'!$H$6:$H$500 &amp; "x " &amp; 'SAÍDA DE VENDAS'!$G$6:$G$500, MATCH(B1241, 'SAÍDA DE VENDAS'!$B$6:$B$500, 0)+4), ""), "")&amp; IF(COUNTIF('SAÍDA DE VENDAS'!$B$6:$B$500, B1241)&gt;5, " + " &amp; IFERROR(INDEX('SAÍDA DE VENDAS'!$H$6:$H$500 &amp; "x " &amp; 'SAÍDA DE VENDAS'!$G$6:$G$500, MATCH(B1241, 'SAÍDA DE VENDAS'!$B$6:$B$500, 0)+5), ""), ""))</f>
        <v/>
      </c>
      <c r="G1241" s="34">
        <f>IFERROR(VLOOKUP(B1241,'SAÍDA DE VENDAS'!$B$6:$P$500,10,FALSE),"")</f>
        <v>0</v>
      </c>
      <c r="H1241" s="34" t="str">
        <f>IF(OR(ISBLANK(B1241),B1241=""), "", IF(B1241=B1240, (VALUE(LEFT(H1240,FIND("/",H1240)-1))+1)&amp;"/"&amp;RIGHT(H1240,LEN(H1240)-FIND("/",H1240)), "1/"&amp;IFERROR(VLOOKUP(B1241,'SAÍDA DE VENDAS'!$B$6:$P$500,13,FALSE),"1")))</f>
        <v/>
      </c>
      <c r="I1241" s="35" t="str">
        <f t="shared" si="38"/>
        <v/>
      </c>
      <c r="J1241" s="39" t="str">
        <f>IFERROR(VLOOKUP(B1241,'SAÍDA DE VENDAS'!$B$6:$P$500,15,FALSE),"")</f>
        <v/>
      </c>
      <c r="K1241" s="34" t="str">
        <f t="shared" ca="1" si="39"/>
        <v/>
      </c>
      <c r="L1241" s="34"/>
      <c r="M1241" s="34"/>
    </row>
    <row r="1242" spans="2:13" ht="15" customHeight="1" x14ac:dyDescent="0.3">
      <c r="B1242" s="28" t="str">
        <f>IF(B1241="","", IF(VALUE(LEFT(H1241,FIND("/",H1241)-1)) &lt; VALUE(RIGHT(H1241,LEN(H1241)-FIND("/",H1241))), B1241, IFERROR(INDEX('SAÍDA DE VENDAS'!$B$6:$B$500, MATCH(B1241,'SAÍDA DE VENDAS'!$B$6:$B$500,0)+COUNTIF('SAÍDA DE VENDAS'!$B$6:$B$500, B1241)),"")))</f>
        <v/>
      </c>
      <c r="C1242" s="29">
        <f>IFERROR(VLOOKUP(B1242,'SAÍDA DE VENDAS'!$B$6:$P$500,3,FALSE),"")</f>
        <v>0</v>
      </c>
      <c r="D1242" s="28">
        <f>IFERROR(VLOOKUP(B1242,'SAÍDA DE VENDAS'!$B$6:$P$500,4,FALSE),"")</f>
        <v>0</v>
      </c>
      <c r="E1242" s="28" t="str">
        <f>IFERROR(VLOOKUP(B1242,'SAÍDA DE VENDAS'!$B$6:$P$500,5,FALSE),"")</f>
        <v/>
      </c>
      <c r="F1242" s="28" t="str">
        <f>IF(OR(ISBLANK(B1242),B1242=""), "", IFERROR(INDEX('SAÍDA DE VENDAS'!$H$6:$H$500 &amp; "x " &amp; 'SAÍDA DE VENDAS'!$G$6:$G$500, MATCH(B1242, 'SAÍDA DE VENDAS'!$B$6:$B$500, 0)), "")&amp; IF(COUNTIF('SAÍDA DE VENDAS'!$B$6:$B$500, B1242)&gt;1, " + " &amp; IFERROR(INDEX('SAÍDA DE VENDAS'!$H$6:$H$500 &amp; "x " &amp; 'SAÍDA DE VENDAS'!$G$6:$G$500, MATCH(B1242, 'SAÍDA DE VENDAS'!$B$6:$B$500, 0)+1), ""), "")&amp; IF(COUNTIF('SAÍDA DE VENDAS'!$B$6:$B$500, B1242)&gt;2, " + " &amp; IFERROR(INDEX('SAÍDA DE VENDAS'!$H$6:$H$500 &amp; "x " &amp; 'SAÍDA DE VENDAS'!$G$6:$G$500, MATCH(B1242, 'SAÍDA DE VENDAS'!$B$6:$B$500, 0)+2), ""), "")&amp; IF(COUNTIF('SAÍDA DE VENDAS'!$B$6:$B$500, B1242)&gt;3, " + " &amp; IFERROR(INDEX('SAÍDA DE VENDAS'!$H$6:$H$500 &amp; "x " &amp; 'SAÍDA DE VENDAS'!$G$6:$G$500, MATCH(B1242, 'SAÍDA DE VENDAS'!$B$6:$B$500, 0)+3), ""), "")&amp; IF(COUNTIF('SAÍDA DE VENDAS'!$B$6:$B$500, B1242)&gt;4, " + " &amp; IFERROR(INDEX('SAÍDA DE VENDAS'!$H$6:$H$500 &amp; "x " &amp; 'SAÍDA DE VENDAS'!$G$6:$G$500, MATCH(B1242, 'SAÍDA DE VENDAS'!$B$6:$B$500, 0)+4), ""), "")&amp; IF(COUNTIF('SAÍDA DE VENDAS'!$B$6:$B$500, B1242)&gt;5, " + " &amp; IFERROR(INDEX('SAÍDA DE VENDAS'!$H$6:$H$500 &amp; "x " &amp; 'SAÍDA DE VENDAS'!$G$6:$G$500, MATCH(B1242, 'SAÍDA DE VENDAS'!$B$6:$B$500, 0)+5), ""), ""))</f>
        <v/>
      </c>
      <c r="G1242" s="28">
        <f>IFERROR(VLOOKUP(B1242,'SAÍDA DE VENDAS'!$B$6:$P$500,10,FALSE),"")</f>
        <v>0</v>
      </c>
      <c r="H1242" s="28" t="str">
        <f>IF(OR(ISBLANK(B1242),B1242=""), "", IF(B1242=B1241, (VALUE(LEFT(H1241,FIND("/",H1241)-1))+1)&amp;"/"&amp;RIGHT(H1241,LEN(H1241)-FIND("/",H1241)), "1/"&amp;IFERROR(VLOOKUP(B1242,'SAÍDA DE VENDAS'!$B$6:$P$500,13,FALSE),"1")))</f>
        <v/>
      </c>
      <c r="I1242" s="69" t="str">
        <f t="shared" si="38"/>
        <v/>
      </c>
      <c r="J1242" s="33" t="str">
        <f>IFERROR(VLOOKUP(B1242,'SAÍDA DE VENDAS'!$B$6:$P$500,15,FALSE),"")</f>
        <v/>
      </c>
      <c r="K1242" s="28" t="str">
        <f t="shared" ca="1" si="39"/>
        <v/>
      </c>
      <c r="L1242" s="28"/>
      <c r="M1242" s="28"/>
    </row>
    <row r="1243" spans="2:13" ht="15" customHeight="1" x14ac:dyDescent="0.3">
      <c r="B1243" s="34" t="str">
        <f>IF(B1242="","", IF(VALUE(LEFT(H1242,FIND("/",H1242)-1)) &lt; VALUE(RIGHT(H1242,LEN(H1242)-FIND("/",H1242))), B1242, IFERROR(INDEX('SAÍDA DE VENDAS'!$B$6:$B$500, MATCH(B1242,'SAÍDA DE VENDAS'!$B$6:$B$500,0)+COUNTIF('SAÍDA DE VENDAS'!$B$6:$B$500, B1242)),"")))</f>
        <v/>
      </c>
      <c r="C1243" s="35">
        <f>IFERROR(VLOOKUP(B1243,'SAÍDA DE VENDAS'!$B$6:$P$500,3,FALSE),"")</f>
        <v>0</v>
      </c>
      <c r="D1243" s="34">
        <f>IFERROR(VLOOKUP(B1243,'SAÍDA DE VENDAS'!$B$6:$P$500,4,FALSE),"")</f>
        <v>0</v>
      </c>
      <c r="E1243" s="34" t="str">
        <f>IFERROR(VLOOKUP(B1243,'SAÍDA DE VENDAS'!$B$6:$P$500,5,FALSE),"")</f>
        <v/>
      </c>
      <c r="F1243" s="34" t="str">
        <f>IF(OR(ISBLANK(B1243),B1243=""), "", IFERROR(INDEX('SAÍDA DE VENDAS'!$H$6:$H$500 &amp; "x " &amp; 'SAÍDA DE VENDAS'!$G$6:$G$500, MATCH(B1243, 'SAÍDA DE VENDAS'!$B$6:$B$500, 0)), "")&amp; IF(COUNTIF('SAÍDA DE VENDAS'!$B$6:$B$500, B1243)&gt;1, " + " &amp; IFERROR(INDEX('SAÍDA DE VENDAS'!$H$6:$H$500 &amp; "x " &amp; 'SAÍDA DE VENDAS'!$G$6:$G$500, MATCH(B1243, 'SAÍDA DE VENDAS'!$B$6:$B$500, 0)+1), ""), "")&amp; IF(COUNTIF('SAÍDA DE VENDAS'!$B$6:$B$500, B1243)&gt;2, " + " &amp; IFERROR(INDEX('SAÍDA DE VENDAS'!$H$6:$H$500 &amp; "x " &amp; 'SAÍDA DE VENDAS'!$G$6:$G$500, MATCH(B1243, 'SAÍDA DE VENDAS'!$B$6:$B$500, 0)+2), ""), "")&amp; IF(COUNTIF('SAÍDA DE VENDAS'!$B$6:$B$500, B1243)&gt;3, " + " &amp; IFERROR(INDEX('SAÍDA DE VENDAS'!$H$6:$H$500 &amp; "x " &amp; 'SAÍDA DE VENDAS'!$G$6:$G$500, MATCH(B1243, 'SAÍDA DE VENDAS'!$B$6:$B$500, 0)+3), ""), "")&amp; IF(COUNTIF('SAÍDA DE VENDAS'!$B$6:$B$500, B1243)&gt;4, " + " &amp; IFERROR(INDEX('SAÍDA DE VENDAS'!$H$6:$H$500 &amp; "x " &amp; 'SAÍDA DE VENDAS'!$G$6:$G$500, MATCH(B1243, 'SAÍDA DE VENDAS'!$B$6:$B$500, 0)+4), ""), "")&amp; IF(COUNTIF('SAÍDA DE VENDAS'!$B$6:$B$500, B1243)&gt;5, " + " &amp; IFERROR(INDEX('SAÍDA DE VENDAS'!$H$6:$H$500 &amp; "x " &amp; 'SAÍDA DE VENDAS'!$G$6:$G$500, MATCH(B1243, 'SAÍDA DE VENDAS'!$B$6:$B$500, 0)+5), ""), ""))</f>
        <v/>
      </c>
      <c r="G1243" s="34">
        <f>IFERROR(VLOOKUP(B1243,'SAÍDA DE VENDAS'!$B$6:$P$500,10,FALSE),"")</f>
        <v>0</v>
      </c>
      <c r="H1243" s="34" t="str">
        <f>IF(OR(ISBLANK(B1243),B1243=""), "", IF(B1243=B1242, (VALUE(LEFT(H1242,FIND("/",H1242)-1))+1)&amp;"/"&amp;RIGHT(H1242,LEN(H1242)-FIND("/",H1242)), "1/"&amp;IFERROR(VLOOKUP(B1243,'SAÍDA DE VENDAS'!$B$6:$P$500,13,FALSE),"1")))</f>
        <v/>
      </c>
      <c r="I1243" s="35" t="str">
        <f t="shared" si="38"/>
        <v/>
      </c>
      <c r="J1243" s="39" t="str">
        <f>IFERROR(VLOOKUP(B1243,'SAÍDA DE VENDAS'!$B$6:$P$500,15,FALSE),"")</f>
        <v/>
      </c>
      <c r="K1243" s="34" t="str">
        <f t="shared" ca="1" si="39"/>
        <v/>
      </c>
      <c r="L1243" s="34"/>
      <c r="M1243" s="34"/>
    </row>
    <row r="1244" spans="2:13" ht="15" customHeight="1" x14ac:dyDescent="0.3">
      <c r="B1244" s="28" t="str">
        <f>IF(B1243="","", IF(VALUE(LEFT(H1243,FIND("/",H1243)-1)) &lt; VALUE(RIGHT(H1243,LEN(H1243)-FIND("/",H1243))), B1243, IFERROR(INDEX('SAÍDA DE VENDAS'!$B$6:$B$500, MATCH(B1243,'SAÍDA DE VENDAS'!$B$6:$B$500,0)+COUNTIF('SAÍDA DE VENDAS'!$B$6:$B$500, B1243)),"")))</f>
        <v/>
      </c>
      <c r="C1244" s="29">
        <f>IFERROR(VLOOKUP(B1244,'SAÍDA DE VENDAS'!$B$6:$P$500,3,FALSE),"")</f>
        <v>0</v>
      </c>
      <c r="D1244" s="28">
        <f>IFERROR(VLOOKUP(B1244,'SAÍDA DE VENDAS'!$B$6:$P$500,4,FALSE),"")</f>
        <v>0</v>
      </c>
      <c r="E1244" s="28" t="str">
        <f>IFERROR(VLOOKUP(B1244,'SAÍDA DE VENDAS'!$B$6:$P$500,5,FALSE),"")</f>
        <v/>
      </c>
      <c r="F1244" s="28" t="str">
        <f>IF(OR(ISBLANK(B1244),B1244=""), "", IFERROR(INDEX('SAÍDA DE VENDAS'!$H$6:$H$500 &amp; "x " &amp; 'SAÍDA DE VENDAS'!$G$6:$G$500, MATCH(B1244, 'SAÍDA DE VENDAS'!$B$6:$B$500, 0)), "")&amp; IF(COUNTIF('SAÍDA DE VENDAS'!$B$6:$B$500, B1244)&gt;1, " + " &amp; IFERROR(INDEX('SAÍDA DE VENDAS'!$H$6:$H$500 &amp; "x " &amp; 'SAÍDA DE VENDAS'!$G$6:$G$500, MATCH(B1244, 'SAÍDA DE VENDAS'!$B$6:$B$500, 0)+1), ""), "")&amp; IF(COUNTIF('SAÍDA DE VENDAS'!$B$6:$B$500, B1244)&gt;2, " + " &amp; IFERROR(INDEX('SAÍDA DE VENDAS'!$H$6:$H$500 &amp; "x " &amp; 'SAÍDA DE VENDAS'!$G$6:$G$500, MATCH(B1244, 'SAÍDA DE VENDAS'!$B$6:$B$500, 0)+2), ""), "")&amp; IF(COUNTIF('SAÍDA DE VENDAS'!$B$6:$B$500, B1244)&gt;3, " + " &amp; IFERROR(INDEX('SAÍDA DE VENDAS'!$H$6:$H$500 &amp; "x " &amp; 'SAÍDA DE VENDAS'!$G$6:$G$500, MATCH(B1244, 'SAÍDA DE VENDAS'!$B$6:$B$500, 0)+3), ""), "")&amp; IF(COUNTIF('SAÍDA DE VENDAS'!$B$6:$B$500, B1244)&gt;4, " + " &amp; IFERROR(INDEX('SAÍDA DE VENDAS'!$H$6:$H$500 &amp; "x " &amp; 'SAÍDA DE VENDAS'!$G$6:$G$500, MATCH(B1244, 'SAÍDA DE VENDAS'!$B$6:$B$500, 0)+4), ""), "")&amp; IF(COUNTIF('SAÍDA DE VENDAS'!$B$6:$B$500, B1244)&gt;5, " + " &amp; IFERROR(INDEX('SAÍDA DE VENDAS'!$H$6:$H$500 &amp; "x " &amp; 'SAÍDA DE VENDAS'!$G$6:$G$500, MATCH(B1244, 'SAÍDA DE VENDAS'!$B$6:$B$500, 0)+5), ""), ""))</f>
        <v/>
      </c>
      <c r="G1244" s="28">
        <f>IFERROR(VLOOKUP(B1244,'SAÍDA DE VENDAS'!$B$6:$P$500,10,FALSE),"")</f>
        <v>0</v>
      </c>
      <c r="H1244" s="28" t="str">
        <f>IF(OR(ISBLANK(B1244),B1244=""), "", IF(B1244=B1243, (VALUE(LEFT(H1243,FIND("/",H1243)-1))+1)&amp;"/"&amp;RIGHT(H1243,LEN(H1243)-FIND("/",H1243)), "1/"&amp;IFERROR(VLOOKUP(B1244,'SAÍDA DE VENDAS'!$B$6:$P$500,13,FALSE),"1")))</f>
        <v/>
      </c>
      <c r="I1244" s="69" t="str">
        <f t="shared" si="38"/>
        <v/>
      </c>
      <c r="J1244" s="33" t="str">
        <f>IFERROR(VLOOKUP(B1244,'SAÍDA DE VENDAS'!$B$6:$P$500,15,FALSE),"")</f>
        <v/>
      </c>
      <c r="K1244" s="28" t="str">
        <f t="shared" ca="1" si="39"/>
        <v/>
      </c>
      <c r="L1244" s="28"/>
      <c r="M1244" s="28"/>
    </row>
    <row r="1245" spans="2:13" ht="15" customHeight="1" x14ac:dyDescent="0.3">
      <c r="B1245" s="34" t="str">
        <f>IF(B1244="","", IF(VALUE(LEFT(H1244,FIND("/",H1244)-1)) &lt; VALUE(RIGHT(H1244,LEN(H1244)-FIND("/",H1244))), B1244, IFERROR(INDEX('SAÍDA DE VENDAS'!$B$6:$B$500, MATCH(B1244,'SAÍDA DE VENDAS'!$B$6:$B$500,0)+COUNTIF('SAÍDA DE VENDAS'!$B$6:$B$500, B1244)),"")))</f>
        <v/>
      </c>
      <c r="C1245" s="35">
        <f>IFERROR(VLOOKUP(B1245,'SAÍDA DE VENDAS'!$B$6:$P$500,3,FALSE),"")</f>
        <v>0</v>
      </c>
      <c r="D1245" s="34">
        <f>IFERROR(VLOOKUP(B1245,'SAÍDA DE VENDAS'!$B$6:$P$500,4,FALSE),"")</f>
        <v>0</v>
      </c>
      <c r="E1245" s="34" t="str">
        <f>IFERROR(VLOOKUP(B1245,'SAÍDA DE VENDAS'!$B$6:$P$500,5,FALSE),"")</f>
        <v/>
      </c>
      <c r="F1245" s="34" t="str">
        <f>IF(OR(ISBLANK(B1245),B1245=""), "", IFERROR(INDEX('SAÍDA DE VENDAS'!$H$6:$H$500 &amp; "x " &amp; 'SAÍDA DE VENDAS'!$G$6:$G$500, MATCH(B1245, 'SAÍDA DE VENDAS'!$B$6:$B$500, 0)), "")&amp; IF(COUNTIF('SAÍDA DE VENDAS'!$B$6:$B$500, B1245)&gt;1, " + " &amp; IFERROR(INDEX('SAÍDA DE VENDAS'!$H$6:$H$500 &amp; "x " &amp; 'SAÍDA DE VENDAS'!$G$6:$G$500, MATCH(B1245, 'SAÍDA DE VENDAS'!$B$6:$B$500, 0)+1), ""), "")&amp; IF(COUNTIF('SAÍDA DE VENDAS'!$B$6:$B$500, B1245)&gt;2, " + " &amp; IFERROR(INDEX('SAÍDA DE VENDAS'!$H$6:$H$500 &amp; "x " &amp; 'SAÍDA DE VENDAS'!$G$6:$G$500, MATCH(B1245, 'SAÍDA DE VENDAS'!$B$6:$B$500, 0)+2), ""), "")&amp; IF(COUNTIF('SAÍDA DE VENDAS'!$B$6:$B$500, B1245)&gt;3, " + " &amp; IFERROR(INDEX('SAÍDA DE VENDAS'!$H$6:$H$500 &amp; "x " &amp; 'SAÍDA DE VENDAS'!$G$6:$G$500, MATCH(B1245, 'SAÍDA DE VENDAS'!$B$6:$B$500, 0)+3), ""), "")&amp; IF(COUNTIF('SAÍDA DE VENDAS'!$B$6:$B$500, B1245)&gt;4, " + " &amp; IFERROR(INDEX('SAÍDA DE VENDAS'!$H$6:$H$500 &amp; "x " &amp; 'SAÍDA DE VENDAS'!$G$6:$G$500, MATCH(B1245, 'SAÍDA DE VENDAS'!$B$6:$B$500, 0)+4), ""), "")&amp; IF(COUNTIF('SAÍDA DE VENDAS'!$B$6:$B$500, B1245)&gt;5, " + " &amp; IFERROR(INDEX('SAÍDA DE VENDAS'!$H$6:$H$500 &amp; "x " &amp; 'SAÍDA DE VENDAS'!$G$6:$G$500, MATCH(B1245, 'SAÍDA DE VENDAS'!$B$6:$B$500, 0)+5), ""), ""))</f>
        <v/>
      </c>
      <c r="G1245" s="34">
        <f>IFERROR(VLOOKUP(B1245,'SAÍDA DE VENDAS'!$B$6:$P$500,10,FALSE),"")</f>
        <v>0</v>
      </c>
      <c r="H1245" s="34" t="str">
        <f>IF(OR(ISBLANK(B1245),B1245=""), "", IF(B1245=B1244, (VALUE(LEFT(H1244,FIND("/",H1244)-1))+1)&amp;"/"&amp;RIGHT(H1244,LEN(H1244)-FIND("/",H1244)), "1/"&amp;IFERROR(VLOOKUP(B1245,'SAÍDA DE VENDAS'!$B$6:$P$500,13,FALSE),"1")))</f>
        <v/>
      </c>
      <c r="I1245" s="35" t="str">
        <f t="shared" si="38"/>
        <v/>
      </c>
      <c r="J1245" s="39" t="str">
        <f>IFERROR(VLOOKUP(B1245,'SAÍDA DE VENDAS'!$B$6:$P$500,15,FALSE),"")</f>
        <v/>
      </c>
      <c r="K1245" s="34" t="str">
        <f t="shared" ca="1" si="39"/>
        <v/>
      </c>
      <c r="L1245" s="34"/>
      <c r="M1245" s="34"/>
    </row>
    <row r="1246" spans="2:13" ht="15" customHeight="1" x14ac:dyDescent="0.3">
      <c r="B1246" s="28" t="str">
        <f>IF(B1245="","", IF(VALUE(LEFT(H1245,FIND("/",H1245)-1)) &lt; VALUE(RIGHT(H1245,LEN(H1245)-FIND("/",H1245))), B1245, IFERROR(INDEX('SAÍDA DE VENDAS'!$B$6:$B$500, MATCH(B1245,'SAÍDA DE VENDAS'!$B$6:$B$500,0)+COUNTIF('SAÍDA DE VENDAS'!$B$6:$B$500, B1245)),"")))</f>
        <v/>
      </c>
      <c r="C1246" s="29">
        <f>IFERROR(VLOOKUP(B1246,'SAÍDA DE VENDAS'!$B$6:$P$500,3,FALSE),"")</f>
        <v>0</v>
      </c>
      <c r="D1246" s="28">
        <f>IFERROR(VLOOKUP(B1246,'SAÍDA DE VENDAS'!$B$6:$P$500,4,FALSE),"")</f>
        <v>0</v>
      </c>
      <c r="E1246" s="28" t="str">
        <f>IFERROR(VLOOKUP(B1246,'SAÍDA DE VENDAS'!$B$6:$P$500,5,FALSE),"")</f>
        <v/>
      </c>
      <c r="F1246" s="28" t="str">
        <f>IF(OR(ISBLANK(B1246),B1246=""), "", IFERROR(INDEX('SAÍDA DE VENDAS'!$H$6:$H$500 &amp; "x " &amp; 'SAÍDA DE VENDAS'!$G$6:$G$500, MATCH(B1246, 'SAÍDA DE VENDAS'!$B$6:$B$500, 0)), "")&amp; IF(COUNTIF('SAÍDA DE VENDAS'!$B$6:$B$500, B1246)&gt;1, " + " &amp; IFERROR(INDEX('SAÍDA DE VENDAS'!$H$6:$H$500 &amp; "x " &amp; 'SAÍDA DE VENDAS'!$G$6:$G$500, MATCH(B1246, 'SAÍDA DE VENDAS'!$B$6:$B$500, 0)+1), ""), "")&amp; IF(COUNTIF('SAÍDA DE VENDAS'!$B$6:$B$500, B1246)&gt;2, " + " &amp; IFERROR(INDEX('SAÍDA DE VENDAS'!$H$6:$H$500 &amp; "x " &amp; 'SAÍDA DE VENDAS'!$G$6:$G$500, MATCH(B1246, 'SAÍDA DE VENDAS'!$B$6:$B$500, 0)+2), ""), "")&amp; IF(COUNTIF('SAÍDA DE VENDAS'!$B$6:$B$500, B1246)&gt;3, " + " &amp; IFERROR(INDEX('SAÍDA DE VENDAS'!$H$6:$H$500 &amp; "x " &amp; 'SAÍDA DE VENDAS'!$G$6:$G$500, MATCH(B1246, 'SAÍDA DE VENDAS'!$B$6:$B$500, 0)+3), ""), "")&amp; IF(COUNTIF('SAÍDA DE VENDAS'!$B$6:$B$500, B1246)&gt;4, " + " &amp; IFERROR(INDEX('SAÍDA DE VENDAS'!$H$6:$H$500 &amp; "x " &amp; 'SAÍDA DE VENDAS'!$G$6:$G$500, MATCH(B1246, 'SAÍDA DE VENDAS'!$B$6:$B$500, 0)+4), ""), "")&amp; IF(COUNTIF('SAÍDA DE VENDAS'!$B$6:$B$500, B1246)&gt;5, " + " &amp; IFERROR(INDEX('SAÍDA DE VENDAS'!$H$6:$H$500 &amp; "x " &amp; 'SAÍDA DE VENDAS'!$G$6:$G$500, MATCH(B1246, 'SAÍDA DE VENDAS'!$B$6:$B$500, 0)+5), ""), ""))</f>
        <v/>
      </c>
      <c r="G1246" s="28">
        <f>IFERROR(VLOOKUP(B1246,'SAÍDA DE VENDAS'!$B$6:$P$500,10,FALSE),"")</f>
        <v>0</v>
      </c>
      <c r="H1246" s="28" t="str">
        <f>IF(OR(ISBLANK(B1246),B1246=""), "", IF(B1246=B1245, (VALUE(LEFT(H1245,FIND("/",H1245)-1))+1)&amp;"/"&amp;RIGHT(H1245,LEN(H1245)-FIND("/",H1245)), "1/"&amp;IFERROR(VLOOKUP(B1246,'SAÍDA DE VENDAS'!$B$6:$P$500,13,FALSE),"1")))</f>
        <v/>
      </c>
      <c r="I1246" s="69" t="str">
        <f t="shared" si="38"/>
        <v/>
      </c>
      <c r="J1246" s="33" t="str">
        <f>IFERROR(VLOOKUP(B1246,'SAÍDA DE VENDAS'!$B$6:$P$500,15,FALSE),"")</f>
        <v/>
      </c>
      <c r="K1246" s="28" t="str">
        <f t="shared" ca="1" si="39"/>
        <v/>
      </c>
      <c r="L1246" s="28"/>
      <c r="M1246" s="28"/>
    </row>
    <row r="1247" spans="2:13" ht="15" customHeight="1" x14ac:dyDescent="0.3">
      <c r="B1247" s="34" t="str">
        <f>IF(B1246="","", IF(VALUE(LEFT(H1246,FIND("/",H1246)-1)) &lt; VALUE(RIGHT(H1246,LEN(H1246)-FIND("/",H1246))), B1246, IFERROR(INDEX('SAÍDA DE VENDAS'!$B$6:$B$500, MATCH(B1246,'SAÍDA DE VENDAS'!$B$6:$B$500,0)+COUNTIF('SAÍDA DE VENDAS'!$B$6:$B$500, B1246)),"")))</f>
        <v/>
      </c>
      <c r="C1247" s="35">
        <f>IFERROR(VLOOKUP(B1247,'SAÍDA DE VENDAS'!$B$6:$P$500,3,FALSE),"")</f>
        <v>0</v>
      </c>
      <c r="D1247" s="34">
        <f>IFERROR(VLOOKUP(B1247,'SAÍDA DE VENDAS'!$B$6:$P$500,4,FALSE),"")</f>
        <v>0</v>
      </c>
      <c r="E1247" s="34" t="str">
        <f>IFERROR(VLOOKUP(B1247,'SAÍDA DE VENDAS'!$B$6:$P$500,5,FALSE),"")</f>
        <v/>
      </c>
      <c r="F1247" s="34" t="str">
        <f>IF(OR(ISBLANK(B1247),B1247=""), "", IFERROR(INDEX('SAÍDA DE VENDAS'!$H$6:$H$500 &amp; "x " &amp; 'SAÍDA DE VENDAS'!$G$6:$G$500, MATCH(B1247, 'SAÍDA DE VENDAS'!$B$6:$B$500, 0)), "")&amp; IF(COUNTIF('SAÍDA DE VENDAS'!$B$6:$B$500, B1247)&gt;1, " + " &amp; IFERROR(INDEX('SAÍDA DE VENDAS'!$H$6:$H$500 &amp; "x " &amp; 'SAÍDA DE VENDAS'!$G$6:$G$500, MATCH(B1247, 'SAÍDA DE VENDAS'!$B$6:$B$500, 0)+1), ""), "")&amp; IF(COUNTIF('SAÍDA DE VENDAS'!$B$6:$B$500, B1247)&gt;2, " + " &amp; IFERROR(INDEX('SAÍDA DE VENDAS'!$H$6:$H$500 &amp; "x " &amp; 'SAÍDA DE VENDAS'!$G$6:$G$500, MATCH(B1247, 'SAÍDA DE VENDAS'!$B$6:$B$500, 0)+2), ""), "")&amp; IF(COUNTIF('SAÍDA DE VENDAS'!$B$6:$B$500, B1247)&gt;3, " + " &amp; IFERROR(INDEX('SAÍDA DE VENDAS'!$H$6:$H$500 &amp; "x " &amp; 'SAÍDA DE VENDAS'!$G$6:$G$500, MATCH(B1247, 'SAÍDA DE VENDAS'!$B$6:$B$500, 0)+3), ""), "")&amp; IF(COUNTIF('SAÍDA DE VENDAS'!$B$6:$B$500, B1247)&gt;4, " + " &amp; IFERROR(INDEX('SAÍDA DE VENDAS'!$H$6:$H$500 &amp; "x " &amp; 'SAÍDA DE VENDAS'!$G$6:$G$500, MATCH(B1247, 'SAÍDA DE VENDAS'!$B$6:$B$500, 0)+4), ""), "")&amp; IF(COUNTIF('SAÍDA DE VENDAS'!$B$6:$B$500, B1247)&gt;5, " + " &amp; IFERROR(INDEX('SAÍDA DE VENDAS'!$H$6:$H$500 &amp; "x " &amp; 'SAÍDA DE VENDAS'!$G$6:$G$500, MATCH(B1247, 'SAÍDA DE VENDAS'!$B$6:$B$500, 0)+5), ""), ""))</f>
        <v/>
      </c>
      <c r="G1247" s="34">
        <f>IFERROR(VLOOKUP(B1247,'SAÍDA DE VENDAS'!$B$6:$P$500,10,FALSE),"")</f>
        <v>0</v>
      </c>
      <c r="H1247" s="34" t="str">
        <f>IF(OR(ISBLANK(B1247),B1247=""), "", IF(B1247=B1246, (VALUE(LEFT(H1246,FIND("/",H1246)-1))+1)&amp;"/"&amp;RIGHT(H1246,LEN(H1246)-FIND("/",H1246)), "1/"&amp;IFERROR(VLOOKUP(B1247,'SAÍDA DE VENDAS'!$B$6:$P$500,13,FALSE),"1")))</f>
        <v/>
      </c>
      <c r="I1247" s="35" t="str">
        <f t="shared" si="38"/>
        <v/>
      </c>
      <c r="J1247" s="39" t="str">
        <f>IFERROR(VLOOKUP(B1247,'SAÍDA DE VENDAS'!$B$6:$P$500,15,FALSE),"")</f>
        <v/>
      </c>
      <c r="K1247" s="34" t="str">
        <f t="shared" ca="1" si="39"/>
        <v/>
      </c>
      <c r="L1247" s="34"/>
      <c r="M1247" s="34"/>
    </row>
    <row r="1248" spans="2:13" ht="15" customHeight="1" x14ac:dyDescent="0.3">
      <c r="B1248" s="28" t="str">
        <f>IF(B1247="","", IF(VALUE(LEFT(H1247,FIND("/",H1247)-1)) &lt; VALUE(RIGHT(H1247,LEN(H1247)-FIND("/",H1247))), B1247, IFERROR(INDEX('SAÍDA DE VENDAS'!$B$6:$B$500, MATCH(B1247,'SAÍDA DE VENDAS'!$B$6:$B$500,0)+COUNTIF('SAÍDA DE VENDAS'!$B$6:$B$500, B1247)),"")))</f>
        <v/>
      </c>
      <c r="C1248" s="29">
        <f>IFERROR(VLOOKUP(B1248,'SAÍDA DE VENDAS'!$B$6:$P$500,3,FALSE),"")</f>
        <v>0</v>
      </c>
      <c r="D1248" s="28">
        <f>IFERROR(VLOOKUP(B1248,'SAÍDA DE VENDAS'!$B$6:$P$500,4,FALSE),"")</f>
        <v>0</v>
      </c>
      <c r="E1248" s="28" t="str">
        <f>IFERROR(VLOOKUP(B1248,'SAÍDA DE VENDAS'!$B$6:$P$500,5,FALSE),"")</f>
        <v/>
      </c>
      <c r="F1248" s="28" t="str">
        <f>IF(OR(ISBLANK(B1248),B1248=""), "", IFERROR(INDEX('SAÍDA DE VENDAS'!$H$6:$H$500 &amp; "x " &amp; 'SAÍDA DE VENDAS'!$G$6:$G$500, MATCH(B1248, 'SAÍDA DE VENDAS'!$B$6:$B$500, 0)), "")&amp; IF(COUNTIF('SAÍDA DE VENDAS'!$B$6:$B$500, B1248)&gt;1, " + " &amp; IFERROR(INDEX('SAÍDA DE VENDAS'!$H$6:$H$500 &amp; "x " &amp; 'SAÍDA DE VENDAS'!$G$6:$G$500, MATCH(B1248, 'SAÍDA DE VENDAS'!$B$6:$B$500, 0)+1), ""), "")&amp; IF(COUNTIF('SAÍDA DE VENDAS'!$B$6:$B$500, B1248)&gt;2, " + " &amp; IFERROR(INDEX('SAÍDA DE VENDAS'!$H$6:$H$500 &amp; "x " &amp; 'SAÍDA DE VENDAS'!$G$6:$G$500, MATCH(B1248, 'SAÍDA DE VENDAS'!$B$6:$B$500, 0)+2), ""), "")&amp; IF(COUNTIF('SAÍDA DE VENDAS'!$B$6:$B$500, B1248)&gt;3, " + " &amp; IFERROR(INDEX('SAÍDA DE VENDAS'!$H$6:$H$500 &amp; "x " &amp; 'SAÍDA DE VENDAS'!$G$6:$G$500, MATCH(B1248, 'SAÍDA DE VENDAS'!$B$6:$B$500, 0)+3), ""), "")&amp; IF(COUNTIF('SAÍDA DE VENDAS'!$B$6:$B$500, B1248)&gt;4, " + " &amp; IFERROR(INDEX('SAÍDA DE VENDAS'!$H$6:$H$500 &amp; "x " &amp; 'SAÍDA DE VENDAS'!$G$6:$G$500, MATCH(B1248, 'SAÍDA DE VENDAS'!$B$6:$B$500, 0)+4), ""), "")&amp; IF(COUNTIF('SAÍDA DE VENDAS'!$B$6:$B$500, B1248)&gt;5, " + " &amp; IFERROR(INDEX('SAÍDA DE VENDAS'!$H$6:$H$500 &amp; "x " &amp; 'SAÍDA DE VENDAS'!$G$6:$G$500, MATCH(B1248, 'SAÍDA DE VENDAS'!$B$6:$B$500, 0)+5), ""), ""))</f>
        <v/>
      </c>
      <c r="G1248" s="28">
        <f>IFERROR(VLOOKUP(B1248,'SAÍDA DE VENDAS'!$B$6:$P$500,10,FALSE),"")</f>
        <v>0</v>
      </c>
      <c r="H1248" s="28" t="str">
        <f>IF(OR(ISBLANK(B1248),B1248=""), "", IF(B1248=B1247, (VALUE(LEFT(H1247,FIND("/",H1247)-1))+1)&amp;"/"&amp;RIGHT(H1247,LEN(H1247)-FIND("/",H1247)), "1/"&amp;IFERROR(VLOOKUP(B1248,'SAÍDA DE VENDAS'!$B$6:$P$500,13,FALSE),"1")))</f>
        <v/>
      </c>
      <c r="I1248" s="69" t="str">
        <f t="shared" si="38"/>
        <v/>
      </c>
      <c r="J1248" s="33" t="str">
        <f>IFERROR(VLOOKUP(B1248,'SAÍDA DE VENDAS'!$B$6:$P$500,15,FALSE),"")</f>
        <v/>
      </c>
      <c r="K1248" s="28" t="str">
        <f t="shared" ca="1" si="39"/>
        <v/>
      </c>
      <c r="L1248" s="28"/>
      <c r="M1248" s="28"/>
    </row>
    <row r="1249" spans="2:13" ht="15" customHeight="1" x14ac:dyDescent="0.3">
      <c r="B1249" s="34" t="str">
        <f>IF(B1248="","", IF(VALUE(LEFT(H1248,FIND("/",H1248)-1)) &lt; VALUE(RIGHT(H1248,LEN(H1248)-FIND("/",H1248))), B1248, IFERROR(INDEX('SAÍDA DE VENDAS'!$B$6:$B$500, MATCH(B1248,'SAÍDA DE VENDAS'!$B$6:$B$500,0)+COUNTIF('SAÍDA DE VENDAS'!$B$6:$B$500, B1248)),"")))</f>
        <v/>
      </c>
      <c r="C1249" s="35">
        <f>IFERROR(VLOOKUP(B1249,'SAÍDA DE VENDAS'!$B$6:$P$500,3,FALSE),"")</f>
        <v>0</v>
      </c>
      <c r="D1249" s="34">
        <f>IFERROR(VLOOKUP(B1249,'SAÍDA DE VENDAS'!$B$6:$P$500,4,FALSE),"")</f>
        <v>0</v>
      </c>
      <c r="E1249" s="34" t="str">
        <f>IFERROR(VLOOKUP(B1249,'SAÍDA DE VENDAS'!$B$6:$P$500,5,FALSE),"")</f>
        <v/>
      </c>
      <c r="F1249" s="34" t="str">
        <f>IF(OR(ISBLANK(B1249),B1249=""), "", IFERROR(INDEX('SAÍDA DE VENDAS'!$H$6:$H$500 &amp; "x " &amp; 'SAÍDA DE VENDAS'!$G$6:$G$500, MATCH(B1249, 'SAÍDA DE VENDAS'!$B$6:$B$500, 0)), "")&amp; IF(COUNTIF('SAÍDA DE VENDAS'!$B$6:$B$500, B1249)&gt;1, " + " &amp; IFERROR(INDEX('SAÍDA DE VENDAS'!$H$6:$H$500 &amp; "x " &amp; 'SAÍDA DE VENDAS'!$G$6:$G$500, MATCH(B1249, 'SAÍDA DE VENDAS'!$B$6:$B$500, 0)+1), ""), "")&amp; IF(COUNTIF('SAÍDA DE VENDAS'!$B$6:$B$500, B1249)&gt;2, " + " &amp; IFERROR(INDEX('SAÍDA DE VENDAS'!$H$6:$H$500 &amp; "x " &amp; 'SAÍDA DE VENDAS'!$G$6:$G$500, MATCH(B1249, 'SAÍDA DE VENDAS'!$B$6:$B$500, 0)+2), ""), "")&amp; IF(COUNTIF('SAÍDA DE VENDAS'!$B$6:$B$500, B1249)&gt;3, " + " &amp; IFERROR(INDEX('SAÍDA DE VENDAS'!$H$6:$H$500 &amp; "x " &amp; 'SAÍDA DE VENDAS'!$G$6:$G$500, MATCH(B1249, 'SAÍDA DE VENDAS'!$B$6:$B$500, 0)+3), ""), "")&amp; IF(COUNTIF('SAÍDA DE VENDAS'!$B$6:$B$500, B1249)&gt;4, " + " &amp; IFERROR(INDEX('SAÍDA DE VENDAS'!$H$6:$H$500 &amp; "x " &amp; 'SAÍDA DE VENDAS'!$G$6:$G$500, MATCH(B1249, 'SAÍDA DE VENDAS'!$B$6:$B$500, 0)+4), ""), "")&amp; IF(COUNTIF('SAÍDA DE VENDAS'!$B$6:$B$500, B1249)&gt;5, " + " &amp; IFERROR(INDEX('SAÍDA DE VENDAS'!$H$6:$H$500 &amp; "x " &amp; 'SAÍDA DE VENDAS'!$G$6:$G$500, MATCH(B1249, 'SAÍDA DE VENDAS'!$B$6:$B$500, 0)+5), ""), ""))</f>
        <v/>
      </c>
      <c r="G1249" s="34">
        <f>IFERROR(VLOOKUP(B1249,'SAÍDA DE VENDAS'!$B$6:$P$500,10,FALSE),"")</f>
        <v>0</v>
      </c>
      <c r="H1249" s="34" t="str">
        <f>IF(OR(ISBLANK(B1249),B1249=""), "", IF(B1249=B1248, (VALUE(LEFT(H1248,FIND("/",H1248)-1))+1)&amp;"/"&amp;RIGHT(H1248,LEN(H1248)-FIND("/",H1248)), "1/"&amp;IFERROR(VLOOKUP(B1249,'SAÍDA DE VENDAS'!$B$6:$P$500,13,FALSE),"1")))</f>
        <v/>
      </c>
      <c r="I1249" s="35" t="str">
        <f t="shared" si="38"/>
        <v/>
      </c>
      <c r="J1249" s="39" t="str">
        <f>IFERROR(VLOOKUP(B1249,'SAÍDA DE VENDAS'!$B$6:$P$500,15,FALSE),"")</f>
        <v/>
      </c>
      <c r="K1249" s="34" t="str">
        <f t="shared" ca="1" si="39"/>
        <v/>
      </c>
      <c r="L1249" s="34"/>
      <c r="M1249" s="34"/>
    </row>
    <row r="1250" spans="2:13" ht="15" customHeight="1" x14ac:dyDescent="0.3">
      <c r="B1250" s="28" t="str">
        <f>IF(B1249="","", IF(VALUE(LEFT(H1249,FIND("/",H1249)-1)) &lt; VALUE(RIGHT(H1249,LEN(H1249)-FIND("/",H1249))), B1249, IFERROR(INDEX('SAÍDA DE VENDAS'!$B$6:$B$500, MATCH(B1249,'SAÍDA DE VENDAS'!$B$6:$B$500,0)+COUNTIF('SAÍDA DE VENDAS'!$B$6:$B$500, B1249)),"")))</f>
        <v/>
      </c>
      <c r="C1250" s="29">
        <f>IFERROR(VLOOKUP(B1250,'SAÍDA DE VENDAS'!$B$6:$P$500,3,FALSE),"")</f>
        <v>0</v>
      </c>
      <c r="D1250" s="28">
        <f>IFERROR(VLOOKUP(B1250,'SAÍDA DE VENDAS'!$B$6:$P$500,4,FALSE),"")</f>
        <v>0</v>
      </c>
      <c r="E1250" s="28" t="str">
        <f>IFERROR(VLOOKUP(B1250,'SAÍDA DE VENDAS'!$B$6:$P$500,5,FALSE),"")</f>
        <v/>
      </c>
      <c r="F1250" s="28" t="str">
        <f>IF(OR(ISBLANK(B1250),B1250=""), "", IFERROR(INDEX('SAÍDA DE VENDAS'!$H$6:$H$500 &amp; "x " &amp; 'SAÍDA DE VENDAS'!$G$6:$G$500, MATCH(B1250, 'SAÍDA DE VENDAS'!$B$6:$B$500, 0)), "")&amp; IF(COUNTIF('SAÍDA DE VENDAS'!$B$6:$B$500, B1250)&gt;1, " + " &amp; IFERROR(INDEX('SAÍDA DE VENDAS'!$H$6:$H$500 &amp; "x " &amp; 'SAÍDA DE VENDAS'!$G$6:$G$500, MATCH(B1250, 'SAÍDA DE VENDAS'!$B$6:$B$500, 0)+1), ""), "")&amp; IF(COUNTIF('SAÍDA DE VENDAS'!$B$6:$B$500, B1250)&gt;2, " + " &amp; IFERROR(INDEX('SAÍDA DE VENDAS'!$H$6:$H$500 &amp; "x " &amp; 'SAÍDA DE VENDAS'!$G$6:$G$500, MATCH(B1250, 'SAÍDA DE VENDAS'!$B$6:$B$500, 0)+2), ""), "")&amp; IF(COUNTIF('SAÍDA DE VENDAS'!$B$6:$B$500, B1250)&gt;3, " + " &amp; IFERROR(INDEX('SAÍDA DE VENDAS'!$H$6:$H$500 &amp; "x " &amp; 'SAÍDA DE VENDAS'!$G$6:$G$500, MATCH(B1250, 'SAÍDA DE VENDAS'!$B$6:$B$500, 0)+3), ""), "")&amp; IF(COUNTIF('SAÍDA DE VENDAS'!$B$6:$B$500, B1250)&gt;4, " + " &amp; IFERROR(INDEX('SAÍDA DE VENDAS'!$H$6:$H$500 &amp; "x " &amp; 'SAÍDA DE VENDAS'!$G$6:$G$500, MATCH(B1250, 'SAÍDA DE VENDAS'!$B$6:$B$500, 0)+4), ""), "")&amp; IF(COUNTIF('SAÍDA DE VENDAS'!$B$6:$B$500, B1250)&gt;5, " + " &amp; IFERROR(INDEX('SAÍDA DE VENDAS'!$H$6:$H$500 &amp; "x " &amp; 'SAÍDA DE VENDAS'!$G$6:$G$500, MATCH(B1250, 'SAÍDA DE VENDAS'!$B$6:$B$500, 0)+5), ""), ""))</f>
        <v/>
      </c>
      <c r="G1250" s="28">
        <f>IFERROR(VLOOKUP(B1250,'SAÍDA DE VENDAS'!$B$6:$P$500,10,FALSE),"")</f>
        <v>0</v>
      </c>
      <c r="H1250" s="28" t="str">
        <f>IF(OR(ISBLANK(B1250),B1250=""), "", IF(B1250=B1249, (VALUE(LEFT(H1249,FIND("/",H1249)-1))+1)&amp;"/"&amp;RIGHT(H1249,LEN(H1249)-FIND("/",H1249)), "1/"&amp;IFERROR(VLOOKUP(B1250,'SAÍDA DE VENDAS'!$B$6:$P$500,13,FALSE),"1")))</f>
        <v/>
      </c>
      <c r="I1250" s="69" t="str">
        <f t="shared" si="38"/>
        <v/>
      </c>
      <c r="J1250" s="33" t="str">
        <f>IFERROR(VLOOKUP(B1250,'SAÍDA DE VENDAS'!$B$6:$P$500,15,FALSE),"")</f>
        <v/>
      </c>
      <c r="K1250" s="28" t="str">
        <f t="shared" ca="1" si="39"/>
        <v/>
      </c>
      <c r="L1250" s="28"/>
      <c r="M1250" s="28"/>
    </row>
    <row r="1251" spans="2:13" ht="15" customHeight="1" x14ac:dyDescent="0.3">
      <c r="B1251" s="34" t="str">
        <f>IF(B1250="","", IF(VALUE(LEFT(H1250,FIND("/",H1250)-1)) &lt; VALUE(RIGHT(H1250,LEN(H1250)-FIND("/",H1250))), B1250, IFERROR(INDEX('SAÍDA DE VENDAS'!$B$6:$B$500, MATCH(B1250,'SAÍDA DE VENDAS'!$B$6:$B$500,0)+COUNTIF('SAÍDA DE VENDAS'!$B$6:$B$500, B1250)),"")))</f>
        <v/>
      </c>
      <c r="C1251" s="35">
        <f>IFERROR(VLOOKUP(B1251,'SAÍDA DE VENDAS'!$B$6:$P$500,3,FALSE),"")</f>
        <v>0</v>
      </c>
      <c r="D1251" s="34">
        <f>IFERROR(VLOOKUP(B1251,'SAÍDA DE VENDAS'!$B$6:$P$500,4,FALSE),"")</f>
        <v>0</v>
      </c>
      <c r="E1251" s="34" t="str">
        <f>IFERROR(VLOOKUP(B1251,'SAÍDA DE VENDAS'!$B$6:$P$500,5,FALSE),"")</f>
        <v/>
      </c>
      <c r="F1251" s="34" t="str">
        <f>IF(OR(ISBLANK(B1251),B1251=""), "", IFERROR(INDEX('SAÍDA DE VENDAS'!$H$6:$H$500 &amp; "x " &amp; 'SAÍDA DE VENDAS'!$G$6:$G$500, MATCH(B1251, 'SAÍDA DE VENDAS'!$B$6:$B$500, 0)), "")&amp; IF(COUNTIF('SAÍDA DE VENDAS'!$B$6:$B$500, B1251)&gt;1, " + " &amp; IFERROR(INDEX('SAÍDA DE VENDAS'!$H$6:$H$500 &amp; "x " &amp; 'SAÍDA DE VENDAS'!$G$6:$G$500, MATCH(B1251, 'SAÍDA DE VENDAS'!$B$6:$B$500, 0)+1), ""), "")&amp; IF(COUNTIF('SAÍDA DE VENDAS'!$B$6:$B$500, B1251)&gt;2, " + " &amp; IFERROR(INDEX('SAÍDA DE VENDAS'!$H$6:$H$500 &amp; "x " &amp; 'SAÍDA DE VENDAS'!$G$6:$G$500, MATCH(B1251, 'SAÍDA DE VENDAS'!$B$6:$B$500, 0)+2), ""), "")&amp; IF(COUNTIF('SAÍDA DE VENDAS'!$B$6:$B$500, B1251)&gt;3, " + " &amp; IFERROR(INDEX('SAÍDA DE VENDAS'!$H$6:$H$500 &amp; "x " &amp; 'SAÍDA DE VENDAS'!$G$6:$G$500, MATCH(B1251, 'SAÍDA DE VENDAS'!$B$6:$B$500, 0)+3), ""), "")&amp; IF(COUNTIF('SAÍDA DE VENDAS'!$B$6:$B$500, B1251)&gt;4, " + " &amp; IFERROR(INDEX('SAÍDA DE VENDAS'!$H$6:$H$500 &amp; "x " &amp; 'SAÍDA DE VENDAS'!$G$6:$G$500, MATCH(B1251, 'SAÍDA DE VENDAS'!$B$6:$B$500, 0)+4), ""), "")&amp; IF(COUNTIF('SAÍDA DE VENDAS'!$B$6:$B$500, B1251)&gt;5, " + " &amp; IFERROR(INDEX('SAÍDA DE VENDAS'!$H$6:$H$500 &amp; "x " &amp; 'SAÍDA DE VENDAS'!$G$6:$G$500, MATCH(B1251, 'SAÍDA DE VENDAS'!$B$6:$B$500, 0)+5), ""), ""))</f>
        <v/>
      </c>
      <c r="G1251" s="34">
        <f>IFERROR(VLOOKUP(B1251,'SAÍDA DE VENDAS'!$B$6:$P$500,10,FALSE),"")</f>
        <v>0</v>
      </c>
      <c r="H1251" s="34" t="str">
        <f>IF(OR(ISBLANK(B1251),B1251=""), "", IF(B1251=B1250, (VALUE(LEFT(H1250,FIND("/",H1250)-1))+1)&amp;"/"&amp;RIGHT(H1250,LEN(H1250)-FIND("/",H1250)), "1/"&amp;IFERROR(VLOOKUP(B1251,'SAÍDA DE VENDAS'!$B$6:$P$500,13,FALSE),"1")))</f>
        <v/>
      </c>
      <c r="I1251" s="35" t="str">
        <f t="shared" si="38"/>
        <v/>
      </c>
      <c r="J1251" s="39" t="str">
        <f>IFERROR(VLOOKUP(B1251,'SAÍDA DE VENDAS'!$B$6:$P$500,15,FALSE),"")</f>
        <v/>
      </c>
      <c r="K1251" s="34" t="str">
        <f t="shared" ca="1" si="39"/>
        <v/>
      </c>
      <c r="L1251" s="34"/>
      <c r="M1251" s="34"/>
    </row>
    <row r="1252" spans="2:13" ht="15" customHeight="1" x14ac:dyDescent="0.3">
      <c r="B1252" s="28" t="str">
        <f>IF(B1251="","", IF(VALUE(LEFT(H1251,FIND("/",H1251)-1)) &lt; VALUE(RIGHT(H1251,LEN(H1251)-FIND("/",H1251))), B1251, IFERROR(INDEX('SAÍDA DE VENDAS'!$B$6:$B$500, MATCH(B1251,'SAÍDA DE VENDAS'!$B$6:$B$500,0)+COUNTIF('SAÍDA DE VENDAS'!$B$6:$B$500, B1251)),"")))</f>
        <v/>
      </c>
      <c r="C1252" s="29">
        <f>IFERROR(VLOOKUP(B1252,'SAÍDA DE VENDAS'!$B$6:$P$500,3,FALSE),"")</f>
        <v>0</v>
      </c>
      <c r="D1252" s="28">
        <f>IFERROR(VLOOKUP(B1252,'SAÍDA DE VENDAS'!$B$6:$P$500,4,FALSE),"")</f>
        <v>0</v>
      </c>
      <c r="E1252" s="28" t="str">
        <f>IFERROR(VLOOKUP(B1252,'SAÍDA DE VENDAS'!$B$6:$P$500,5,FALSE),"")</f>
        <v/>
      </c>
      <c r="F1252" s="28" t="str">
        <f>IF(OR(ISBLANK(B1252),B1252=""), "", IFERROR(INDEX('SAÍDA DE VENDAS'!$H$6:$H$500 &amp; "x " &amp; 'SAÍDA DE VENDAS'!$G$6:$G$500, MATCH(B1252, 'SAÍDA DE VENDAS'!$B$6:$B$500, 0)), "")&amp; IF(COUNTIF('SAÍDA DE VENDAS'!$B$6:$B$500, B1252)&gt;1, " + " &amp; IFERROR(INDEX('SAÍDA DE VENDAS'!$H$6:$H$500 &amp; "x " &amp; 'SAÍDA DE VENDAS'!$G$6:$G$500, MATCH(B1252, 'SAÍDA DE VENDAS'!$B$6:$B$500, 0)+1), ""), "")&amp; IF(COUNTIF('SAÍDA DE VENDAS'!$B$6:$B$500, B1252)&gt;2, " + " &amp; IFERROR(INDEX('SAÍDA DE VENDAS'!$H$6:$H$500 &amp; "x " &amp; 'SAÍDA DE VENDAS'!$G$6:$G$500, MATCH(B1252, 'SAÍDA DE VENDAS'!$B$6:$B$500, 0)+2), ""), "")&amp; IF(COUNTIF('SAÍDA DE VENDAS'!$B$6:$B$500, B1252)&gt;3, " + " &amp; IFERROR(INDEX('SAÍDA DE VENDAS'!$H$6:$H$500 &amp; "x " &amp; 'SAÍDA DE VENDAS'!$G$6:$G$500, MATCH(B1252, 'SAÍDA DE VENDAS'!$B$6:$B$500, 0)+3), ""), "")&amp; IF(COUNTIF('SAÍDA DE VENDAS'!$B$6:$B$500, B1252)&gt;4, " + " &amp; IFERROR(INDEX('SAÍDA DE VENDAS'!$H$6:$H$500 &amp; "x " &amp; 'SAÍDA DE VENDAS'!$G$6:$G$500, MATCH(B1252, 'SAÍDA DE VENDAS'!$B$6:$B$500, 0)+4), ""), "")&amp; IF(COUNTIF('SAÍDA DE VENDAS'!$B$6:$B$500, B1252)&gt;5, " + " &amp; IFERROR(INDEX('SAÍDA DE VENDAS'!$H$6:$H$500 &amp; "x " &amp; 'SAÍDA DE VENDAS'!$G$6:$G$500, MATCH(B1252, 'SAÍDA DE VENDAS'!$B$6:$B$500, 0)+5), ""), ""))</f>
        <v/>
      </c>
      <c r="G1252" s="28">
        <f>IFERROR(VLOOKUP(B1252,'SAÍDA DE VENDAS'!$B$6:$P$500,10,FALSE),"")</f>
        <v>0</v>
      </c>
      <c r="H1252" s="28" t="str">
        <f>IF(OR(ISBLANK(B1252),B1252=""), "", IF(B1252=B1251, (VALUE(LEFT(H1251,FIND("/",H1251)-1))+1)&amp;"/"&amp;RIGHT(H1251,LEN(H1251)-FIND("/",H1251)), "1/"&amp;IFERROR(VLOOKUP(B1252,'SAÍDA DE VENDAS'!$B$6:$P$500,13,FALSE),"1")))</f>
        <v/>
      </c>
      <c r="I1252" s="69" t="str">
        <f t="shared" si="38"/>
        <v/>
      </c>
      <c r="J1252" s="33" t="str">
        <f>IFERROR(VLOOKUP(B1252,'SAÍDA DE VENDAS'!$B$6:$P$500,15,FALSE),"")</f>
        <v/>
      </c>
      <c r="K1252" s="28" t="str">
        <f t="shared" ca="1" si="39"/>
        <v/>
      </c>
      <c r="L1252" s="28"/>
      <c r="M1252" s="28"/>
    </row>
    <row r="1253" spans="2:13" ht="15" customHeight="1" x14ac:dyDescent="0.3">
      <c r="B1253" s="34" t="str">
        <f>IF(B1252="","", IF(VALUE(LEFT(H1252,FIND("/",H1252)-1)) &lt; VALUE(RIGHT(H1252,LEN(H1252)-FIND("/",H1252))), B1252, IFERROR(INDEX('SAÍDA DE VENDAS'!$B$6:$B$500, MATCH(B1252,'SAÍDA DE VENDAS'!$B$6:$B$500,0)+COUNTIF('SAÍDA DE VENDAS'!$B$6:$B$500, B1252)),"")))</f>
        <v/>
      </c>
      <c r="C1253" s="35">
        <f>IFERROR(VLOOKUP(B1253,'SAÍDA DE VENDAS'!$B$6:$P$500,3,FALSE),"")</f>
        <v>0</v>
      </c>
      <c r="D1253" s="34">
        <f>IFERROR(VLOOKUP(B1253,'SAÍDA DE VENDAS'!$B$6:$P$500,4,FALSE),"")</f>
        <v>0</v>
      </c>
      <c r="E1253" s="34" t="str">
        <f>IFERROR(VLOOKUP(B1253,'SAÍDA DE VENDAS'!$B$6:$P$500,5,FALSE),"")</f>
        <v/>
      </c>
      <c r="F1253" s="34" t="str">
        <f>IF(OR(ISBLANK(B1253),B1253=""), "", IFERROR(INDEX('SAÍDA DE VENDAS'!$H$6:$H$500 &amp; "x " &amp; 'SAÍDA DE VENDAS'!$G$6:$G$500, MATCH(B1253, 'SAÍDA DE VENDAS'!$B$6:$B$500, 0)), "")&amp; IF(COUNTIF('SAÍDA DE VENDAS'!$B$6:$B$500, B1253)&gt;1, " + " &amp; IFERROR(INDEX('SAÍDA DE VENDAS'!$H$6:$H$500 &amp; "x " &amp; 'SAÍDA DE VENDAS'!$G$6:$G$500, MATCH(B1253, 'SAÍDA DE VENDAS'!$B$6:$B$500, 0)+1), ""), "")&amp; IF(COUNTIF('SAÍDA DE VENDAS'!$B$6:$B$500, B1253)&gt;2, " + " &amp; IFERROR(INDEX('SAÍDA DE VENDAS'!$H$6:$H$500 &amp; "x " &amp; 'SAÍDA DE VENDAS'!$G$6:$G$500, MATCH(B1253, 'SAÍDA DE VENDAS'!$B$6:$B$500, 0)+2), ""), "")&amp; IF(COUNTIF('SAÍDA DE VENDAS'!$B$6:$B$500, B1253)&gt;3, " + " &amp; IFERROR(INDEX('SAÍDA DE VENDAS'!$H$6:$H$500 &amp; "x " &amp; 'SAÍDA DE VENDAS'!$G$6:$G$500, MATCH(B1253, 'SAÍDA DE VENDAS'!$B$6:$B$500, 0)+3), ""), "")&amp; IF(COUNTIF('SAÍDA DE VENDAS'!$B$6:$B$500, B1253)&gt;4, " + " &amp; IFERROR(INDEX('SAÍDA DE VENDAS'!$H$6:$H$500 &amp; "x " &amp; 'SAÍDA DE VENDAS'!$G$6:$G$500, MATCH(B1253, 'SAÍDA DE VENDAS'!$B$6:$B$500, 0)+4), ""), "")&amp; IF(COUNTIF('SAÍDA DE VENDAS'!$B$6:$B$500, B1253)&gt;5, " + " &amp; IFERROR(INDEX('SAÍDA DE VENDAS'!$H$6:$H$500 &amp; "x " &amp; 'SAÍDA DE VENDAS'!$G$6:$G$500, MATCH(B1253, 'SAÍDA DE VENDAS'!$B$6:$B$500, 0)+5), ""), ""))</f>
        <v/>
      </c>
      <c r="G1253" s="34">
        <f>IFERROR(VLOOKUP(B1253,'SAÍDA DE VENDAS'!$B$6:$P$500,10,FALSE),"")</f>
        <v>0</v>
      </c>
      <c r="H1253" s="34" t="str">
        <f>IF(OR(ISBLANK(B1253),B1253=""), "", IF(B1253=B1252, (VALUE(LEFT(H1252,FIND("/",H1252)-1))+1)&amp;"/"&amp;RIGHT(H1252,LEN(H1252)-FIND("/",H1252)), "1/"&amp;IFERROR(VLOOKUP(B1253,'SAÍDA DE VENDAS'!$B$6:$P$500,13,FALSE),"1")))</f>
        <v/>
      </c>
      <c r="I1253" s="35" t="str">
        <f t="shared" si="38"/>
        <v/>
      </c>
      <c r="J1253" s="39" t="str">
        <f>IFERROR(VLOOKUP(B1253,'SAÍDA DE VENDAS'!$B$6:$P$500,15,FALSE),"")</f>
        <v/>
      </c>
      <c r="K1253" s="34" t="str">
        <f t="shared" ca="1" si="39"/>
        <v/>
      </c>
      <c r="L1253" s="34"/>
      <c r="M1253" s="34"/>
    </row>
    <row r="1254" spans="2:13" ht="15" customHeight="1" x14ac:dyDescent="0.3">
      <c r="B1254" s="28" t="str">
        <f>IF(B1253="","", IF(VALUE(LEFT(H1253,FIND("/",H1253)-1)) &lt; VALUE(RIGHT(H1253,LEN(H1253)-FIND("/",H1253))), B1253, IFERROR(INDEX('SAÍDA DE VENDAS'!$B$6:$B$500, MATCH(B1253,'SAÍDA DE VENDAS'!$B$6:$B$500,0)+COUNTIF('SAÍDA DE VENDAS'!$B$6:$B$500, B1253)),"")))</f>
        <v/>
      </c>
      <c r="C1254" s="29">
        <f>IFERROR(VLOOKUP(B1254,'SAÍDA DE VENDAS'!$B$6:$P$500,3,FALSE),"")</f>
        <v>0</v>
      </c>
      <c r="D1254" s="28">
        <f>IFERROR(VLOOKUP(B1254,'SAÍDA DE VENDAS'!$B$6:$P$500,4,FALSE),"")</f>
        <v>0</v>
      </c>
      <c r="E1254" s="28" t="str">
        <f>IFERROR(VLOOKUP(B1254,'SAÍDA DE VENDAS'!$B$6:$P$500,5,FALSE),"")</f>
        <v/>
      </c>
      <c r="F1254" s="28" t="str">
        <f>IF(OR(ISBLANK(B1254),B1254=""), "", IFERROR(INDEX('SAÍDA DE VENDAS'!$H$6:$H$500 &amp; "x " &amp; 'SAÍDA DE VENDAS'!$G$6:$G$500, MATCH(B1254, 'SAÍDA DE VENDAS'!$B$6:$B$500, 0)), "")&amp; IF(COUNTIF('SAÍDA DE VENDAS'!$B$6:$B$500, B1254)&gt;1, " + " &amp; IFERROR(INDEX('SAÍDA DE VENDAS'!$H$6:$H$500 &amp; "x " &amp; 'SAÍDA DE VENDAS'!$G$6:$G$500, MATCH(B1254, 'SAÍDA DE VENDAS'!$B$6:$B$500, 0)+1), ""), "")&amp; IF(COUNTIF('SAÍDA DE VENDAS'!$B$6:$B$500, B1254)&gt;2, " + " &amp; IFERROR(INDEX('SAÍDA DE VENDAS'!$H$6:$H$500 &amp; "x " &amp; 'SAÍDA DE VENDAS'!$G$6:$G$500, MATCH(B1254, 'SAÍDA DE VENDAS'!$B$6:$B$500, 0)+2), ""), "")&amp; IF(COUNTIF('SAÍDA DE VENDAS'!$B$6:$B$500, B1254)&gt;3, " + " &amp; IFERROR(INDEX('SAÍDA DE VENDAS'!$H$6:$H$500 &amp; "x " &amp; 'SAÍDA DE VENDAS'!$G$6:$G$500, MATCH(B1254, 'SAÍDA DE VENDAS'!$B$6:$B$500, 0)+3), ""), "")&amp; IF(COUNTIF('SAÍDA DE VENDAS'!$B$6:$B$500, B1254)&gt;4, " + " &amp; IFERROR(INDEX('SAÍDA DE VENDAS'!$H$6:$H$500 &amp; "x " &amp; 'SAÍDA DE VENDAS'!$G$6:$G$500, MATCH(B1254, 'SAÍDA DE VENDAS'!$B$6:$B$500, 0)+4), ""), "")&amp; IF(COUNTIF('SAÍDA DE VENDAS'!$B$6:$B$500, B1254)&gt;5, " + " &amp; IFERROR(INDEX('SAÍDA DE VENDAS'!$H$6:$H$500 &amp; "x " &amp; 'SAÍDA DE VENDAS'!$G$6:$G$500, MATCH(B1254, 'SAÍDA DE VENDAS'!$B$6:$B$500, 0)+5), ""), ""))</f>
        <v/>
      </c>
      <c r="G1254" s="28">
        <f>IFERROR(VLOOKUP(B1254,'SAÍDA DE VENDAS'!$B$6:$P$500,10,FALSE),"")</f>
        <v>0</v>
      </c>
      <c r="H1254" s="28" t="str">
        <f>IF(OR(ISBLANK(B1254),B1254=""), "", IF(B1254=B1253, (VALUE(LEFT(H1253,FIND("/",H1253)-1))+1)&amp;"/"&amp;RIGHT(H1253,LEN(H1253)-FIND("/",H1253)), "1/"&amp;IFERROR(VLOOKUP(B1254,'SAÍDA DE VENDAS'!$B$6:$P$500,13,FALSE),"1")))</f>
        <v/>
      </c>
      <c r="I1254" s="69" t="str">
        <f t="shared" si="38"/>
        <v/>
      </c>
      <c r="J1254" s="33" t="str">
        <f>IFERROR(VLOOKUP(B1254,'SAÍDA DE VENDAS'!$B$6:$P$500,15,FALSE),"")</f>
        <v/>
      </c>
      <c r="K1254" s="28" t="str">
        <f t="shared" ca="1" si="39"/>
        <v/>
      </c>
      <c r="L1254" s="28"/>
      <c r="M1254" s="28"/>
    </row>
    <row r="1255" spans="2:13" ht="15" customHeight="1" x14ac:dyDescent="0.3">
      <c r="B1255" s="34" t="str">
        <f>IF(B1254="","", IF(VALUE(LEFT(H1254,FIND("/",H1254)-1)) &lt; VALUE(RIGHT(H1254,LEN(H1254)-FIND("/",H1254))), B1254, IFERROR(INDEX('SAÍDA DE VENDAS'!$B$6:$B$500, MATCH(B1254,'SAÍDA DE VENDAS'!$B$6:$B$500,0)+COUNTIF('SAÍDA DE VENDAS'!$B$6:$B$500, B1254)),"")))</f>
        <v/>
      </c>
      <c r="C1255" s="35">
        <f>IFERROR(VLOOKUP(B1255,'SAÍDA DE VENDAS'!$B$6:$P$500,3,FALSE),"")</f>
        <v>0</v>
      </c>
      <c r="D1255" s="34">
        <f>IFERROR(VLOOKUP(B1255,'SAÍDA DE VENDAS'!$B$6:$P$500,4,FALSE),"")</f>
        <v>0</v>
      </c>
      <c r="E1255" s="34" t="str">
        <f>IFERROR(VLOOKUP(B1255,'SAÍDA DE VENDAS'!$B$6:$P$500,5,FALSE),"")</f>
        <v/>
      </c>
      <c r="F1255" s="34" t="str">
        <f>IF(OR(ISBLANK(B1255),B1255=""), "", IFERROR(INDEX('SAÍDA DE VENDAS'!$H$6:$H$500 &amp; "x " &amp; 'SAÍDA DE VENDAS'!$G$6:$G$500, MATCH(B1255, 'SAÍDA DE VENDAS'!$B$6:$B$500, 0)), "")&amp; IF(COUNTIF('SAÍDA DE VENDAS'!$B$6:$B$500, B1255)&gt;1, " + " &amp; IFERROR(INDEX('SAÍDA DE VENDAS'!$H$6:$H$500 &amp; "x " &amp; 'SAÍDA DE VENDAS'!$G$6:$G$500, MATCH(B1255, 'SAÍDA DE VENDAS'!$B$6:$B$500, 0)+1), ""), "")&amp; IF(COUNTIF('SAÍDA DE VENDAS'!$B$6:$B$500, B1255)&gt;2, " + " &amp; IFERROR(INDEX('SAÍDA DE VENDAS'!$H$6:$H$500 &amp; "x " &amp; 'SAÍDA DE VENDAS'!$G$6:$G$500, MATCH(B1255, 'SAÍDA DE VENDAS'!$B$6:$B$500, 0)+2), ""), "")&amp; IF(COUNTIF('SAÍDA DE VENDAS'!$B$6:$B$500, B1255)&gt;3, " + " &amp; IFERROR(INDEX('SAÍDA DE VENDAS'!$H$6:$H$500 &amp; "x " &amp; 'SAÍDA DE VENDAS'!$G$6:$G$500, MATCH(B1255, 'SAÍDA DE VENDAS'!$B$6:$B$500, 0)+3), ""), "")&amp; IF(COUNTIF('SAÍDA DE VENDAS'!$B$6:$B$500, B1255)&gt;4, " + " &amp; IFERROR(INDEX('SAÍDA DE VENDAS'!$H$6:$H$500 &amp; "x " &amp; 'SAÍDA DE VENDAS'!$G$6:$G$500, MATCH(B1255, 'SAÍDA DE VENDAS'!$B$6:$B$500, 0)+4), ""), "")&amp; IF(COUNTIF('SAÍDA DE VENDAS'!$B$6:$B$500, B1255)&gt;5, " + " &amp; IFERROR(INDEX('SAÍDA DE VENDAS'!$H$6:$H$500 &amp; "x " &amp; 'SAÍDA DE VENDAS'!$G$6:$G$500, MATCH(B1255, 'SAÍDA DE VENDAS'!$B$6:$B$500, 0)+5), ""), ""))</f>
        <v/>
      </c>
      <c r="G1255" s="34">
        <f>IFERROR(VLOOKUP(B1255,'SAÍDA DE VENDAS'!$B$6:$P$500,10,FALSE),"")</f>
        <v>0</v>
      </c>
      <c r="H1255" s="34" t="str">
        <f>IF(OR(ISBLANK(B1255),B1255=""), "", IF(B1255=B1254, (VALUE(LEFT(H1254,FIND("/",H1254)-1))+1)&amp;"/"&amp;RIGHT(H1254,LEN(H1254)-FIND("/",H1254)), "1/"&amp;IFERROR(VLOOKUP(B1255,'SAÍDA DE VENDAS'!$B$6:$P$500,13,FALSE),"1")))</f>
        <v/>
      </c>
      <c r="I1255" s="35" t="str">
        <f t="shared" si="38"/>
        <v/>
      </c>
      <c r="J1255" s="39" t="str">
        <f>IFERROR(VLOOKUP(B1255,'SAÍDA DE VENDAS'!$B$6:$P$500,15,FALSE),"")</f>
        <v/>
      </c>
      <c r="K1255" s="34" t="str">
        <f t="shared" ca="1" si="39"/>
        <v/>
      </c>
      <c r="L1255" s="34"/>
      <c r="M1255" s="34"/>
    </row>
    <row r="1256" spans="2:13" ht="15" customHeight="1" x14ac:dyDescent="0.3">
      <c r="B1256" s="28" t="str">
        <f>IF(B1255="","", IF(VALUE(LEFT(H1255,FIND("/",H1255)-1)) &lt; VALUE(RIGHT(H1255,LEN(H1255)-FIND("/",H1255))), B1255, IFERROR(INDEX('SAÍDA DE VENDAS'!$B$6:$B$500, MATCH(B1255,'SAÍDA DE VENDAS'!$B$6:$B$500,0)+COUNTIF('SAÍDA DE VENDAS'!$B$6:$B$500, B1255)),"")))</f>
        <v/>
      </c>
      <c r="C1256" s="29">
        <f>IFERROR(VLOOKUP(B1256,'SAÍDA DE VENDAS'!$B$6:$P$500,3,FALSE),"")</f>
        <v>0</v>
      </c>
      <c r="D1256" s="28">
        <f>IFERROR(VLOOKUP(B1256,'SAÍDA DE VENDAS'!$B$6:$P$500,4,FALSE),"")</f>
        <v>0</v>
      </c>
      <c r="E1256" s="28" t="str">
        <f>IFERROR(VLOOKUP(B1256,'SAÍDA DE VENDAS'!$B$6:$P$500,5,FALSE),"")</f>
        <v/>
      </c>
      <c r="F1256" s="28" t="str">
        <f>IF(OR(ISBLANK(B1256),B1256=""), "", IFERROR(INDEX('SAÍDA DE VENDAS'!$H$6:$H$500 &amp; "x " &amp; 'SAÍDA DE VENDAS'!$G$6:$G$500, MATCH(B1256, 'SAÍDA DE VENDAS'!$B$6:$B$500, 0)), "")&amp; IF(COUNTIF('SAÍDA DE VENDAS'!$B$6:$B$500, B1256)&gt;1, " + " &amp; IFERROR(INDEX('SAÍDA DE VENDAS'!$H$6:$H$500 &amp; "x " &amp; 'SAÍDA DE VENDAS'!$G$6:$G$500, MATCH(B1256, 'SAÍDA DE VENDAS'!$B$6:$B$500, 0)+1), ""), "")&amp; IF(COUNTIF('SAÍDA DE VENDAS'!$B$6:$B$500, B1256)&gt;2, " + " &amp; IFERROR(INDEX('SAÍDA DE VENDAS'!$H$6:$H$500 &amp; "x " &amp; 'SAÍDA DE VENDAS'!$G$6:$G$500, MATCH(B1256, 'SAÍDA DE VENDAS'!$B$6:$B$500, 0)+2), ""), "")&amp; IF(COUNTIF('SAÍDA DE VENDAS'!$B$6:$B$500, B1256)&gt;3, " + " &amp; IFERROR(INDEX('SAÍDA DE VENDAS'!$H$6:$H$500 &amp; "x " &amp; 'SAÍDA DE VENDAS'!$G$6:$G$500, MATCH(B1256, 'SAÍDA DE VENDAS'!$B$6:$B$500, 0)+3), ""), "")&amp; IF(COUNTIF('SAÍDA DE VENDAS'!$B$6:$B$500, B1256)&gt;4, " + " &amp; IFERROR(INDEX('SAÍDA DE VENDAS'!$H$6:$H$500 &amp; "x " &amp; 'SAÍDA DE VENDAS'!$G$6:$G$500, MATCH(B1256, 'SAÍDA DE VENDAS'!$B$6:$B$500, 0)+4), ""), "")&amp; IF(COUNTIF('SAÍDA DE VENDAS'!$B$6:$B$500, B1256)&gt;5, " + " &amp; IFERROR(INDEX('SAÍDA DE VENDAS'!$H$6:$H$500 &amp; "x " &amp; 'SAÍDA DE VENDAS'!$G$6:$G$500, MATCH(B1256, 'SAÍDA DE VENDAS'!$B$6:$B$500, 0)+5), ""), ""))</f>
        <v/>
      </c>
      <c r="G1256" s="28">
        <f>IFERROR(VLOOKUP(B1256,'SAÍDA DE VENDAS'!$B$6:$P$500,10,FALSE),"")</f>
        <v>0</v>
      </c>
      <c r="H1256" s="28" t="str">
        <f>IF(OR(ISBLANK(B1256),B1256=""), "", IF(B1256=B1255, (VALUE(LEFT(H1255,FIND("/",H1255)-1))+1)&amp;"/"&amp;RIGHT(H1255,LEN(H1255)-FIND("/",H1255)), "1/"&amp;IFERROR(VLOOKUP(B1256,'SAÍDA DE VENDAS'!$B$6:$P$500,13,FALSE),"1")))</f>
        <v/>
      </c>
      <c r="I1256" s="69" t="str">
        <f t="shared" si="38"/>
        <v/>
      </c>
      <c r="J1256" s="33" t="str">
        <f>IFERROR(VLOOKUP(B1256,'SAÍDA DE VENDAS'!$B$6:$P$500,15,FALSE),"")</f>
        <v/>
      </c>
      <c r="K1256" s="28" t="str">
        <f t="shared" ca="1" si="39"/>
        <v/>
      </c>
      <c r="L1256" s="28"/>
      <c r="M1256" s="28"/>
    </row>
    <row r="1257" spans="2:13" ht="15" customHeight="1" x14ac:dyDescent="0.3">
      <c r="B1257" s="34" t="str">
        <f>IF(B1256="","", IF(VALUE(LEFT(H1256,FIND("/",H1256)-1)) &lt; VALUE(RIGHT(H1256,LEN(H1256)-FIND("/",H1256))), B1256, IFERROR(INDEX('SAÍDA DE VENDAS'!$B$6:$B$500, MATCH(B1256,'SAÍDA DE VENDAS'!$B$6:$B$500,0)+COUNTIF('SAÍDA DE VENDAS'!$B$6:$B$500, B1256)),"")))</f>
        <v/>
      </c>
      <c r="C1257" s="35">
        <f>IFERROR(VLOOKUP(B1257,'SAÍDA DE VENDAS'!$B$6:$P$500,3,FALSE),"")</f>
        <v>0</v>
      </c>
      <c r="D1257" s="34">
        <f>IFERROR(VLOOKUP(B1257,'SAÍDA DE VENDAS'!$B$6:$P$500,4,FALSE),"")</f>
        <v>0</v>
      </c>
      <c r="E1257" s="34" t="str">
        <f>IFERROR(VLOOKUP(B1257,'SAÍDA DE VENDAS'!$B$6:$P$500,5,FALSE),"")</f>
        <v/>
      </c>
      <c r="F1257" s="34" t="str">
        <f>IF(OR(ISBLANK(B1257),B1257=""), "", IFERROR(INDEX('SAÍDA DE VENDAS'!$H$6:$H$500 &amp; "x " &amp; 'SAÍDA DE VENDAS'!$G$6:$G$500, MATCH(B1257, 'SAÍDA DE VENDAS'!$B$6:$B$500, 0)), "")&amp; IF(COUNTIF('SAÍDA DE VENDAS'!$B$6:$B$500, B1257)&gt;1, " + " &amp; IFERROR(INDEX('SAÍDA DE VENDAS'!$H$6:$H$500 &amp; "x " &amp; 'SAÍDA DE VENDAS'!$G$6:$G$500, MATCH(B1257, 'SAÍDA DE VENDAS'!$B$6:$B$500, 0)+1), ""), "")&amp; IF(COUNTIF('SAÍDA DE VENDAS'!$B$6:$B$500, B1257)&gt;2, " + " &amp; IFERROR(INDEX('SAÍDA DE VENDAS'!$H$6:$H$500 &amp; "x " &amp; 'SAÍDA DE VENDAS'!$G$6:$G$500, MATCH(B1257, 'SAÍDA DE VENDAS'!$B$6:$B$500, 0)+2), ""), "")&amp; IF(COUNTIF('SAÍDA DE VENDAS'!$B$6:$B$500, B1257)&gt;3, " + " &amp; IFERROR(INDEX('SAÍDA DE VENDAS'!$H$6:$H$500 &amp; "x " &amp; 'SAÍDA DE VENDAS'!$G$6:$G$500, MATCH(B1257, 'SAÍDA DE VENDAS'!$B$6:$B$500, 0)+3), ""), "")&amp; IF(COUNTIF('SAÍDA DE VENDAS'!$B$6:$B$500, B1257)&gt;4, " + " &amp; IFERROR(INDEX('SAÍDA DE VENDAS'!$H$6:$H$500 &amp; "x " &amp; 'SAÍDA DE VENDAS'!$G$6:$G$500, MATCH(B1257, 'SAÍDA DE VENDAS'!$B$6:$B$500, 0)+4), ""), "")&amp; IF(COUNTIF('SAÍDA DE VENDAS'!$B$6:$B$500, B1257)&gt;5, " + " &amp; IFERROR(INDEX('SAÍDA DE VENDAS'!$H$6:$H$500 &amp; "x " &amp; 'SAÍDA DE VENDAS'!$G$6:$G$500, MATCH(B1257, 'SAÍDA DE VENDAS'!$B$6:$B$500, 0)+5), ""), ""))</f>
        <v/>
      </c>
      <c r="G1257" s="34">
        <f>IFERROR(VLOOKUP(B1257,'SAÍDA DE VENDAS'!$B$6:$P$500,10,FALSE),"")</f>
        <v>0</v>
      </c>
      <c r="H1257" s="34" t="str">
        <f>IF(OR(ISBLANK(B1257),B1257=""), "", IF(B1257=B1256, (VALUE(LEFT(H1256,FIND("/",H1256)-1))+1)&amp;"/"&amp;RIGHT(H1256,LEN(H1256)-FIND("/",H1256)), "1/"&amp;IFERROR(VLOOKUP(B1257,'SAÍDA DE VENDAS'!$B$6:$P$500,13,FALSE),"1")))</f>
        <v/>
      </c>
      <c r="I1257" s="35" t="str">
        <f t="shared" si="38"/>
        <v/>
      </c>
      <c r="J1257" s="39" t="str">
        <f>IFERROR(VLOOKUP(B1257,'SAÍDA DE VENDAS'!$B$6:$P$500,15,FALSE),"")</f>
        <v/>
      </c>
      <c r="K1257" s="34" t="str">
        <f t="shared" ca="1" si="39"/>
        <v/>
      </c>
      <c r="L1257" s="34"/>
      <c r="M1257" s="34"/>
    </row>
    <row r="1258" spans="2:13" ht="15" customHeight="1" x14ac:dyDescent="0.3">
      <c r="B1258" s="28" t="str">
        <f>IF(B1257="","", IF(VALUE(LEFT(H1257,FIND("/",H1257)-1)) &lt; VALUE(RIGHT(H1257,LEN(H1257)-FIND("/",H1257))), B1257, IFERROR(INDEX('SAÍDA DE VENDAS'!$B$6:$B$500, MATCH(B1257,'SAÍDA DE VENDAS'!$B$6:$B$500,0)+COUNTIF('SAÍDA DE VENDAS'!$B$6:$B$500, B1257)),"")))</f>
        <v/>
      </c>
      <c r="C1258" s="29">
        <f>IFERROR(VLOOKUP(B1258,'SAÍDA DE VENDAS'!$B$6:$P$500,3,FALSE),"")</f>
        <v>0</v>
      </c>
      <c r="D1258" s="28">
        <f>IFERROR(VLOOKUP(B1258,'SAÍDA DE VENDAS'!$B$6:$P$500,4,FALSE),"")</f>
        <v>0</v>
      </c>
      <c r="E1258" s="28" t="str">
        <f>IFERROR(VLOOKUP(B1258,'SAÍDA DE VENDAS'!$B$6:$P$500,5,FALSE),"")</f>
        <v/>
      </c>
      <c r="F1258" s="28" t="str">
        <f>IF(OR(ISBLANK(B1258),B1258=""), "", IFERROR(INDEX('SAÍDA DE VENDAS'!$H$6:$H$500 &amp; "x " &amp; 'SAÍDA DE VENDAS'!$G$6:$G$500, MATCH(B1258, 'SAÍDA DE VENDAS'!$B$6:$B$500, 0)), "")&amp; IF(COUNTIF('SAÍDA DE VENDAS'!$B$6:$B$500, B1258)&gt;1, " + " &amp; IFERROR(INDEX('SAÍDA DE VENDAS'!$H$6:$H$500 &amp; "x " &amp; 'SAÍDA DE VENDAS'!$G$6:$G$500, MATCH(B1258, 'SAÍDA DE VENDAS'!$B$6:$B$500, 0)+1), ""), "")&amp; IF(COUNTIF('SAÍDA DE VENDAS'!$B$6:$B$500, B1258)&gt;2, " + " &amp; IFERROR(INDEX('SAÍDA DE VENDAS'!$H$6:$H$500 &amp; "x " &amp; 'SAÍDA DE VENDAS'!$G$6:$G$500, MATCH(B1258, 'SAÍDA DE VENDAS'!$B$6:$B$500, 0)+2), ""), "")&amp; IF(COUNTIF('SAÍDA DE VENDAS'!$B$6:$B$500, B1258)&gt;3, " + " &amp; IFERROR(INDEX('SAÍDA DE VENDAS'!$H$6:$H$500 &amp; "x " &amp; 'SAÍDA DE VENDAS'!$G$6:$G$500, MATCH(B1258, 'SAÍDA DE VENDAS'!$B$6:$B$500, 0)+3), ""), "")&amp; IF(COUNTIF('SAÍDA DE VENDAS'!$B$6:$B$500, B1258)&gt;4, " + " &amp; IFERROR(INDEX('SAÍDA DE VENDAS'!$H$6:$H$500 &amp; "x " &amp; 'SAÍDA DE VENDAS'!$G$6:$G$500, MATCH(B1258, 'SAÍDA DE VENDAS'!$B$6:$B$500, 0)+4), ""), "")&amp; IF(COUNTIF('SAÍDA DE VENDAS'!$B$6:$B$500, B1258)&gt;5, " + " &amp; IFERROR(INDEX('SAÍDA DE VENDAS'!$H$6:$H$500 &amp; "x " &amp; 'SAÍDA DE VENDAS'!$G$6:$G$500, MATCH(B1258, 'SAÍDA DE VENDAS'!$B$6:$B$500, 0)+5), ""), ""))</f>
        <v/>
      </c>
      <c r="G1258" s="28">
        <f>IFERROR(VLOOKUP(B1258,'SAÍDA DE VENDAS'!$B$6:$P$500,10,FALSE),"")</f>
        <v>0</v>
      </c>
      <c r="H1258" s="28" t="str">
        <f>IF(OR(ISBLANK(B1258),B1258=""), "", IF(B1258=B1257, (VALUE(LEFT(H1257,FIND("/",H1257)-1))+1)&amp;"/"&amp;RIGHT(H1257,LEN(H1257)-FIND("/",H1257)), "1/"&amp;IFERROR(VLOOKUP(B1258,'SAÍDA DE VENDAS'!$B$6:$P$500,13,FALSE),"1")))</f>
        <v/>
      </c>
      <c r="I1258" s="69" t="str">
        <f t="shared" si="38"/>
        <v/>
      </c>
      <c r="J1258" s="33" t="str">
        <f>IFERROR(VLOOKUP(B1258,'SAÍDA DE VENDAS'!$B$6:$P$500,15,FALSE),"")</f>
        <v/>
      </c>
      <c r="K1258" s="28" t="str">
        <f t="shared" ca="1" si="39"/>
        <v/>
      </c>
      <c r="L1258" s="28"/>
      <c r="M1258" s="28"/>
    </row>
    <row r="1259" spans="2:13" ht="15" customHeight="1" x14ac:dyDescent="0.3">
      <c r="B1259" s="34" t="str">
        <f>IF(B1258="","", IF(VALUE(LEFT(H1258,FIND("/",H1258)-1)) &lt; VALUE(RIGHT(H1258,LEN(H1258)-FIND("/",H1258))), B1258, IFERROR(INDEX('SAÍDA DE VENDAS'!$B$6:$B$500, MATCH(B1258,'SAÍDA DE VENDAS'!$B$6:$B$500,0)+COUNTIF('SAÍDA DE VENDAS'!$B$6:$B$500, B1258)),"")))</f>
        <v/>
      </c>
      <c r="C1259" s="35">
        <f>IFERROR(VLOOKUP(B1259,'SAÍDA DE VENDAS'!$B$6:$P$500,3,FALSE),"")</f>
        <v>0</v>
      </c>
      <c r="D1259" s="34">
        <f>IFERROR(VLOOKUP(B1259,'SAÍDA DE VENDAS'!$B$6:$P$500,4,FALSE),"")</f>
        <v>0</v>
      </c>
      <c r="E1259" s="34" t="str">
        <f>IFERROR(VLOOKUP(B1259,'SAÍDA DE VENDAS'!$B$6:$P$500,5,FALSE),"")</f>
        <v/>
      </c>
      <c r="F1259" s="34" t="str">
        <f>IF(OR(ISBLANK(B1259),B1259=""), "", IFERROR(INDEX('SAÍDA DE VENDAS'!$H$6:$H$500 &amp; "x " &amp; 'SAÍDA DE VENDAS'!$G$6:$G$500, MATCH(B1259, 'SAÍDA DE VENDAS'!$B$6:$B$500, 0)), "")&amp; IF(COUNTIF('SAÍDA DE VENDAS'!$B$6:$B$500, B1259)&gt;1, " + " &amp; IFERROR(INDEX('SAÍDA DE VENDAS'!$H$6:$H$500 &amp; "x " &amp; 'SAÍDA DE VENDAS'!$G$6:$G$500, MATCH(B1259, 'SAÍDA DE VENDAS'!$B$6:$B$500, 0)+1), ""), "")&amp; IF(COUNTIF('SAÍDA DE VENDAS'!$B$6:$B$500, B1259)&gt;2, " + " &amp; IFERROR(INDEX('SAÍDA DE VENDAS'!$H$6:$H$500 &amp; "x " &amp; 'SAÍDA DE VENDAS'!$G$6:$G$500, MATCH(B1259, 'SAÍDA DE VENDAS'!$B$6:$B$500, 0)+2), ""), "")&amp; IF(COUNTIF('SAÍDA DE VENDAS'!$B$6:$B$500, B1259)&gt;3, " + " &amp; IFERROR(INDEX('SAÍDA DE VENDAS'!$H$6:$H$500 &amp; "x " &amp; 'SAÍDA DE VENDAS'!$G$6:$G$500, MATCH(B1259, 'SAÍDA DE VENDAS'!$B$6:$B$500, 0)+3), ""), "")&amp; IF(COUNTIF('SAÍDA DE VENDAS'!$B$6:$B$500, B1259)&gt;4, " + " &amp; IFERROR(INDEX('SAÍDA DE VENDAS'!$H$6:$H$500 &amp; "x " &amp; 'SAÍDA DE VENDAS'!$G$6:$G$500, MATCH(B1259, 'SAÍDA DE VENDAS'!$B$6:$B$500, 0)+4), ""), "")&amp; IF(COUNTIF('SAÍDA DE VENDAS'!$B$6:$B$500, B1259)&gt;5, " + " &amp; IFERROR(INDEX('SAÍDA DE VENDAS'!$H$6:$H$500 &amp; "x " &amp; 'SAÍDA DE VENDAS'!$G$6:$G$500, MATCH(B1259, 'SAÍDA DE VENDAS'!$B$6:$B$500, 0)+5), ""), ""))</f>
        <v/>
      </c>
      <c r="G1259" s="34">
        <f>IFERROR(VLOOKUP(B1259,'SAÍDA DE VENDAS'!$B$6:$P$500,10,FALSE),"")</f>
        <v>0</v>
      </c>
      <c r="H1259" s="34" t="str">
        <f>IF(OR(ISBLANK(B1259),B1259=""), "", IF(B1259=B1258, (VALUE(LEFT(H1258,FIND("/",H1258)-1))+1)&amp;"/"&amp;RIGHT(H1258,LEN(H1258)-FIND("/",H1258)), "1/"&amp;IFERROR(VLOOKUP(B1259,'SAÍDA DE VENDAS'!$B$6:$P$500,13,FALSE),"1")))</f>
        <v/>
      </c>
      <c r="I1259" s="35" t="str">
        <f t="shared" si="38"/>
        <v/>
      </c>
      <c r="J1259" s="39" t="str">
        <f>IFERROR(VLOOKUP(B1259,'SAÍDA DE VENDAS'!$B$6:$P$500,15,FALSE),"")</f>
        <v/>
      </c>
      <c r="K1259" s="34" t="str">
        <f t="shared" ca="1" si="39"/>
        <v/>
      </c>
      <c r="L1259" s="34"/>
      <c r="M1259" s="34"/>
    </row>
    <row r="1260" spans="2:13" ht="15" customHeight="1" x14ac:dyDescent="0.3">
      <c r="B1260" s="28" t="str">
        <f>IF(B1259="","", IF(VALUE(LEFT(H1259,FIND("/",H1259)-1)) &lt; VALUE(RIGHT(H1259,LEN(H1259)-FIND("/",H1259))), B1259, IFERROR(INDEX('SAÍDA DE VENDAS'!$B$6:$B$500, MATCH(B1259,'SAÍDA DE VENDAS'!$B$6:$B$500,0)+COUNTIF('SAÍDA DE VENDAS'!$B$6:$B$500, B1259)),"")))</f>
        <v/>
      </c>
      <c r="C1260" s="29">
        <f>IFERROR(VLOOKUP(B1260,'SAÍDA DE VENDAS'!$B$6:$P$500,3,FALSE),"")</f>
        <v>0</v>
      </c>
      <c r="D1260" s="28">
        <f>IFERROR(VLOOKUP(B1260,'SAÍDA DE VENDAS'!$B$6:$P$500,4,FALSE),"")</f>
        <v>0</v>
      </c>
      <c r="E1260" s="28" t="str">
        <f>IFERROR(VLOOKUP(B1260,'SAÍDA DE VENDAS'!$B$6:$P$500,5,FALSE),"")</f>
        <v/>
      </c>
      <c r="F1260" s="28" t="str">
        <f>IF(OR(ISBLANK(B1260),B1260=""), "", IFERROR(INDEX('SAÍDA DE VENDAS'!$H$6:$H$500 &amp; "x " &amp; 'SAÍDA DE VENDAS'!$G$6:$G$500, MATCH(B1260, 'SAÍDA DE VENDAS'!$B$6:$B$500, 0)), "")&amp; IF(COUNTIF('SAÍDA DE VENDAS'!$B$6:$B$500, B1260)&gt;1, " + " &amp; IFERROR(INDEX('SAÍDA DE VENDAS'!$H$6:$H$500 &amp; "x " &amp; 'SAÍDA DE VENDAS'!$G$6:$G$500, MATCH(B1260, 'SAÍDA DE VENDAS'!$B$6:$B$500, 0)+1), ""), "")&amp; IF(COUNTIF('SAÍDA DE VENDAS'!$B$6:$B$500, B1260)&gt;2, " + " &amp; IFERROR(INDEX('SAÍDA DE VENDAS'!$H$6:$H$500 &amp; "x " &amp; 'SAÍDA DE VENDAS'!$G$6:$G$500, MATCH(B1260, 'SAÍDA DE VENDAS'!$B$6:$B$500, 0)+2), ""), "")&amp; IF(COUNTIF('SAÍDA DE VENDAS'!$B$6:$B$500, B1260)&gt;3, " + " &amp; IFERROR(INDEX('SAÍDA DE VENDAS'!$H$6:$H$500 &amp; "x " &amp; 'SAÍDA DE VENDAS'!$G$6:$G$500, MATCH(B1260, 'SAÍDA DE VENDAS'!$B$6:$B$500, 0)+3), ""), "")&amp; IF(COUNTIF('SAÍDA DE VENDAS'!$B$6:$B$500, B1260)&gt;4, " + " &amp; IFERROR(INDEX('SAÍDA DE VENDAS'!$H$6:$H$500 &amp; "x " &amp; 'SAÍDA DE VENDAS'!$G$6:$G$500, MATCH(B1260, 'SAÍDA DE VENDAS'!$B$6:$B$500, 0)+4), ""), "")&amp; IF(COUNTIF('SAÍDA DE VENDAS'!$B$6:$B$500, B1260)&gt;5, " + " &amp; IFERROR(INDEX('SAÍDA DE VENDAS'!$H$6:$H$500 &amp; "x " &amp; 'SAÍDA DE VENDAS'!$G$6:$G$500, MATCH(B1260, 'SAÍDA DE VENDAS'!$B$6:$B$500, 0)+5), ""), ""))</f>
        <v/>
      </c>
      <c r="G1260" s="28">
        <f>IFERROR(VLOOKUP(B1260,'SAÍDA DE VENDAS'!$B$6:$P$500,10,FALSE),"")</f>
        <v>0</v>
      </c>
      <c r="H1260" s="28" t="str">
        <f>IF(OR(ISBLANK(B1260),B1260=""), "", IF(B1260=B1259, (VALUE(LEFT(H1259,FIND("/",H1259)-1))+1)&amp;"/"&amp;RIGHT(H1259,LEN(H1259)-FIND("/",H1259)), "1/"&amp;IFERROR(VLOOKUP(B1260,'SAÍDA DE VENDAS'!$B$6:$P$500,13,FALSE),"1")))</f>
        <v/>
      </c>
      <c r="I1260" s="69" t="str">
        <f t="shared" si="38"/>
        <v/>
      </c>
      <c r="J1260" s="33" t="str">
        <f>IFERROR(VLOOKUP(B1260,'SAÍDA DE VENDAS'!$B$6:$P$500,15,FALSE),"")</f>
        <v/>
      </c>
      <c r="K1260" s="28" t="str">
        <f t="shared" ca="1" si="39"/>
        <v/>
      </c>
      <c r="L1260" s="28"/>
      <c r="M1260" s="28"/>
    </row>
    <row r="1261" spans="2:13" ht="15" customHeight="1" x14ac:dyDescent="0.3">
      <c r="B1261" s="34" t="str">
        <f>IF(B1260="","", IF(VALUE(LEFT(H1260,FIND("/",H1260)-1)) &lt; VALUE(RIGHT(H1260,LEN(H1260)-FIND("/",H1260))), B1260, IFERROR(INDEX('SAÍDA DE VENDAS'!$B$6:$B$500, MATCH(B1260,'SAÍDA DE VENDAS'!$B$6:$B$500,0)+COUNTIF('SAÍDA DE VENDAS'!$B$6:$B$500, B1260)),"")))</f>
        <v/>
      </c>
      <c r="C1261" s="35">
        <f>IFERROR(VLOOKUP(B1261,'SAÍDA DE VENDAS'!$B$6:$P$500,3,FALSE),"")</f>
        <v>0</v>
      </c>
      <c r="D1261" s="34">
        <f>IFERROR(VLOOKUP(B1261,'SAÍDA DE VENDAS'!$B$6:$P$500,4,FALSE),"")</f>
        <v>0</v>
      </c>
      <c r="E1261" s="34" t="str">
        <f>IFERROR(VLOOKUP(B1261,'SAÍDA DE VENDAS'!$B$6:$P$500,5,FALSE),"")</f>
        <v/>
      </c>
      <c r="F1261" s="34" t="str">
        <f>IF(OR(ISBLANK(B1261),B1261=""), "", IFERROR(INDEX('SAÍDA DE VENDAS'!$H$6:$H$500 &amp; "x " &amp; 'SAÍDA DE VENDAS'!$G$6:$G$500, MATCH(B1261, 'SAÍDA DE VENDAS'!$B$6:$B$500, 0)), "")&amp; IF(COUNTIF('SAÍDA DE VENDAS'!$B$6:$B$500, B1261)&gt;1, " + " &amp; IFERROR(INDEX('SAÍDA DE VENDAS'!$H$6:$H$500 &amp; "x " &amp; 'SAÍDA DE VENDAS'!$G$6:$G$500, MATCH(B1261, 'SAÍDA DE VENDAS'!$B$6:$B$500, 0)+1), ""), "")&amp; IF(COUNTIF('SAÍDA DE VENDAS'!$B$6:$B$500, B1261)&gt;2, " + " &amp; IFERROR(INDEX('SAÍDA DE VENDAS'!$H$6:$H$500 &amp; "x " &amp; 'SAÍDA DE VENDAS'!$G$6:$G$500, MATCH(B1261, 'SAÍDA DE VENDAS'!$B$6:$B$500, 0)+2), ""), "")&amp; IF(COUNTIF('SAÍDA DE VENDAS'!$B$6:$B$500, B1261)&gt;3, " + " &amp; IFERROR(INDEX('SAÍDA DE VENDAS'!$H$6:$H$500 &amp; "x " &amp; 'SAÍDA DE VENDAS'!$G$6:$G$500, MATCH(B1261, 'SAÍDA DE VENDAS'!$B$6:$B$500, 0)+3), ""), "")&amp; IF(COUNTIF('SAÍDA DE VENDAS'!$B$6:$B$500, B1261)&gt;4, " + " &amp; IFERROR(INDEX('SAÍDA DE VENDAS'!$H$6:$H$500 &amp; "x " &amp; 'SAÍDA DE VENDAS'!$G$6:$G$500, MATCH(B1261, 'SAÍDA DE VENDAS'!$B$6:$B$500, 0)+4), ""), "")&amp; IF(COUNTIF('SAÍDA DE VENDAS'!$B$6:$B$500, B1261)&gt;5, " + " &amp; IFERROR(INDEX('SAÍDA DE VENDAS'!$H$6:$H$500 &amp; "x " &amp; 'SAÍDA DE VENDAS'!$G$6:$G$500, MATCH(B1261, 'SAÍDA DE VENDAS'!$B$6:$B$500, 0)+5), ""), ""))</f>
        <v/>
      </c>
      <c r="G1261" s="34">
        <f>IFERROR(VLOOKUP(B1261,'SAÍDA DE VENDAS'!$B$6:$P$500,10,FALSE),"")</f>
        <v>0</v>
      </c>
      <c r="H1261" s="34" t="str">
        <f>IF(OR(ISBLANK(B1261),B1261=""), "", IF(B1261=B1260, (VALUE(LEFT(H1260,FIND("/",H1260)-1))+1)&amp;"/"&amp;RIGHT(H1260,LEN(H1260)-FIND("/",H1260)), "1/"&amp;IFERROR(VLOOKUP(B1261,'SAÍDA DE VENDAS'!$B$6:$P$500,13,FALSE),"1")))</f>
        <v/>
      </c>
      <c r="I1261" s="35" t="str">
        <f t="shared" si="38"/>
        <v/>
      </c>
      <c r="J1261" s="39" t="str">
        <f>IFERROR(VLOOKUP(B1261,'SAÍDA DE VENDAS'!$B$6:$P$500,15,FALSE),"")</f>
        <v/>
      </c>
      <c r="K1261" s="34" t="str">
        <f t="shared" ca="1" si="39"/>
        <v/>
      </c>
      <c r="L1261" s="34"/>
      <c r="M1261" s="34"/>
    </row>
    <row r="1262" spans="2:13" ht="15" customHeight="1" x14ac:dyDescent="0.3">
      <c r="B1262" s="28" t="str">
        <f>IF(B1261="","", IF(VALUE(LEFT(H1261,FIND("/",H1261)-1)) &lt; VALUE(RIGHT(H1261,LEN(H1261)-FIND("/",H1261))), B1261, IFERROR(INDEX('SAÍDA DE VENDAS'!$B$6:$B$500, MATCH(B1261,'SAÍDA DE VENDAS'!$B$6:$B$500,0)+COUNTIF('SAÍDA DE VENDAS'!$B$6:$B$500, B1261)),"")))</f>
        <v/>
      </c>
      <c r="C1262" s="29">
        <f>IFERROR(VLOOKUP(B1262,'SAÍDA DE VENDAS'!$B$6:$P$500,3,FALSE),"")</f>
        <v>0</v>
      </c>
      <c r="D1262" s="28">
        <f>IFERROR(VLOOKUP(B1262,'SAÍDA DE VENDAS'!$B$6:$P$500,4,FALSE),"")</f>
        <v>0</v>
      </c>
      <c r="E1262" s="28" t="str">
        <f>IFERROR(VLOOKUP(B1262,'SAÍDA DE VENDAS'!$B$6:$P$500,5,FALSE),"")</f>
        <v/>
      </c>
      <c r="F1262" s="28" t="str">
        <f>IF(OR(ISBLANK(B1262),B1262=""), "", IFERROR(INDEX('SAÍDA DE VENDAS'!$H$6:$H$500 &amp; "x " &amp; 'SAÍDA DE VENDAS'!$G$6:$G$500, MATCH(B1262, 'SAÍDA DE VENDAS'!$B$6:$B$500, 0)), "")&amp; IF(COUNTIF('SAÍDA DE VENDAS'!$B$6:$B$500, B1262)&gt;1, " + " &amp; IFERROR(INDEX('SAÍDA DE VENDAS'!$H$6:$H$500 &amp; "x " &amp; 'SAÍDA DE VENDAS'!$G$6:$G$500, MATCH(B1262, 'SAÍDA DE VENDAS'!$B$6:$B$500, 0)+1), ""), "")&amp; IF(COUNTIF('SAÍDA DE VENDAS'!$B$6:$B$500, B1262)&gt;2, " + " &amp; IFERROR(INDEX('SAÍDA DE VENDAS'!$H$6:$H$500 &amp; "x " &amp; 'SAÍDA DE VENDAS'!$G$6:$G$500, MATCH(B1262, 'SAÍDA DE VENDAS'!$B$6:$B$500, 0)+2), ""), "")&amp; IF(COUNTIF('SAÍDA DE VENDAS'!$B$6:$B$500, B1262)&gt;3, " + " &amp; IFERROR(INDEX('SAÍDA DE VENDAS'!$H$6:$H$500 &amp; "x " &amp; 'SAÍDA DE VENDAS'!$G$6:$G$500, MATCH(B1262, 'SAÍDA DE VENDAS'!$B$6:$B$500, 0)+3), ""), "")&amp; IF(COUNTIF('SAÍDA DE VENDAS'!$B$6:$B$500, B1262)&gt;4, " + " &amp; IFERROR(INDEX('SAÍDA DE VENDAS'!$H$6:$H$500 &amp; "x " &amp; 'SAÍDA DE VENDAS'!$G$6:$G$500, MATCH(B1262, 'SAÍDA DE VENDAS'!$B$6:$B$500, 0)+4), ""), "")&amp; IF(COUNTIF('SAÍDA DE VENDAS'!$B$6:$B$500, B1262)&gt;5, " + " &amp; IFERROR(INDEX('SAÍDA DE VENDAS'!$H$6:$H$500 &amp; "x " &amp; 'SAÍDA DE VENDAS'!$G$6:$G$500, MATCH(B1262, 'SAÍDA DE VENDAS'!$B$6:$B$500, 0)+5), ""), ""))</f>
        <v/>
      </c>
      <c r="G1262" s="28">
        <f>IFERROR(VLOOKUP(B1262,'SAÍDA DE VENDAS'!$B$6:$P$500,10,FALSE),"")</f>
        <v>0</v>
      </c>
      <c r="H1262" s="28" t="str">
        <f>IF(OR(ISBLANK(B1262),B1262=""), "", IF(B1262=B1261, (VALUE(LEFT(H1261,FIND("/",H1261)-1))+1)&amp;"/"&amp;RIGHT(H1261,LEN(H1261)-FIND("/",H1261)), "1/"&amp;IFERROR(VLOOKUP(B1262,'SAÍDA DE VENDAS'!$B$6:$P$500,13,FALSE),"1")))</f>
        <v/>
      </c>
      <c r="I1262" s="69" t="str">
        <f t="shared" si="38"/>
        <v/>
      </c>
      <c r="J1262" s="33" t="str">
        <f>IFERROR(VLOOKUP(B1262,'SAÍDA DE VENDAS'!$B$6:$P$500,15,FALSE),"")</f>
        <v/>
      </c>
      <c r="K1262" s="28" t="str">
        <f t="shared" ca="1" si="39"/>
        <v/>
      </c>
      <c r="L1262" s="28"/>
      <c r="M1262" s="28"/>
    </row>
    <row r="1263" spans="2:13" ht="15" customHeight="1" x14ac:dyDescent="0.3">
      <c r="B1263" s="34" t="str">
        <f>IF(B1262="","", IF(VALUE(LEFT(H1262,FIND("/",H1262)-1)) &lt; VALUE(RIGHT(H1262,LEN(H1262)-FIND("/",H1262))), B1262, IFERROR(INDEX('SAÍDA DE VENDAS'!$B$6:$B$500, MATCH(B1262,'SAÍDA DE VENDAS'!$B$6:$B$500,0)+COUNTIF('SAÍDA DE VENDAS'!$B$6:$B$500, B1262)),"")))</f>
        <v/>
      </c>
      <c r="C1263" s="35">
        <f>IFERROR(VLOOKUP(B1263,'SAÍDA DE VENDAS'!$B$6:$P$500,3,FALSE),"")</f>
        <v>0</v>
      </c>
      <c r="D1263" s="34">
        <f>IFERROR(VLOOKUP(B1263,'SAÍDA DE VENDAS'!$B$6:$P$500,4,FALSE),"")</f>
        <v>0</v>
      </c>
      <c r="E1263" s="34" t="str">
        <f>IFERROR(VLOOKUP(B1263,'SAÍDA DE VENDAS'!$B$6:$P$500,5,FALSE),"")</f>
        <v/>
      </c>
      <c r="F1263" s="34" t="str">
        <f>IF(OR(ISBLANK(B1263),B1263=""), "", IFERROR(INDEX('SAÍDA DE VENDAS'!$H$6:$H$500 &amp; "x " &amp; 'SAÍDA DE VENDAS'!$G$6:$G$500, MATCH(B1263, 'SAÍDA DE VENDAS'!$B$6:$B$500, 0)), "")&amp; IF(COUNTIF('SAÍDA DE VENDAS'!$B$6:$B$500, B1263)&gt;1, " + " &amp; IFERROR(INDEX('SAÍDA DE VENDAS'!$H$6:$H$500 &amp; "x " &amp; 'SAÍDA DE VENDAS'!$G$6:$G$500, MATCH(B1263, 'SAÍDA DE VENDAS'!$B$6:$B$500, 0)+1), ""), "")&amp; IF(COUNTIF('SAÍDA DE VENDAS'!$B$6:$B$500, B1263)&gt;2, " + " &amp; IFERROR(INDEX('SAÍDA DE VENDAS'!$H$6:$H$500 &amp; "x " &amp; 'SAÍDA DE VENDAS'!$G$6:$G$500, MATCH(B1263, 'SAÍDA DE VENDAS'!$B$6:$B$500, 0)+2), ""), "")&amp; IF(COUNTIF('SAÍDA DE VENDAS'!$B$6:$B$500, B1263)&gt;3, " + " &amp; IFERROR(INDEX('SAÍDA DE VENDAS'!$H$6:$H$500 &amp; "x " &amp; 'SAÍDA DE VENDAS'!$G$6:$G$500, MATCH(B1263, 'SAÍDA DE VENDAS'!$B$6:$B$500, 0)+3), ""), "")&amp; IF(COUNTIF('SAÍDA DE VENDAS'!$B$6:$B$500, B1263)&gt;4, " + " &amp; IFERROR(INDEX('SAÍDA DE VENDAS'!$H$6:$H$500 &amp; "x " &amp; 'SAÍDA DE VENDAS'!$G$6:$G$500, MATCH(B1263, 'SAÍDA DE VENDAS'!$B$6:$B$500, 0)+4), ""), "")&amp; IF(COUNTIF('SAÍDA DE VENDAS'!$B$6:$B$500, B1263)&gt;5, " + " &amp; IFERROR(INDEX('SAÍDA DE VENDAS'!$H$6:$H$500 &amp; "x " &amp; 'SAÍDA DE VENDAS'!$G$6:$G$500, MATCH(B1263, 'SAÍDA DE VENDAS'!$B$6:$B$500, 0)+5), ""), ""))</f>
        <v/>
      </c>
      <c r="G1263" s="34">
        <f>IFERROR(VLOOKUP(B1263,'SAÍDA DE VENDAS'!$B$6:$P$500,10,FALSE),"")</f>
        <v>0</v>
      </c>
      <c r="H1263" s="34" t="str">
        <f>IF(OR(ISBLANK(B1263),B1263=""), "", IF(B1263=B1262, (VALUE(LEFT(H1262,FIND("/",H1262)-1))+1)&amp;"/"&amp;RIGHT(H1262,LEN(H1262)-FIND("/",H1262)), "1/"&amp;IFERROR(VLOOKUP(B1263,'SAÍDA DE VENDAS'!$B$6:$P$500,13,FALSE),"1")))</f>
        <v/>
      </c>
      <c r="I1263" s="35" t="str">
        <f t="shared" si="38"/>
        <v/>
      </c>
      <c r="J1263" s="39" t="str">
        <f>IFERROR(VLOOKUP(B1263,'SAÍDA DE VENDAS'!$B$6:$P$500,15,FALSE),"")</f>
        <v/>
      </c>
      <c r="K1263" s="34" t="str">
        <f t="shared" ca="1" si="39"/>
        <v/>
      </c>
      <c r="L1263" s="34"/>
      <c r="M1263" s="34"/>
    </row>
    <row r="1264" spans="2:13" ht="15" customHeight="1" x14ac:dyDescent="0.3">
      <c r="B1264" s="28" t="str">
        <f>IF(B1263="","", IF(VALUE(LEFT(H1263,FIND("/",H1263)-1)) &lt; VALUE(RIGHT(H1263,LEN(H1263)-FIND("/",H1263))), B1263, IFERROR(INDEX('SAÍDA DE VENDAS'!$B$6:$B$500, MATCH(B1263,'SAÍDA DE VENDAS'!$B$6:$B$500,0)+COUNTIF('SAÍDA DE VENDAS'!$B$6:$B$500, B1263)),"")))</f>
        <v/>
      </c>
      <c r="C1264" s="29">
        <f>IFERROR(VLOOKUP(B1264,'SAÍDA DE VENDAS'!$B$6:$P$500,3,FALSE),"")</f>
        <v>0</v>
      </c>
      <c r="D1264" s="28">
        <f>IFERROR(VLOOKUP(B1264,'SAÍDA DE VENDAS'!$B$6:$P$500,4,FALSE),"")</f>
        <v>0</v>
      </c>
      <c r="E1264" s="28" t="str">
        <f>IFERROR(VLOOKUP(B1264,'SAÍDA DE VENDAS'!$B$6:$P$500,5,FALSE),"")</f>
        <v/>
      </c>
      <c r="F1264" s="28" t="str">
        <f>IF(OR(ISBLANK(B1264),B1264=""), "", IFERROR(INDEX('SAÍDA DE VENDAS'!$H$6:$H$500 &amp; "x " &amp; 'SAÍDA DE VENDAS'!$G$6:$G$500, MATCH(B1264, 'SAÍDA DE VENDAS'!$B$6:$B$500, 0)), "")&amp; IF(COUNTIF('SAÍDA DE VENDAS'!$B$6:$B$500, B1264)&gt;1, " + " &amp; IFERROR(INDEX('SAÍDA DE VENDAS'!$H$6:$H$500 &amp; "x " &amp; 'SAÍDA DE VENDAS'!$G$6:$G$500, MATCH(B1264, 'SAÍDA DE VENDAS'!$B$6:$B$500, 0)+1), ""), "")&amp; IF(COUNTIF('SAÍDA DE VENDAS'!$B$6:$B$500, B1264)&gt;2, " + " &amp; IFERROR(INDEX('SAÍDA DE VENDAS'!$H$6:$H$500 &amp; "x " &amp; 'SAÍDA DE VENDAS'!$G$6:$G$500, MATCH(B1264, 'SAÍDA DE VENDAS'!$B$6:$B$500, 0)+2), ""), "")&amp; IF(COUNTIF('SAÍDA DE VENDAS'!$B$6:$B$500, B1264)&gt;3, " + " &amp; IFERROR(INDEX('SAÍDA DE VENDAS'!$H$6:$H$500 &amp; "x " &amp; 'SAÍDA DE VENDAS'!$G$6:$G$500, MATCH(B1264, 'SAÍDA DE VENDAS'!$B$6:$B$500, 0)+3), ""), "")&amp; IF(COUNTIF('SAÍDA DE VENDAS'!$B$6:$B$500, B1264)&gt;4, " + " &amp; IFERROR(INDEX('SAÍDA DE VENDAS'!$H$6:$H$500 &amp; "x " &amp; 'SAÍDA DE VENDAS'!$G$6:$G$500, MATCH(B1264, 'SAÍDA DE VENDAS'!$B$6:$B$500, 0)+4), ""), "")&amp; IF(COUNTIF('SAÍDA DE VENDAS'!$B$6:$B$500, B1264)&gt;5, " + " &amp; IFERROR(INDEX('SAÍDA DE VENDAS'!$H$6:$H$500 &amp; "x " &amp; 'SAÍDA DE VENDAS'!$G$6:$G$500, MATCH(B1264, 'SAÍDA DE VENDAS'!$B$6:$B$500, 0)+5), ""), ""))</f>
        <v/>
      </c>
      <c r="G1264" s="28">
        <f>IFERROR(VLOOKUP(B1264,'SAÍDA DE VENDAS'!$B$6:$P$500,10,FALSE),"")</f>
        <v>0</v>
      </c>
      <c r="H1264" s="28" t="str">
        <f>IF(OR(ISBLANK(B1264),B1264=""), "", IF(B1264=B1263, (VALUE(LEFT(H1263,FIND("/",H1263)-1))+1)&amp;"/"&amp;RIGHT(H1263,LEN(H1263)-FIND("/",H1263)), "1/"&amp;IFERROR(VLOOKUP(B1264,'SAÍDA DE VENDAS'!$B$6:$P$500,13,FALSE),"1")))</f>
        <v/>
      </c>
      <c r="I1264" s="69" t="str">
        <f t="shared" si="38"/>
        <v/>
      </c>
      <c r="J1264" s="33" t="str">
        <f>IFERROR(VLOOKUP(B1264,'SAÍDA DE VENDAS'!$B$6:$P$500,15,FALSE),"")</f>
        <v/>
      </c>
      <c r="K1264" s="28" t="str">
        <f t="shared" ca="1" si="39"/>
        <v/>
      </c>
      <c r="L1264" s="28"/>
      <c r="M1264" s="28"/>
    </row>
    <row r="1265" spans="2:13" ht="15" customHeight="1" x14ac:dyDescent="0.3">
      <c r="B1265" s="34" t="str">
        <f>IF(B1264="","", IF(VALUE(LEFT(H1264,FIND("/",H1264)-1)) &lt; VALUE(RIGHT(H1264,LEN(H1264)-FIND("/",H1264))), B1264, IFERROR(INDEX('SAÍDA DE VENDAS'!$B$6:$B$500, MATCH(B1264,'SAÍDA DE VENDAS'!$B$6:$B$500,0)+COUNTIF('SAÍDA DE VENDAS'!$B$6:$B$500, B1264)),"")))</f>
        <v/>
      </c>
      <c r="C1265" s="35">
        <f>IFERROR(VLOOKUP(B1265,'SAÍDA DE VENDAS'!$B$6:$P$500,3,FALSE),"")</f>
        <v>0</v>
      </c>
      <c r="D1265" s="34">
        <f>IFERROR(VLOOKUP(B1265,'SAÍDA DE VENDAS'!$B$6:$P$500,4,FALSE),"")</f>
        <v>0</v>
      </c>
      <c r="E1265" s="34" t="str">
        <f>IFERROR(VLOOKUP(B1265,'SAÍDA DE VENDAS'!$B$6:$P$500,5,FALSE),"")</f>
        <v/>
      </c>
      <c r="F1265" s="34" t="str">
        <f>IF(OR(ISBLANK(B1265),B1265=""), "", IFERROR(INDEX('SAÍDA DE VENDAS'!$H$6:$H$500 &amp; "x " &amp; 'SAÍDA DE VENDAS'!$G$6:$G$500, MATCH(B1265, 'SAÍDA DE VENDAS'!$B$6:$B$500, 0)), "")&amp; IF(COUNTIF('SAÍDA DE VENDAS'!$B$6:$B$500, B1265)&gt;1, " + " &amp; IFERROR(INDEX('SAÍDA DE VENDAS'!$H$6:$H$500 &amp; "x " &amp; 'SAÍDA DE VENDAS'!$G$6:$G$500, MATCH(B1265, 'SAÍDA DE VENDAS'!$B$6:$B$500, 0)+1), ""), "")&amp; IF(COUNTIF('SAÍDA DE VENDAS'!$B$6:$B$500, B1265)&gt;2, " + " &amp; IFERROR(INDEX('SAÍDA DE VENDAS'!$H$6:$H$500 &amp; "x " &amp; 'SAÍDA DE VENDAS'!$G$6:$G$500, MATCH(B1265, 'SAÍDA DE VENDAS'!$B$6:$B$500, 0)+2), ""), "")&amp; IF(COUNTIF('SAÍDA DE VENDAS'!$B$6:$B$500, B1265)&gt;3, " + " &amp; IFERROR(INDEX('SAÍDA DE VENDAS'!$H$6:$H$500 &amp; "x " &amp; 'SAÍDA DE VENDAS'!$G$6:$G$500, MATCH(B1265, 'SAÍDA DE VENDAS'!$B$6:$B$500, 0)+3), ""), "")&amp; IF(COUNTIF('SAÍDA DE VENDAS'!$B$6:$B$500, B1265)&gt;4, " + " &amp; IFERROR(INDEX('SAÍDA DE VENDAS'!$H$6:$H$500 &amp; "x " &amp; 'SAÍDA DE VENDAS'!$G$6:$G$500, MATCH(B1265, 'SAÍDA DE VENDAS'!$B$6:$B$500, 0)+4), ""), "")&amp; IF(COUNTIF('SAÍDA DE VENDAS'!$B$6:$B$500, B1265)&gt;5, " + " &amp; IFERROR(INDEX('SAÍDA DE VENDAS'!$H$6:$H$500 &amp; "x " &amp; 'SAÍDA DE VENDAS'!$G$6:$G$500, MATCH(B1265, 'SAÍDA DE VENDAS'!$B$6:$B$500, 0)+5), ""), ""))</f>
        <v/>
      </c>
      <c r="G1265" s="34">
        <f>IFERROR(VLOOKUP(B1265,'SAÍDA DE VENDAS'!$B$6:$P$500,10,FALSE),"")</f>
        <v>0</v>
      </c>
      <c r="H1265" s="34" t="str">
        <f>IF(OR(ISBLANK(B1265),B1265=""), "", IF(B1265=B1264, (VALUE(LEFT(H1264,FIND("/",H1264)-1))+1)&amp;"/"&amp;RIGHT(H1264,LEN(H1264)-FIND("/",H1264)), "1/"&amp;IFERROR(VLOOKUP(B1265,'SAÍDA DE VENDAS'!$B$6:$P$500,13,FALSE),"1")))</f>
        <v/>
      </c>
      <c r="I1265" s="35" t="str">
        <f t="shared" si="38"/>
        <v/>
      </c>
      <c r="J1265" s="39" t="str">
        <f>IFERROR(VLOOKUP(B1265,'SAÍDA DE VENDAS'!$B$6:$P$500,15,FALSE),"")</f>
        <v/>
      </c>
      <c r="K1265" s="34" t="str">
        <f t="shared" ca="1" si="39"/>
        <v/>
      </c>
      <c r="L1265" s="34"/>
      <c r="M1265" s="34"/>
    </row>
    <row r="1266" spans="2:13" ht="15" customHeight="1" x14ac:dyDescent="0.3">
      <c r="B1266" s="28" t="str">
        <f>IF(B1265="","", IF(VALUE(LEFT(H1265,FIND("/",H1265)-1)) &lt; VALUE(RIGHT(H1265,LEN(H1265)-FIND("/",H1265))), B1265, IFERROR(INDEX('SAÍDA DE VENDAS'!$B$6:$B$500, MATCH(B1265,'SAÍDA DE VENDAS'!$B$6:$B$500,0)+COUNTIF('SAÍDA DE VENDAS'!$B$6:$B$500, B1265)),"")))</f>
        <v/>
      </c>
      <c r="C1266" s="29">
        <f>IFERROR(VLOOKUP(B1266,'SAÍDA DE VENDAS'!$B$6:$P$500,3,FALSE),"")</f>
        <v>0</v>
      </c>
      <c r="D1266" s="28">
        <f>IFERROR(VLOOKUP(B1266,'SAÍDA DE VENDAS'!$B$6:$P$500,4,FALSE),"")</f>
        <v>0</v>
      </c>
      <c r="E1266" s="28" t="str">
        <f>IFERROR(VLOOKUP(B1266,'SAÍDA DE VENDAS'!$B$6:$P$500,5,FALSE),"")</f>
        <v/>
      </c>
      <c r="F1266" s="28" t="str">
        <f>IF(OR(ISBLANK(B1266),B1266=""), "", IFERROR(INDEX('SAÍDA DE VENDAS'!$H$6:$H$500 &amp; "x " &amp; 'SAÍDA DE VENDAS'!$G$6:$G$500, MATCH(B1266, 'SAÍDA DE VENDAS'!$B$6:$B$500, 0)), "")&amp; IF(COUNTIF('SAÍDA DE VENDAS'!$B$6:$B$500, B1266)&gt;1, " + " &amp; IFERROR(INDEX('SAÍDA DE VENDAS'!$H$6:$H$500 &amp; "x " &amp; 'SAÍDA DE VENDAS'!$G$6:$G$500, MATCH(B1266, 'SAÍDA DE VENDAS'!$B$6:$B$500, 0)+1), ""), "")&amp; IF(COUNTIF('SAÍDA DE VENDAS'!$B$6:$B$500, B1266)&gt;2, " + " &amp; IFERROR(INDEX('SAÍDA DE VENDAS'!$H$6:$H$500 &amp; "x " &amp; 'SAÍDA DE VENDAS'!$G$6:$G$500, MATCH(B1266, 'SAÍDA DE VENDAS'!$B$6:$B$500, 0)+2), ""), "")&amp; IF(COUNTIF('SAÍDA DE VENDAS'!$B$6:$B$500, B1266)&gt;3, " + " &amp; IFERROR(INDEX('SAÍDA DE VENDAS'!$H$6:$H$500 &amp; "x " &amp; 'SAÍDA DE VENDAS'!$G$6:$G$500, MATCH(B1266, 'SAÍDA DE VENDAS'!$B$6:$B$500, 0)+3), ""), "")&amp; IF(COUNTIF('SAÍDA DE VENDAS'!$B$6:$B$500, B1266)&gt;4, " + " &amp; IFERROR(INDEX('SAÍDA DE VENDAS'!$H$6:$H$500 &amp; "x " &amp; 'SAÍDA DE VENDAS'!$G$6:$G$500, MATCH(B1266, 'SAÍDA DE VENDAS'!$B$6:$B$500, 0)+4), ""), "")&amp; IF(COUNTIF('SAÍDA DE VENDAS'!$B$6:$B$500, B1266)&gt;5, " + " &amp; IFERROR(INDEX('SAÍDA DE VENDAS'!$H$6:$H$500 &amp; "x " &amp; 'SAÍDA DE VENDAS'!$G$6:$G$500, MATCH(B1266, 'SAÍDA DE VENDAS'!$B$6:$B$500, 0)+5), ""), ""))</f>
        <v/>
      </c>
      <c r="G1266" s="28">
        <f>IFERROR(VLOOKUP(B1266,'SAÍDA DE VENDAS'!$B$6:$P$500,10,FALSE),"")</f>
        <v>0</v>
      </c>
      <c r="H1266" s="28" t="str">
        <f>IF(OR(ISBLANK(B1266),B1266=""), "", IF(B1266=B1265, (VALUE(LEFT(H1265,FIND("/",H1265)-1))+1)&amp;"/"&amp;RIGHT(H1265,LEN(H1265)-FIND("/",H1265)), "1/"&amp;IFERROR(VLOOKUP(B1266,'SAÍDA DE VENDAS'!$B$6:$P$500,13,FALSE),"1")))</f>
        <v/>
      </c>
      <c r="I1266" s="69" t="str">
        <f t="shared" si="38"/>
        <v/>
      </c>
      <c r="J1266" s="33" t="str">
        <f>IFERROR(VLOOKUP(B1266,'SAÍDA DE VENDAS'!$B$6:$P$500,15,FALSE),"")</f>
        <v/>
      </c>
      <c r="K1266" s="28" t="str">
        <f t="shared" ca="1" si="39"/>
        <v/>
      </c>
      <c r="L1266" s="28"/>
      <c r="M1266" s="28"/>
    </row>
    <row r="1267" spans="2:13" ht="15" customHeight="1" x14ac:dyDescent="0.3">
      <c r="B1267" s="34" t="str">
        <f>IF(B1266="","", IF(VALUE(LEFT(H1266,FIND("/",H1266)-1)) &lt; VALUE(RIGHT(H1266,LEN(H1266)-FIND("/",H1266))), B1266, IFERROR(INDEX('SAÍDA DE VENDAS'!$B$6:$B$500, MATCH(B1266,'SAÍDA DE VENDAS'!$B$6:$B$500,0)+COUNTIF('SAÍDA DE VENDAS'!$B$6:$B$500, B1266)),"")))</f>
        <v/>
      </c>
      <c r="C1267" s="35">
        <f>IFERROR(VLOOKUP(B1267,'SAÍDA DE VENDAS'!$B$6:$P$500,3,FALSE),"")</f>
        <v>0</v>
      </c>
      <c r="D1267" s="34">
        <f>IFERROR(VLOOKUP(B1267,'SAÍDA DE VENDAS'!$B$6:$P$500,4,FALSE),"")</f>
        <v>0</v>
      </c>
      <c r="E1267" s="34" t="str">
        <f>IFERROR(VLOOKUP(B1267,'SAÍDA DE VENDAS'!$B$6:$P$500,5,FALSE),"")</f>
        <v/>
      </c>
      <c r="F1267" s="34" t="str">
        <f>IF(OR(ISBLANK(B1267),B1267=""), "", IFERROR(INDEX('SAÍDA DE VENDAS'!$H$6:$H$500 &amp; "x " &amp; 'SAÍDA DE VENDAS'!$G$6:$G$500, MATCH(B1267, 'SAÍDA DE VENDAS'!$B$6:$B$500, 0)), "")&amp; IF(COUNTIF('SAÍDA DE VENDAS'!$B$6:$B$500, B1267)&gt;1, " + " &amp; IFERROR(INDEX('SAÍDA DE VENDAS'!$H$6:$H$500 &amp; "x " &amp; 'SAÍDA DE VENDAS'!$G$6:$G$500, MATCH(B1267, 'SAÍDA DE VENDAS'!$B$6:$B$500, 0)+1), ""), "")&amp; IF(COUNTIF('SAÍDA DE VENDAS'!$B$6:$B$500, B1267)&gt;2, " + " &amp; IFERROR(INDEX('SAÍDA DE VENDAS'!$H$6:$H$500 &amp; "x " &amp; 'SAÍDA DE VENDAS'!$G$6:$G$500, MATCH(B1267, 'SAÍDA DE VENDAS'!$B$6:$B$500, 0)+2), ""), "")&amp; IF(COUNTIF('SAÍDA DE VENDAS'!$B$6:$B$500, B1267)&gt;3, " + " &amp; IFERROR(INDEX('SAÍDA DE VENDAS'!$H$6:$H$500 &amp; "x " &amp; 'SAÍDA DE VENDAS'!$G$6:$G$500, MATCH(B1267, 'SAÍDA DE VENDAS'!$B$6:$B$500, 0)+3), ""), "")&amp; IF(COUNTIF('SAÍDA DE VENDAS'!$B$6:$B$500, B1267)&gt;4, " + " &amp; IFERROR(INDEX('SAÍDA DE VENDAS'!$H$6:$H$500 &amp; "x " &amp; 'SAÍDA DE VENDAS'!$G$6:$G$500, MATCH(B1267, 'SAÍDA DE VENDAS'!$B$6:$B$500, 0)+4), ""), "")&amp; IF(COUNTIF('SAÍDA DE VENDAS'!$B$6:$B$500, B1267)&gt;5, " + " &amp; IFERROR(INDEX('SAÍDA DE VENDAS'!$H$6:$H$500 &amp; "x " &amp; 'SAÍDA DE VENDAS'!$G$6:$G$500, MATCH(B1267, 'SAÍDA DE VENDAS'!$B$6:$B$500, 0)+5), ""), ""))</f>
        <v/>
      </c>
      <c r="G1267" s="34">
        <f>IFERROR(VLOOKUP(B1267,'SAÍDA DE VENDAS'!$B$6:$P$500,10,FALSE),"")</f>
        <v>0</v>
      </c>
      <c r="H1267" s="34" t="str">
        <f>IF(OR(ISBLANK(B1267),B1267=""), "", IF(B1267=B1266, (VALUE(LEFT(H1266,FIND("/",H1266)-1))+1)&amp;"/"&amp;RIGHT(H1266,LEN(H1266)-FIND("/",H1266)), "1/"&amp;IFERROR(VLOOKUP(B1267,'SAÍDA DE VENDAS'!$B$6:$P$500,13,FALSE),"1")))</f>
        <v/>
      </c>
      <c r="I1267" s="35" t="str">
        <f t="shared" si="38"/>
        <v/>
      </c>
      <c r="J1267" s="39" t="str">
        <f>IFERROR(VLOOKUP(B1267,'SAÍDA DE VENDAS'!$B$6:$P$500,15,FALSE),"")</f>
        <v/>
      </c>
      <c r="K1267" s="34" t="str">
        <f t="shared" ca="1" si="39"/>
        <v/>
      </c>
      <c r="L1267" s="34"/>
      <c r="M1267" s="34"/>
    </row>
    <row r="1268" spans="2:13" ht="15" customHeight="1" x14ac:dyDescent="0.3">
      <c r="B1268" s="28" t="str">
        <f>IF(B1267="","", IF(VALUE(LEFT(H1267,FIND("/",H1267)-1)) &lt; VALUE(RIGHT(H1267,LEN(H1267)-FIND("/",H1267))), B1267, IFERROR(INDEX('SAÍDA DE VENDAS'!$B$6:$B$500, MATCH(B1267,'SAÍDA DE VENDAS'!$B$6:$B$500,0)+COUNTIF('SAÍDA DE VENDAS'!$B$6:$B$500, B1267)),"")))</f>
        <v/>
      </c>
      <c r="C1268" s="29">
        <f>IFERROR(VLOOKUP(B1268,'SAÍDA DE VENDAS'!$B$6:$P$500,3,FALSE),"")</f>
        <v>0</v>
      </c>
      <c r="D1268" s="28">
        <f>IFERROR(VLOOKUP(B1268,'SAÍDA DE VENDAS'!$B$6:$P$500,4,FALSE),"")</f>
        <v>0</v>
      </c>
      <c r="E1268" s="28" t="str">
        <f>IFERROR(VLOOKUP(B1268,'SAÍDA DE VENDAS'!$B$6:$P$500,5,FALSE),"")</f>
        <v/>
      </c>
      <c r="F1268" s="28" t="str">
        <f>IF(OR(ISBLANK(B1268),B1268=""), "", IFERROR(INDEX('SAÍDA DE VENDAS'!$H$6:$H$500 &amp; "x " &amp; 'SAÍDA DE VENDAS'!$G$6:$G$500, MATCH(B1268, 'SAÍDA DE VENDAS'!$B$6:$B$500, 0)), "")&amp; IF(COUNTIF('SAÍDA DE VENDAS'!$B$6:$B$500, B1268)&gt;1, " + " &amp; IFERROR(INDEX('SAÍDA DE VENDAS'!$H$6:$H$500 &amp; "x " &amp; 'SAÍDA DE VENDAS'!$G$6:$G$500, MATCH(B1268, 'SAÍDA DE VENDAS'!$B$6:$B$500, 0)+1), ""), "")&amp; IF(COUNTIF('SAÍDA DE VENDAS'!$B$6:$B$500, B1268)&gt;2, " + " &amp; IFERROR(INDEX('SAÍDA DE VENDAS'!$H$6:$H$500 &amp; "x " &amp; 'SAÍDA DE VENDAS'!$G$6:$G$500, MATCH(B1268, 'SAÍDA DE VENDAS'!$B$6:$B$500, 0)+2), ""), "")&amp; IF(COUNTIF('SAÍDA DE VENDAS'!$B$6:$B$500, B1268)&gt;3, " + " &amp; IFERROR(INDEX('SAÍDA DE VENDAS'!$H$6:$H$500 &amp; "x " &amp; 'SAÍDA DE VENDAS'!$G$6:$G$500, MATCH(B1268, 'SAÍDA DE VENDAS'!$B$6:$B$500, 0)+3), ""), "")&amp; IF(COUNTIF('SAÍDA DE VENDAS'!$B$6:$B$500, B1268)&gt;4, " + " &amp; IFERROR(INDEX('SAÍDA DE VENDAS'!$H$6:$H$500 &amp; "x " &amp; 'SAÍDA DE VENDAS'!$G$6:$G$500, MATCH(B1268, 'SAÍDA DE VENDAS'!$B$6:$B$500, 0)+4), ""), "")&amp; IF(COUNTIF('SAÍDA DE VENDAS'!$B$6:$B$500, B1268)&gt;5, " + " &amp; IFERROR(INDEX('SAÍDA DE VENDAS'!$H$6:$H$500 &amp; "x " &amp; 'SAÍDA DE VENDAS'!$G$6:$G$500, MATCH(B1268, 'SAÍDA DE VENDAS'!$B$6:$B$500, 0)+5), ""), ""))</f>
        <v/>
      </c>
      <c r="G1268" s="28">
        <f>IFERROR(VLOOKUP(B1268,'SAÍDA DE VENDAS'!$B$6:$P$500,10,FALSE),"")</f>
        <v>0</v>
      </c>
      <c r="H1268" s="28" t="str">
        <f>IF(OR(ISBLANK(B1268),B1268=""), "", IF(B1268=B1267, (VALUE(LEFT(H1267,FIND("/",H1267)-1))+1)&amp;"/"&amp;RIGHT(H1267,LEN(H1267)-FIND("/",H1267)), "1/"&amp;IFERROR(VLOOKUP(B1268,'SAÍDA DE VENDAS'!$B$6:$P$500,13,FALSE),"1")))</f>
        <v/>
      </c>
      <c r="I1268" s="69" t="str">
        <f t="shared" si="38"/>
        <v/>
      </c>
      <c r="J1268" s="33" t="str">
        <f>IFERROR(VLOOKUP(B1268,'SAÍDA DE VENDAS'!$B$6:$P$500,15,FALSE),"")</f>
        <v/>
      </c>
      <c r="K1268" s="28" t="str">
        <f t="shared" ca="1" si="39"/>
        <v/>
      </c>
      <c r="L1268" s="28"/>
      <c r="M1268" s="28"/>
    </row>
    <row r="1269" spans="2:13" ht="15" customHeight="1" x14ac:dyDescent="0.3">
      <c r="B1269" s="34" t="str">
        <f>IF(B1268="","", IF(VALUE(LEFT(H1268,FIND("/",H1268)-1)) &lt; VALUE(RIGHT(H1268,LEN(H1268)-FIND("/",H1268))), B1268, IFERROR(INDEX('SAÍDA DE VENDAS'!$B$6:$B$500, MATCH(B1268,'SAÍDA DE VENDAS'!$B$6:$B$500,0)+COUNTIF('SAÍDA DE VENDAS'!$B$6:$B$500, B1268)),"")))</f>
        <v/>
      </c>
      <c r="C1269" s="35">
        <f>IFERROR(VLOOKUP(B1269,'SAÍDA DE VENDAS'!$B$6:$P$500,3,FALSE),"")</f>
        <v>0</v>
      </c>
      <c r="D1269" s="34">
        <f>IFERROR(VLOOKUP(B1269,'SAÍDA DE VENDAS'!$B$6:$P$500,4,FALSE),"")</f>
        <v>0</v>
      </c>
      <c r="E1269" s="34" t="str">
        <f>IFERROR(VLOOKUP(B1269,'SAÍDA DE VENDAS'!$B$6:$P$500,5,FALSE),"")</f>
        <v/>
      </c>
      <c r="F1269" s="34" t="str">
        <f>IF(OR(ISBLANK(B1269),B1269=""), "", IFERROR(INDEX('SAÍDA DE VENDAS'!$H$6:$H$500 &amp; "x " &amp; 'SAÍDA DE VENDAS'!$G$6:$G$500, MATCH(B1269, 'SAÍDA DE VENDAS'!$B$6:$B$500, 0)), "")&amp; IF(COUNTIF('SAÍDA DE VENDAS'!$B$6:$B$500, B1269)&gt;1, " + " &amp; IFERROR(INDEX('SAÍDA DE VENDAS'!$H$6:$H$500 &amp; "x " &amp; 'SAÍDA DE VENDAS'!$G$6:$G$500, MATCH(B1269, 'SAÍDA DE VENDAS'!$B$6:$B$500, 0)+1), ""), "")&amp; IF(COUNTIF('SAÍDA DE VENDAS'!$B$6:$B$500, B1269)&gt;2, " + " &amp; IFERROR(INDEX('SAÍDA DE VENDAS'!$H$6:$H$500 &amp; "x " &amp; 'SAÍDA DE VENDAS'!$G$6:$G$500, MATCH(B1269, 'SAÍDA DE VENDAS'!$B$6:$B$500, 0)+2), ""), "")&amp; IF(COUNTIF('SAÍDA DE VENDAS'!$B$6:$B$500, B1269)&gt;3, " + " &amp; IFERROR(INDEX('SAÍDA DE VENDAS'!$H$6:$H$500 &amp; "x " &amp; 'SAÍDA DE VENDAS'!$G$6:$G$500, MATCH(B1269, 'SAÍDA DE VENDAS'!$B$6:$B$500, 0)+3), ""), "")&amp; IF(COUNTIF('SAÍDA DE VENDAS'!$B$6:$B$500, B1269)&gt;4, " + " &amp; IFERROR(INDEX('SAÍDA DE VENDAS'!$H$6:$H$500 &amp; "x " &amp; 'SAÍDA DE VENDAS'!$G$6:$G$500, MATCH(B1269, 'SAÍDA DE VENDAS'!$B$6:$B$500, 0)+4), ""), "")&amp; IF(COUNTIF('SAÍDA DE VENDAS'!$B$6:$B$500, B1269)&gt;5, " + " &amp; IFERROR(INDEX('SAÍDA DE VENDAS'!$H$6:$H$500 &amp; "x " &amp; 'SAÍDA DE VENDAS'!$G$6:$G$500, MATCH(B1269, 'SAÍDA DE VENDAS'!$B$6:$B$500, 0)+5), ""), ""))</f>
        <v/>
      </c>
      <c r="G1269" s="34">
        <f>IFERROR(VLOOKUP(B1269,'SAÍDA DE VENDAS'!$B$6:$P$500,10,FALSE),"")</f>
        <v>0</v>
      </c>
      <c r="H1269" s="34" t="str">
        <f>IF(OR(ISBLANK(B1269),B1269=""), "", IF(B1269=B1268, (VALUE(LEFT(H1268,FIND("/",H1268)-1))+1)&amp;"/"&amp;RIGHT(H1268,LEN(H1268)-FIND("/",H1268)), "1/"&amp;IFERROR(VLOOKUP(B1269,'SAÍDA DE VENDAS'!$B$6:$P$500,13,FALSE),"1")))</f>
        <v/>
      </c>
      <c r="I1269" s="35" t="str">
        <f t="shared" si="38"/>
        <v/>
      </c>
      <c r="J1269" s="39" t="str">
        <f>IFERROR(VLOOKUP(B1269,'SAÍDA DE VENDAS'!$B$6:$P$500,15,FALSE),"")</f>
        <v/>
      </c>
      <c r="K1269" s="34" t="str">
        <f t="shared" ca="1" si="39"/>
        <v/>
      </c>
      <c r="L1269" s="34"/>
      <c r="M1269" s="34"/>
    </row>
    <row r="1270" spans="2:13" ht="15" customHeight="1" x14ac:dyDescent="0.3">
      <c r="B1270" s="28" t="str">
        <f>IF(B1269="","", IF(VALUE(LEFT(H1269,FIND("/",H1269)-1)) &lt; VALUE(RIGHT(H1269,LEN(H1269)-FIND("/",H1269))), B1269, IFERROR(INDEX('SAÍDA DE VENDAS'!$B$6:$B$500, MATCH(B1269,'SAÍDA DE VENDAS'!$B$6:$B$500,0)+COUNTIF('SAÍDA DE VENDAS'!$B$6:$B$500, B1269)),"")))</f>
        <v/>
      </c>
      <c r="C1270" s="29">
        <f>IFERROR(VLOOKUP(B1270,'SAÍDA DE VENDAS'!$B$6:$P$500,3,FALSE),"")</f>
        <v>0</v>
      </c>
      <c r="D1270" s="28">
        <f>IFERROR(VLOOKUP(B1270,'SAÍDA DE VENDAS'!$B$6:$P$500,4,FALSE),"")</f>
        <v>0</v>
      </c>
      <c r="E1270" s="28" t="str">
        <f>IFERROR(VLOOKUP(B1270,'SAÍDA DE VENDAS'!$B$6:$P$500,5,FALSE),"")</f>
        <v/>
      </c>
      <c r="F1270" s="28" t="str">
        <f>IF(OR(ISBLANK(B1270),B1270=""), "", IFERROR(INDEX('SAÍDA DE VENDAS'!$H$6:$H$500 &amp; "x " &amp; 'SAÍDA DE VENDAS'!$G$6:$G$500, MATCH(B1270, 'SAÍDA DE VENDAS'!$B$6:$B$500, 0)), "")&amp; IF(COUNTIF('SAÍDA DE VENDAS'!$B$6:$B$500, B1270)&gt;1, " + " &amp; IFERROR(INDEX('SAÍDA DE VENDAS'!$H$6:$H$500 &amp; "x " &amp; 'SAÍDA DE VENDAS'!$G$6:$G$500, MATCH(B1270, 'SAÍDA DE VENDAS'!$B$6:$B$500, 0)+1), ""), "")&amp; IF(COUNTIF('SAÍDA DE VENDAS'!$B$6:$B$500, B1270)&gt;2, " + " &amp; IFERROR(INDEX('SAÍDA DE VENDAS'!$H$6:$H$500 &amp; "x " &amp; 'SAÍDA DE VENDAS'!$G$6:$G$500, MATCH(B1270, 'SAÍDA DE VENDAS'!$B$6:$B$500, 0)+2), ""), "")&amp; IF(COUNTIF('SAÍDA DE VENDAS'!$B$6:$B$500, B1270)&gt;3, " + " &amp; IFERROR(INDEX('SAÍDA DE VENDAS'!$H$6:$H$500 &amp; "x " &amp; 'SAÍDA DE VENDAS'!$G$6:$G$500, MATCH(B1270, 'SAÍDA DE VENDAS'!$B$6:$B$500, 0)+3), ""), "")&amp; IF(COUNTIF('SAÍDA DE VENDAS'!$B$6:$B$500, B1270)&gt;4, " + " &amp; IFERROR(INDEX('SAÍDA DE VENDAS'!$H$6:$H$500 &amp; "x " &amp; 'SAÍDA DE VENDAS'!$G$6:$G$500, MATCH(B1270, 'SAÍDA DE VENDAS'!$B$6:$B$500, 0)+4), ""), "")&amp; IF(COUNTIF('SAÍDA DE VENDAS'!$B$6:$B$500, B1270)&gt;5, " + " &amp; IFERROR(INDEX('SAÍDA DE VENDAS'!$H$6:$H$500 &amp; "x " &amp; 'SAÍDA DE VENDAS'!$G$6:$G$500, MATCH(B1270, 'SAÍDA DE VENDAS'!$B$6:$B$500, 0)+5), ""), ""))</f>
        <v/>
      </c>
      <c r="G1270" s="28">
        <f>IFERROR(VLOOKUP(B1270,'SAÍDA DE VENDAS'!$B$6:$P$500,10,FALSE),"")</f>
        <v>0</v>
      </c>
      <c r="H1270" s="28" t="str">
        <f>IF(OR(ISBLANK(B1270),B1270=""), "", IF(B1270=B1269, (VALUE(LEFT(H1269,FIND("/",H1269)-1))+1)&amp;"/"&amp;RIGHT(H1269,LEN(H1269)-FIND("/",H1269)), "1/"&amp;IFERROR(VLOOKUP(B1270,'SAÍDA DE VENDAS'!$B$6:$P$500,13,FALSE),"1")))</f>
        <v/>
      </c>
      <c r="I1270" s="69" t="str">
        <f t="shared" si="38"/>
        <v/>
      </c>
      <c r="J1270" s="33" t="str">
        <f>IFERROR(VLOOKUP(B1270,'SAÍDA DE VENDAS'!$B$6:$P$500,15,FALSE),"")</f>
        <v/>
      </c>
      <c r="K1270" s="28" t="str">
        <f t="shared" ca="1" si="39"/>
        <v/>
      </c>
      <c r="L1270" s="28"/>
      <c r="M1270" s="28"/>
    </row>
    <row r="1271" spans="2:13" ht="15" customHeight="1" x14ac:dyDescent="0.3">
      <c r="B1271" s="34" t="str">
        <f>IF(B1270="","", IF(VALUE(LEFT(H1270,FIND("/",H1270)-1)) &lt; VALUE(RIGHT(H1270,LEN(H1270)-FIND("/",H1270))), B1270, IFERROR(INDEX('SAÍDA DE VENDAS'!$B$6:$B$500, MATCH(B1270,'SAÍDA DE VENDAS'!$B$6:$B$500,0)+COUNTIF('SAÍDA DE VENDAS'!$B$6:$B$500, B1270)),"")))</f>
        <v/>
      </c>
      <c r="C1271" s="35">
        <f>IFERROR(VLOOKUP(B1271,'SAÍDA DE VENDAS'!$B$6:$P$500,3,FALSE),"")</f>
        <v>0</v>
      </c>
      <c r="D1271" s="34">
        <f>IFERROR(VLOOKUP(B1271,'SAÍDA DE VENDAS'!$B$6:$P$500,4,FALSE),"")</f>
        <v>0</v>
      </c>
      <c r="E1271" s="34" t="str">
        <f>IFERROR(VLOOKUP(B1271,'SAÍDA DE VENDAS'!$B$6:$P$500,5,FALSE),"")</f>
        <v/>
      </c>
      <c r="F1271" s="34" t="str">
        <f>IF(OR(ISBLANK(B1271),B1271=""), "", IFERROR(INDEX('SAÍDA DE VENDAS'!$H$6:$H$500 &amp; "x " &amp; 'SAÍDA DE VENDAS'!$G$6:$G$500, MATCH(B1271, 'SAÍDA DE VENDAS'!$B$6:$B$500, 0)), "")&amp; IF(COUNTIF('SAÍDA DE VENDAS'!$B$6:$B$500, B1271)&gt;1, " + " &amp; IFERROR(INDEX('SAÍDA DE VENDAS'!$H$6:$H$500 &amp; "x " &amp; 'SAÍDA DE VENDAS'!$G$6:$G$500, MATCH(B1271, 'SAÍDA DE VENDAS'!$B$6:$B$500, 0)+1), ""), "")&amp; IF(COUNTIF('SAÍDA DE VENDAS'!$B$6:$B$500, B1271)&gt;2, " + " &amp; IFERROR(INDEX('SAÍDA DE VENDAS'!$H$6:$H$500 &amp; "x " &amp; 'SAÍDA DE VENDAS'!$G$6:$G$500, MATCH(B1271, 'SAÍDA DE VENDAS'!$B$6:$B$500, 0)+2), ""), "")&amp; IF(COUNTIF('SAÍDA DE VENDAS'!$B$6:$B$500, B1271)&gt;3, " + " &amp; IFERROR(INDEX('SAÍDA DE VENDAS'!$H$6:$H$500 &amp; "x " &amp; 'SAÍDA DE VENDAS'!$G$6:$G$500, MATCH(B1271, 'SAÍDA DE VENDAS'!$B$6:$B$500, 0)+3), ""), "")&amp; IF(COUNTIF('SAÍDA DE VENDAS'!$B$6:$B$500, B1271)&gt;4, " + " &amp; IFERROR(INDEX('SAÍDA DE VENDAS'!$H$6:$H$500 &amp; "x " &amp; 'SAÍDA DE VENDAS'!$G$6:$G$500, MATCH(B1271, 'SAÍDA DE VENDAS'!$B$6:$B$500, 0)+4), ""), "")&amp; IF(COUNTIF('SAÍDA DE VENDAS'!$B$6:$B$500, B1271)&gt;5, " + " &amp; IFERROR(INDEX('SAÍDA DE VENDAS'!$H$6:$H$500 &amp; "x " &amp; 'SAÍDA DE VENDAS'!$G$6:$G$500, MATCH(B1271, 'SAÍDA DE VENDAS'!$B$6:$B$500, 0)+5), ""), ""))</f>
        <v/>
      </c>
      <c r="G1271" s="34">
        <f>IFERROR(VLOOKUP(B1271,'SAÍDA DE VENDAS'!$B$6:$P$500,10,FALSE),"")</f>
        <v>0</v>
      </c>
      <c r="H1271" s="34" t="str">
        <f>IF(OR(ISBLANK(B1271),B1271=""), "", IF(B1271=B1270, (VALUE(LEFT(H1270,FIND("/",H1270)-1))+1)&amp;"/"&amp;RIGHT(H1270,LEN(H1270)-FIND("/",H1270)), "1/"&amp;IFERROR(VLOOKUP(B1271,'SAÍDA DE VENDAS'!$B$6:$P$500,13,FALSE),"1")))</f>
        <v/>
      </c>
      <c r="I1271" s="35" t="str">
        <f t="shared" si="38"/>
        <v/>
      </c>
      <c r="J1271" s="39" t="str">
        <f>IFERROR(VLOOKUP(B1271,'SAÍDA DE VENDAS'!$B$6:$P$500,15,FALSE),"")</f>
        <v/>
      </c>
      <c r="K1271" s="34" t="str">
        <f t="shared" ca="1" si="39"/>
        <v/>
      </c>
      <c r="L1271" s="34"/>
      <c r="M1271" s="34"/>
    </row>
    <row r="1272" spans="2:13" ht="15" customHeight="1" x14ac:dyDescent="0.3">
      <c r="B1272" s="28" t="str">
        <f>IF(B1271="","", IF(VALUE(LEFT(H1271,FIND("/",H1271)-1)) &lt; VALUE(RIGHT(H1271,LEN(H1271)-FIND("/",H1271))), B1271, IFERROR(INDEX('SAÍDA DE VENDAS'!$B$6:$B$500, MATCH(B1271,'SAÍDA DE VENDAS'!$B$6:$B$500,0)+COUNTIF('SAÍDA DE VENDAS'!$B$6:$B$500, B1271)),"")))</f>
        <v/>
      </c>
      <c r="C1272" s="29">
        <f>IFERROR(VLOOKUP(B1272,'SAÍDA DE VENDAS'!$B$6:$P$500,3,FALSE),"")</f>
        <v>0</v>
      </c>
      <c r="D1272" s="28">
        <f>IFERROR(VLOOKUP(B1272,'SAÍDA DE VENDAS'!$B$6:$P$500,4,FALSE),"")</f>
        <v>0</v>
      </c>
      <c r="E1272" s="28" t="str">
        <f>IFERROR(VLOOKUP(B1272,'SAÍDA DE VENDAS'!$B$6:$P$500,5,FALSE),"")</f>
        <v/>
      </c>
      <c r="F1272" s="28" t="str">
        <f>IF(OR(ISBLANK(B1272),B1272=""), "", IFERROR(INDEX('SAÍDA DE VENDAS'!$H$6:$H$500 &amp; "x " &amp; 'SAÍDA DE VENDAS'!$G$6:$G$500, MATCH(B1272, 'SAÍDA DE VENDAS'!$B$6:$B$500, 0)), "")&amp; IF(COUNTIF('SAÍDA DE VENDAS'!$B$6:$B$500, B1272)&gt;1, " + " &amp; IFERROR(INDEX('SAÍDA DE VENDAS'!$H$6:$H$500 &amp; "x " &amp; 'SAÍDA DE VENDAS'!$G$6:$G$500, MATCH(B1272, 'SAÍDA DE VENDAS'!$B$6:$B$500, 0)+1), ""), "")&amp; IF(COUNTIF('SAÍDA DE VENDAS'!$B$6:$B$500, B1272)&gt;2, " + " &amp; IFERROR(INDEX('SAÍDA DE VENDAS'!$H$6:$H$500 &amp; "x " &amp; 'SAÍDA DE VENDAS'!$G$6:$G$500, MATCH(B1272, 'SAÍDA DE VENDAS'!$B$6:$B$500, 0)+2), ""), "")&amp; IF(COUNTIF('SAÍDA DE VENDAS'!$B$6:$B$500, B1272)&gt;3, " + " &amp; IFERROR(INDEX('SAÍDA DE VENDAS'!$H$6:$H$500 &amp; "x " &amp; 'SAÍDA DE VENDAS'!$G$6:$G$500, MATCH(B1272, 'SAÍDA DE VENDAS'!$B$6:$B$500, 0)+3), ""), "")&amp; IF(COUNTIF('SAÍDA DE VENDAS'!$B$6:$B$500, B1272)&gt;4, " + " &amp; IFERROR(INDEX('SAÍDA DE VENDAS'!$H$6:$H$500 &amp; "x " &amp; 'SAÍDA DE VENDAS'!$G$6:$G$500, MATCH(B1272, 'SAÍDA DE VENDAS'!$B$6:$B$500, 0)+4), ""), "")&amp; IF(COUNTIF('SAÍDA DE VENDAS'!$B$6:$B$500, B1272)&gt;5, " + " &amp; IFERROR(INDEX('SAÍDA DE VENDAS'!$H$6:$H$500 &amp; "x " &amp; 'SAÍDA DE VENDAS'!$G$6:$G$500, MATCH(B1272, 'SAÍDA DE VENDAS'!$B$6:$B$500, 0)+5), ""), ""))</f>
        <v/>
      </c>
      <c r="G1272" s="28">
        <f>IFERROR(VLOOKUP(B1272,'SAÍDA DE VENDAS'!$B$6:$P$500,10,FALSE),"")</f>
        <v>0</v>
      </c>
      <c r="H1272" s="28" t="str">
        <f>IF(OR(ISBLANK(B1272),B1272=""), "", IF(B1272=B1271, (VALUE(LEFT(H1271,FIND("/",H1271)-1))+1)&amp;"/"&amp;RIGHT(H1271,LEN(H1271)-FIND("/",H1271)), "1/"&amp;IFERROR(VLOOKUP(B1272,'SAÍDA DE VENDAS'!$B$6:$P$500,13,FALSE),"1")))</f>
        <v/>
      </c>
      <c r="I1272" s="69" t="str">
        <f t="shared" si="38"/>
        <v/>
      </c>
      <c r="J1272" s="33" t="str">
        <f>IFERROR(VLOOKUP(B1272,'SAÍDA DE VENDAS'!$B$6:$P$500,15,FALSE),"")</f>
        <v/>
      </c>
      <c r="K1272" s="28" t="str">
        <f t="shared" ca="1" si="39"/>
        <v/>
      </c>
      <c r="L1272" s="28"/>
      <c r="M1272" s="28"/>
    </row>
    <row r="1273" spans="2:13" ht="15" customHeight="1" x14ac:dyDescent="0.3">
      <c r="B1273" s="34" t="str">
        <f>IF(B1272="","", IF(VALUE(LEFT(H1272,FIND("/",H1272)-1)) &lt; VALUE(RIGHT(H1272,LEN(H1272)-FIND("/",H1272))), B1272, IFERROR(INDEX('SAÍDA DE VENDAS'!$B$6:$B$500, MATCH(B1272,'SAÍDA DE VENDAS'!$B$6:$B$500,0)+COUNTIF('SAÍDA DE VENDAS'!$B$6:$B$500, B1272)),"")))</f>
        <v/>
      </c>
      <c r="C1273" s="35">
        <f>IFERROR(VLOOKUP(B1273,'SAÍDA DE VENDAS'!$B$6:$P$500,3,FALSE),"")</f>
        <v>0</v>
      </c>
      <c r="D1273" s="34">
        <f>IFERROR(VLOOKUP(B1273,'SAÍDA DE VENDAS'!$B$6:$P$500,4,FALSE),"")</f>
        <v>0</v>
      </c>
      <c r="E1273" s="34" t="str">
        <f>IFERROR(VLOOKUP(B1273,'SAÍDA DE VENDAS'!$B$6:$P$500,5,FALSE),"")</f>
        <v/>
      </c>
      <c r="F1273" s="34" t="str">
        <f>IF(OR(ISBLANK(B1273),B1273=""), "", IFERROR(INDEX('SAÍDA DE VENDAS'!$H$6:$H$500 &amp; "x " &amp; 'SAÍDA DE VENDAS'!$G$6:$G$500, MATCH(B1273, 'SAÍDA DE VENDAS'!$B$6:$B$500, 0)), "")&amp; IF(COUNTIF('SAÍDA DE VENDAS'!$B$6:$B$500, B1273)&gt;1, " + " &amp; IFERROR(INDEX('SAÍDA DE VENDAS'!$H$6:$H$500 &amp; "x " &amp; 'SAÍDA DE VENDAS'!$G$6:$G$500, MATCH(B1273, 'SAÍDA DE VENDAS'!$B$6:$B$500, 0)+1), ""), "")&amp; IF(COUNTIF('SAÍDA DE VENDAS'!$B$6:$B$500, B1273)&gt;2, " + " &amp; IFERROR(INDEX('SAÍDA DE VENDAS'!$H$6:$H$500 &amp; "x " &amp; 'SAÍDA DE VENDAS'!$G$6:$G$500, MATCH(B1273, 'SAÍDA DE VENDAS'!$B$6:$B$500, 0)+2), ""), "")&amp; IF(COUNTIF('SAÍDA DE VENDAS'!$B$6:$B$500, B1273)&gt;3, " + " &amp; IFERROR(INDEX('SAÍDA DE VENDAS'!$H$6:$H$500 &amp; "x " &amp; 'SAÍDA DE VENDAS'!$G$6:$G$500, MATCH(B1273, 'SAÍDA DE VENDAS'!$B$6:$B$500, 0)+3), ""), "")&amp; IF(COUNTIF('SAÍDA DE VENDAS'!$B$6:$B$500, B1273)&gt;4, " + " &amp; IFERROR(INDEX('SAÍDA DE VENDAS'!$H$6:$H$500 &amp; "x " &amp; 'SAÍDA DE VENDAS'!$G$6:$G$500, MATCH(B1273, 'SAÍDA DE VENDAS'!$B$6:$B$500, 0)+4), ""), "")&amp; IF(COUNTIF('SAÍDA DE VENDAS'!$B$6:$B$500, B1273)&gt;5, " + " &amp; IFERROR(INDEX('SAÍDA DE VENDAS'!$H$6:$H$500 &amp; "x " &amp; 'SAÍDA DE VENDAS'!$G$6:$G$500, MATCH(B1273, 'SAÍDA DE VENDAS'!$B$6:$B$500, 0)+5), ""), ""))</f>
        <v/>
      </c>
      <c r="G1273" s="34">
        <f>IFERROR(VLOOKUP(B1273,'SAÍDA DE VENDAS'!$B$6:$P$500,10,FALSE),"")</f>
        <v>0</v>
      </c>
      <c r="H1273" s="34" t="str">
        <f>IF(OR(ISBLANK(B1273),B1273=""), "", IF(B1273=B1272, (VALUE(LEFT(H1272,FIND("/",H1272)-1))+1)&amp;"/"&amp;RIGHT(H1272,LEN(H1272)-FIND("/",H1272)), "1/"&amp;IFERROR(VLOOKUP(B1273,'SAÍDA DE VENDAS'!$B$6:$P$500,13,FALSE),"1")))</f>
        <v/>
      </c>
      <c r="I1273" s="35" t="str">
        <f t="shared" si="38"/>
        <v/>
      </c>
      <c r="J1273" s="39" t="str">
        <f>IFERROR(VLOOKUP(B1273,'SAÍDA DE VENDAS'!$B$6:$P$500,15,FALSE),"")</f>
        <v/>
      </c>
      <c r="K1273" s="34" t="str">
        <f t="shared" ca="1" si="39"/>
        <v/>
      </c>
      <c r="L1273" s="34"/>
      <c r="M1273" s="34"/>
    </row>
    <row r="1274" spans="2:13" ht="15" customHeight="1" x14ac:dyDescent="0.3">
      <c r="B1274" s="28" t="str">
        <f>IF(B1273="","", IF(VALUE(LEFT(H1273,FIND("/",H1273)-1)) &lt; VALUE(RIGHT(H1273,LEN(H1273)-FIND("/",H1273))), B1273, IFERROR(INDEX('SAÍDA DE VENDAS'!$B$6:$B$500, MATCH(B1273,'SAÍDA DE VENDAS'!$B$6:$B$500,0)+COUNTIF('SAÍDA DE VENDAS'!$B$6:$B$500, B1273)),"")))</f>
        <v/>
      </c>
      <c r="C1274" s="29">
        <f>IFERROR(VLOOKUP(B1274,'SAÍDA DE VENDAS'!$B$6:$P$500,3,FALSE),"")</f>
        <v>0</v>
      </c>
      <c r="D1274" s="28">
        <f>IFERROR(VLOOKUP(B1274,'SAÍDA DE VENDAS'!$B$6:$P$500,4,FALSE),"")</f>
        <v>0</v>
      </c>
      <c r="E1274" s="28" t="str">
        <f>IFERROR(VLOOKUP(B1274,'SAÍDA DE VENDAS'!$B$6:$P$500,5,FALSE),"")</f>
        <v/>
      </c>
      <c r="F1274" s="28" t="str">
        <f>IF(OR(ISBLANK(B1274),B1274=""), "", IFERROR(INDEX('SAÍDA DE VENDAS'!$H$6:$H$500 &amp; "x " &amp; 'SAÍDA DE VENDAS'!$G$6:$G$500, MATCH(B1274, 'SAÍDA DE VENDAS'!$B$6:$B$500, 0)), "")&amp; IF(COUNTIF('SAÍDA DE VENDAS'!$B$6:$B$500, B1274)&gt;1, " + " &amp; IFERROR(INDEX('SAÍDA DE VENDAS'!$H$6:$H$500 &amp; "x " &amp; 'SAÍDA DE VENDAS'!$G$6:$G$500, MATCH(B1274, 'SAÍDA DE VENDAS'!$B$6:$B$500, 0)+1), ""), "")&amp; IF(COUNTIF('SAÍDA DE VENDAS'!$B$6:$B$500, B1274)&gt;2, " + " &amp; IFERROR(INDEX('SAÍDA DE VENDAS'!$H$6:$H$500 &amp; "x " &amp; 'SAÍDA DE VENDAS'!$G$6:$G$500, MATCH(B1274, 'SAÍDA DE VENDAS'!$B$6:$B$500, 0)+2), ""), "")&amp; IF(COUNTIF('SAÍDA DE VENDAS'!$B$6:$B$500, B1274)&gt;3, " + " &amp; IFERROR(INDEX('SAÍDA DE VENDAS'!$H$6:$H$500 &amp; "x " &amp; 'SAÍDA DE VENDAS'!$G$6:$G$500, MATCH(B1274, 'SAÍDA DE VENDAS'!$B$6:$B$500, 0)+3), ""), "")&amp; IF(COUNTIF('SAÍDA DE VENDAS'!$B$6:$B$500, B1274)&gt;4, " + " &amp; IFERROR(INDEX('SAÍDA DE VENDAS'!$H$6:$H$500 &amp; "x " &amp; 'SAÍDA DE VENDAS'!$G$6:$G$500, MATCH(B1274, 'SAÍDA DE VENDAS'!$B$6:$B$500, 0)+4), ""), "")&amp; IF(COUNTIF('SAÍDA DE VENDAS'!$B$6:$B$500, B1274)&gt;5, " + " &amp; IFERROR(INDEX('SAÍDA DE VENDAS'!$H$6:$H$500 &amp; "x " &amp; 'SAÍDA DE VENDAS'!$G$6:$G$500, MATCH(B1274, 'SAÍDA DE VENDAS'!$B$6:$B$500, 0)+5), ""), ""))</f>
        <v/>
      </c>
      <c r="G1274" s="28">
        <f>IFERROR(VLOOKUP(B1274,'SAÍDA DE VENDAS'!$B$6:$P$500,10,FALSE),"")</f>
        <v>0</v>
      </c>
      <c r="H1274" s="28" t="str">
        <f>IF(OR(ISBLANK(B1274),B1274=""), "", IF(B1274=B1273, (VALUE(LEFT(H1273,FIND("/",H1273)-1))+1)&amp;"/"&amp;RIGHT(H1273,LEN(H1273)-FIND("/",H1273)), "1/"&amp;IFERROR(VLOOKUP(B1274,'SAÍDA DE VENDAS'!$B$6:$P$500,13,FALSE),"1")))</f>
        <v/>
      </c>
      <c r="I1274" s="69" t="str">
        <f t="shared" si="38"/>
        <v/>
      </c>
      <c r="J1274" s="33" t="str">
        <f>IFERROR(VLOOKUP(B1274,'SAÍDA DE VENDAS'!$B$6:$P$500,15,FALSE),"")</f>
        <v/>
      </c>
      <c r="K1274" s="28" t="str">
        <f t="shared" ca="1" si="39"/>
        <v/>
      </c>
      <c r="L1274" s="28"/>
      <c r="M1274" s="28"/>
    </row>
    <row r="1275" spans="2:13" ht="15" customHeight="1" x14ac:dyDescent="0.3">
      <c r="B1275" s="34" t="str">
        <f>IF(B1274="","", IF(VALUE(LEFT(H1274,FIND("/",H1274)-1)) &lt; VALUE(RIGHT(H1274,LEN(H1274)-FIND("/",H1274))), B1274, IFERROR(INDEX('SAÍDA DE VENDAS'!$B$6:$B$500, MATCH(B1274,'SAÍDA DE VENDAS'!$B$6:$B$500,0)+COUNTIF('SAÍDA DE VENDAS'!$B$6:$B$500, B1274)),"")))</f>
        <v/>
      </c>
      <c r="C1275" s="35">
        <f>IFERROR(VLOOKUP(B1275,'SAÍDA DE VENDAS'!$B$6:$P$500,3,FALSE),"")</f>
        <v>0</v>
      </c>
      <c r="D1275" s="34">
        <f>IFERROR(VLOOKUP(B1275,'SAÍDA DE VENDAS'!$B$6:$P$500,4,FALSE),"")</f>
        <v>0</v>
      </c>
      <c r="E1275" s="34" t="str">
        <f>IFERROR(VLOOKUP(B1275,'SAÍDA DE VENDAS'!$B$6:$P$500,5,FALSE),"")</f>
        <v/>
      </c>
      <c r="F1275" s="34" t="str">
        <f>IF(OR(ISBLANK(B1275),B1275=""), "", IFERROR(INDEX('SAÍDA DE VENDAS'!$H$6:$H$500 &amp; "x " &amp; 'SAÍDA DE VENDAS'!$G$6:$G$500, MATCH(B1275, 'SAÍDA DE VENDAS'!$B$6:$B$500, 0)), "")&amp; IF(COUNTIF('SAÍDA DE VENDAS'!$B$6:$B$500, B1275)&gt;1, " + " &amp; IFERROR(INDEX('SAÍDA DE VENDAS'!$H$6:$H$500 &amp; "x " &amp; 'SAÍDA DE VENDAS'!$G$6:$G$500, MATCH(B1275, 'SAÍDA DE VENDAS'!$B$6:$B$500, 0)+1), ""), "")&amp; IF(COUNTIF('SAÍDA DE VENDAS'!$B$6:$B$500, B1275)&gt;2, " + " &amp; IFERROR(INDEX('SAÍDA DE VENDAS'!$H$6:$H$500 &amp; "x " &amp; 'SAÍDA DE VENDAS'!$G$6:$G$500, MATCH(B1275, 'SAÍDA DE VENDAS'!$B$6:$B$500, 0)+2), ""), "")&amp; IF(COUNTIF('SAÍDA DE VENDAS'!$B$6:$B$500, B1275)&gt;3, " + " &amp; IFERROR(INDEX('SAÍDA DE VENDAS'!$H$6:$H$500 &amp; "x " &amp; 'SAÍDA DE VENDAS'!$G$6:$G$500, MATCH(B1275, 'SAÍDA DE VENDAS'!$B$6:$B$500, 0)+3), ""), "")&amp; IF(COUNTIF('SAÍDA DE VENDAS'!$B$6:$B$500, B1275)&gt;4, " + " &amp; IFERROR(INDEX('SAÍDA DE VENDAS'!$H$6:$H$500 &amp; "x " &amp; 'SAÍDA DE VENDAS'!$G$6:$G$500, MATCH(B1275, 'SAÍDA DE VENDAS'!$B$6:$B$500, 0)+4), ""), "")&amp; IF(COUNTIF('SAÍDA DE VENDAS'!$B$6:$B$500, B1275)&gt;5, " + " &amp; IFERROR(INDEX('SAÍDA DE VENDAS'!$H$6:$H$500 &amp; "x " &amp; 'SAÍDA DE VENDAS'!$G$6:$G$500, MATCH(B1275, 'SAÍDA DE VENDAS'!$B$6:$B$500, 0)+5), ""), ""))</f>
        <v/>
      </c>
      <c r="G1275" s="34">
        <f>IFERROR(VLOOKUP(B1275,'SAÍDA DE VENDAS'!$B$6:$P$500,10,FALSE),"")</f>
        <v>0</v>
      </c>
      <c r="H1275" s="34" t="str">
        <f>IF(OR(ISBLANK(B1275),B1275=""), "", IF(B1275=B1274, (VALUE(LEFT(H1274,FIND("/",H1274)-1))+1)&amp;"/"&amp;RIGHT(H1274,LEN(H1274)-FIND("/",H1274)), "1/"&amp;IFERROR(VLOOKUP(B1275,'SAÍDA DE VENDAS'!$B$6:$P$500,13,FALSE),"1")))</f>
        <v/>
      </c>
      <c r="I1275" s="35" t="str">
        <f t="shared" si="38"/>
        <v/>
      </c>
      <c r="J1275" s="39" t="str">
        <f>IFERROR(VLOOKUP(B1275,'SAÍDA DE VENDAS'!$B$6:$P$500,15,FALSE),"")</f>
        <v/>
      </c>
      <c r="K1275" s="34" t="str">
        <f t="shared" ca="1" si="39"/>
        <v/>
      </c>
      <c r="L1275" s="34"/>
      <c r="M1275" s="34"/>
    </row>
    <row r="1276" spans="2:13" ht="15" customHeight="1" x14ac:dyDescent="0.3">
      <c r="B1276" s="28" t="str">
        <f>IF(B1275="","", IF(VALUE(LEFT(H1275,FIND("/",H1275)-1)) &lt; VALUE(RIGHT(H1275,LEN(H1275)-FIND("/",H1275))), B1275, IFERROR(INDEX('SAÍDA DE VENDAS'!$B$6:$B$500, MATCH(B1275,'SAÍDA DE VENDAS'!$B$6:$B$500,0)+COUNTIF('SAÍDA DE VENDAS'!$B$6:$B$500, B1275)),"")))</f>
        <v/>
      </c>
      <c r="C1276" s="29">
        <f>IFERROR(VLOOKUP(B1276,'SAÍDA DE VENDAS'!$B$6:$P$500,3,FALSE),"")</f>
        <v>0</v>
      </c>
      <c r="D1276" s="28">
        <f>IFERROR(VLOOKUP(B1276,'SAÍDA DE VENDAS'!$B$6:$P$500,4,FALSE),"")</f>
        <v>0</v>
      </c>
      <c r="E1276" s="28" t="str">
        <f>IFERROR(VLOOKUP(B1276,'SAÍDA DE VENDAS'!$B$6:$P$500,5,FALSE),"")</f>
        <v/>
      </c>
      <c r="F1276" s="28" t="str">
        <f>IF(OR(ISBLANK(B1276),B1276=""), "", IFERROR(INDEX('SAÍDA DE VENDAS'!$H$6:$H$500 &amp; "x " &amp; 'SAÍDA DE VENDAS'!$G$6:$G$500, MATCH(B1276, 'SAÍDA DE VENDAS'!$B$6:$B$500, 0)), "")&amp; IF(COUNTIF('SAÍDA DE VENDAS'!$B$6:$B$500, B1276)&gt;1, " + " &amp; IFERROR(INDEX('SAÍDA DE VENDAS'!$H$6:$H$500 &amp; "x " &amp; 'SAÍDA DE VENDAS'!$G$6:$G$500, MATCH(B1276, 'SAÍDA DE VENDAS'!$B$6:$B$500, 0)+1), ""), "")&amp; IF(COUNTIF('SAÍDA DE VENDAS'!$B$6:$B$500, B1276)&gt;2, " + " &amp; IFERROR(INDEX('SAÍDA DE VENDAS'!$H$6:$H$500 &amp; "x " &amp; 'SAÍDA DE VENDAS'!$G$6:$G$500, MATCH(B1276, 'SAÍDA DE VENDAS'!$B$6:$B$500, 0)+2), ""), "")&amp; IF(COUNTIF('SAÍDA DE VENDAS'!$B$6:$B$500, B1276)&gt;3, " + " &amp; IFERROR(INDEX('SAÍDA DE VENDAS'!$H$6:$H$500 &amp; "x " &amp; 'SAÍDA DE VENDAS'!$G$6:$G$500, MATCH(B1276, 'SAÍDA DE VENDAS'!$B$6:$B$500, 0)+3), ""), "")&amp; IF(COUNTIF('SAÍDA DE VENDAS'!$B$6:$B$500, B1276)&gt;4, " + " &amp; IFERROR(INDEX('SAÍDA DE VENDAS'!$H$6:$H$500 &amp; "x " &amp; 'SAÍDA DE VENDAS'!$G$6:$G$500, MATCH(B1276, 'SAÍDA DE VENDAS'!$B$6:$B$500, 0)+4), ""), "")&amp; IF(COUNTIF('SAÍDA DE VENDAS'!$B$6:$B$500, B1276)&gt;5, " + " &amp; IFERROR(INDEX('SAÍDA DE VENDAS'!$H$6:$H$500 &amp; "x " &amp; 'SAÍDA DE VENDAS'!$G$6:$G$500, MATCH(B1276, 'SAÍDA DE VENDAS'!$B$6:$B$500, 0)+5), ""), ""))</f>
        <v/>
      </c>
      <c r="G1276" s="28">
        <f>IFERROR(VLOOKUP(B1276,'SAÍDA DE VENDAS'!$B$6:$P$500,10,FALSE),"")</f>
        <v>0</v>
      </c>
      <c r="H1276" s="28" t="str">
        <f>IF(OR(ISBLANK(B1276),B1276=""), "", IF(B1276=B1275, (VALUE(LEFT(H1275,FIND("/",H1275)-1))+1)&amp;"/"&amp;RIGHT(H1275,LEN(H1275)-FIND("/",H1275)), "1/"&amp;IFERROR(VLOOKUP(B1276,'SAÍDA DE VENDAS'!$B$6:$P$500,13,FALSE),"1")))</f>
        <v/>
      </c>
      <c r="I1276" s="69" t="str">
        <f t="shared" si="38"/>
        <v/>
      </c>
      <c r="J1276" s="33" t="str">
        <f>IFERROR(VLOOKUP(B1276,'SAÍDA DE VENDAS'!$B$6:$P$500,15,FALSE),"")</f>
        <v/>
      </c>
      <c r="K1276" s="28" t="str">
        <f t="shared" ca="1" si="39"/>
        <v/>
      </c>
      <c r="L1276" s="28"/>
      <c r="M1276" s="28"/>
    </row>
    <row r="1277" spans="2:13" ht="15" customHeight="1" x14ac:dyDescent="0.3">
      <c r="B1277" s="34" t="str">
        <f>IF(B1276="","", IF(VALUE(LEFT(H1276,FIND("/",H1276)-1)) &lt; VALUE(RIGHT(H1276,LEN(H1276)-FIND("/",H1276))), B1276, IFERROR(INDEX('SAÍDA DE VENDAS'!$B$6:$B$500, MATCH(B1276,'SAÍDA DE VENDAS'!$B$6:$B$500,0)+COUNTIF('SAÍDA DE VENDAS'!$B$6:$B$500, B1276)),"")))</f>
        <v/>
      </c>
      <c r="C1277" s="35">
        <f>IFERROR(VLOOKUP(B1277,'SAÍDA DE VENDAS'!$B$6:$P$500,3,FALSE),"")</f>
        <v>0</v>
      </c>
      <c r="D1277" s="34">
        <f>IFERROR(VLOOKUP(B1277,'SAÍDA DE VENDAS'!$B$6:$P$500,4,FALSE),"")</f>
        <v>0</v>
      </c>
      <c r="E1277" s="34" t="str">
        <f>IFERROR(VLOOKUP(B1277,'SAÍDA DE VENDAS'!$B$6:$P$500,5,FALSE),"")</f>
        <v/>
      </c>
      <c r="F1277" s="34" t="str">
        <f>IF(OR(ISBLANK(B1277),B1277=""), "", IFERROR(INDEX('SAÍDA DE VENDAS'!$H$6:$H$500 &amp; "x " &amp; 'SAÍDA DE VENDAS'!$G$6:$G$500, MATCH(B1277, 'SAÍDA DE VENDAS'!$B$6:$B$500, 0)), "")&amp; IF(COUNTIF('SAÍDA DE VENDAS'!$B$6:$B$500, B1277)&gt;1, " + " &amp; IFERROR(INDEX('SAÍDA DE VENDAS'!$H$6:$H$500 &amp; "x " &amp; 'SAÍDA DE VENDAS'!$G$6:$G$500, MATCH(B1277, 'SAÍDA DE VENDAS'!$B$6:$B$500, 0)+1), ""), "")&amp; IF(COUNTIF('SAÍDA DE VENDAS'!$B$6:$B$500, B1277)&gt;2, " + " &amp; IFERROR(INDEX('SAÍDA DE VENDAS'!$H$6:$H$500 &amp; "x " &amp; 'SAÍDA DE VENDAS'!$G$6:$G$500, MATCH(B1277, 'SAÍDA DE VENDAS'!$B$6:$B$500, 0)+2), ""), "")&amp; IF(COUNTIF('SAÍDA DE VENDAS'!$B$6:$B$500, B1277)&gt;3, " + " &amp; IFERROR(INDEX('SAÍDA DE VENDAS'!$H$6:$H$500 &amp; "x " &amp; 'SAÍDA DE VENDAS'!$G$6:$G$500, MATCH(B1277, 'SAÍDA DE VENDAS'!$B$6:$B$500, 0)+3), ""), "")&amp; IF(COUNTIF('SAÍDA DE VENDAS'!$B$6:$B$500, B1277)&gt;4, " + " &amp; IFERROR(INDEX('SAÍDA DE VENDAS'!$H$6:$H$500 &amp; "x " &amp; 'SAÍDA DE VENDAS'!$G$6:$G$500, MATCH(B1277, 'SAÍDA DE VENDAS'!$B$6:$B$500, 0)+4), ""), "")&amp; IF(COUNTIF('SAÍDA DE VENDAS'!$B$6:$B$500, B1277)&gt;5, " + " &amp; IFERROR(INDEX('SAÍDA DE VENDAS'!$H$6:$H$500 &amp; "x " &amp; 'SAÍDA DE VENDAS'!$G$6:$G$500, MATCH(B1277, 'SAÍDA DE VENDAS'!$B$6:$B$500, 0)+5), ""), ""))</f>
        <v/>
      </c>
      <c r="G1277" s="34">
        <f>IFERROR(VLOOKUP(B1277,'SAÍDA DE VENDAS'!$B$6:$P$500,10,FALSE),"")</f>
        <v>0</v>
      </c>
      <c r="H1277" s="34" t="str">
        <f>IF(OR(ISBLANK(B1277),B1277=""), "", IF(B1277=B1276, (VALUE(LEFT(H1276,FIND("/",H1276)-1))+1)&amp;"/"&amp;RIGHT(H1276,LEN(H1276)-FIND("/",H1276)), "1/"&amp;IFERROR(VLOOKUP(B1277,'SAÍDA DE VENDAS'!$B$6:$P$500,13,FALSE),"1")))</f>
        <v/>
      </c>
      <c r="I1277" s="35" t="str">
        <f t="shared" si="38"/>
        <v/>
      </c>
      <c r="J1277" s="39" t="str">
        <f>IFERROR(VLOOKUP(B1277,'SAÍDA DE VENDAS'!$B$6:$P$500,15,FALSE),"")</f>
        <v/>
      </c>
      <c r="K1277" s="34" t="str">
        <f t="shared" ca="1" si="39"/>
        <v/>
      </c>
      <c r="L1277" s="34"/>
      <c r="M1277" s="34"/>
    </row>
    <row r="1278" spans="2:13" ht="15" customHeight="1" x14ac:dyDescent="0.3">
      <c r="B1278" s="28" t="str">
        <f>IF(B1277="","", IF(VALUE(LEFT(H1277,FIND("/",H1277)-1)) &lt; VALUE(RIGHT(H1277,LEN(H1277)-FIND("/",H1277))), B1277, IFERROR(INDEX('SAÍDA DE VENDAS'!$B$6:$B$500, MATCH(B1277,'SAÍDA DE VENDAS'!$B$6:$B$500,0)+COUNTIF('SAÍDA DE VENDAS'!$B$6:$B$500, B1277)),"")))</f>
        <v/>
      </c>
      <c r="C1278" s="29">
        <f>IFERROR(VLOOKUP(B1278,'SAÍDA DE VENDAS'!$B$6:$P$500,3,FALSE),"")</f>
        <v>0</v>
      </c>
      <c r="D1278" s="28">
        <f>IFERROR(VLOOKUP(B1278,'SAÍDA DE VENDAS'!$B$6:$P$500,4,FALSE),"")</f>
        <v>0</v>
      </c>
      <c r="E1278" s="28" t="str">
        <f>IFERROR(VLOOKUP(B1278,'SAÍDA DE VENDAS'!$B$6:$P$500,5,FALSE),"")</f>
        <v/>
      </c>
      <c r="F1278" s="28" t="str">
        <f>IF(OR(ISBLANK(B1278),B1278=""), "", IFERROR(INDEX('SAÍDA DE VENDAS'!$H$6:$H$500 &amp; "x " &amp; 'SAÍDA DE VENDAS'!$G$6:$G$500, MATCH(B1278, 'SAÍDA DE VENDAS'!$B$6:$B$500, 0)), "")&amp; IF(COUNTIF('SAÍDA DE VENDAS'!$B$6:$B$500, B1278)&gt;1, " + " &amp; IFERROR(INDEX('SAÍDA DE VENDAS'!$H$6:$H$500 &amp; "x " &amp; 'SAÍDA DE VENDAS'!$G$6:$G$500, MATCH(B1278, 'SAÍDA DE VENDAS'!$B$6:$B$500, 0)+1), ""), "")&amp; IF(COUNTIF('SAÍDA DE VENDAS'!$B$6:$B$500, B1278)&gt;2, " + " &amp; IFERROR(INDEX('SAÍDA DE VENDAS'!$H$6:$H$500 &amp; "x " &amp; 'SAÍDA DE VENDAS'!$G$6:$G$500, MATCH(B1278, 'SAÍDA DE VENDAS'!$B$6:$B$500, 0)+2), ""), "")&amp; IF(COUNTIF('SAÍDA DE VENDAS'!$B$6:$B$500, B1278)&gt;3, " + " &amp; IFERROR(INDEX('SAÍDA DE VENDAS'!$H$6:$H$500 &amp; "x " &amp; 'SAÍDA DE VENDAS'!$G$6:$G$500, MATCH(B1278, 'SAÍDA DE VENDAS'!$B$6:$B$500, 0)+3), ""), "")&amp; IF(COUNTIF('SAÍDA DE VENDAS'!$B$6:$B$500, B1278)&gt;4, " + " &amp; IFERROR(INDEX('SAÍDA DE VENDAS'!$H$6:$H$500 &amp; "x " &amp; 'SAÍDA DE VENDAS'!$G$6:$G$500, MATCH(B1278, 'SAÍDA DE VENDAS'!$B$6:$B$500, 0)+4), ""), "")&amp; IF(COUNTIF('SAÍDA DE VENDAS'!$B$6:$B$500, B1278)&gt;5, " + " &amp; IFERROR(INDEX('SAÍDA DE VENDAS'!$H$6:$H$500 &amp; "x " &amp; 'SAÍDA DE VENDAS'!$G$6:$G$500, MATCH(B1278, 'SAÍDA DE VENDAS'!$B$6:$B$500, 0)+5), ""), ""))</f>
        <v/>
      </c>
      <c r="G1278" s="28">
        <f>IFERROR(VLOOKUP(B1278,'SAÍDA DE VENDAS'!$B$6:$P$500,10,FALSE),"")</f>
        <v>0</v>
      </c>
      <c r="H1278" s="28" t="str">
        <f>IF(OR(ISBLANK(B1278),B1278=""), "", IF(B1278=B1277, (VALUE(LEFT(H1277,FIND("/",H1277)-1))+1)&amp;"/"&amp;RIGHT(H1277,LEN(H1277)-FIND("/",H1277)), "1/"&amp;IFERROR(VLOOKUP(B1278,'SAÍDA DE VENDAS'!$B$6:$P$500,13,FALSE),"1")))</f>
        <v/>
      </c>
      <c r="I1278" s="69" t="str">
        <f t="shared" si="38"/>
        <v/>
      </c>
      <c r="J1278" s="33" t="str">
        <f>IFERROR(VLOOKUP(B1278,'SAÍDA DE VENDAS'!$B$6:$P$500,15,FALSE),"")</f>
        <v/>
      </c>
      <c r="K1278" s="28" t="str">
        <f t="shared" ca="1" si="39"/>
        <v/>
      </c>
      <c r="L1278" s="28"/>
      <c r="M1278" s="28"/>
    </row>
    <row r="1279" spans="2:13" ht="15" customHeight="1" x14ac:dyDescent="0.3">
      <c r="B1279" s="34" t="str">
        <f>IF(B1278="","", IF(VALUE(LEFT(H1278,FIND("/",H1278)-1)) &lt; VALUE(RIGHT(H1278,LEN(H1278)-FIND("/",H1278))), B1278, IFERROR(INDEX('SAÍDA DE VENDAS'!$B$6:$B$500, MATCH(B1278,'SAÍDA DE VENDAS'!$B$6:$B$500,0)+COUNTIF('SAÍDA DE VENDAS'!$B$6:$B$500, B1278)),"")))</f>
        <v/>
      </c>
      <c r="C1279" s="35">
        <f>IFERROR(VLOOKUP(B1279,'SAÍDA DE VENDAS'!$B$6:$P$500,3,FALSE),"")</f>
        <v>0</v>
      </c>
      <c r="D1279" s="34">
        <f>IFERROR(VLOOKUP(B1279,'SAÍDA DE VENDAS'!$B$6:$P$500,4,FALSE),"")</f>
        <v>0</v>
      </c>
      <c r="E1279" s="34" t="str">
        <f>IFERROR(VLOOKUP(B1279,'SAÍDA DE VENDAS'!$B$6:$P$500,5,FALSE),"")</f>
        <v/>
      </c>
      <c r="F1279" s="34" t="str">
        <f>IF(OR(ISBLANK(B1279),B1279=""), "", IFERROR(INDEX('SAÍDA DE VENDAS'!$H$6:$H$500 &amp; "x " &amp; 'SAÍDA DE VENDAS'!$G$6:$G$500, MATCH(B1279, 'SAÍDA DE VENDAS'!$B$6:$B$500, 0)), "")&amp; IF(COUNTIF('SAÍDA DE VENDAS'!$B$6:$B$500, B1279)&gt;1, " + " &amp; IFERROR(INDEX('SAÍDA DE VENDAS'!$H$6:$H$500 &amp; "x " &amp; 'SAÍDA DE VENDAS'!$G$6:$G$500, MATCH(B1279, 'SAÍDA DE VENDAS'!$B$6:$B$500, 0)+1), ""), "")&amp; IF(COUNTIF('SAÍDA DE VENDAS'!$B$6:$B$500, B1279)&gt;2, " + " &amp; IFERROR(INDEX('SAÍDA DE VENDAS'!$H$6:$H$500 &amp; "x " &amp; 'SAÍDA DE VENDAS'!$G$6:$G$500, MATCH(B1279, 'SAÍDA DE VENDAS'!$B$6:$B$500, 0)+2), ""), "")&amp; IF(COUNTIF('SAÍDA DE VENDAS'!$B$6:$B$500, B1279)&gt;3, " + " &amp; IFERROR(INDEX('SAÍDA DE VENDAS'!$H$6:$H$500 &amp; "x " &amp; 'SAÍDA DE VENDAS'!$G$6:$G$500, MATCH(B1279, 'SAÍDA DE VENDAS'!$B$6:$B$500, 0)+3), ""), "")&amp; IF(COUNTIF('SAÍDA DE VENDAS'!$B$6:$B$500, B1279)&gt;4, " + " &amp; IFERROR(INDEX('SAÍDA DE VENDAS'!$H$6:$H$500 &amp; "x " &amp; 'SAÍDA DE VENDAS'!$G$6:$G$500, MATCH(B1279, 'SAÍDA DE VENDAS'!$B$6:$B$500, 0)+4), ""), "")&amp; IF(COUNTIF('SAÍDA DE VENDAS'!$B$6:$B$500, B1279)&gt;5, " + " &amp; IFERROR(INDEX('SAÍDA DE VENDAS'!$H$6:$H$500 &amp; "x " &amp; 'SAÍDA DE VENDAS'!$G$6:$G$500, MATCH(B1279, 'SAÍDA DE VENDAS'!$B$6:$B$500, 0)+5), ""), ""))</f>
        <v/>
      </c>
      <c r="G1279" s="34">
        <f>IFERROR(VLOOKUP(B1279,'SAÍDA DE VENDAS'!$B$6:$P$500,10,FALSE),"")</f>
        <v>0</v>
      </c>
      <c r="H1279" s="34" t="str">
        <f>IF(OR(ISBLANK(B1279),B1279=""), "", IF(B1279=B1278, (VALUE(LEFT(H1278,FIND("/",H1278)-1))+1)&amp;"/"&amp;RIGHT(H1278,LEN(H1278)-FIND("/",H1278)), "1/"&amp;IFERROR(VLOOKUP(B1279,'SAÍDA DE VENDAS'!$B$6:$P$500,13,FALSE),"1")))</f>
        <v/>
      </c>
      <c r="I1279" s="35" t="str">
        <f t="shared" si="38"/>
        <v/>
      </c>
      <c r="J1279" s="39" t="str">
        <f>IFERROR(VLOOKUP(B1279,'SAÍDA DE VENDAS'!$B$6:$P$500,15,FALSE),"")</f>
        <v/>
      </c>
      <c r="K1279" s="34" t="str">
        <f t="shared" ca="1" si="39"/>
        <v/>
      </c>
      <c r="L1279" s="34"/>
      <c r="M1279" s="34"/>
    </row>
    <row r="1280" spans="2:13" ht="15" customHeight="1" x14ac:dyDescent="0.3">
      <c r="B1280" s="28" t="str">
        <f>IF(B1279="","", IF(VALUE(LEFT(H1279,FIND("/",H1279)-1)) &lt; VALUE(RIGHT(H1279,LEN(H1279)-FIND("/",H1279))), B1279, IFERROR(INDEX('SAÍDA DE VENDAS'!$B$6:$B$500, MATCH(B1279,'SAÍDA DE VENDAS'!$B$6:$B$500,0)+COUNTIF('SAÍDA DE VENDAS'!$B$6:$B$500, B1279)),"")))</f>
        <v/>
      </c>
      <c r="C1280" s="29">
        <f>IFERROR(VLOOKUP(B1280,'SAÍDA DE VENDAS'!$B$6:$P$500,3,FALSE),"")</f>
        <v>0</v>
      </c>
      <c r="D1280" s="28">
        <f>IFERROR(VLOOKUP(B1280,'SAÍDA DE VENDAS'!$B$6:$P$500,4,FALSE),"")</f>
        <v>0</v>
      </c>
      <c r="E1280" s="28" t="str">
        <f>IFERROR(VLOOKUP(B1280,'SAÍDA DE VENDAS'!$B$6:$P$500,5,FALSE),"")</f>
        <v/>
      </c>
      <c r="F1280" s="28" t="str">
        <f>IF(OR(ISBLANK(B1280),B1280=""), "", IFERROR(INDEX('SAÍDA DE VENDAS'!$H$6:$H$500 &amp; "x " &amp; 'SAÍDA DE VENDAS'!$G$6:$G$500, MATCH(B1280, 'SAÍDA DE VENDAS'!$B$6:$B$500, 0)), "")&amp; IF(COUNTIF('SAÍDA DE VENDAS'!$B$6:$B$500, B1280)&gt;1, " + " &amp; IFERROR(INDEX('SAÍDA DE VENDAS'!$H$6:$H$500 &amp; "x " &amp; 'SAÍDA DE VENDAS'!$G$6:$G$500, MATCH(B1280, 'SAÍDA DE VENDAS'!$B$6:$B$500, 0)+1), ""), "")&amp; IF(COUNTIF('SAÍDA DE VENDAS'!$B$6:$B$500, B1280)&gt;2, " + " &amp; IFERROR(INDEX('SAÍDA DE VENDAS'!$H$6:$H$500 &amp; "x " &amp; 'SAÍDA DE VENDAS'!$G$6:$G$500, MATCH(B1280, 'SAÍDA DE VENDAS'!$B$6:$B$500, 0)+2), ""), "")&amp; IF(COUNTIF('SAÍDA DE VENDAS'!$B$6:$B$500, B1280)&gt;3, " + " &amp; IFERROR(INDEX('SAÍDA DE VENDAS'!$H$6:$H$500 &amp; "x " &amp; 'SAÍDA DE VENDAS'!$G$6:$G$500, MATCH(B1280, 'SAÍDA DE VENDAS'!$B$6:$B$500, 0)+3), ""), "")&amp; IF(COUNTIF('SAÍDA DE VENDAS'!$B$6:$B$500, B1280)&gt;4, " + " &amp; IFERROR(INDEX('SAÍDA DE VENDAS'!$H$6:$H$500 &amp; "x " &amp; 'SAÍDA DE VENDAS'!$G$6:$G$500, MATCH(B1280, 'SAÍDA DE VENDAS'!$B$6:$B$500, 0)+4), ""), "")&amp; IF(COUNTIF('SAÍDA DE VENDAS'!$B$6:$B$500, B1280)&gt;5, " + " &amp; IFERROR(INDEX('SAÍDA DE VENDAS'!$H$6:$H$500 &amp; "x " &amp; 'SAÍDA DE VENDAS'!$G$6:$G$500, MATCH(B1280, 'SAÍDA DE VENDAS'!$B$6:$B$500, 0)+5), ""), ""))</f>
        <v/>
      </c>
      <c r="G1280" s="28">
        <f>IFERROR(VLOOKUP(B1280,'SAÍDA DE VENDAS'!$B$6:$P$500,10,FALSE),"")</f>
        <v>0</v>
      </c>
      <c r="H1280" s="28" t="str">
        <f>IF(OR(ISBLANK(B1280),B1280=""), "", IF(B1280=B1279, (VALUE(LEFT(H1279,FIND("/",H1279)-1))+1)&amp;"/"&amp;RIGHT(H1279,LEN(H1279)-FIND("/",H1279)), "1/"&amp;IFERROR(VLOOKUP(B1280,'SAÍDA DE VENDAS'!$B$6:$P$500,13,FALSE),"1")))</f>
        <v/>
      </c>
      <c r="I1280" s="69" t="str">
        <f t="shared" si="38"/>
        <v/>
      </c>
      <c r="J1280" s="33" t="str">
        <f>IFERROR(VLOOKUP(B1280,'SAÍDA DE VENDAS'!$B$6:$P$500,15,FALSE),"")</f>
        <v/>
      </c>
      <c r="K1280" s="28" t="str">
        <f t="shared" ca="1" si="39"/>
        <v/>
      </c>
      <c r="L1280" s="28"/>
      <c r="M1280" s="28"/>
    </row>
    <row r="1281" spans="2:13" ht="15" customHeight="1" x14ac:dyDescent="0.3">
      <c r="B1281" s="34" t="str">
        <f>IF(B1280="","", IF(VALUE(LEFT(H1280,FIND("/",H1280)-1)) &lt; VALUE(RIGHT(H1280,LEN(H1280)-FIND("/",H1280))), B1280, IFERROR(INDEX('SAÍDA DE VENDAS'!$B$6:$B$500, MATCH(B1280,'SAÍDA DE VENDAS'!$B$6:$B$500,0)+COUNTIF('SAÍDA DE VENDAS'!$B$6:$B$500, B1280)),"")))</f>
        <v/>
      </c>
      <c r="C1281" s="35">
        <f>IFERROR(VLOOKUP(B1281,'SAÍDA DE VENDAS'!$B$6:$P$500,3,FALSE),"")</f>
        <v>0</v>
      </c>
      <c r="D1281" s="34">
        <f>IFERROR(VLOOKUP(B1281,'SAÍDA DE VENDAS'!$B$6:$P$500,4,FALSE),"")</f>
        <v>0</v>
      </c>
      <c r="E1281" s="34" t="str">
        <f>IFERROR(VLOOKUP(B1281,'SAÍDA DE VENDAS'!$B$6:$P$500,5,FALSE),"")</f>
        <v/>
      </c>
      <c r="F1281" s="34" t="str">
        <f>IF(OR(ISBLANK(B1281),B1281=""), "", IFERROR(INDEX('SAÍDA DE VENDAS'!$H$6:$H$500 &amp; "x " &amp; 'SAÍDA DE VENDAS'!$G$6:$G$500, MATCH(B1281, 'SAÍDA DE VENDAS'!$B$6:$B$500, 0)), "")&amp; IF(COUNTIF('SAÍDA DE VENDAS'!$B$6:$B$500, B1281)&gt;1, " + " &amp; IFERROR(INDEX('SAÍDA DE VENDAS'!$H$6:$H$500 &amp; "x " &amp; 'SAÍDA DE VENDAS'!$G$6:$G$500, MATCH(B1281, 'SAÍDA DE VENDAS'!$B$6:$B$500, 0)+1), ""), "")&amp; IF(COUNTIF('SAÍDA DE VENDAS'!$B$6:$B$500, B1281)&gt;2, " + " &amp; IFERROR(INDEX('SAÍDA DE VENDAS'!$H$6:$H$500 &amp; "x " &amp; 'SAÍDA DE VENDAS'!$G$6:$G$500, MATCH(B1281, 'SAÍDA DE VENDAS'!$B$6:$B$500, 0)+2), ""), "")&amp; IF(COUNTIF('SAÍDA DE VENDAS'!$B$6:$B$500, B1281)&gt;3, " + " &amp; IFERROR(INDEX('SAÍDA DE VENDAS'!$H$6:$H$500 &amp; "x " &amp; 'SAÍDA DE VENDAS'!$G$6:$G$500, MATCH(B1281, 'SAÍDA DE VENDAS'!$B$6:$B$500, 0)+3), ""), "")&amp; IF(COUNTIF('SAÍDA DE VENDAS'!$B$6:$B$500, B1281)&gt;4, " + " &amp; IFERROR(INDEX('SAÍDA DE VENDAS'!$H$6:$H$500 &amp; "x " &amp; 'SAÍDA DE VENDAS'!$G$6:$G$500, MATCH(B1281, 'SAÍDA DE VENDAS'!$B$6:$B$500, 0)+4), ""), "")&amp; IF(COUNTIF('SAÍDA DE VENDAS'!$B$6:$B$500, B1281)&gt;5, " + " &amp; IFERROR(INDEX('SAÍDA DE VENDAS'!$H$6:$H$500 &amp; "x " &amp; 'SAÍDA DE VENDAS'!$G$6:$G$500, MATCH(B1281, 'SAÍDA DE VENDAS'!$B$6:$B$500, 0)+5), ""), ""))</f>
        <v/>
      </c>
      <c r="G1281" s="34">
        <f>IFERROR(VLOOKUP(B1281,'SAÍDA DE VENDAS'!$B$6:$P$500,10,FALSE),"")</f>
        <v>0</v>
      </c>
      <c r="H1281" s="34" t="str">
        <f>IF(OR(ISBLANK(B1281),B1281=""), "", IF(B1281=B1280, (VALUE(LEFT(H1280,FIND("/",H1280)-1))+1)&amp;"/"&amp;RIGHT(H1280,LEN(H1280)-FIND("/",H1280)), "1/"&amp;IFERROR(VLOOKUP(B1281,'SAÍDA DE VENDAS'!$B$6:$P$500,13,FALSE),"1")))</f>
        <v/>
      </c>
      <c r="I1281" s="35" t="str">
        <f t="shared" si="38"/>
        <v/>
      </c>
      <c r="J1281" s="39" t="str">
        <f>IFERROR(VLOOKUP(B1281,'SAÍDA DE VENDAS'!$B$6:$P$500,15,FALSE),"")</f>
        <v/>
      </c>
      <c r="K1281" s="34" t="str">
        <f t="shared" ca="1" si="39"/>
        <v/>
      </c>
      <c r="L1281" s="34"/>
      <c r="M1281" s="34"/>
    </row>
    <row r="1282" spans="2:13" ht="15" customHeight="1" x14ac:dyDescent="0.3">
      <c r="B1282" s="28" t="str">
        <f>IF(B1281="","", IF(VALUE(LEFT(H1281,FIND("/",H1281)-1)) &lt; VALUE(RIGHT(H1281,LEN(H1281)-FIND("/",H1281))), B1281, IFERROR(INDEX('SAÍDA DE VENDAS'!$B$6:$B$500, MATCH(B1281,'SAÍDA DE VENDAS'!$B$6:$B$500,0)+COUNTIF('SAÍDA DE VENDAS'!$B$6:$B$500, B1281)),"")))</f>
        <v/>
      </c>
      <c r="C1282" s="29">
        <f>IFERROR(VLOOKUP(B1282,'SAÍDA DE VENDAS'!$B$6:$P$500,3,FALSE),"")</f>
        <v>0</v>
      </c>
      <c r="D1282" s="28">
        <f>IFERROR(VLOOKUP(B1282,'SAÍDA DE VENDAS'!$B$6:$P$500,4,FALSE),"")</f>
        <v>0</v>
      </c>
      <c r="E1282" s="28" t="str">
        <f>IFERROR(VLOOKUP(B1282,'SAÍDA DE VENDAS'!$B$6:$P$500,5,FALSE),"")</f>
        <v/>
      </c>
      <c r="F1282" s="28" t="str">
        <f>IF(OR(ISBLANK(B1282),B1282=""), "", IFERROR(INDEX('SAÍDA DE VENDAS'!$H$6:$H$500 &amp; "x " &amp; 'SAÍDA DE VENDAS'!$G$6:$G$500, MATCH(B1282, 'SAÍDA DE VENDAS'!$B$6:$B$500, 0)), "")&amp; IF(COUNTIF('SAÍDA DE VENDAS'!$B$6:$B$500, B1282)&gt;1, " + " &amp; IFERROR(INDEX('SAÍDA DE VENDAS'!$H$6:$H$500 &amp; "x " &amp; 'SAÍDA DE VENDAS'!$G$6:$G$500, MATCH(B1282, 'SAÍDA DE VENDAS'!$B$6:$B$500, 0)+1), ""), "")&amp; IF(COUNTIF('SAÍDA DE VENDAS'!$B$6:$B$500, B1282)&gt;2, " + " &amp; IFERROR(INDEX('SAÍDA DE VENDAS'!$H$6:$H$500 &amp; "x " &amp; 'SAÍDA DE VENDAS'!$G$6:$G$500, MATCH(B1282, 'SAÍDA DE VENDAS'!$B$6:$B$500, 0)+2), ""), "")&amp; IF(COUNTIF('SAÍDA DE VENDAS'!$B$6:$B$500, B1282)&gt;3, " + " &amp; IFERROR(INDEX('SAÍDA DE VENDAS'!$H$6:$H$500 &amp; "x " &amp; 'SAÍDA DE VENDAS'!$G$6:$G$500, MATCH(B1282, 'SAÍDA DE VENDAS'!$B$6:$B$500, 0)+3), ""), "")&amp; IF(COUNTIF('SAÍDA DE VENDAS'!$B$6:$B$500, B1282)&gt;4, " + " &amp; IFERROR(INDEX('SAÍDA DE VENDAS'!$H$6:$H$500 &amp; "x " &amp; 'SAÍDA DE VENDAS'!$G$6:$G$500, MATCH(B1282, 'SAÍDA DE VENDAS'!$B$6:$B$500, 0)+4), ""), "")&amp; IF(COUNTIF('SAÍDA DE VENDAS'!$B$6:$B$500, B1282)&gt;5, " + " &amp; IFERROR(INDEX('SAÍDA DE VENDAS'!$H$6:$H$500 &amp; "x " &amp; 'SAÍDA DE VENDAS'!$G$6:$G$500, MATCH(B1282, 'SAÍDA DE VENDAS'!$B$6:$B$500, 0)+5), ""), ""))</f>
        <v/>
      </c>
      <c r="G1282" s="28">
        <f>IFERROR(VLOOKUP(B1282,'SAÍDA DE VENDAS'!$B$6:$P$500,10,FALSE),"")</f>
        <v>0</v>
      </c>
      <c r="H1282" s="28" t="str">
        <f>IF(OR(ISBLANK(B1282),B1282=""), "", IF(B1282=B1281, (VALUE(LEFT(H1281,FIND("/",H1281)-1))+1)&amp;"/"&amp;RIGHT(H1281,LEN(H1281)-FIND("/",H1281)), "1/"&amp;IFERROR(VLOOKUP(B1282,'SAÍDA DE VENDAS'!$B$6:$P$500,13,FALSE),"1")))</f>
        <v/>
      </c>
      <c r="I1282" s="69" t="str">
        <f t="shared" si="38"/>
        <v/>
      </c>
      <c r="J1282" s="33" t="str">
        <f>IFERROR(VLOOKUP(B1282,'SAÍDA DE VENDAS'!$B$6:$P$500,15,FALSE),"")</f>
        <v/>
      </c>
      <c r="K1282" s="28" t="str">
        <f t="shared" ca="1" si="39"/>
        <v/>
      </c>
      <c r="L1282" s="28"/>
      <c r="M1282" s="28"/>
    </row>
    <row r="1283" spans="2:13" ht="15" customHeight="1" x14ac:dyDescent="0.3">
      <c r="B1283" s="34" t="str">
        <f>IF(B1282="","", IF(VALUE(LEFT(H1282,FIND("/",H1282)-1)) &lt; VALUE(RIGHT(H1282,LEN(H1282)-FIND("/",H1282))), B1282, IFERROR(INDEX('SAÍDA DE VENDAS'!$B$6:$B$500, MATCH(B1282,'SAÍDA DE VENDAS'!$B$6:$B$500,0)+COUNTIF('SAÍDA DE VENDAS'!$B$6:$B$500, B1282)),"")))</f>
        <v/>
      </c>
      <c r="C1283" s="35">
        <f>IFERROR(VLOOKUP(B1283,'SAÍDA DE VENDAS'!$B$6:$P$500,3,FALSE),"")</f>
        <v>0</v>
      </c>
      <c r="D1283" s="34">
        <f>IFERROR(VLOOKUP(B1283,'SAÍDA DE VENDAS'!$B$6:$P$500,4,FALSE),"")</f>
        <v>0</v>
      </c>
      <c r="E1283" s="34" t="str">
        <f>IFERROR(VLOOKUP(B1283,'SAÍDA DE VENDAS'!$B$6:$P$500,5,FALSE),"")</f>
        <v/>
      </c>
      <c r="F1283" s="34" t="str">
        <f>IF(OR(ISBLANK(B1283),B1283=""), "", IFERROR(INDEX('SAÍDA DE VENDAS'!$H$6:$H$500 &amp; "x " &amp; 'SAÍDA DE VENDAS'!$G$6:$G$500, MATCH(B1283, 'SAÍDA DE VENDAS'!$B$6:$B$500, 0)), "")&amp; IF(COUNTIF('SAÍDA DE VENDAS'!$B$6:$B$500, B1283)&gt;1, " + " &amp; IFERROR(INDEX('SAÍDA DE VENDAS'!$H$6:$H$500 &amp; "x " &amp; 'SAÍDA DE VENDAS'!$G$6:$G$500, MATCH(B1283, 'SAÍDA DE VENDAS'!$B$6:$B$500, 0)+1), ""), "")&amp; IF(COUNTIF('SAÍDA DE VENDAS'!$B$6:$B$500, B1283)&gt;2, " + " &amp; IFERROR(INDEX('SAÍDA DE VENDAS'!$H$6:$H$500 &amp; "x " &amp; 'SAÍDA DE VENDAS'!$G$6:$G$500, MATCH(B1283, 'SAÍDA DE VENDAS'!$B$6:$B$500, 0)+2), ""), "")&amp; IF(COUNTIF('SAÍDA DE VENDAS'!$B$6:$B$500, B1283)&gt;3, " + " &amp; IFERROR(INDEX('SAÍDA DE VENDAS'!$H$6:$H$500 &amp; "x " &amp; 'SAÍDA DE VENDAS'!$G$6:$G$500, MATCH(B1283, 'SAÍDA DE VENDAS'!$B$6:$B$500, 0)+3), ""), "")&amp; IF(COUNTIF('SAÍDA DE VENDAS'!$B$6:$B$500, B1283)&gt;4, " + " &amp; IFERROR(INDEX('SAÍDA DE VENDAS'!$H$6:$H$500 &amp; "x " &amp; 'SAÍDA DE VENDAS'!$G$6:$G$500, MATCH(B1283, 'SAÍDA DE VENDAS'!$B$6:$B$500, 0)+4), ""), "")&amp; IF(COUNTIF('SAÍDA DE VENDAS'!$B$6:$B$500, B1283)&gt;5, " + " &amp; IFERROR(INDEX('SAÍDA DE VENDAS'!$H$6:$H$500 &amp; "x " &amp; 'SAÍDA DE VENDAS'!$G$6:$G$500, MATCH(B1283, 'SAÍDA DE VENDAS'!$B$6:$B$500, 0)+5), ""), ""))</f>
        <v/>
      </c>
      <c r="G1283" s="34">
        <f>IFERROR(VLOOKUP(B1283,'SAÍDA DE VENDAS'!$B$6:$P$500,10,FALSE),"")</f>
        <v>0</v>
      </c>
      <c r="H1283" s="34" t="str">
        <f>IF(OR(ISBLANK(B1283),B1283=""), "", IF(B1283=B1282, (VALUE(LEFT(H1282,FIND("/",H1282)-1))+1)&amp;"/"&amp;RIGHT(H1282,LEN(H1282)-FIND("/",H1282)), "1/"&amp;IFERROR(VLOOKUP(B1283,'SAÍDA DE VENDAS'!$B$6:$P$500,13,FALSE),"1")))</f>
        <v/>
      </c>
      <c r="I1283" s="35" t="str">
        <f t="shared" si="38"/>
        <v/>
      </c>
      <c r="J1283" s="39" t="str">
        <f>IFERROR(VLOOKUP(B1283,'SAÍDA DE VENDAS'!$B$6:$P$500,15,FALSE),"")</f>
        <v/>
      </c>
      <c r="K1283" s="34" t="str">
        <f t="shared" ca="1" si="39"/>
        <v/>
      </c>
      <c r="L1283" s="34"/>
      <c r="M1283" s="34"/>
    </row>
    <row r="1284" spans="2:13" ht="15" customHeight="1" x14ac:dyDescent="0.3">
      <c r="B1284" s="28" t="str">
        <f>IF(B1283="","", IF(VALUE(LEFT(H1283,FIND("/",H1283)-1)) &lt; VALUE(RIGHT(H1283,LEN(H1283)-FIND("/",H1283))), B1283, IFERROR(INDEX('SAÍDA DE VENDAS'!$B$6:$B$500, MATCH(B1283,'SAÍDA DE VENDAS'!$B$6:$B$500,0)+COUNTIF('SAÍDA DE VENDAS'!$B$6:$B$500, B1283)),"")))</f>
        <v/>
      </c>
      <c r="C1284" s="29">
        <f>IFERROR(VLOOKUP(B1284,'SAÍDA DE VENDAS'!$B$6:$P$500,3,FALSE),"")</f>
        <v>0</v>
      </c>
      <c r="D1284" s="28">
        <f>IFERROR(VLOOKUP(B1284,'SAÍDA DE VENDAS'!$B$6:$P$500,4,FALSE),"")</f>
        <v>0</v>
      </c>
      <c r="E1284" s="28" t="str">
        <f>IFERROR(VLOOKUP(B1284,'SAÍDA DE VENDAS'!$B$6:$P$500,5,FALSE),"")</f>
        <v/>
      </c>
      <c r="F1284" s="28" t="str">
        <f>IF(OR(ISBLANK(B1284),B1284=""), "", IFERROR(INDEX('SAÍDA DE VENDAS'!$H$6:$H$500 &amp; "x " &amp; 'SAÍDA DE VENDAS'!$G$6:$G$500, MATCH(B1284, 'SAÍDA DE VENDAS'!$B$6:$B$500, 0)), "")&amp; IF(COUNTIF('SAÍDA DE VENDAS'!$B$6:$B$500, B1284)&gt;1, " + " &amp; IFERROR(INDEX('SAÍDA DE VENDAS'!$H$6:$H$500 &amp; "x " &amp; 'SAÍDA DE VENDAS'!$G$6:$G$500, MATCH(B1284, 'SAÍDA DE VENDAS'!$B$6:$B$500, 0)+1), ""), "")&amp; IF(COUNTIF('SAÍDA DE VENDAS'!$B$6:$B$500, B1284)&gt;2, " + " &amp; IFERROR(INDEX('SAÍDA DE VENDAS'!$H$6:$H$500 &amp; "x " &amp; 'SAÍDA DE VENDAS'!$G$6:$G$500, MATCH(B1284, 'SAÍDA DE VENDAS'!$B$6:$B$500, 0)+2), ""), "")&amp; IF(COUNTIF('SAÍDA DE VENDAS'!$B$6:$B$500, B1284)&gt;3, " + " &amp; IFERROR(INDEX('SAÍDA DE VENDAS'!$H$6:$H$500 &amp; "x " &amp; 'SAÍDA DE VENDAS'!$G$6:$G$500, MATCH(B1284, 'SAÍDA DE VENDAS'!$B$6:$B$500, 0)+3), ""), "")&amp; IF(COUNTIF('SAÍDA DE VENDAS'!$B$6:$B$500, B1284)&gt;4, " + " &amp; IFERROR(INDEX('SAÍDA DE VENDAS'!$H$6:$H$500 &amp; "x " &amp; 'SAÍDA DE VENDAS'!$G$6:$G$500, MATCH(B1284, 'SAÍDA DE VENDAS'!$B$6:$B$500, 0)+4), ""), "")&amp; IF(COUNTIF('SAÍDA DE VENDAS'!$B$6:$B$500, B1284)&gt;5, " + " &amp; IFERROR(INDEX('SAÍDA DE VENDAS'!$H$6:$H$500 &amp; "x " &amp; 'SAÍDA DE VENDAS'!$G$6:$G$500, MATCH(B1284, 'SAÍDA DE VENDAS'!$B$6:$B$500, 0)+5), ""), ""))</f>
        <v/>
      </c>
      <c r="G1284" s="28">
        <f>IFERROR(VLOOKUP(B1284,'SAÍDA DE VENDAS'!$B$6:$P$500,10,FALSE),"")</f>
        <v>0</v>
      </c>
      <c r="H1284" s="28" t="str">
        <f>IF(OR(ISBLANK(B1284),B1284=""), "", IF(B1284=B1283, (VALUE(LEFT(H1283,FIND("/",H1283)-1))+1)&amp;"/"&amp;RIGHT(H1283,LEN(H1283)-FIND("/",H1283)), "1/"&amp;IFERROR(VLOOKUP(B1284,'SAÍDA DE VENDAS'!$B$6:$P$500,13,FALSE),"1")))</f>
        <v/>
      </c>
      <c r="I1284" s="69" t="str">
        <f t="shared" si="38"/>
        <v/>
      </c>
      <c r="J1284" s="33" t="str">
        <f>IFERROR(VLOOKUP(B1284,'SAÍDA DE VENDAS'!$B$6:$P$500,15,FALSE),"")</f>
        <v/>
      </c>
      <c r="K1284" s="28" t="str">
        <f t="shared" ca="1" si="39"/>
        <v/>
      </c>
      <c r="L1284" s="28"/>
      <c r="M1284" s="28"/>
    </row>
    <row r="1285" spans="2:13" ht="15" customHeight="1" x14ac:dyDescent="0.3">
      <c r="B1285" s="34" t="str">
        <f>IF(B1284="","", IF(VALUE(LEFT(H1284,FIND("/",H1284)-1)) &lt; VALUE(RIGHT(H1284,LEN(H1284)-FIND("/",H1284))), B1284, IFERROR(INDEX('SAÍDA DE VENDAS'!$B$6:$B$500, MATCH(B1284,'SAÍDA DE VENDAS'!$B$6:$B$500,0)+COUNTIF('SAÍDA DE VENDAS'!$B$6:$B$500, B1284)),"")))</f>
        <v/>
      </c>
      <c r="C1285" s="35">
        <f>IFERROR(VLOOKUP(B1285,'SAÍDA DE VENDAS'!$B$6:$P$500,3,FALSE),"")</f>
        <v>0</v>
      </c>
      <c r="D1285" s="34">
        <f>IFERROR(VLOOKUP(B1285,'SAÍDA DE VENDAS'!$B$6:$P$500,4,FALSE),"")</f>
        <v>0</v>
      </c>
      <c r="E1285" s="34" t="str">
        <f>IFERROR(VLOOKUP(B1285,'SAÍDA DE VENDAS'!$B$6:$P$500,5,FALSE),"")</f>
        <v/>
      </c>
      <c r="F1285" s="34" t="str">
        <f>IF(OR(ISBLANK(B1285),B1285=""), "", IFERROR(INDEX('SAÍDA DE VENDAS'!$H$6:$H$500 &amp; "x " &amp; 'SAÍDA DE VENDAS'!$G$6:$G$500, MATCH(B1285, 'SAÍDA DE VENDAS'!$B$6:$B$500, 0)), "")&amp; IF(COUNTIF('SAÍDA DE VENDAS'!$B$6:$B$500, B1285)&gt;1, " + " &amp; IFERROR(INDEX('SAÍDA DE VENDAS'!$H$6:$H$500 &amp; "x " &amp; 'SAÍDA DE VENDAS'!$G$6:$G$500, MATCH(B1285, 'SAÍDA DE VENDAS'!$B$6:$B$500, 0)+1), ""), "")&amp; IF(COUNTIF('SAÍDA DE VENDAS'!$B$6:$B$500, B1285)&gt;2, " + " &amp; IFERROR(INDEX('SAÍDA DE VENDAS'!$H$6:$H$500 &amp; "x " &amp; 'SAÍDA DE VENDAS'!$G$6:$G$500, MATCH(B1285, 'SAÍDA DE VENDAS'!$B$6:$B$500, 0)+2), ""), "")&amp; IF(COUNTIF('SAÍDA DE VENDAS'!$B$6:$B$500, B1285)&gt;3, " + " &amp; IFERROR(INDEX('SAÍDA DE VENDAS'!$H$6:$H$500 &amp; "x " &amp; 'SAÍDA DE VENDAS'!$G$6:$G$500, MATCH(B1285, 'SAÍDA DE VENDAS'!$B$6:$B$500, 0)+3), ""), "")&amp; IF(COUNTIF('SAÍDA DE VENDAS'!$B$6:$B$500, B1285)&gt;4, " + " &amp; IFERROR(INDEX('SAÍDA DE VENDAS'!$H$6:$H$500 &amp; "x " &amp; 'SAÍDA DE VENDAS'!$G$6:$G$500, MATCH(B1285, 'SAÍDA DE VENDAS'!$B$6:$B$500, 0)+4), ""), "")&amp; IF(COUNTIF('SAÍDA DE VENDAS'!$B$6:$B$500, B1285)&gt;5, " + " &amp; IFERROR(INDEX('SAÍDA DE VENDAS'!$H$6:$H$500 &amp; "x " &amp; 'SAÍDA DE VENDAS'!$G$6:$G$500, MATCH(B1285, 'SAÍDA DE VENDAS'!$B$6:$B$500, 0)+5), ""), ""))</f>
        <v/>
      </c>
      <c r="G1285" s="34">
        <f>IFERROR(VLOOKUP(B1285,'SAÍDA DE VENDAS'!$B$6:$P$500,10,FALSE),"")</f>
        <v>0</v>
      </c>
      <c r="H1285" s="34" t="str">
        <f>IF(OR(ISBLANK(B1285),B1285=""), "", IF(B1285=B1284, (VALUE(LEFT(H1284,FIND("/",H1284)-1))+1)&amp;"/"&amp;RIGHT(H1284,LEN(H1284)-FIND("/",H1284)), "1/"&amp;IFERROR(VLOOKUP(B1285,'SAÍDA DE VENDAS'!$B$6:$P$500,13,FALSE),"1")))</f>
        <v/>
      </c>
      <c r="I1285" s="35" t="str">
        <f t="shared" si="38"/>
        <v/>
      </c>
      <c r="J1285" s="39" t="str">
        <f>IFERROR(VLOOKUP(B1285,'SAÍDA DE VENDAS'!$B$6:$P$500,15,FALSE),"")</f>
        <v/>
      </c>
      <c r="K1285" s="34" t="str">
        <f t="shared" ca="1" si="39"/>
        <v/>
      </c>
      <c r="L1285" s="34"/>
      <c r="M1285" s="34"/>
    </row>
    <row r="1286" spans="2:13" ht="15" customHeight="1" x14ac:dyDescent="0.3">
      <c r="B1286" s="28" t="str">
        <f>IF(B1285="","", IF(VALUE(LEFT(H1285,FIND("/",H1285)-1)) &lt; VALUE(RIGHT(H1285,LEN(H1285)-FIND("/",H1285))), B1285, IFERROR(INDEX('SAÍDA DE VENDAS'!$B$6:$B$500, MATCH(B1285,'SAÍDA DE VENDAS'!$B$6:$B$500,0)+COUNTIF('SAÍDA DE VENDAS'!$B$6:$B$500, B1285)),"")))</f>
        <v/>
      </c>
      <c r="C1286" s="29">
        <f>IFERROR(VLOOKUP(B1286,'SAÍDA DE VENDAS'!$B$6:$P$500,3,FALSE),"")</f>
        <v>0</v>
      </c>
      <c r="D1286" s="28">
        <f>IFERROR(VLOOKUP(B1286,'SAÍDA DE VENDAS'!$B$6:$P$500,4,FALSE),"")</f>
        <v>0</v>
      </c>
      <c r="E1286" s="28" t="str">
        <f>IFERROR(VLOOKUP(B1286,'SAÍDA DE VENDAS'!$B$6:$P$500,5,FALSE),"")</f>
        <v/>
      </c>
      <c r="F1286" s="28" t="str">
        <f>IF(OR(ISBLANK(B1286),B1286=""), "", IFERROR(INDEX('SAÍDA DE VENDAS'!$H$6:$H$500 &amp; "x " &amp; 'SAÍDA DE VENDAS'!$G$6:$G$500, MATCH(B1286, 'SAÍDA DE VENDAS'!$B$6:$B$500, 0)), "")&amp; IF(COUNTIF('SAÍDA DE VENDAS'!$B$6:$B$500, B1286)&gt;1, " + " &amp; IFERROR(INDEX('SAÍDA DE VENDAS'!$H$6:$H$500 &amp; "x " &amp; 'SAÍDA DE VENDAS'!$G$6:$G$500, MATCH(B1286, 'SAÍDA DE VENDAS'!$B$6:$B$500, 0)+1), ""), "")&amp; IF(COUNTIF('SAÍDA DE VENDAS'!$B$6:$B$500, B1286)&gt;2, " + " &amp; IFERROR(INDEX('SAÍDA DE VENDAS'!$H$6:$H$500 &amp; "x " &amp; 'SAÍDA DE VENDAS'!$G$6:$G$500, MATCH(B1286, 'SAÍDA DE VENDAS'!$B$6:$B$500, 0)+2), ""), "")&amp; IF(COUNTIF('SAÍDA DE VENDAS'!$B$6:$B$500, B1286)&gt;3, " + " &amp; IFERROR(INDEX('SAÍDA DE VENDAS'!$H$6:$H$500 &amp; "x " &amp; 'SAÍDA DE VENDAS'!$G$6:$G$500, MATCH(B1286, 'SAÍDA DE VENDAS'!$B$6:$B$500, 0)+3), ""), "")&amp; IF(COUNTIF('SAÍDA DE VENDAS'!$B$6:$B$500, B1286)&gt;4, " + " &amp; IFERROR(INDEX('SAÍDA DE VENDAS'!$H$6:$H$500 &amp; "x " &amp; 'SAÍDA DE VENDAS'!$G$6:$G$500, MATCH(B1286, 'SAÍDA DE VENDAS'!$B$6:$B$500, 0)+4), ""), "")&amp; IF(COUNTIF('SAÍDA DE VENDAS'!$B$6:$B$500, B1286)&gt;5, " + " &amp; IFERROR(INDEX('SAÍDA DE VENDAS'!$H$6:$H$500 &amp; "x " &amp; 'SAÍDA DE VENDAS'!$G$6:$G$500, MATCH(B1286, 'SAÍDA DE VENDAS'!$B$6:$B$500, 0)+5), ""), ""))</f>
        <v/>
      </c>
      <c r="G1286" s="28">
        <f>IFERROR(VLOOKUP(B1286,'SAÍDA DE VENDAS'!$B$6:$P$500,10,FALSE),"")</f>
        <v>0</v>
      </c>
      <c r="H1286" s="28" t="str">
        <f>IF(OR(ISBLANK(B1286),B1286=""), "", IF(B1286=B1285, (VALUE(LEFT(H1285,FIND("/",H1285)-1))+1)&amp;"/"&amp;RIGHT(H1285,LEN(H1285)-FIND("/",H1285)), "1/"&amp;IFERROR(VLOOKUP(B1286,'SAÍDA DE VENDAS'!$B$6:$P$500,13,FALSE),"1")))</f>
        <v/>
      </c>
      <c r="I1286" s="69" t="str">
        <f t="shared" ref="I1286:I1349" si="40">IF(OR(ISBLANK(B1286), B1286="", C1286=""), "", C1286 + (IFERROR(VALUE(LEFT(H1286, FIND("/", H1286)-1)), 1) * 30))</f>
        <v/>
      </c>
      <c r="J1286" s="33" t="str">
        <f>IFERROR(VLOOKUP(B1286,'SAÍDA DE VENDAS'!$B$6:$P$500,15,FALSE),"")</f>
        <v/>
      </c>
      <c r="K1286" s="28" t="str">
        <f t="shared" ref="K1286:K1349" ca="1" si="41">IF(B1286="","", IF(OR(G1286="À Vista", L1286&lt;&gt;""), "Pago", IF(AND(I1286&lt;&gt;"", I1286&lt;TODAY()), "Atrasado", "Pendente")))</f>
        <v/>
      </c>
      <c r="L1286" s="28"/>
      <c r="M1286" s="28"/>
    </row>
    <row r="1287" spans="2:13" ht="15" customHeight="1" x14ac:dyDescent="0.3">
      <c r="B1287" s="34" t="str">
        <f>IF(B1286="","", IF(VALUE(LEFT(H1286,FIND("/",H1286)-1)) &lt; VALUE(RIGHT(H1286,LEN(H1286)-FIND("/",H1286))), B1286, IFERROR(INDEX('SAÍDA DE VENDAS'!$B$6:$B$500, MATCH(B1286,'SAÍDA DE VENDAS'!$B$6:$B$500,0)+COUNTIF('SAÍDA DE VENDAS'!$B$6:$B$500, B1286)),"")))</f>
        <v/>
      </c>
      <c r="C1287" s="35">
        <f>IFERROR(VLOOKUP(B1287,'SAÍDA DE VENDAS'!$B$6:$P$500,3,FALSE),"")</f>
        <v>0</v>
      </c>
      <c r="D1287" s="34">
        <f>IFERROR(VLOOKUP(B1287,'SAÍDA DE VENDAS'!$B$6:$P$500,4,FALSE),"")</f>
        <v>0</v>
      </c>
      <c r="E1287" s="34" t="str">
        <f>IFERROR(VLOOKUP(B1287,'SAÍDA DE VENDAS'!$B$6:$P$500,5,FALSE),"")</f>
        <v/>
      </c>
      <c r="F1287" s="34" t="str">
        <f>IF(OR(ISBLANK(B1287),B1287=""), "", IFERROR(INDEX('SAÍDA DE VENDAS'!$H$6:$H$500 &amp; "x " &amp; 'SAÍDA DE VENDAS'!$G$6:$G$500, MATCH(B1287, 'SAÍDA DE VENDAS'!$B$6:$B$500, 0)), "")&amp; IF(COUNTIF('SAÍDA DE VENDAS'!$B$6:$B$500, B1287)&gt;1, " + " &amp; IFERROR(INDEX('SAÍDA DE VENDAS'!$H$6:$H$500 &amp; "x " &amp; 'SAÍDA DE VENDAS'!$G$6:$G$500, MATCH(B1287, 'SAÍDA DE VENDAS'!$B$6:$B$500, 0)+1), ""), "")&amp; IF(COUNTIF('SAÍDA DE VENDAS'!$B$6:$B$500, B1287)&gt;2, " + " &amp; IFERROR(INDEX('SAÍDA DE VENDAS'!$H$6:$H$500 &amp; "x " &amp; 'SAÍDA DE VENDAS'!$G$6:$G$500, MATCH(B1287, 'SAÍDA DE VENDAS'!$B$6:$B$500, 0)+2), ""), "")&amp; IF(COUNTIF('SAÍDA DE VENDAS'!$B$6:$B$500, B1287)&gt;3, " + " &amp; IFERROR(INDEX('SAÍDA DE VENDAS'!$H$6:$H$500 &amp; "x " &amp; 'SAÍDA DE VENDAS'!$G$6:$G$500, MATCH(B1287, 'SAÍDA DE VENDAS'!$B$6:$B$500, 0)+3), ""), "")&amp; IF(COUNTIF('SAÍDA DE VENDAS'!$B$6:$B$500, B1287)&gt;4, " + " &amp; IFERROR(INDEX('SAÍDA DE VENDAS'!$H$6:$H$500 &amp; "x " &amp; 'SAÍDA DE VENDAS'!$G$6:$G$500, MATCH(B1287, 'SAÍDA DE VENDAS'!$B$6:$B$500, 0)+4), ""), "")&amp; IF(COUNTIF('SAÍDA DE VENDAS'!$B$6:$B$500, B1287)&gt;5, " + " &amp; IFERROR(INDEX('SAÍDA DE VENDAS'!$H$6:$H$500 &amp; "x " &amp; 'SAÍDA DE VENDAS'!$G$6:$G$500, MATCH(B1287, 'SAÍDA DE VENDAS'!$B$6:$B$500, 0)+5), ""), ""))</f>
        <v/>
      </c>
      <c r="G1287" s="34">
        <f>IFERROR(VLOOKUP(B1287,'SAÍDA DE VENDAS'!$B$6:$P$500,10,FALSE),"")</f>
        <v>0</v>
      </c>
      <c r="H1287" s="34" t="str">
        <f>IF(OR(ISBLANK(B1287),B1287=""), "", IF(B1287=B1286, (VALUE(LEFT(H1286,FIND("/",H1286)-1))+1)&amp;"/"&amp;RIGHT(H1286,LEN(H1286)-FIND("/",H1286)), "1/"&amp;IFERROR(VLOOKUP(B1287,'SAÍDA DE VENDAS'!$B$6:$P$500,13,FALSE),"1")))</f>
        <v/>
      </c>
      <c r="I1287" s="35" t="str">
        <f t="shared" si="40"/>
        <v/>
      </c>
      <c r="J1287" s="39" t="str">
        <f>IFERROR(VLOOKUP(B1287,'SAÍDA DE VENDAS'!$B$6:$P$500,15,FALSE),"")</f>
        <v/>
      </c>
      <c r="K1287" s="34" t="str">
        <f t="shared" ca="1" si="41"/>
        <v/>
      </c>
      <c r="L1287" s="34"/>
      <c r="M1287" s="34"/>
    </row>
    <row r="1288" spans="2:13" ht="15" customHeight="1" x14ac:dyDescent="0.3">
      <c r="B1288" s="28" t="str">
        <f>IF(B1287="","", IF(VALUE(LEFT(H1287,FIND("/",H1287)-1)) &lt; VALUE(RIGHT(H1287,LEN(H1287)-FIND("/",H1287))), B1287, IFERROR(INDEX('SAÍDA DE VENDAS'!$B$6:$B$500, MATCH(B1287,'SAÍDA DE VENDAS'!$B$6:$B$500,0)+COUNTIF('SAÍDA DE VENDAS'!$B$6:$B$500, B1287)),"")))</f>
        <v/>
      </c>
      <c r="C1288" s="29">
        <f>IFERROR(VLOOKUP(B1288,'SAÍDA DE VENDAS'!$B$6:$P$500,3,FALSE),"")</f>
        <v>0</v>
      </c>
      <c r="D1288" s="28">
        <f>IFERROR(VLOOKUP(B1288,'SAÍDA DE VENDAS'!$B$6:$P$500,4,FALSE),"")</f>
        <v>0</v>
      </c>
      <c r="E1288" s="28" t="str">
        <f>IFERROR(VLOOKUP(B1288,'SAÍDA DE VENDAS'!$B$6:$P$500,5,FALSE),"")</f>
        <v/>
      </c>
      <c r="F1288" s="28" t="str">
        <f>IF(OR(ISBLANK(B1288),B1288=""), "", IFERROR(INDEX('SAÍDA DE VENDAS'!$H$6:$H$500 &amp; "x " &amp; 'SAÍDA DE VENDAS'!$G$6:$G$500, MATCH(B1288, 'SAÍDA DE VENDAS'!$B$6:$B$500, 0)), "")&amp; IF(COUNTIF('SAÍDA DE VENDAS'!$B$6:$B$500, B1288)&gt;1, " + " &amp; IFERROR(INDEX('SAÍDA DE VENDAS'!$H$6:$H$500 &amp; "x " &amp; 'SAÍDA DE VENDAS'!$G$6:$G$500, MATCH(B1288, 'SAÍDA DE VENDAS'!$B$6:$B$500, 0)+1), ""), "")&amp; IF(COUNTIF('SAÍDA DE VENDAS'!$B$6:$B$500, B1288)&gt;2, " + " &amp; IFERROR(INDEX('SAÍDA DE VENDAS'!$H$6:$H$500 &amp; "x " &amp; 'SAÍDA DE VENDAS'!$G$6:$G$500, MATCH(B1288, 'SAÍDA DE VENDAS'!$B$6:$B$500, 0)+2), ""), "")&amp; IF(COUNTIF('SAÍDA DE VENDAS'!$B$6:$B$500, B1288)&gt;3, " + " &amp; IFERROR(INDEX('SAÍDA DE VENDAS'!$H$6:$H$500 &amp; "x " &amp; 'SAÍDA DE VENDAS'!$G$6:$G$500, MATCH(B1288, 'SAÍDA DE VENDAS'!$B$6:$B$500, 0)+3), ""), "")&amp; IF(COUNTIF('SAÍDA DE VENDAS'!$B$6:$B$500, B1288)&gt;4, " + " &amp; IFERROR(INDEX('SAÍDA DE VENDAS'!$H$6:$H$500 &amp; "x " &amp; 'SAÍDA DE VENDAS'!$G$6:$G$500, MATCH(B1288, 'SAÍDA DE VENDAS'!$B$6:$B$500, 0)+4), ""), "")&amp; IF(COUNTIF('SAÍDA DE VENDAS'!$B$6:$B$500, B1288)&gt;5, " + " &amp; IFERROR(INDEX('SAÍDA DE VENDAS'!$H$6:$H$500 &amp; "x " &amp; 'SAÍDA DE VENDAS'!$G$6:$G$500, MATCH(B1288, 'SAÍDA DE VENDAS'!$B$6:$B$500, 0)+5), ""), ""))</f>
        <v/>
      </c>
      <c r="G1288" s="28">
        <f>IFERROR(VLOOKUP(B1288,'SAÍDA DE VENDAS'!$B$6:$P$500,10,FALSE),"")</f>
        <v>0</v>
      </c>
      <c r="H1288" s="28" t="str">
        <f>IF(OR(ISBLANK(B1288),B1288=""), "", IF(B1288=B1287, (VALUE(LEFT(H1287,FIND("/",H1287)-1))+1)&amp;"/"&amp;RIGHT(H1287,LEN(H1287)-FIND("/",H1287)), "1/"&amp;IFERROR(VLOOKUP(B1288,'SAÍDA DE VENDAS'!$B$6:$P$500,13,FALSE),"1")))</f>
        <v/>
      </c>
      <c r="I1288" s="69" t="str">
        <f t="shared" si="40"/>
        <v/>
      </c>
      <c r="J1288" s="33" t="str">
        <f>IFERROR(VLOOKUP(B1288,'SAÍDA DE VENDAS'!$B$6:$P$500,15,FALSE),"")</f>
        <v/>
      </c>
      <c r="K1288" s="28" t="str">
        <f t="shared" ca="1" si="41"/>
        <v/>
      </c>
      <c r="L1288" s="28"/>
      <c r="M1288" s="28"/>
    </row>
    <row r="1289" spans="2:13" ht="15" customHeight="1" x14ac:dyDescent="0.3">
      <c r="B1289" s="34" t="str">
        <f>IF(B1288="","", IF(VALUE(LEFT(H1288,FIND("/",H1288)-1)) &lt; VALUE(RIGHT(H1288,LEN(H1288)-FIND("/",H1288))), B1288, IFERROR(INDEX('SAÍDA DE VENDAS'!$B$6:$B$500, MATCH(B1288,'SAÍDA DE VENDAS'!$B$6:$B$500,0)+COUNTIF('SAÍDA DE VENDAS'!$B$6:$B$500, B1288)),"")))</f>
        <v/>
      </c>
      <c r="C1289" s="35">
        <f>IFERROR(VLOOKUP(B1289,'SAÍDA DE VENDAS'!$B$6:$P$500,3,FALSE),"")</f>
        <v>0</v>
      </c>
      <c r="D1289" s="34">
        <f>IFERROR(VLOOKUP(B1289,'SAÍDA DE VENDAS'!$B$6:$P$500,4,FALSE),"")</f>
        <v>0</v>
      </c>
      <c r="E1289" s="34" t="str">
        <f>IFERROR(VLOOKUP(B1289,'SAÍDA DE VENDAS'!$B$6:$P$500,5,FALSE),"")</f>
        <v/>
      </c>
      <c r="F1289" s="34" t="str">
        <f>IF(OR(ISBLANK(B1289),B1289=""), "", IFERROR(INDEX('SAÍDA DE VENDAS'!$H$6:$H$500 &amp; "x " &amp; 'SAÍDA DE VENDAS'!$G$6:$G$500, MATCH(B1289, 'SAÍDA DE VENDAS'!$B$6:$B$500, 0)), "")&amp; IF(COUNTIF('SAÍDA DE VENDAS'!$B$6:$B$500, B1289)&gt;1, " + " &amp; IFERROR(INDEX('SAÍDA DE VENDAS'!$H$6:$H$500 &amp; "x " &amp; 'SAÍDA DE VENDAS'!$G$6:$G$500, MATCH(B1289, 'SAÍDA DE VENDAS'!$B$6:$B$500, 0)+1), ""), "")&amp; IF(COUNTIF('SAÍDA DE VENDAS'!$B$6:$B$500, B1289)&gt;2, " + " &amp; IFERROR(INDEX('SAÍDA DE VENDAS'!$H$6:$H$500 &amp; "x " &amp; 'SAÍDA DE VENDAS'!$G$6:$G$500, MATCH(B1289, 'SAÍDA DE VENDAS'!$B$6:$B$500, 0)+2), ""), "")&amp; IF(COUNTIF('SAÍDA DE VENDAS'!$B$6:$B$500, B1289)&gt;3, " + " &amp; IFERROR(INDEX('SAÍDA DE VENDAS'!$H$6:$H$500 &amp; "x " &amp; 'SAÍDA DE VENDAS'!$G$6:$G$500, MATCH(B1289, 'SAÍDA DE VENDAS'!$B$6:$B$500, 0)+3), ""), "")&amp; IF(COUNTIF('SAÍDA DE VENDAS'!$B$6:$B$500, B1289)&gt;4, " + " &amp; IFERROR(INDEX('SAÍDA DE VENDAS'!$H$6:$H$500 &amp; "x " &amp; 'SAÍDA DE VENDAS'!$G$6:$G$500, MATCH(B1289, 'SAÍDA DE VENDAS'!$B$6:$B$500, 0)+4), ""), "")&amp; IF(COUNTIF('SAÍDA DE VENDAS'!$B$6:$B$500, B1289)&gt;5, " + " &amp; IFERROR(INDEX('SAÍDA DE VENDAS'!$H$6:$H$500 &amp; "x " &amp; 'SAÍDA DE VENDAS'!$G$6:$G$500, MATCH(B1289, 'SAÍDA DE VENDAS'!$B$6:$B$500, 0)+5), ""), ""))</f>
        <v/>
      </c>
      <c r="G1289" s="34">
        <f>IFERROR(VLOOKUP(B1289,'SAÍDA DE VENDAS'!$B$6:$P$500,10,FALSE),"")</f>
        <v>0</v>
      </c>
      <c r="H1289" s="34" t="str">
        <f>IF(OR(ISBLANK(B1289),B1289=""), "", IF(B1289=B1288, (VALUE(LEFT(H1288,FIND("/",H1288)-1))+1)&amp;"/"&amp;RIGHT(H1288,LEN(H1288)-FIND("/",H1288)), "1/"&amp;IFERROR(VLOOKUP(B1289,'SAÍDA DE VENDAS'!$B$6:$P$500,13,FALSE),"1")))</f>
        <v/>
      </c>
      <c r="I1289" s="35" t="str">
        <f t="shared" si="40"/>
        <v/>
      </c>
      <c r="J1289" s="39" t="str">
        <f>IFERROR(VLOOKUP(B1289,'SAÍDA DE VENDAS'!$B$6:$P$500,15,FALSE),"")</f>
        <v/>
      </c>
      <c r="K1289" s="34" t="str">
        <f t="shared" ca="1" si="41"/>
        <v/>
      </c>
      <c r="L1289" s="34"/>
      <c r="M1289" s="34"/>
    </row>
    <row r="1290" spans="2:13" ht="15" customHeight="1" x14ac:dyDescent="0.3">
      <c r="B1290" s="28" t="str">
        <f>IF(B1289="","", IF(VALUE(LEFT(H1289,FIND("/",H1289)-1)) &lt; VALUE(RIGHT(H1289,LEN(H1289)-FIND("/",H1289))), B1289, IFERROR(INDEX('SAÍDA DE VENDAS'!$B$6:$B$500, MATCH(B1289,'SAÍDA DE VENDAS'!$B$6:$B$500,0)+COUNTIF('SAÍDA DE VENDAS'!$B$6:$B$500, B1289)),"")))</f>
        <v/>
      </c>
      <c r="C1290" s="29">
        <f>IFERROR(VLOOKUP(B1290,'SAÍDA DE VENDAS'!$B$6:$P$500,3,FALSE),"")</f>
        <v>0</v>
      </c>
      <c r="D1290" s="28">
        <f>IFERROR(VLOOKUP(B1290,'SAÍDA DE VENDAS'!$B$6:$P$500,4,FALSE),"")</f>
        <v>0</v>
      </c>
      <c r="E1290" s="28" t="str">
        <f>IFERROR(VLOOKUP(B1290,'SAÍDA DE VENDAS'!$B$6:$P$500,5,FALSE),"")</f>
        <v/>
      </c>
      <c r="F1290" s="28" t="str">
        <f>IF(OR(ISBLANK(B1290),B1290=""), "", IFERROR(INDEX('SAÍDA DE VENDAS'!$H$6:$H$500 &amp; "x " &amp; 'SAÍDA DE VENDAS'!$G$6:$G$500, MATCH(B1290, 'SAÍDA DE VENDAS'!$B$6:$B$500, 0)), "")&amp; IF(COUNTIF('SAÍDA DE VENDAS'!$B$6:$B$500, B1290)&gt;1, " + " &amp; IFERROR(INDEX('SAÍDA DE VENDAS'!$H$6:$H$500 &amp; "x " &amp; 'SAÍDA DE VENDAS'!$G$6:$G$500, MATCH(B1290, 'SAÍDA DE VENDAS'!$B$6:$B$500, 0)+1), ""), "")&amp; IF(COUNTIF('SAÍDA DE VENDAS'!$B$6:$B$500, B1290)&gt;2, " + " &amp; IFERROR(INDEX('SAÍDA DE VENDAS'!$H$6:$H$500 &amp; "x " &amp; 'SAÍDA DE VENDAS'!$G$6:$G$500, MATCH(B1290, 'SAÍDA DE VENDAS'!$B$6:$B$500, 0)+2), ""), "")&amp; IF(COUNTIF('SAÍDA DE VENDAS'!$B$6:$B$500, B1290)&gt;3, " + " &amp; IFERROR(INDEX('SAÍDA DE VENDAS'!$H$6:$H$500 &amp; "x " &amp; 'SAÍDA DE VENDAS'!$G$6:$G$500, MATCH(B1290, 'SAÍDA DE VENDAS'!$B$6:$B$500, 0)+3), ""), "")&amp; IF(COUNTIF('SAÍDA DE VENDAS'!$B$6:$B$500, B1290)&gt;4, " + " &amp; IFERROR(INDEX('SAÍDA DE VENDAS'!$H$6:$H$500 &amp; "x " &amp; 'SAÍDA DE VENDAS'!$G$6:$G$500, MATCH(B1290, 'SAÍDA DE VENDAS'!$B$6:$B$500, 0)+4), ""), "")&amp; IF(COUNTIF('SAÍDA DE VENDAS'!$B$6:$B$500, B1290)&gt;5, " + " &amp; IFERROR(INDEX('SAÍDA DE VENDAS'!$H$6:$H$500 &amp; "x " &amp; 'SAÍDA DE VENDAS'!$G$6:$G$500, MATCH(B1290, 'SAÍDA DE VENDAS'!$B$6:$B$500, 0)+5), ""), ""))</f>
        <v/>
      </c>
      <c r="G1290" s="28">
        <f>IFERROR(VLOOKUP(B1290,'SAÍDA DE VENDAS'!$B$6:$P$500,10,FALSE),"")</f>
        <v>0</v>
      </c>
      <c r="H1290" s="28" t="str">
        <f>IF(OR(ISBLANK(B1290),B1290=""), "", IF(B1290=B1289, (VALUE(LEFT(H1289,FIND("/",H1289)-1))+1)&amp;"/"&amp;RIGHT(H1289,LEN(H1289)-FIND("/",H1289)), "1/"&amp;IFERROR(VLOOKUP(B1290,'SAÍDA DE VENDAS'!$B$6:$P$500,13,FALSE),"1")))</f>
        <v/>
      </c>
      <c r="I1290" s="69" t="str">
        <f t="shared" si="40"/>
        <v/>
      </c>
      <c r="J1290" s="33" t="str">
        <f>IFERROR(VLOOKUP(B1290,'SAÍDA DE VENDAS'!$B$6:$P$500,15,FALSE),"")</f>
        <v/>
      </c>
      <c r="K1290" s="28" t="str">
        <f t="shared" ca="1" si="41"/>
        <v/>
      </c>
      <c r="L1290" s="28"/>
      <c r="M1290" s="28"/>
    </row>
    <row r="1291" spans="2:13" ht="15" customHeight="1" x14ac:dyDescent="0.3">
      <c r="B1291" s="34" t="str">
        <f>IF(B1290="","", IF(VALUE(LEFT(H1290,FIND("/",H1290)-1)) &lt; VALUE(RIGHT(H1290,LEN(H1290)-FIND("/",H1290))), B1290, IFERROR(INDEX('SAÍDA DE VENDAS'!$B$6:$B$500, MATCH(B1290,'SAÍDA DE VENDAS'!$B$6:$B$500,0)+COUNTIF('SAÍDA DE VENDAS'!$B$6:$B$500, B1290)),"")))</f>
        <v/>
      </c>
      <c r="C1291" s="35">
        <f>IFERROR(VLOOKUP(B1291,'SAÍDA DE VENDAS'!$B$6:$P$500,3,FALSE),"")</f>
        <v>0</v>
      </c>
      <c r="D1291" s="34">
        <f>IFERROR(VLOOKUP(B1291,'SAÍDA DE VENDAS'!$B$6:$P$500,4,FALSE),"")</f>
        <v>0</v>
      </c>
      <c r="E1291" s="34" t="str">
        <f>IFERROR(VLOOKUP(B1291,'SAÍDA DE VENDAS'!$B$6:$P$500,5,FALSE),"")</f>
        <v/>
      </c>
      <c r="F1291" s="34" t="str">
        <f>IF(OR(ISBLANK(B1291),B1291=""), "", IFERROR(INDEX('SAÍDA DE VENDAS'!$H$6:$H$500 &amp; "x " &amp; 'SAÍDA DE VENDAS'!$G$6:$G$500, MATCH(B1291, 'SAÍDA DE VENDAS'!$B$6:$B$500, 0)), "")&amp; IF(COUNTIF('SAÍDA DE VENDAS'!$B$6:$B$500, B1291)&gt;1, " + " &amp; IFERROR(INDEX('SAÍDA DE VENDAS'!$H$6:$H$500 &amp; "x " &amp; 'SAÍDA DE VENDAS'!$G$6:$G$500, MATCH(B1291, 'SAÍDA DE VENDAS'!$B$6:$B$500, 0)+1), ""), "")&amp; IF(COUNTIF('SAÍDA DE VENDAS'!$B$6:$B$500, B1291)&gt;2, " + " &amp; IFERROR(INDEX('SAÍDA DE VENDAS'!$H$6:$H$500 &amp; "x " &amp; 'SAÍDA DE VENDAS'!$G$6:$G$500, MATCH(B1291, 'SAÍDA DE VENDAS'!$B$6:$B$500, 0)+2), ""), "")&amp; IF(COUNTIF('SAÍDA DE VENDAS'!$B$6:$B$500, B1291)&gt;3, " + " &amp; IFERROR(INDEX('SAÍDA DE VENDAS'!$H$6:$H$500 &amp; "x " &amp; 'SAÍDA DE VENDAS'!$G$6:$G$500, MATCH(B1291, 'SAÍDA DE VENDAS'!$B$6:$B$500, 0)+3), ""), "")&amp; IF(COUNTIF('SAÍDA DE VENDAS'!$B$6:$B$500, B1291)&gt;4, " + " &amp; IFERROR(INDEX('SAÍDA DE VENDAS'!$H$6:$H$500 &amp; "x " &amp; 'SAÍDA DE VENDAS'!$G$6:$G$500, MATCH(B1291, 'SAÍDA DE VENDAS'!$B$6:$B$500, 0)+4), ""), "")&amp; IF(COUNTIF('SAÍDA DE VENDAS'!$B$6:$B$500, B1291)&gt;5, " + " &amp; IFERROR(INDEX('SAÍDA DE VENDAS'!$H$6:$H$500 &amp; "x " &amp; 'SAÍDA DE VENDAS'!$G$6:$G$500, MATCH(B1291, 'SAÍDA DE VENDAS'!$B$6:$B$500, 0)+5), ""), ""))</f>
        <v/>
      </c>
      <c r="G1291" s="34">
        <f>IFERROR(VLOOKUP(B1291,'SAÍDA DE VENDAS'!$B$6:$P$500,10,FALSE),"")</f>
        <v>0</v>
      </c>
      <c r="H1291" s="34" t="str">
        <f>IF(OR(ISBLANK(B1291),B1291=""), "", IF(B1291=B1290, (VALUE(LEFT(H1290,FIND("/",H1290)-1))+1)&amp;"/"&amp;RIGHT(H1290,LEN(H1290)-FIND("/",H1290)), "1/"&amp;IFERROR(VLOOKUP(B1291,'SAÍDA DE VENDAS'!$B$6:$P$500,13,FALSE),"1")))</f>
        <v/>
      </c>
      <c r="I1291" s="35" t="str">
        <f t="shared" si="40"/>
        <v/>
      </c>
      <c r="J1291" s="39" t="str">
        <f>IFERROR(VLOOKUP(B1291,'SAÍDA DE VENDAS'!$B$6:$P$500,15,FALSE),"")</f>
        <v/>
      </c>
      <c r="K1291" s="34" t="str">
        <f t="shared" ca="1" si="41"/>
        <v/>
      </c>
      <c r="L1291" s="34"/>
      <c r="M1291" s="34"/>
    </row>
    <row r="1292" spans="2:13" ht="15" customHeight="1" x14ac:dyDescent="0.3">
      <c r="B1292" s="28" t="str">
        <f>IF(B1291="","", IF(VALUE(LEFT(H1291,FIND("/",H1291)-1)) &lt; VALUE(RIGHT(H1291,LEN(H1291)-FIND("/",H1291))), B1291, IFERROR(INDEX('SAÍDA DE VENDAS'!$B$6:$B$500, MATCH(B1291,'SAÍDA DE VENDAS'!$B$6:$B$500,0)+COUNTIF('SAÍDA DE VENDAS'!$B$6:$B$500, B1291)),"")))</f>
        <v/>
      </c>
      <c r="C1292" s="29">
        <f>IFERROR(VLOOKUP(B1292,'SAÍDA DE VENDAS'!$B$6:$P$500,3,FALSE),"")</f>
        <v>0</v>
      </c>
      <c r="D1292" s="28">
        <f>IFERROR(VLOOKUP(B1292,'SAÍDA DE VENDAS'!$B$6:$P$500,4,FALSE),"")</f>
        <v>0</v>
      </c>
      <c r="E1292" s="28" t="str">
        <f>IFERROR(VLOOKUP(B1292,'SAÍDA DE VENDAS'!$B$6:$P$500,5,FALSE),"")</f>
        <v/>
      </c>
      <c r="F1292" s="28" t="str">
        <f>IF(OR(ISBLANK(B1292),B1292=""), "", IFERROR(INDEX('SAÍDA DE VENDAS'!$H$6:$H$500 &amp; "x " &amp; 'SAÍDA DE VENDAS'!$G$6:$G$500, MATCH(B1292, 'SAÍDA DE VENDAS'!$B$6:$B$500, 0)), "")&amp; IF(COUNTIF('SAÍDA DE VENDAS'!$B$6:$B$500, B1292)&gt;1, " + " &amp; IFERROR(INDEX('SAÍDA DE VENDAS'!$H$6:$H$500 &amp; "x " &amp; 'SAÍDA DE VENDAS'!$G$6:$G$500, MATCH(B1292, 'SAÍDA DE VENDAS'!$B$6:$B$500, 0)+1), ""), "")&amp; IF(COUNTIF('SAÍDA DE VENDAS'!$B$6:$B$500, B1292)&gt;2, " + " &amp; IFERROR(INDEX('SAÍDA DE VENDAS'!$H$6:$H$500 &amp; "x " &amp; 'SAÍDA DE VENDAS'!$G$6:$G$500, MATCH(B1292, 'SAÍDA DE VENDAS'!$B$6:$B$500, 0)+2), ""), "")&amp; IF(COUNTIF('SAÍDA DE VENDAS'!$B$6:$B$500, B1292)&gt;3, " + " &amp; IFERROR(INDEX('SAÍDA DE VENDAS'!$H$6:$H$500 &amp; "x " &amp; 'SAÍDA DE VENDAS'!$G$6:$G$500, MATCH(B1292, 'SAÍDA DE VENDAS'!$B$6:$B$500, 0)+3), ""), "")&amp; IF(COUNTIF('SAÍDA DE VENDAS'!$B$6:$B$500, B1292)&gt;4, " + " &amp; IFERROR(INDEX('SAÍDA DE VENDAS'!$H$6:$H$500 &amp; "x " &amp; 'SAÍDA DE VENDAS'!$G$6:$G$500, MATCH(B1292, 'SAÍDA DE VENDAS'!$B$6:$B$500, 0)+4), ""), "")&amp; IF(COUNTIF('SAÍDA DE VENDAS'!$B$6:$B$500, B1292)&gt;5, " + " &amp; IFERROR(INDEX('SAÍDA DE VENDAS'!$H$6:$H$500 &amp; "x " &amp; 'SAÍDA DE VENDAS'!$G$6:$G$500, MATCH(B1292, 'SAÍDA DE VENDAS'!$B$6:$B$500, 0)+5), ""), ""))</f>
        <v/>
      </c>
      <c r="G1292" s="28">
        <f>IFERROR(VLOOKUP(B1292,'SAÍDA DE VENDAS'!$B$6:$P$500,10,FALSE),"")</f>
        <v>0</v>
      </c>
      <c r="H1292" s="28" t="str">
        <f>IF(OR(ISBLANK(B1292),B1292=""), "", IF(B1292=B1291, (VALUE(LEFT(H1291,FIND("/",H1291)-1))+1)&amp;"/"&amp;RIGHT(H1291,LEN(H1291)-FIND("/",H1291)), "1/"&amp;IFERROR(VLOOKUP(B1292,'SAÍDA DE VENDAS'!$B$6:$P$500,13,FALSE),"1")))</f>
        <v/>
      </c>
      <c r="I1292" s="69" t="str">
        <f t="shared" si="40"/>
        <v/>
      </c>
      <c r="J1292" s="33" t="str">
        <f>IFERROR(VLOOKUP(B1292,'SAÍDA DE VENDAS'!$B$6:$P$500,15,FALSE),"")</f>
        <v/>
      </c>
      <c r="K1292" s="28" t="str">
        <f t="shared" ca="1" si="41"/>
        <v/>
      </c>
      <c r="L1292" s="28"/>
      <c r="M1292" s="28"/>
    </row>
    <row r="1293" spans="2:13" ht="15" customHeight="1" x14ac:dyDescent="0.3">
      <c r="B1293" s="34" t="str">
        <f>IF(B1292="","", IF(VALUE(LEFT(H1292,FIND("/",H1292)-1)) &lt; VALUE(RIGHT(H1292,LEN(H1292)-FIND("/",H1292))), B1292, IFERROR(INDEX('SAÍDA DE VENDAS'!$B$6:$B$500, MATCH(B1292,'SAÍDA DE VENDAS'!$B$6:$B$500,0)+COUNTIF('SAÍDA DE VENDAS'!$B$6:$B$500, B1292)),"")))</f>
        <v/>
      </c>
      <c r="C1293" s="35">
        <f>IFERROR(VLOOKUP(B1293,'SAÍDA DE VENDAS'!$B$6:$P$500,3,FALSE),"")</f>
        <v>0</v>
      </c>
      <c r="D1293" s="34">
        <f>IFERROR(VLOOKUP(B1293,'SAÍDA DE VENDAS'!$B$6:$P$500,4,FALSE),"")</f>
        <v>0</v>
      </c>
      <c r="E1293" s="34" t="str">
        <f>IFERROR(VLOOKUP(B1293,'SAÍDA DE VENDAS'!$B$6:$P$500,5,FALSE),"")</f>
        <v/>
      </c>
      <c r="F1293" s="34" t="str">
        <f>IF(OR(ISBLANK(B1293),B1293=""), "", IFERROR(INDEX('SAÍDA DE VENDAS'!$H$6:$H$500 &amp; "x " &amp; 'SAÍDA DE VENDAS'!$G$6:$G$500, MATCH(B1293, 'SAÍDA DE VENDAS'!$B$6:$B$500, 0)), "")&amp; IF(COUNTIF('SAÍDA DE VENDAS'!$B$6:$B$500, B1293)&gt;1, " + " &amp; IFERROR(INDEX('SAÍDA DE VENDAS'!$H$6:$H$500 &amp; "x " &amp; 'SAÍDA DE VENDAS'!$G$6:$G$500, MATCH(B1293, 'SAÍDA DE VENDAS'!$B$6:$B$500, 0)+1), ""), "")&amp; IF(COUNTIF('SAÍDA DE VENDAS'!$B$6:$B$500, B1293)&gt;2, " + " &amp; IFERROR(INDEX('SAÍDA DE VENDAS'!$H$6:$H$500 &amp; "x " &amp; 'SAÍDA DE VENDAS'!$G$6:$G$500, MATCH(B1293, 'SAÍDA DE VENDAS'!$B$6:$B$500, 0)+2), ""), "")&amp; IF(COUNTIF('SAÍDA DE VENDAS'!$B$6:$B$500, B1293)&gt;3, " + " &amp; IFERROR(INDEX('SAÍDA DE VENDAS'!$H$6:$H$500 &amp; "x " &amp; 'SAÍDA DE VENDAS'!$G$6:$G$500, MATCH(B1293, 'SAÍDA DE VENDAS'!$B$6:$B$500, 0)+3), ""), "")&amp; IF(COUNTIF('SAÍDA DE VENDAS'!$B$6:$B$500, B1293)&gt;4, " + " &amp; IFERROR(INDEX('SAÍDA DE VENDAS'!$H$6:$H$500 &amp; "x " &amp; 'SAÍDA DE VENDAS'!$G$6:$G$500, MATCH(B1293, 'SAÍDA DE VENDAS'!$B$6:$B$500, 0)+4), ""), "")&amp; IF(COUNTIF('SAÍDA DE VENDAS'!$B$6:$B$500, B1293)&gt;5, " + " &amp; IFERROR(INDEX('SAÍDA DE VENDAS'!$H$6:$H$500 &amp; "x " &amp; 'SAÍDA DE VENDAS'!$G$6:$G$500, MATCH(B1293, 'SAÍDA DE VENDAS'!$B$6:$B$500, 0)+5), ""), ""))</f>
        <v/>
      </c>
      <c r="G1293" s="34">
        <f>IFERROR(VLOOKUP(B1293,'SAÍDA DE VENDAS'!$B$6:$P$500,10,FALSE),"")</f>
        <v>0</v>
      </c>
      <c r="H1293" s="34" t="str">
        <f>IF(OR(ISBLANK(B1293),B1293=""), "", IF(B1293=B1292, (VALUE(LEFT(H1292,FIND("/",H1292)-1))+1)&amp;"/"&amp;RIGHT(H1292,LEN(H1292)-FIND("/",H1292)), "1/"&amp;IFERROR(VLOOKUP(B1293,'SAÍDA DE VENDAS'!$B$6:$P$500,13,FALSE),"1")))</f>
        <v/>
      </c>
      <c r="I1293" s="35" t="str">
        <f t="shared" si="40"/>
        <v/>
      </c>
      <c r="J1293" s="39" t="str">
        <f>IFERROR(VLOOKUP(B1293,'SAÍDA DE VENDAS'!$B$6:$P$500,15,FALSE),"")</f>
        <v/>
      </c>
      <c r="K1293" s="34" t="str">
        <f t="shared" ca="1" si="41"/>
        <v/>
      </c>
      <c r="L1293" s="34"/>
      <c r="M1293" s="34"/>
    </row>
    <row r="1294" spans="2:13" ht="15" customHeight="1" x14ac:dyDescent="0.3">
      <c r="B1294" s="28" t="str">
        <f>IF(B1293="","", IF(VALUE(LEFT(H1293,FIND("/",H1293)-1)) &lt; VALUE(RIGHT(H1293,LEN(H1293)-FIND("/",H1293))), B1293, IFERROR(INDEX('SAÍDA DE VENDAS'!$B$6:$B$500, MATCH(B1293,'SAÍDA DE VENDAS'!$B$6:$B$500,0)+COUNTIF('SAÍDA DE VENDAS'!$B$6:$B$500, B1293)),"")))</f>
        <v/>
      </c>
      <c r="C1294" s="29">
        <f>IFERROR(VLOOKUP(B1294,'SAÍDA DE VENDAS'!$B$6:$P$500,3,FALSE),"")</f>
        <v>0</v>
      </c>
      <c r="D1294" s="28">
        <f>IFERROR(VLOOKUP(B1294,'SAÍDA DE VENDAS'!$B$6:$P$500,4,FALSE),"")</f>
        <v>0</v>
      </c>
      <c r="E1294" s="28" t="str">
        <f>IFERROR(VLOOKUP(B1294,'SAÍDA DE VENDAS'!$B$6:$P$500,5,FALSE),"")</f>
        <v/>
      </c>
      <c r="F1294" s="28" t="str">
        <f>IF(OR(ISBLANK(B1294),B1294=""), "", IFERROR(INDEX('SAÍDA DE VENDAS'!$H$6:$H$500 &amp; "x " &amp; 'SAÍDA DE VENDAS'!$G$6:$G$500, MATCH(B1294, 'SAÍDA DE VENDAS'!$B$6:$B$500, 0)), "")&amp; IF(COUNTIF('SAÍDA DE VENDAS'!$B$6:$B$500, B1294)&gt;1, " + " &amp; IFERROR(INDEX('SAÍDA DE VENDAS'!$H$6:$H$500 &amp; "x " &amp; 'SAÍDA DE VENDAS'!$G$6:$G$500, MATCH(B1294, 'SAÍDA DE VENDAS'!$B$6:$B$500, 0)+1), ""), "")&amp; IF(COUNTIF('SAÍDA DE VENDAS'!$B$6:$B$500, B1294)&gt;2, " + " &amp; IFERROR(INDEX('SAÍDA DE VENDAS'!$H$6:$H$500 &amp; "x " &amp; 'SAÍDA DE VENDAS'!$G$6:$G$500, MATCH(B1294, 'SAÍDA DE VENDAS'!$B$6:$B$500, 0)+2), ""), "")&amp; IF(COUNTIF('SAÍDA DE VENDAS'!$B$6:$B$500, B1294)&gt;3, " + " &amp; IFERROR(INDEX('SAÍDA DE VENDAS'!$H$6:$H$500 &amp; "x " &amp; 'SAÍDA DE VENDAS'!$G$6:$G$500, MATCH(B1294, 'SAÍDA DE VENDAS'!$B$6:$B$500, 0)+3), ""), "")&amp; IF(COUNTIF('SAÍDA DE VENDAS'!$B$6:$B$500, B1294)&gt;4, " + " &amp; IFERROR(INDEX('SAÍDA DE VENDAS'!$H$6:$H$500 &amp; "x " &amp; 'SAÍDA DE VENDAS'!$G$6:$G$500, MATCH(B1294, 'SAÍDA DE VENDAS'!$B$6:$B$500, 0)+4), ""), "")&amp; IF(COUNTIF('SAÍDA DE VENDAS'!$B$6:$B$500, B1294)&gt;5, " + " &amp; IFERROR(INDEX('SAÍDA DE VENDAS'!$H$6:$H$500 &amp; "x " &amp; 'SAÍDA DE VENDAS'!$G$6:$G$500, MATCH(B1294, 'SAÍDA DE VENDAS'!$B$6:$B$500, 0)+5), ""), ""))</f>
        <v/>
      </c>
      <c r="G1294" s="28">
        <f>IFERROR(VLOOKUP(B1294,'SAÍDA DE VENDAS'!$B$6:$P$500,10,FALSE),"")</f>
        <v>0</v>
      </c>
      <c r="H1294" s="28" t="str">
        <f>IF(OR(ISBLANK(B1294),B1294=""), "", IF(B1294=B1293, (VALUE(LEFT(H1293,FIND("/",H1293)-1))+1)&amp;"/"&amp;RIGHT(H1293,LEN(H1293)-FIND("/",H1293)), "1/"&amp;IFERROR(VLOOKUP(B1294,'SAÍDA DE VENDAS'!$B$6:$P$500,13,FALSE),"1")))</f>
        <v/>
      </c>
      <c r="I1294" s="69" t="str">
        <f t="shared" si="40"/>
        <v/>
      </c>
      <c r="J1294" s="33" t="str">
        <f>IFERROR(VLOOKUP(B1294,'SAÍDA DE VENDAS'!$B$6:$P$500,15,FALSE),"")</f>
        <v/>
      </c>
      <c r="K1294" s="28" t="str">
        <f t="shared" ca="1" si="41"/>
        <v/>
      </c>
      <c r="L1294" s="28"/>
      <c r="M1294" s="28"/>
    </row>
    <row r="1295" spans="2:13" ht="15" customHeight="1" x14ac:dyDescent="0.3">
      <c r="B1295" s="34" t="str">
        <f>IF(B1294="","", IF(VALUE(LEFT(H1294,FIND("/",H1294)-1)) &lt; VALUE(RIGHT(H1294,LEN(H1294)-FIND("/",H1294))), B1294, IFERROR(INDEX('SAÍDA DE VENDAS'!$B$6:$B$500, MATCH(B1294,'SAÍDA DE VENDAS'!$B$6:$B$500,0)+COUNTIF('SAÍDA DE VENDAS'!$B$6:$B$500, B1294)),"")))</f>
        <v/>
      </c>
      <c r="C1295" s="35">
        <f>IFERROR(VLOOKUP(B1295,'SAÍDA DE VENDAS'!$B$6:$P$500,3,FALSE),"")</f>
        <v>0</v>
      </c>
      <c r="D1295" s="34">
        <f>IFERROR(VLOOKUP(B1295,'SAÍDA DE VENDAS'!$B$6:$P$500,4,FALSE),"")</f>
        <v>0</v>
      </c>
      <c r="E1295" s="34" t="str">
        <f>IFERROR(VLOOKUP(B1295,'SAÍDA DE VENDAS'!$B$6:$P$500,5,FALSE),"")</f>
        <v/>
      </c>
      <c r="F1295" s="34" t="str">
        <f>IF(OR(ISBLANK(B1295),B1295=""), "", IFERROR(INDEX('SAÍDA DE VENDAS'!$H$6:$H$500 &amp; "x " &amp; 'SAÍDA DE VENDAS'!$G$6:$G$500, MATCH(B1295, 'SAÍDA DE VENDAS'!$B$6:$B$500, 0)), "")&amp; IF(COUNTIF('SAÍDA DE VENDAS'!$B$6:$B$500, B1295)&gt;1, " + " &amp; IFERROR(INDEX('SAÍDA DE VENDAS'!$H$6:$H$500 &amp; "x " &amp; 'SAÍDA DE VENDAS'!$G$6:$G$500, MATCH(B1295, 'SAÍDA DE VENDAS'!$B$6:$B$500, 0)+1), ""), "")&amp; IF(COUNTIF('SAÍDA DE VENDAS'!$B$6:$B$500, B1295)&gt;2, " + " &amp; IFERROR(INDEX('SAÍDA DE VENDAS'!$H$6:$H$500 &amp; "x " &amp; 'SAÍDA DE VENDAS'!$G$6:$G$500, MATCH(B1295, 'SAÍDA DE VENDAS'!$B$6:$B$500, 0)+2), ""), "")&amp; IF(COUNTIF('SAÍDA DE VENDAS'!$B$6:$B$500, B1295)&gt;3, " + " &amp; IFERROR(INDEX('SAÍDA DE VENDAS'!$H$6:$H$500 &amp; "x " &amp; 'SAÍDA DE VENDAS'!$G$6:$G$500, MATCH(B1295, 'SAÍDA DE VENDAS'!$B$6:$B$500, 0)+3), ""), "")&amp; IF(COUNTIF('SAÍDA DE VENDAS'!$B$6:$B$500, B1295)&gt;4, " + " &amp; IFERROR(INDEX('SAÍDA DE VENDAS'!$H$6:$H$500 &amp; "x " &amp; 'SAÍDA DE VENDAS'!$G$6:$G$500, MATCH(B1295, 'SAÍDA DE VENDAS'!$B$6:$B$500, 0)+4), ""), "")&amp; IF(COUNTIF('SAÍDA DE VENDAS'!$B$6:$B$500, B1295)&gt;5, " + " &amp; IFERROR(INDEX('SAÍDA DE VENDAS'!$H$6:$H$500 &amp; "x " &amp; 'SAÍDA DE VENDAS'!$G$6:$G$500, MATCH(B1295, 'SAÍDA DE VENDAS'!$B$6:$B$500, 0)+5), ""), ""))</f>
        <v/>
      </c>
      <c r="G1295" s="34">
        <f>IFERROR(VLOOKUP(B1295,'SAÍDA DE VENDAS'!$B$6:$P$500,10,FALSE),"")</f>
        <v>0</v>
      </c>
      <c r="H1295" s="34" t="str">
        <f>IF(OR(ISBLANK(B1295),B1295=""), "", IF(B1295=B1294, (VALUE(LEFT(H1294,FIND("/",H1294)-1))+1)&amp;"/"&amp;RIGHT(H1294,LEN(H1294)-FIND("/",H1294)), "1/"&amp;IFERROR(VLOOKUP(B1295,'SAÍDA DE VENDAS'!$B$6:$P$500,13,FALSE),"1")))</f>
        <v/>
      </c>
      <c r="I1295" s="35" t="str">
        <f t="shared" si="40"/>
        <v/>
      </c>
      <c r="J1295" s="39" t="str">
        <f>IFERROR(VLOOKUP(B1295,'SAÍDA DE VENDAS'!$B$6:$P$500,15,FALSE),"")</f>
        <v/>
      </c>
      <c r="K1295" s="34" t="str">
        <f t="shared" ca="1" si="41"/>
        <v/>
      </c>
      <c r="L1295" s="34"/>
      <c r="M1295" s="34"/>
    </row>
    <row r="1296" spans="2:13" ht="15" customHeight="1" x14ac:dyDescent="0.3">
      <c r="B1296" s="28" t="str">
        <f>IF(B1295="","", IF(VALUE(LEFT(H1295,FIND("/",H1295)-1)) &lt; VALUE(RIGHT(H1295,LEN(H1295)-FIND("/",H1295))), B1295, IFERROR(INDEX('SAÍDA DE VENDAS'!$B$6:$B$500, MATCH(B1295,'SAÍDA DE VENDAS'!$B$6:$B$500,0)+COUNTIF('SAÍDA DE VENDAS'!$B$6:$B$500, B1295)),"")))</f>
        <v/>
      </c>
      <c r="C1296" s="29">
        <f>IFERROR(VLOOKUP(B1296,'SAÍDA DE VENDAS'!$B$6:$P$500,3,FALSE),"")</f>
        <v>0</v>
      </c>
      <c r="D1296" s="28">
        <f>IFERROR(VLOOKUP(B1296,'SAÍDA DE VENDAS'!$B$6:$P$500,4,FALSE),"")</f>
        <v>0</v>
      </c>
      <c r="E1296" s="28" t="str">
        <f>IFERROR(VLOOKUP(B1296,'SAÍDA DE VENDAS'!$B$6:$P$500,5,FALSE),"")</f>
        <v/>
      </c>
      <c r="F1296" s="28" t="str">
        <f>IF(OR(ISBLANK(B1296),B1296=""), "", IFERROR(INDEX('SAÍDA DE VENDAS'!$H$6:$H$500 &amp; "x " &amp; 'SAÍDA DE VENDAS'!$G$6:$G$500, MATCH(B1296, 'SAÍDA DE VENDAS'!$B$6:$B$500, 0)), "")&amp; IF(COUNTIF('SAÍDA DE VENDAS'!$B$6:$B$500, B1296)&gt;1, " + " &amp; IFERROR(INDEX('SAÍDA DE VENDAS'!$H$6:$H$500 &amp; "x " &amp; 'SAÍDA DE VENDAS'!$G$6:$G$500, MATCH(B1296, 'SAÍDA DE VENDAS'!$B$6:$B$500, 0)+1), ""), "")&amp; IF(COUNTIF('SAÍDA DE VENDAS'!$B$6:$B$500, B1296)&gt;2, " + " &amp; IFERROR(INDEX('SAÍDA DE VENDAS'!$H$6:$H$500 &amp; "x " &amp; 'SAÍDA DE VENDAS'!$G$6:$G$500, MATCH(B1296, 'SAÍDA DE VENDAS'!$B$6:$B$500, 0)+2), ""), "")&amp; IF(COUNTIF('SAÍDA DE VENDAS'!$B$6:$B$500, B1296)&gt;3, " + " &amp; IFERROR(INDEX('SAÍDA DE VENDAS'!$H$6:$H$500 &amp; "x " &amp; 'SAÍDA DE VENDAS'!$G$6:$G$500, MATCH(B1296, 'SAÍDA DE VENDAS'!$B$6:$B$500, 0)+3), ""), "")&amp; IF(COUNTIF('SAÍDA DE VENDAS'!$B$6:$B$500, B1296)&gt;4, " + " &amp; IFERROR(INDEX('SAÍDA DE VENDAS'!$H$6:$H$500 &amp; "x " &amp; 'SAÍDA DE VENDAS'!$G$6:$G$500, MATCH(B1296, 'SAÍDA DE VENDAS'!$B$6:$B$500, 0)+4), ""), "")&amp; IF(COUNTIF('SAÍDA DE VENDAS'!$B$6:$B$500, B1296)&gt;5, " + " &amp; IFERROR(INDEX('SAÍDA DE VENDAS'!$H$6:$H$500 &amp; "x " &amp; 'SAÍDA DE VENDAS'!$G$6:$G$500, MATCH(B1296, 'SAÍDA DE VENDAS'!$B$6:$B$500, 0)+5), ""), ""))</f>
        <v/>
      </c>
      <c r="G1296" s="28">
        <f>IFERROR(VLOOKUP(B1296,'SAÍDA DE VENDAS'!$B$6:$P$500,10,FALSE),"")</f>
        <v>0</v>
      </c>
      <c r="H1296" s="28" t="str">
        <f>IF(OR(ISBLANK(B1296),B1296=""), "", IF(B1296=B1295, (VALUE(LEFT(H1295,FIND("/",H1295)-1))+1)&amp;"/"&amp;RIGHT(H1295,LEN(H1295)-FIND("/",H1295)), "1/"&amp;IFERROR(VLOOKUP(B1296,'SAÍDA DE VENDAS'!$B$6:$P$500,13,FALSE),"1")))</f>
        <v/>
      </c>
      <c r="I1296" s="69" t="str">
        <f t="shared" si="40"/>
        <v/>
      </c>
      <c r="J1296" s="33" t="str">
        <f>IFERROR(VLOOKUP(B1296,'SAÍDA DE VENDAS'!$B$6:$P$500,15,FALSE),"")</f>
        <v/>
      </c>
      <c r="K1296" s="28" t="str">
        <f t="shared" ca="1" si="41"/>
        <v/>
      </c>
      <c r="L1296" s="28"/>
      <c r="M1296" s="28"/>
    </row>
    <row r="1297" spans="2:13" ht="15" customHeight="1" x14ac:dyDescent="0.3">
      <c r="B1297" s="34" t="str">
        <f>IF(B1296="","", IF(VALUE(LEFT(H1296,FIND("/",H1296)-1)) &lt; VALUE(RIGHT(H1296,LEN(H1296)-FIND("/",H1296))), B1296, IFERROR(INDEX('SAÍDA DE VENDAS'!$B$6:$B$500, MATCH(B1296,'SAÍDA DE VENDAS'!$B$6:$B$500,0)+COUNTIF('SAÍDA DE VENDAS'!$B$6:$B$500, B1296)),"")))</f>
        <v/>
      </c>
      <c r="C1297" s="35">
        <f>IFERROR(VLOOKUP(B1297,'SAÍDA DE VENDAS'!$B$6:$P$500,3,FALSE),"")</f>
        <v>0</v>
      </c>
      <c r="D1297" s="34">
        <f>IFERROR(VLOOKUP(B1297,'SAÍDA DE VENDAS'!$B$6:$P$500,4,FALSE),"")</f>
        <v>0</v>
      </c>
      <c r="E1297" s="34" t="str">
        <f>IFERROR(VLOOKUP(B1297,'SAÍDA DE VENDAS'!$B$6:$P$500,5,FALSE),"")</f>
        <v/>
      </c>
      <c r="F1297" s="34" t="str">
        <f>IF(OR(ISBLANK(B1297),B1297=""), "", IFERROR(INDEX('SAÍDA DE VENDAS'!$H$6:$H$500 &amp; "x " &amp; 'SAÍDA DE VENDAS'!$G$6:$G$500, MATCH(B1297, 'SAÍDA DE VENDAS'!$B$6:$B$500, 0)), "")&amp; IF(COUNTIF('SAÍDA DE VENDAS'!$B$6:$B$500, B1297)&gt;1, " + " &amp; IFERROR(INDEX('SAÍDA DE VENDAS'!$H$6:$H$500 &amp; "x " &amp; 'SAÍDA DE VENDAS'!$G$6:$G$500, MATCH(B1297, 'SAÍDA DE VENDAS'!$B$6:$B$500, 0)+1), ""), "")&amp; IF(COUNTIF('SAÍDA DE VENDAS'!$B$6:$B$500, B1297)&gt;2, " + " &amp; IFERROR(INDEX('SAÍDA DE VENDAS'!$H$6:$H$500 &amp; "x " &amp; 'SAÍDA DE VENDAS'!$G$6:$G$500, MATCH(B1297, 'SAÍDA DE VENDAS'!$B$6:$B$500, 0)+2), ""), "")&amp; IF(COUNTIF('SAÍDA DE VENDAS'!$B$6:$B$500, B1297)&gt;3, " + " &amp; IFERROR(INDEX('SAÍDA DE VENDAS'!$H$6:$H$500 &amp; "x " &amp; 'SAÍDA DE VENDAS'!$G$6:$G$500, MATCH(B1297, 'SAÍDA DE VENDAS'!$B$6:$B$500, 0)+3), ""), "")&amp; IF(COUNTIF('SAÍDA DE VENDAS'!$B$6:$B$500, B1297)&gt;4, " + " &amp; IFERROR(INDEX('SAÍDA DE VENDAS'!$H$6:$H$500 &amp; "x " &amp; 'SAÍDA DE VENDAS'!$G$6:$G$500, MATCH(B1297, 'SAÍDA DE VENDAS'!$B$6:$B$500, 0)+4), ""), "")&amp; IF(COUNTIF('SAÍDA DE VENDAS'!$B$6:$B$500, B1297)&gt;5, " + " &amp; IFERROR(INDEX('SAÍDA DE VENDAS'!$H$6:$H$500 &amp; "x " &amp; 'SAÍDA DE VENDAS'!$G$6:$G$500, MATCH(B1297, 'SAÍDA DE VENDAS'!$B$6:$B$500, 0)+5), ""), ""))</f>
        <v/>
      </c>
      <c r="G1297" s="34">
        <f>IFERROR(VLOOKUP(B1297,'SAÍDA DE VENDAS'!$B$6:$P$500,10,FALSE),"")</f>
        <v>0</v>
      </c>
      <c r="H1297" s="34" t="str">
        <f>IF(OR(ISBLANK(B1297),B1297=""), "", IF(B1297=B1296, (VALUE(LEFT(H1296,FIND("/",H1296)-1))+1)&amp;"/"&amp;RIGHT(H1296,LEN(H1296)-FIND("/",H1296)), "1/"&amp;IFERROR(VLOOKUP(B1297,'SAÍDA DE VENDAS'!$B$6:$P$500,13,FALSE),"1")))</f>
        <v/>
      </c>
      <c r="I1297" s="35" t="str">
        <f t="shared" si="40"/>
        <v/>
      </c>
      <c r="J1297" s="39" t="str">
        <f>IFERROR(VLOOKUP(B1297,'SAÍDA DE VENDAS'!$B$6:$P$500,15,FALSE),"")</f>
        <v/>
      </c>
      <c r="K1297" s="34" t="str">
        <f t="shared" ca="1" si="41"/>
        <v/>
      </c>
      <c r="L1297" s="34"/>
      <c r="M1297" s="34"/>
    </row>
    <row r="1298" spans="2:13" ht="15" customHeight="1" x14ac:dyDescent="0.3">
      <c r="B1298" s="28" t="str">
        <f>IF(B1297="","", IF(VALUE(LEFT(H1297,FIND("/",H1297)-1)) &lt; VALUE(RIGHT(H1297,LEN(H1297)-FIND("/",H1297))), B1297, IFERROR(INDEX('SAÍDA DE VENDAS'!$B$6:$B$500, MATCH(B1297,'SAÍDA DE VENDAS'!$B$6:$B$500,0)+COUNTIF('SAÍDA DE VENDAS'!$B$6:$B$500, B1297)),"")))</f>
        <v/>
      </c>
      <c r="C1298" s="29">
        <f>IFERROR(VLOOKUP(B1298,'SAÍDA DE VENDAS'!$B$6:$P$500,3,FALSE),"")</f>
        <v>0</v>
      </c>
      <c r="D1298" s="28">
        <f>IFERROR(VLOOKUP(B1298,'SAÍDA DE VENDAS'!$B$6:$P$500,4,FALSE),"")</f>
        <v>0</v>
      </c>
      <c r="E1298" s="28" t="str">
        <f>IFERROR(VLOOKUP(B1298,'SAÍDA DE VENDAS'!$B$6:$P$500,5,FALSE),"")</f>
        <v/>
      </c>
      <c r="F1298" s="28" t="str">
        <f>IF(OR(ISBLANK(B1298),B1298=""), "", IFERROR(INDEX('SAÍDA DE VENDAS'!$H$6:$H$500 &amp; "x " &amp; 'SAÍDA DE VENDAS'!$G$6:$G$500, MATCH(B1298, 'SAÍDA DE VENDAS'!$B$6:$B$500, 0)), "")&amp; IF(COUNTIF('SAÍDA DE VENDAS'!$B$6:$B$500, B1298)&gt;1, " + " &amp; IFERROR(INDEX('SAÍDA DE VENDAS'!$H$6:$H$500 &amp; "x " &amp; 'SAÍDA DE VENDAS'!$G$6:$G$500, MATCH(B1298, 'SAÍDA DE VENDAS'!$B$6:$B$500, 0)+1), ""), "")&amp; IF(COUNTIF('SAÍDA DE VENDAS'!$B$6:$B$500, B1298)&gt;2, " + " &amp; IFERROR(INDEX('SAÍDA DE VENDAS'!$H$6:$H$500 &amp; "x " &amp; 'SAÍDA DE VENDAS'!$G$6:$G$500, MATCH(B1298, 'SAÍDA DE VENDAS'!$B$6:$B$500, 0)+2), ""), "")&amp; IF(COUNTIF('SAÍDA DE VENDAS'!$B$6:$B$500, B1298)&gt;3, " + " &amp; IFERROR(INDEX('SAÍDA DE VENDAS'!$H$6:$H$500 &amp; "x " &amp; 'SAÍDA DE VENDAS'!$G$6:$G$500, MATCH(B1298, 'SAÍDA DE VENDAS'!$B$6:$B$500, 0)+3), ""), "")&amp; IF(COUNTIF('SAÍDA DE VENDAS'!$B$6:$B$500, B1298)&gt;4, " + " &amp; IFERROR(INDEX('SAÍDA DE VENDAS'!$H$6:$H$500 &amp; "x " &amp; 'SAÍDA DE VENDAS'!$G$6:$G$500, MATCH(B1298, 'SAÍDA DE VENDAS'!$B$6:$B$500, 0)+4), ""), "")&amp; IF(COUNTIF('SAÍDA DE VENDAS'!$B$6:$B$500, B1298)&gt;5, " + " &amp; IFERROR(INDEX('SAÍDA DE VENDAS'!$H$6:$H$500 &amp; "x " &amp; 'SAÍDA DE VENDAS'!$G$6:$G$500, MATCH(B1298, 'SAÍDA DE VENDAS'!$B$6:$B$500, 0)+5), ""), ""))</f>
        <v/>
      </c>
      <c r="G1298" s="28">
        <f>IFERROR(VLOOKUP(B1298,'SAÍDA DE VENDAS'!$B$6:$P$500,10,FALSE),"")</f>
        <v>0</v>
      </c>
      <c r="H1298" s="28" t="str">
        <f>IF(OR(ISBLANK(B1298),B1298=""), "", IF(B1298=B1297, (VALUE(LEFT(H1297,FIND("/",H1297)-1))+1)&amp;"/"&amp;RIGHT(H1297,LEN(H1297)-FIND("/",H1297)), "1/"&amp;IFERROR(VLOOKUP(B1298,'SAÍDA DE VENDAS'!$B$6:$P$500,13,FALSE),"1")))</f>
        <v/>
      </c>
      <c r="I1298" s="69" t="str">
        <f t="shared" si="40"/>
        <v/>
      </c>
      <c r="J1298" s="33" t="str">
        <f>IFERROR(VLOOKUP(B1298,'SAÍDA DE VENDAS'!$B$6:$P$500,15,FALSE),"")</f>
        <v/>
      </c>
      <c r="K1298" s="28" t="str">
        <f t="shared" ca="1" si="41"/>
        <v/>
      </c>
      <c r="L1298" s="28"/>
      <c r="M1298" s="28"/>
    </row>
    <row r="1299" spans="2:13" ht="15" customHeight="1" x14ac:dyDescent="0.3">
      <c r="B1299" s="34" t="str">
        <f>IF(B1298="","", IF(VALUE(LEFT(H1298,FIND("/",H1298)-1)) &lt; VALUE(RIGHT(H1298,LEN(H1298)-FIND("/",H1298))), B1298, IFERROR(INDEX('SAÍDA DE VENDAS'!$B$6:$B$500, MATCH(B1298,'SAÍDA DE VENDAS'!$B$6:$B$500,0)+COUNTIF('SAÍDA DE VENDAS'!$B$6:$B$500, B1298)),"")))</f>
        <v/>
      </c>
      <c r="C1299" s="35">
        <f>IFERROR(VLOOKUP(B1299,'SAÍDA DE VENDAS'!$B$6:$P$500,3,FALSE),"")</f>
        <v>0</v>
      </c>
      <c r="D1299" s="34">
        <f>IFERROR(VLOOKUP(B1299,'SAÍDA DE VENDAS'!$B$6:$P$500,4,FALSE),"")</f>
        <v>0</v>
      </c>
      <c r="E1299" s="34" t="str">
        <f>IFERROR(VLOOKUP(B1299,'SAÍDA DE VENDAS'!$B$6:$P$500,5,FALSE),"")</f>
        <v/>
      </c>
      <c r="F1299" s="34" t="str">
        <f>IF(OR(ISBLANK(B1299),B1299=""), "", IFERROR(INDEX('SAÍDA DE VENDAS'!$H$6:$H$500 &amp; "x " &amp; 'SAÍDA DE VENDAS'!$G$6:$G$500, MATCH(B1299, 'SAÍDA DE VENDAS'!$B$6:$B$500, 0)), "")&amp; IF(COUNTIF('SAÍDA DE VENDAS'!$B$6:$B$500, B1299)&gt;1, " + " &amp; IFERROR(INDEX('SAÍDA DE VENDAS'!$H$6:$H$500 &amp; "x " &amp; 'SAÍDA DE VENDAS'!$G$6:$G$500, MATCH(B1299, 'SAÍDA DE VENDAS'!$B$6:$B$500, 0)+1), ""), "")&amp; IF(COUNTIF('SAÍDA DE VENDAS'!$B$6:$B$500, B1299)&gt;2, " + " &amp; IFERROR(INDEX('SAÍDA DE VENDAS'!$H$6:$H$500 &amp; "x " &amp; 'SAÍDA DE VENDAS'!$G$6:$G$500, MATCH(B1299, 'SAÍDA DE VENDAS'!$B$6:$B$500, 0)+2), ""), "")&amp; IF(COUNTIF('SAÍDA DE VENDAS'!$B$6:$B$500, B1299)&gt;3, " + " &amp; IFERROR(INDEX('SAÍDA DE VENDAS'!$H$6:$H$500 &amp; "x " &amp; 'SAÍDA DE VENDAS'!$G$6:$G$500, MATCH(B1299, 'SAÍDA DE VENDAS'!$B$6:$B$500, 0)+3), ""), "")&amp; IF(COUNTIF('SAÍDA DE VENDAS'!$B$6:$B$500, B1299)&gt;4, " + " &amp; IFERROR(INDEX('SAÍDA DE VENDAS'!$H$6:$H$500 &amp; "x " &amp; 'SAÍDA DE VENDAS'!$G$6:$G$500, MATCH(B1299, 'SAÍDA DE VENDAS'!$B$6:$B$500, 0)+4), ""), "")&amp; IF(COUNTIF('SAÍDA DE VENDAS'!$B$6:$B$500, B1299)&gt;5, " + " &amp; IFERROR(INDEX('SAÍDA DE VENDAS'!$H$6:$H$500 &amp; "x " &amp; 'SAÍDA DE VENDAS'!$G$6:$G$500, MATCH(B1299, 'SAÍDA DE VENDAS'!$B$6:$B$500, 0)+5), ""), ""))</f>
        <v/>
      </c>
      <c r="G1299" s="34">
        <f>IFERROR(VLOOKUP(B1299,'SAÍDA DE VENDAS'!$B$6:$P$500,10,FALSE),"")</f>
        <v>0</v>
      </c>
      <c r="H1299" s="34" t="str">
        <f>IF(OR(ISBLANK(B1299),B1299=""), "", IF(B1299=B1298, (VALUE(LEFT(H1298,FIND("/",H1298)-1))+1)&amp;"/"&amp;RIGHT(H1298,LEN(H1298)-FIND("/",H1298)), "1/"&amp;IFERROR(VLOOKUP(B1299,'SAÍDA DE VENDAS'!$B$6:$P$500,13,FALSE),"1")))</f>
        <v/>
      </c>
      <c r="I1299" s="35" t="str">
        <f t="shared" si="40"/>
        <v/>
      </c>
      <c r="J1299" s="39" t="str">
        <f>IFERROR(VLOOKUP(B1299,'SAÍDA DE VENDAS'!$B$6:$P$500,15,FALSE),"")</f>
        <v/>
      </c>
      <c r="K1299" s="34" t="str">
        <f t="shared" ca="1" si="41"/>
        <v/>
      </c>
      <c r="L1299" s="34"/>
      <c r="M1299" s="34"/>
    </row>
    <row r="1300" spans="2:13" ht="15" customHeight="1" x14ac:dyDescent="0.3">
      <c r="B1300" s="28" t="str">
        <f>IF(B1299="","", IF(VALUE(LEFT(H1299,FIND("/",H1299)-1)) &lt; VALUE(RIGHT(H1299,LEN(H1299)-FIND("/",H1299))), B1299, IFERROR(INDEX('SAÍDA DE VENDAS'!$B$6:$B$500, MATCH(B1299,'SAÍDA DE VENDAS'!$B$6:$B$500,0)+COUNTIF('SAÍDA DE VENDAS'!$B$6:$B$500, B1299)),"")))</f>
        <v/>
      </c>
      <c r="C1300" s="29">
        <f>IFERROR(VLOOKUP(B1300,'SAÍDA DE VENDAS'!$B$6:$P$500,3,FALSE),"")</f>
        <v>0</v>
      </c>
      <c r="D1300" s="28">
        <f>IFERROR(VLOOKUP(B1300,'SAÍDA DE VENDAS'!$B$6:$P$500,4,FALSE),"")</f>
        <v>0</v>
      </c>
      <c r="E1300" s="28" t="str">
        <f>IFERROR(VLOOKUP(B1300,'SAÍDA DE VENDAS'!$B$6:$P$500,5,FALSE),"")</f>
        <v/>
      </c>
      <c r="F1300" s="28" t="str">
        <f>IF(OR(ISBLANK(B1300),B1300=""), "", IFERROR(INDEX('SAÍDA DE VENDAS'!$H$6:$H$500 &amp; "x " &amp; 'SAÍDA DE VENDAS'!$G$6:$G$500, MATCH(B1300, 'SAÍDA DE VENDAS'!$B$6:$B$500, 0)), "")&amp; IF(COUNTIF('SAÍDA DE VENDAS'!$B$6:$B$500, B1300)&gt;1, " + " &amp; IFERROR(INDEX('SAÍDA DE VENDAS'!$H$6:$H$500 &amp; "x " &amp; 'SAÍDA DE VENDAS'!$G$6:$G$500, MATCH(B1300, 'SAÍDA DE VENDAS'!$B$6:$B$500, 0)+1), ""), "")&amp; IF(COUNTIF('SAÍDA DE VENDAS'!$B$6:$B$500, B1300)&gt;2, " + " &amp; IFERROR(INDEX('SAÍDA DE VENDAS'!$H$6:$H$500 &amp; "x " &amp; 'SAÍDA DE VENDAS'!$G$6:$G$500, MATCH(B1300, 'SAÍDA DE VENDAS'!$B$6:$B$500, 0)+2), ""), "")&amp; IF(COUNTIF('SAÍDA DE VENDAS'!$B$6:$B$500, B1300)&gt;3, " + " &amp; IFERROR(INDEX('SAÍDA DE VENDAS'!$H$6:$H$500 &amp; "x " &amp; 'SAÍDA DE VENDAS'!$G$6:$G$500, MATCH(B1300, 'SAÍDA DE VENDAS'!$B$6:$B$500, 0)+3), ""), "")&amp; IF(COUNTIF('SAÍDA DE VENDAS'!$B$6:$B$500, B1300)&gt;4, " + " &amp; IFERROR(INDEX('SAÍDA DE VENDAS'!$H$6:$H$500 &amp; "x " &amp; 'SAÍDA DE VENDAS'!$G$6:$G$500, MATCH(B1300, 'SAÍDA DE VENDAS'!$B$6:$B$500, 0)+4), ""), "")&amp; IF(COUNTIF('SAÍDA DE VENDAS'!$B$6:$B$500, B1300)&gt;5, " + " &amp; IFERROR(INDEX('SAÍDA DE VENDAS'!$H$6:$H$500 &amp; "x " &amp; 'SAÍDA DE VENDAS'!$G$6:$G$500, MATCH(B1300, 'SAÍDA DE VENDAS'!$B$6:$B$500, 0)+5), ""), ""))</f>
        <v/>
      </c>
      <c r="G1300" s="28">
        <f>IFERROR(VLOOKUP(B1300,'SAÍDA DE VENDAS'!$B$6:$P$500,10,FALSE),"")</f>
        <v>0</v>
      </c>
      <c r="H1300" s="28" t="str">
        <f>IF(OR(ISBLANK(B1300),B1300=""), "", IF(B1300=B1299, (VALUE(LEFT(H1299,FIND("/",H1299)-1))+1)&amp;"/"&amp;RIGHT(H1299,LEN(H1299)-FIND("/",H1299)), "1/"&amp;IFERROR(VLOOKUP(B1300,'SAÍDA DE VENDAS'!$B$6:$P$500,13,FALSE),"1")))</f>
        <v/>
      </c>
      <c r="I1300" s="69" t="str">
        <f t="shared" si="40"/>
        <v/>
      </c>
      <c r="J1300" s="33" t="str">
        <f>IFERROR(VLOOKUP(B1300,'SAÍDA DE VENDAS'!$B$6:$P$500,15,FALSE),"")</f>
        <v/>
      </c>
      <c r="K1300" s="28" t="str">
        <f t="shared" ca="1" si="41"/>
        <v/>
      </c>
      <c r="L1300" s="28"/>
      <c r="M1300" s="28"/>
    </row>
    <row r="1301" spans="2:13" ht="15" customHeight="1" x14ac:dyDescent="0.3">
      <c r="B1301" s="34" t="str">
        <f>IF(B1300="","", IF(VALUE(LEFT(H1300,FIND("/",H1300)-1)) &lt; VALUE(RIGHT(H1300,LEN(H1300)-FIND("/",H1300))), B1300, IFERROR(INDEX('SAÍDA DE VENDAS'!$B$6:$B$500, MATCH(B1300,'SAÍDA DE VENDAS'!$B$6:$B$500,0)+COUNTIF('SAÍDA DE VENDAS'!$B$6:$B$500, B1300)),"")))</f>
        <v/>
      </c>
      <c r="C1301" s="35">
        <f>IFERROR(VLOOKUP(B1301,'SAÍDA DE VENDAS'!$B$6:$P$500,3,FALSE),"")</f>
        <v>0</v>
      </c>
      <c r="D1301" s="34">
        <f>IFERROR(VLOOKUP(B1301,'SAÍDA DE VENDAS'!$B$6:$P$500,4,FALSE),"")</f>
        <v>0</v>
      </c>
      <c r="E1301" s="34" t="str">
        <f>IFERROR(VLOOKUP(B1301,'SAÍDA DE VENDAS'!$B$6:$P$500,5,FALSE),"")</f>
        <v/>
      </c>
      <c r="F1301" s="34" t="str">
        <f>IF(OR(ISBLANK(B1301),B1301=""), "", IFERROR(INDEX('SAÍDA DE VENDAS'!$H$6:$H$500 &amp; "x " &amp; 'SAÍDA DE VENDAS'!$G$6:$G$500, MATCH(B1301, 'SAÍDA DE VENDAS'!$B$6:$B$500, 0)), "")&amp; IF(COUNTIF('SAÍDA DE VENDAS'!$B$6:$B$500, B1301)&gt;1, " + " &amp; IFERROR(INDEX('SAÍDA DE VENDAS'!$H$6:$H$500 &amp; "x " &amp; 'SAÍDA DE VENDAS'!$G$6:$G$500, MATCH(B1301, 'SAÍDA DE VENDAS'!$B$6:$B$500, 0)+1), ""), "")&amp; IF(COUNTIF('SAÍDA DE VENDAS'!$B$6:$B$500, B1301)&gt;2, " + " &amp; IFERROR(INDEX('SAÍDA DE VENDAS'!$H$6:$H$500 &amp; "x " &amp; 'SAÍDA DE VENDAS'!$G$6:$G$500, MATCH(B1301, 'SAÍDA DE VENDAS'!$B$6:$B$500, 0)+2), ""), "")&amp; IF(COUNTIF('SAÍDA DE VENDAS'!$B$6:$B$500, B1301)&gt;3, " + " &amp; IFERROR(INDEX('SAÍDA DE VENDAS'!$H$6:$H$500 &amp; "x " &amp; 'SAÍDA DE VENDAS'!$G$6:$G$500, MATCH(B1301, 'SAÍDA DE VENDAS'!$B$6:$B$500, 0)+3), ""), "")&amp; IF(COUNTIF('SAÍDA DE VENDAS'!$B$6:$B$500, B1301)&gt;4, " + " &amp; IFERROR(INDEX('SAÍDA DE VENDAS'!$H$6:$H$500 &amp; "x " &amp; 'SAÍDA DE VENDAS'!$G$6:$G$500, MATCH(B1301, 'SAÍDA DE VENDAS'!$B$6:$B$500, 0)+4), ""), "")&amp; IF(COUNTIF('SAÍDA DE VENDAS'!$B$6:$B$500, B1301)&gt;5, " + " &amp; IFERROR(INDEX('SAÍDA DE VENDAS'!$H$6:$H$500 &amp; "x " &amp; 'SAÍDA DE VENDAS'!$G$6:$G$500, MATCH(B1301, 'SAÍDA DE VENDAS'!$B$6:$B$500, 0)+5), ""), ""))</f>
        <v/>
      </c>
      <c r="G1301" s="34">
        <f>IFERROR(VLOOKUP(B1301,'SAÍDA DE VENDAS'!$B$6:$P$500,10,FALSE),"")</f>
        <v>0</v>
      </c>
      <c r="H1301" s="34" t="str">
        <f>IF(OR(ISBLANK(B1301),B1301=""), "", IF(B1301=B1300, (VALUE(LEFT(H1300,FIND("/",H1300)-1))+1)&amp;"/"&amp;RIGHT(H1300,LEN(H1300)-FIND("/",H1300)), "1/"&amp;IFERROR(VLOOKUP(B1301,'SAÍDA DE VENDAS'!$B$6:$P$500,13,FALSE),"1")))</f>
        <v/>
      </c>
      <c r="I1301" s="35" t="str">
        <f t="shared" si="40"/>
        <v/>
      </c>
      <c r="J1301" s="39" t="str">
        <f>IFERROR(VLOOKUP(B1301,'SAÍDA DE VENDAS'!$B$6:$P$500,15,FALSE),"")</f>
        <v/>
      </c>
      <c r="K1301" s="34" t="str">
        <f t="shared" ca="1" si="41"/>
        <v/>
      </c>
      <c r="L1301" s="34"/>
      <c r="M1301" s="34"/>
    </row>
    <row r="1302" spans="2:13" ht="15" customHeight="1" x14ac:dyDescent="0.3">
      <c r="B1302" s="28" t="str">
        <f>IF(B1301="","", IF(VALUE(LEFT(H1301,FIND("/",H1301)-1)) &lt; VALUE(RIGHT(H1301,LEN(H1301)-FIND("/",H1301))), B1301, IFERROR(INDEX('SAÍDA DE VENDAS'!$B$6:$B$500, MATCH(B1301,'SAÍDA DE VENDAS'!$B$6:$B$500,0)+COUNTIF('SAÍDA DE VENDAS'!$B$6:$B$500, B1301)),"")))</f>
        <v/>
      </c>
      <c r="C1302" s="29">
        <f>IFERROR(VLOOKUP(B1302,'SAÍDA DE VENDAS'!$B$6:$P$500,3,FALSE),"")</f>
        <v>0</v>
      </c>
      <c r="D1302" s="28">
        <f>IFERROR(VLOOKUP(B1302,'SAÍDA DE VENDAS'!$B$6:$P$500,4,FALSE),"")</f>
        <v>0</v>
      </c>
      <c r="E1302" s="28" t="str">
        <f>IFERROR(VLOOKUP(B1302,'SAÍDA DE VENDAS'!$B$6:$P$500,5,FALSE),"")</f>
        <v/>
      </c>
      <c r="F1302" s="28" t="str">
        <f>IF(OR(ISBLANK(B1302),B1302=""), "", IFERROR(INDEX('SAÍDA DE VENDAS'!$H$6:$H$500 &amp; "x " &amp; 'SAÍDA DE VENDAS'!$G$6:$G$500, MATCH(B1302, 'SAÍDA DE VENDAS'!$B$6:$B$500, 0)), "")&amp; IF(COUNTIF('SAÍDA DE VENDAS'!$B$6:$B$500, B1302)&gt;1, " + " &amp; IFERROR(INDEX('SAÍDA DE VENDAS'!$H$6:$H$500 &amp; "x " &amp; 'SAÍDA DE VENDAS'!$G$6:$G$500, MATCH(B1302, 'SAÍDA DE VENDAS'!$B$6:$B$500, 0)+1), ""), "")&amp; IF(COUNTIF('SAÍDA DE VENDAS'!$B$6:$B$500, B1302)&gt;2, " + " &amp; IFERROR(INDEX('SAÍDA DE VENDAS'!$H$6:$H$500 &amp; "x " &amp; 'SAÍDA DE VENDAS'!$G$6:$G$500, MATCH(B1302, 'SAÍDA DE VENDAS'!$B$6:$B$500, 0)+2), ""), "")&amp; IF(COUNTIF('SAÍDA DE VENDAS'!$B$6:$B$500, B1302)&gt;3, " + " &amp; IFERROR(INDEX('SAÍDA DE VENDAS'!$H$6:$H$500 &amp; "x " &amp; 'SAÍDA DE VENDAS'!$G$6:$G$500, MATCH(B1302, 'SAÍDA DE VENDAS'!$B$6:$B$500, 0)+3), ""), "")&amp; IF(COUNTIF('SAÍDA DE VENDAS'!$B$6:$B$500, B1302)&gt;4, " + " &amp; IFERROR(INDEX('SAÍDA DE VENDAS'!$H$6:$H$500 &amp; "x " &amp; 'SAÍDA DE VENDAS'!$G$6:$G$500, MATCH(B1302, 'SAÍDA DE VENDAS'!$B$6:$B$500, 0)+4), ""), "")&amp; IF(COUNTIF('SAÍDA DE VENDAS'!$B$6:$B$500, B1302)&gt;5, " + " &amp; IFERROR(INDEX('SAÍDA DE VENDAS'!$H$6:$H$500 &amp; "x " &amp; 'SAÍDA DE VENDAS'!$G$6:$G$500, MATCH(B1302, 'SAÍDA DE VENDAS'!$B$6:$B$500, 0)+5), ""), ""))</f>
        <v/>
      </c>
      <c r="G1302" s="28">
        <f>IFERROR(VLOOKUP(B1302,'SAÍDA DE VENDAS'!$B$6:$P$500,10,FALSE),"")</f>
        <v>0</v>
      </c>
      <c r="H1302" s="28" t="str">
        <f>IF(OR(ISBLANK(B1302),B1302=""), "", IF(B1302=B1301, (VALUE(LEFT(H1301,FIND("/",H1301)-1))+1)&amp;"/"&amp;RIGHT(H1301,LEN(H1301)-FIND("/",H1301)), "1/"&amp;IFERROR(VLOOKUP(B1302,'SAÍDA DE VENDAS'!$B$6:$P$500,13,FALSE),"1")))</f>
        <v/>
      </c>
      <c r="I1302" s="69" t="str">
        <f t="shared" si="40"/>
        <v/>
      </c>
      <c r="J1302" s="33" t="str">
        <f>IFERROR(VLOOKUP(B1302,'SAÍDA DE VENDAS'!$B$6:$P$500,15,FALSE),"")</f>
        <v/>
      </c>
      <c r="K1302" s="28" t="str">
        <f t="shared" ca="1" si="41"/>
        <v/>
      </c>
      <c r="L1302" s="28"/>
      <c r="M1302" s="28"/>
    </row>
    <row r="1303" spans="2:13" ht="15" customHeight="1" x14ac:dyDescent="0.3">
      <c r="B1303" s="34" t="str">
        <f>IF(B1302="","", IF(VALUE(LEFT(H1302,FIND("/",H1302)-1)) &lt; VALUE(RIGHT(H1302,LEN(H1302)-FIND("/",H1302))), B1302, IFERROR(INDEX('SAÍDA DE VENDAS'!$B$6:$B$500, MATCH(B1302,'SAÍDA DE VENDAS'!$B$6:$B$500,0)+COUNTIF('SAÍDA DE VENDAS'!$B$6:$B$500, B1302)),"")))</f>
        <v/>
      </c>
      <c r="C1303" s="35">
        <f>IFERROR(VLOOKUP(B1303,'SAÍDA DE VENDAS'!$B$6:$P$500,3,FALSE),"")</f>
        <v>0</v>
      </c>
      <c r="D1303" s="34">
        <f>IFERROR(VLOOKUP(B1303,'SAÍDA DE VENDAS'!$B$6:$P$500,4,FALSE),"")</f>
        <v>0</v>
      </c>
      <c r="E1303" s="34" t="str">
        <f>IFERROR(VLOOKUP(B1303,'SAÍDA DE VENDAS'!$B$6:$P$500,5,FALSE),"")</f>
        <v/>
      </c>
      <c r="F1303" s="34" t="str">
        <f>IF(OR(ISBLANK(B1303),B1303=""), "", IFERROR(INDEX('SAÍDA DE VENDAS'!$H$6:$H$500 &amp; "x " &amp; 'SAÍDA DE VENDAS'!$G$6:$G$500, MATCH(B1303, 'SAÍDA DE VENDAS'!$B$6:$B$500, 0)), "")&amp; IF(COUNTIF('SAÍDA DE VENDAS'!$B$6:$B$500, B1303)&gt;1, " + " &amp; IFERROR(INDEX('SAÍDA DE VENDAS'!$H$6:$H$500 &amp; "x " &amp; 'SAÍDA DE VENDAS'!$G$6:$G$500, MATCH(B1303, 'SAÍDA DE VENDAS'!$B$6:$B$500, 0)+1), ""), "")&amp; IF(COUNTIF('SAÍDA DE VENDAS'!$B$6:$B$500, B1303)&gt;2, " + " &amp; IFERROR(INDEX('SAÍDA DE VENDAS'!$H$6:$H$500 &amp; "x " &amp; 'SAÍDA DE VENDAS'!$G$6:$G$500, MATCH(B1303, 'SAÍDA DE VENDAS'!$B$6:$B$500, 0)+2), ""), "")&amp; IF(COUNTIF('SAÍDA DE VENDAS'!$B$6:$B$500, B1303)&gt;3, " + " &amp; IFERROR(INDEX('SAÍDA DE VENDAS'!$H$6:$H$500 &amp; "x " &amp; 'SAÍDA DE VENDAS'!$G$6:$G$500, MATCH(B1303, 'SAÍDA DE VENDAS'!$B$6:$B$500, 0)+3), ""), "")&amp; IF(COUNTIF('SAÍDA DE VENDAS'!$B$6:$B$500, B1303)&gt;4, " + " &amp; IFERROR(INDEX('SAÍDA DE VENDAS'!$H$6:$H$500 &amp; "x " &amp; 'SAÍDA DE VENDAS'!$G$6:$G$500, MATCH(B1303, 'SAÍDA DE VENDAS'!$B$6:$B$500, 0)+4), ""), "")&amp; IF(COUNTIF('SAÍDA DE VENDAS'!$B$6:$B$500, B1303)&gt;5, " + " &amp; IFERROR(INDEX('SAÍDA DE VENDAS'!$H$6:$H$500 &amp; "x " &amp; 'SAÍDA DE VENDAS'!$G$6:$G$500, MATCH(B1303, 'SAÍDA DE VENDAS'!$B$6:$B$500, 0)+5), ""), ""))</f>
        <v/>
      </c>
      <c r="G1303" s="34">
        <f>IFERROR(VLOOKUP(B1303,'SAÍDA DE VENDAS'!$B$6:$P$500,10,FALSE),"")</f>
        <v>0</v>
      </c>
      <c r="H1303" s="34" t="str">
        <f>IF(OR(ISBLANK(B1303),B1303=""), "", IF(B1303=B1302, (VALUE(LEFT(H1302,FIND("/",H1302)-1))+1)&amp;"/"&amp;RIGHT(H1302,LEN(H1302)-FIND("/",H1302)), "1/"&amp;IFERROR(VLOOKUP(B1303,'SAÍDA DE VENDAS'!$B$6:$P$500,13,FALSE),"1")))</f>
        <v/>
      </c>
      <c r="I1303" s="35" t="str">
        <f t="shared" si="40"/>
        <v/>
      </c>
      <c r="J1303" s="39" t="str">
        <f>IFERROR(VLOOKUP(B1303,'SAÍDA DE VENDAS'!$B$6:$P$500,15,FALSE),"")</f>
        <v/>
      </c>
      <c r="K1303" s="34" t="str">
        <f t="shared" ca="1" si="41"/>
        <v/>
      </c>
      <c r="L1303" s="34"/>
      <c r="M1303" s="34"/>
    </row>
    <row r="1304" spans="2:13" ht="15" customHeight="1" x14ac:dyDescent="0.3">
      <c r="B1304" s="28" t="str">
        <f>IF(B1303="","", IF(VALUE(LEFT(H1303,FIND("/",H1303)-1)) &lt; VALUE(RIGHT(H1303,LEN(H1303)-FIND("/",H1303))), B1303, IFERROR(INDEX('SAÍDA DE VENDAS'!$B$6:$B$500, MATCH(B1303,'SAÍDA DE VENDAS'!$B$6:$B$500,0)+COUNTIF('SAÍDA DE VENDAS'!$B$6:$B$500, B1303)),"")))</f>
        <v/>
      </c>
      <c r="C1304" s="29">
        <f>IFERROR(VLOOKUP(B1304,'SAÍDA DE VENDAS'!$B$6:$P$500,3,FALSE),"")</f>
        <v>0</v>
      </c>
      <c r="D1304" s="28">
        <f>IFERROR(VLOOKUP(B1304,'SAÍDA DE VENDAS'!$B$6:$P$500,4,FALSE),"")</f>
        <v>0</v>
      </c>
      <c r="E1304" s="28" t="str">
        <f>IFERROR(VLOOKUP(B1304,'SAÍDA DE VENDAS'!$B$6:$P$500,5,FALSE),"")</f>
        <v/>
      </c>
      <c r="F1304" s="28" t="str">
        <f>IF(OR(ISBLANK(B1304),B1304=""), "", IFERROR(INDEX('SAÍDA DE VENDAS'!$H$6:$H$500 &amp; "x " &amp; 'SAÍDA DE VENDAS'!$G$6:$G$500, MATCH(B1304, 'SAÍDA DE VENDAS'!$B$6:$B$500, 0)), "")&amp; IF(COUNTIF('SAÍDA DE VENDAS'!$B$6:$B$500, B1304)&gt;1, " + " &amp; IFERROR(INDEX('SAÍDA DE VENDAS'!$H$6:$H$500 &amp; "x " &amp; 'SAÍDA DE VENDAS'!$G$6:$G$500, MATCH(B1304, 'SAÍDA DE VENDAS'!$B$6:$B$500, 0)+1), ""), "")&amp; IF(COUNTIF('SAÍDA DE VENDAS'!$B$6:$B$500, B1304)&gt;2, " + " &amp; IFERROR(INDEX('SAÍDA DE VENDAS'!$H$6:$H$500 &amp; "x " &amp; 'SAÍDA DE VENDAS'!$G$6:$G$500, MATCH(B1304, 'SAÍDA DE VENDAS'!$B$6:$B$500, 0)+2), ""), "")&amp; IF(COUNTIF('SAÍDA DE VENDAS'!$B$6:$B$500, B1304)&gt;3, " + " &amp; IFERROR(INDEX('SAÍDA DE VENDAS'!$H$6:$H$500 &amp; "x " &amp; 'SAÍDA DE VENDAS'!$G$6:$G$500, MATCH(B1304, 'SAÍDA DE VENDAS'!$B$6:$B$500, 0)+3), ""), "")&amp; IF(COUNTIF('SAÍDA DE VENDAS'!$B$6:$B$500, B1304)&gt;4, " + " &amp; IFERROR(INDEX('SAÍDA DE VENDAS'!$H$6:$H$500 &amp; "x " &amp; 'SAÍDA DE VENDAS'!$G$6:$G$500, MATCH(B1304, 'SAÍDA DE VENDAS'!$B$6:$B$500, 0)+4), ""), "")&amp; IF(COUNTIF('SAÍDA DE VENDAS'!$B$6:$B$500, B1304)&gt;5, " + " &amp; IFERROR(INDEX('SAÍDA DE VENDAS'!$H$6:$H$500 &amp; "x " &amp; 'SAÍDA DE VENDAS'!$G$6:$G$500, MATCH(B1304, 'SAÍDA DE VENDAS'!$B$6:$B$500, 0)+5), ""), ""))</f>
        <v/>
      </c>
      <c r="G1304" s="28">
        <f>IFERROR(VLOOKUP(B1304,'SAÍDA DE VENDAS'!$B$6:$P$500,10,FALSE),"")</f>
        <v>0</v>
      </c>
      <c r="H1304" s="28" t="str">
        <f>IF(OR(ISBLANK(B1304),B1304=""), "", IF(B1304=B1303, (VALUE(LEFT(H1303,FIND("/",H1303)-1))+1)&amp;"/"&amp;RIGHT(H1303,LEN(H1303)-FIND("/",H1303)), "1/"&amp;IFERROR(VLOOKUP(B1304,'SAÍDA DE VENDAS'!$B$6:$P$500,13,FALSE),"1")))</f>
        <v/>
      </c>
      <c r="I1304" s="69" t="str">
        <f t="shared" si="40"/>
        <v/>
      </c>
      <c r="J1304" s="33" t="str">
        <f>IFERROR(VLOOKUP(B1304,'SAÍDA DE VENDAS'!$B$6:$P$500,15,FALSE),"")</f>
        <v/>
      </c>
      <c r="K1304" s="28" t="str">
        <f t="shared" ca="1" si="41"/>
        <v/>
      </c>
      <c r="L1304" s="28"/>
      <c r="M1304" s="28"/>
    </row>
    <row r="1305" spans="2:13" ht="15" customHeight="1" x14ac:dyDescent="0.3">
      <c r="B1305" s="34" t="str">
        <f>IF(B1304="","", IF(VALUE(LEFT(H1304,FIND("/",H1304)-1)) &lt; VALUE(RIGHT(H1304,LEN(H1304)-FIND("/",H1304))), B1304, IFERROR(INDEX('SAÍDA DE VENDAS'!$B$6:$B$500, MATCH(B1304,'SAÍDA DE VENDAS'!$B$6:$B$500,0)+COUNTIF('SAÍDA DE VENDAS'!$B$6:$B$500, B1304)),"")))</f>
        <v/>
      </c>
      <c r="C1305" s="35">
        <f>IFERROR(VLOOKUP(B1305,'SAÍDA DE VENDAS'!$B$6:$P$500,3,FALSE),"")</f>
        <v>0</v>
      </c>
      <c r="D1305" s="34">
        <f>IFERROR(VLOOKUP(B1305,'SAÍDA DE VENDAS'!$B$6:$P$500,4,FALSE),"")</f>
        <v>0</v>
      </c>
      <c r="E1305" s="34" t="str">
        <f>IFERROR(VLOOKUP(B1305,'SAÍDA DE VENDAS'!$B$6:$P$500,5,FALSE),"")</f>
        <v/>
      </c>
      <c r="F1305" s="34" t="str">
        <f>IF(OR(ISBLANK(B1305),B1305=""), "", IFERROR(INDEX('SAÍDA DE VENDAS'!$H$6:$H$500 &amp; "x " &amp; 'SAÍDA DE VENDAS'!$G$6:$G$500, MATCH(B1305, 'SAÍDA DE VENDAS'!$B$6:$B$500, 0)), "")&amp; IF(COUNTIF('SAÍDA DE VENDAS'!$B$6:$B$500, B1305)&gt;1, " + " &amp; IFERROR(INDEX('SAÍDA DE VENDAS'!$H$6:$H$500 &amp; "x " &amp; 'SAÍDA DE VENDAS'!$G$6:$G$500, MATCH(B1305, 'SAÍDA DE VENDAS'!$B$6:$B$500, 0)+1), ""), "")&amp; IF(COUNTIF('SAÍDA DE VENDAS'!$B$6:$B$500, B1305)&gt;2, " + " &amp; IFERROR(INDEX('SAÍDA DE VENDAS'!$H$6:$H$500 &amp; "x " &amp; 'SAÍDA DE VENDAS'!$G$6:$G$500, MATCH(B1305, 'SAÍDA DE VENDAS'!$B$6:$B$500, 0)+2), ""), "")&amp; IF(COUNTIF('SAÍDA DE VENDAS'!$B$6:$B$500, B1305)&gt;3, " + " &amp; IFERROR(INDEX('SAÍDA DE VENDAS'!$H$6:$H$500 &amp; "x " &amp; 'SAÍDA DE VENDAS'!$G$6:$G$500, MATCH(B1305, 'SAÍDA DE VENDAS'!$B$6:$B$500, 0)+3), ""), "")&amp; IF(COUNTIF('SAÍDA DE VENDAS'!$B$6:$B$500, B1305)&gt;4, " + " &amp; IFERROR(INDEX('SAÍDA DE VENDAS'!$H$6:$H$500 &amp; "x " &amp; 'SAÍDA DE VENDAS'!$G$6:$G$500, MATCH(B1305, 'SAÍDA DE VENDAS'!$B$6:$B$500, 0)+4), ""), "")&amp; IF(COUNTIF('SAÍDA DE VENDAS'!$B$6:$B$500, B1305)&gt;5, " + " &amp; IFERROR(INDEX('SAÍDA DE VENDAS'!$H$6:$H$500 &amp; "x " &amp; 'SAÍDA DE VENDAS'!$G$6:$G$500, MATCH(B1305, 'SAÍDA DE VENDAS'!$B$6:$B$500, 0)+5), ""), ""))</f>
        <v/>
      </c>
      <c r="G1305" s="34">
        <f>IFERROR(VLOOKUP(B1305,'SAÍDA DE VENDAS'!$B$6:$P$500,10,FALSE),"")</f>
        <v>0</v>
      </c>
      <c r="H1305" s="34" t="str">
        <f>IF(OR(ISBLANK(B1305),B1305=""), "", IF(B1305=B1304, (VALUE(LEFT(H1304,FIND("/",H1304)-1))+1)&amp;"/"&amp;RIGHT(H1304,LEN(H1304)-FIND("/",H1304)), "1/"&amp;IFERROR(VLOOKUP(B1305,'SAÍDA DE VENDAS'!$B$6:$P$500,13,FALSE),"1")))</f>
        <v/>
      </c>
      <c r="I1305" s="35" t="str">
        <f t="shared" si="40"/>
        <v/>
      </c>
      <c r="J1305" s="39" t="str">
        <f>IFERROR(VLOOKUP(B1305,'SAÍDA DE VENDAS'!$B$6:$P$500,15,FALSE),"")</f>
        <v/>
      </c>
      <c r="K1305" s="34" t="str">
        <f t="shared" ca="1" si="41"/>
        <v/>
      </c>
      <c r="L1305" s="34"/>
      <c r="M1305" s="34"/>
    </row>
    <row r="1306" spans="2:13" ht="15" customHeight="1" x14ac:dyDescent="0.3">
      <c r="B1306" s="28" t="str">
        <f>IF(B1305="","", IF(VALUE(LEFT(H1305,FIND("/",H1305)-1)) &lt; VALUE(RIGHT(H1305,LEN(H1305)-FIND("/",H1305))), B1305, IFERROR(INDEX('SAÍDA DE VENDAS'!$B$6:$B$500, MATCH(B1305,'SAÍDA DE VENDAS'!$B$6:$B$500,0)+COUNTIF('SAÍDA DE VENDAS'!$B$6:$B$500, B1305)),"")))</f>
        <v/>
      </c>
      <c r="C1306" s="29">
        <f>IFERROR(VLOOKUP(B1306,'SAÍDA DE VENDAS'!$B$6:$P$500,3,FALSE),"")</f>
        <v>0</v>
      </c>
      <c r="D1306" s="28">
        <f>IFERROR(VLOOKUP(B1306,'SAÍDA DE VENDAS'!$B$6:$P$500,4,FALSE),"")</f>
        <v>0</v>
      </c>
      <c r="E1306" s="28" t="str">
        <f>IFERROR(VLOOKUP(B1306,'SAÍDA DE VENDAS'!$B$6:$P$500,5,FALSE),"")</f>
        <v/>
      </c>
      <c r="F1306" s="28" t="str">
        <f>IF(OR(ISBLANK(B1306),B1306=""), "", IFERROR(INDEX('SAÍDA DE VENDAS'!$H$6:$H$500 &amp; "x " &amp; 'SAÍDA DE VENDAS'!$G$6:$G$500, MATCH(B1306, 'SAÍDA DE VENDAS'!$B$6:$B$500, 0)), "")&amp; IF(COUNTIF('SAÍDA DE VENDAS'!$B$6:$B$500, B1306)&gt;1, " + " &amp; IFERROR(INDEX('SAÍDA DE VENDAS'!$H$6:$H$500 &amp; "x " &amp; 'SAÍDA DE VENDAS'!$G$6:$G$500, MATCH(B1306, 'SAÍDA DE VENDAS'!$B$6:$B$500, 0)+1), ""), "")&amp; IF(COUNTIF('SAÍDA DE VENDAS'!$B$6:$B$500, B1306)&gt;2, " + " &amp; IFERROR(INDEX('SAÍDA DE VENDAS'!$H$6:$H$500 &amp; "x " &amp; 'SAÍDA DE VENDAS'!$G$6:$G$500, MATCH(B1306, 'SAÍDA DE VENDAS'!$B$6:$B$500, 0)+2), ""), "")&amp; IF(COUNTIF('SAÍDA DE VENDAS'!$B$6:$B$500, B1306)&gt;3, " + " &amp; IFERROR(INDEX('SAÍDA DE VENDAS'!$H$6:$H$500 &amp; "x " &amp; 'SAÍDA DE VENDAS'!$G$6:$G$500, MATCH(B1306, 'SAÍDA DE VENDAS'!$B$6:$B$500, 0)+3), ""), "")&amp; IF(COUNTIF('SAÍDA DE VENDAS'!$B$6:$B$500, B1306)&gt;4, " + " &amp; IFERROR(INDEX('SAÍDA DE VENDAS'!$H$6:$H$500 &amp; "x " &amp; 'SAÍDA DE VENDAS'!$G$6:$G$500, MATCH(B1306, 'SAÍDA DE VENDAS'!$B$6:$B$500, 0)+4), ""), "")&amp; IF(COUNTIF('SAÍDA DE VENDAS'!$B$6:$B$500, B1306)&gt;5, " + " &amp; IFERROR(INDEX('SAÍDA DE VENDAS'!$H$6:$H$500 &amp; "x " &amp; 'SAÍDA DE VENDAS'!$G$6:$G$500, MATCH(B1306, 'SAÍDA DE VENDAS'!$B$6:$B$500, 0)+5), ""), ""))</f>
        <v/>
      </c>
      <c r="G1306" s="28">
        <f>IFERROR(VLOOKUP(B1306,'SAÍDA DE VENDAS'!$B$6:$P$500,10,FALSE),"")</f>
        <v>0</v>
      </c>
      <c r="H1306" s="28" t="str">
        <f>IF(OR(ISBLANK(B1306),B1306=""), "", IF(B1306=B1305, (VALUE(LEFT(H1305,FIND("/",H1305)-1))+1)&amp;"/"&amp;RIGHT(H1305,LEN(H1305)-FIND("/",H1305)), "1/"&amp;IFERROR(VLOOKUP(B1306,'SAÍDA DE VENDAS'!$B$6:$P$500,13,FALSE),"1")))</f>
        <v/>
      </c>
      <c r="I1306" s="69" t="str">
        <f t="shared" si="40"/>
        <v/>
      </c>
      <c r="J1306" s="33" t="str">
        <f>IFERROR(VLOOKUP(B1306,'SAÍDA DE VENDAS'!$B$6:$P$500,15,FALSE),"")</f>
        <v/>
      </c>
      <c r="K1306" s="28" t="str">
        <f t="shared" ca="1" si="41"/>
        <v/>
      </c>
      <c r="L1306" s="28"/>
      <c r="M1306" s="28"/>
    </row>
    <row r="1307" spans="2:13" ht="15" customHeight="1" x14ac:dyDescent="0.3">
      <c r="B1307" s="34" t="str">
        <f>IF(B1306="","", IF(VALUE(LEFT(H1306,FIND("/",H1306)-1)) &lt; VALUE(RIGHT(H1306,LEN(H1306)-FIND("/",H1306))), B1306, IFERROR(INDEX('SAÍDA DE VENDAS'!$B$6:$B$500, MATCH(B1306,'SAÍDA DE VENDAS'!$B$6:$B$500,0)+COUNTIF('SAÍDA DE VENDAS'!$B$6:$B$500, B1306)),"")))</f>
        <v/>
      </c>
      <c r="C1307" s="35">
        <f>IFERROR(VLOOKUP(B1307,'SAÍDA DE VENDAS'!$B$6:$P$500,3,FALSE),"")</f>
        <v>0</v>
      </c>
      <c r="D1307" s="34">
        <f>IFERROR(VLOOKUP(B1307,'SAÍDA DE VENDAS'!$B$6:$P$500,4,FALSE),"")</f>
        <v>0</v>
      </c>
      <c r="E1307" s="34" t="str">
        <f>IFERROR(VLOOKUP(B1307,'SAÍDA DE VENDAS'!$B$6:$P$500,5,FALSE),"")</f>
        <v/>
      </c>
      <c r="F1307" s="34" t="str">
        <f>IF(OR(ISBLANK(B1307),B1307=""), "", IFERROR(INDEX('SAÍDA DE VENDAS'!$H$6:$H$500 &amp; "x " &amp; 'SAÍDA DE VENDAS'!$G$6:$G$500, MATCH(B1307, 'SAÍDA DE VENDAS'!$B$6:$B$500, 0)), "")&amp; IF(COUNTIF('SAÍDA DE VENDAS'!$B$6:$B$500, B1307)&gt;1, " + " &amp; IFERROR(INDEX('SAÍDA DE VENDAS'!$H$6:$H$500 &amp; "x " &amp; 'SAÍDA DE VENDAS'!$G$6:$G$500, MATCH(B1307, 'SAÍDA DE VENDAS'!$B$6:$B$500, 0)+1), ""), "")&amp; IF(COUNTIF('SAÍDA DE VENDAS'!$B$6:$B$500, B1307)&gt;2, " + " &amp; IFERROR(INDEX('SAÍDA DE VENDAS'!$H$6:$H$500 &amp; "x " &amp; 'SAÍDA DE VENDAS'!$G$6:$G$500, MATCH(B1307, 'SAÍDA DE VENDAS'!$B$6:$B$500, 0)+2), ""), "")&amp; IF(COUNTIF('SAÍDA DE VENDAS'!$B$6:$B$500, B1307)&gt;3, " + " &amp; IFERROR(INDEX('SAÍDA DE VENDAS'!$H$6:$H$500 &amp; "x " &amp; 'SAÍDA DE VENDAS'!$G$6:$G$500, MATCH(B1307, 'SAÍDA DE VENDAS'!$B$6:$B$500, 0)+3), ""), "")&amp; IF(COUNTIF('SAÍDA DE VENDAS'!$B$6:$B$500, B1307)&gt;4, " + " &amp; IFERROR(INDEX('SAÍDA DE VENDAS'!$H$6:$H$500 &amp; "x " &amp; 'SAÍDA DE VENDAS'!$G$6:$G$500, MATCH(B1307, 'SAÍDA DE VENDAS'!$B$6:$B$500, 0)+4), ""), "")&amp; IF(COUNTIF('SAÍDA DE VENDAS'!$B$6:$B$500, B1307)&gt;5, " + " &amp; IFERROR(INDEX('SAÍDA DE VENDAS'!$H$6:$H$500 &amp; "x " &amp; 'SAÍDA DE VENDAS'!$G$6:$G$500, MATCH(B1307, 'SAÍDA DE VENDAS'!$B$6:$B$500, 0)+5), ""), ""))</f>
        <v/>
      </c>
      <c r="G1307" s="34">
        <f>IFERROR(VLOOKUP(B1307,'SAÍDA DE VENDAS'!$B$6:$P$500,10,FALSE),"")</f>
        <v>0</v>
      </c>
      <c r="H1307" s="34" t="str">
        <f>IF(OR(ISBLANK(B1307),B1307=""), "", IF(B1307=B1306, (VALUE(LEFT(H1306,FIND("/",H1306)-1))+1)&amp;"/"&amp;RIGHT(H1306,LEN(H1306)-FIND("/",H1306)), "1/"&amp;IFERROR(VLOOKUP(B1307,'SAÍDA DE VENDAS'!$B$6:$P$500,13,FALSE),"1")))</f>
        <v/>
      </c>
      <c r="I1307" s="35" t="str">
        <f t="shared" si="40"/>
        <v/>
      </c>
      <c r="J1307" s="39" t="str">
        <f>IFERROR(VLOOKUP(B1307,'SAÍDA DE VENDAS'!$B$6:$P$500,15,FALSE),"")</f>
        <v/>
      </c>
      <c r="K1307" s="34" t="str">
        <f t="shared" ca="1" si="41"/>
        <v/>
      </c>
      <c r="L1307" s="34"/>
      <c r="M1307" s="34"/>
    </row>
    <row r="1308" spans="2:13" ht="15" customHeight="1" x14ac:dyDescent="0.3">
      <c r="B1308" s="28" t="str">
        <f>IF(B1307="","", IF(VALUE(LEFT(H1307,FIND("/",H1307)-1)) &lt; VALUE(RIGHT(H1307,LEN(H1307)-FIND("/",H1307))), B1307, IFERROR(INDEX('SAÍDA DE VENDAS'!$B$6:$B$500, MATCH(B1307,'SAÍDA DE VENDAS'!$B$6:$B$500,0)+COUNTIF('SAÍDA DE VENDAS'!$B$6:$B$500, B1307)),"")))</f>
        <v/>
      </c>
      <c r="C1308" s="29">
        <f>IFERROR(VLOOKUP(B1308,'SAÍDA DE VENDAS'!$B$6:$P$500,3,FALSE),"")</f>
        <v>0</v>
      </c>
      <c r="D1308" s="28">
        <f>IFERROR(VLOOKUP(B1308,'SAÍDA DE VENDAS'!$B$6:$P$500,4,FALSE),"")</f>
        <v>0</v>
      </c>
      <c r="E1308" s="28" t="str">
        <f>IFERROR(VLOOKUP(B1308,'SAÍDA DE VENDAS'!$B$6:$P$500,5,FALSE),"")</f>
        <v/>
      </c>
      <c r="F1308" s="28" t="str">
        <f>IF(OR(ISBLANK(B1308),B1308=""), "", IFERROR(INDEX('SAÍDA DE VENDAS'!$H$6:$H$500 &amp; "x " &amp; 'SAÍDA DE VENDAS'!$G$6:$G$500, MATCH(B1308, 'SAÍDA DE VENDAS'!$B$6:$B$500, 0)), "")&amp; IF(COUNTIF('SAÍDA DE VENDAS'!$B$6:$B$500, B1308)&gt;1, " + " &amp; IFERROR(INDEX('SAÍDA DE VENDAS'!$H$6:$H$500 &amp; "x " &amp; 'SAÍDA DE VENDAS'!$G$6:$G$500, MATCH(B1308, 'SAÍDA DE VENDAS'!$B$6:$B$500, 0)+1), ""), "")&amp; IF(COUNTIF('SAÍDA DE VENDAS'!$B$6:$B$500, B1308)&gt;2, " + " &amp; IFERROR(INDEX('SAÍDA DE VENDAS'!$H$6:$H$500 &amp; "x " &amp; 'SAÍDA DE VENDAS'!$G$6:$G$500, MATCH(B1308, 'SAÍDA DE VENDAS'!$B$6:$B$500, 0)+2), ""), "")&amp; IF(COUNTIF('SAÍDA DE VENDAS'!$B$6:$B$500, B1308)&gt;3, " + " &amp; IFERROR(INDEX('SAÍDA DE VENDAS'!$H$6:$H$500 &amp; "x " &amp; 'SAÍDA DE VENDAS'!$G$6:$G$500, MATCH(B1308, 'SAÍDA DE VENDAS'!$B$6:$B$500, 0)+3), ""), "")&amp; IF(COUNTIF('SAÍDA DE VENDAS'!$B$6:$B$500, B1308)&gt;4, " + " &amp; IFERROR(INDEX('SAÍDA DE VENDAS'!$H$6:$H$500 &amp; "x " &amp; 'SAÍDA DE VENDAS'!$G$6:$G$500, MATCH(B1308, 'SAÍDA DE VENDAS'!$B$6:$B$500, 0)+4), ""), "")&amp; IF(COUNTIF('SAÍDA DE VENDAS'!$B$6:$B$500, B1308)&gt;5, " + " &amp; IFERROR(INDEX('SAÍDA DE VENDAS'!$H$6:$H$500 &amp; "x " &amp; 'SAÍDA DE VENDAS'!$G$6:$G$500, MATCH(B1308, 'SAÍDA DE VENDAS'!$B$6:$B$500, 0)+5), ""), ""))</f>
        <v/>
      </c>
      <c r="G1308" s="28">
        <f>IFERROR(VLOOKUP(B1308,'SAÍDA DE VENDAS'!$B$6:$P$500,10,FALSE),"")</f>
        <v>0</v>
      </c>
      <c r="H1308" s="28" t="str">
        <f>IF(OR(ISBLANK(B1308),B1308=""), "", IF(B1308=B1307, (VALUE(LEFT(H1307,FIND("/",H1307)-1))+1)&amp;"/"&amp;RIGHT(H1307,LEN(H1307)-FIND("/",H1307)), "1/"&amp;IFERROR(VLOOKUP(B1308,'SAÍDA DE VENDAS'!$B$6:$P$500,13,FALSE),"1")))</f>
        <v/>
      </c>
      <c r="I1308" s="69" t="str">
        <f t="shared" si="40"/>
        <v/>
      </c>
      <c r="J1308" s="33" t="str">
        <f>IFERROR(VLOOKUP(B1308,'SAÍDA DE VENDAS'!$B$6:$P$500,15,FALSE),"")</f>
        <v/>
      </c>
      <c r="K1308" s="28" t="str">
        <f t="shared" ca="1" si="41"/>
        <v/>
      </c>
      <c r="L1308" s="28"/>
      <c r="M1308" s="28"/>
    </row>
    <row r="1309" spans="2:13" ht="15" customHeight="1" x14ac:dyDescent="0.3">
      <c r="B1309" s="34" t="str">
        <f>IF(B1308="","", IF(VALUE(LEFT(H1308,FIND("/",H1308)-1)) &lt; VALUE(RIGHT(H1308,LEN(H1308)-FIND("/",H1308))), B1308, IFERROR(INDEX('SAÍDA DE VENDAS'!$B$6:$B$500, MATCH(B1308,'SAÍDA DE VENDAS'!$B$6:$B$500,0)+COUNTIF('SAÍDA DE VENDAS'!$B$6:$B$500, B1308)),"")))</f>
        <v/>
      </c>
      <c r="C1309" s="35">
        <f>IFERROR(VLOOKUP(B1309,'SAÍDA DE VENDAS'!$B$6:$P$500,3,FALSE),"")</f>
        <v>0</v>
      </c>
      <c r="D1309" s="34">
        <f>IFERROR(VLOOKUP(B1309,'SAÍDA DE VENDAS'!$B$6:$P$500,4,FALSE),"")</f>
        <v>0</v>
      </c>
      <c r="E1309" s="34" t="str">
        <f>IFERROR(VLOOKUP(B1309,'SAÍDA DE VENDAS'!$B$6:$P$500,5,FALSE),"")</f>
        <v/>
      </c>
      <c r="F1309" s="34" t="str">
        <f>IF(OR(ISBLANK(B1309),B1309=""), "", IFERROR(INDEX('SAÍDA DE VENDAS'!$H$6:$H$500 &amp; "x " &amp; 'SAÍDA DE VENDAS'!$G$6:$G$500, MATCH(B1309, 'SAÍDA DE VENDAS'!$B$6:$B$500, 0)), "")&amp; IF(COUNTIF('SAÍDA DE VENDAS'!$B$6:$B$500, B1309)&gt;1, " + " &amp; IFERROR(INDEX('SAÍDA DE VENDAS'!$H$6:$H$500 &amp; "x " &amp; 'SAÍDA DE VENDAS'!$G$6:$G$500, MATCH(B1309, 'SAÍDA DE VENDAS'!$B$6:$B$500, 0)+1), ""), "")&amp; IF(COUNTIF('SAÍDA DE VENDAS'!$B$6:$B$500, B1309)&gt;2, " + " &amp; IFERROR(INDEX('SAÍDA DE VENDAS'!$H$6:$H$500 &amp; "x " &amp; 'SAÍDA DE VENDAS'!$G$6:$G$500, MATCH(B1309, 'SAÍDA DE VENDAS'!$B$6:$B$500, 0)+2), ""), "")&amp; IF(COUNTIF('SAÍDA DE VENDAS'!$B$6:$B$500, B1309)&gt;3, " + " &amp; IFERROR(INDEX('SAÍDA DE VENDAS'!$H$6:$H$500 &amp; "x " &amp; 'SAÍDA DE VENDAS'!$G$6:$G$500, MATCH(B1309, 'SAÍDA DE VENDAS'!$B$6:$B$500, 0)+3), ""), "")&amp; IF(COUNTIF('SAÍDA DE VENDAS'!$B$6:$B$500, B1309)&gt;4, " + " &amp; IFERROR(INDEX('SAÍDA DE VENDAS'!$H$6:$H$500 &amp; "x " &amp; 'SAÍDA DE VENDAS'!$G$6:$G$500, MATCH(B1309, 'SAÍDA DE VENDAS'!$B$6:$B$500, 0)+4), ""), "")&amp; IF(COUNTIF('SAÍDA DE VENDAS'!$B$6:$B$500, B1309)&gt;5, " + " &amp; IFERROR(INDEX('SAÍDA DE VENDAS'!$H$6:$H$500 &amp; "x " &amp; 'SAÍDA DE VENDAS'!$G$6:$G$500, MATCH(B1309, 'SAÍDA DE VENDAS'!$B$6:$B$500, 0)+5), ""), ""))</f>
        <v/>
      </c>
      <c r="G1309" s="34">
        <f>IFERROR(VLOOKUP(B1309,'SAÍDA DE VENDAS'!$B$6:$P$500,10,FALSE),"")</f>
        <v>0</v>
      </c>
      <c r="H1309" s="34" t="str">
        <f>IF(OR(ISBLANK(B1309),B1309=""), "", IF(B1309=B1308, (VALUE(LEFT(H1308,FIND("/",H1308)-1))+1)&amp;"/"&amp;RIGHT(H1308,LEN(H1308)-FIND("/",H1308)), "1/"&amp;IFERROR(VLOOKUP(B1309,'SAÍDA DE VENDAS'!$B$6:$P$500,13,FALSE),"1")))</f>
        <v/>
      </c>
      <c r="I1309" s="35" t="str">
        <f t="shared" si="40"/>
        <v/>
      </c>
      <c r="J1309" s="39" t="str">
        <f>IFERROR(VLOOKUP(B1309,'SAÍDA DE VENDAS'!$B$6:$P$500,15,FALSE),"")</f>
        <v/>
      </c>
      <c r="K1309" s="34" t="str">
        <f t="shared" ca="1" si="41"/>
        <v/>
      </c>
      <c r="L1309" s="34"/>
      <c r="M1309" s="34"/>
    </row>
    <row r="1310" spans="2:13" ht="15" customHeight="1" x14ac:dyDescent="0.3">
      <c r="B1310" s="28" t="str">
        <f>IF(B1309="","", IF(VALUE(LEFT(H1309,FIND("/",H1309)-1)) &lt; VALUE(RIGHT(H1309,LEN(H1309)-FIND("/",H1309))), B1309, IFERROR(INDEX('SAÍDA DE VENDAS'!$B$6:$B$500, MATCH(B1309,'SAÍDA DE VENDAS'!$B$6:$B$500,0)+COUNTIF('SAÍDA DE VENDAS'!$B$6:$B$500, B1309)),"")))</f>
        <v/>
      </c>
      <c r="C1310" s="29">
        <f>IFERROR(VLOOKUP(B1310,'SAÍDA DE VENDAS'!$B$6:$P$500,3,FALSE),"")</f>
        <v>0</v>
      </c>
      <c r="D1310" s="28">
        <f>IFERROR(VLOOKUP(B1310,'SAÍDA DE VENDAS'!$B$6:$P$500,4,FALSE),"")</f>
        <v>0</v>
      </c>
      <c r="E1310" s="28" t="str">
        <f>IFERROR(VLOOKUP(B1310,'SAÍDA DE VENDAS'!$B$6:$P$500,5,FALSE),"")</f>
        <v/>
      </c>
      <c r="F1310" s="28" t="str">
        <f>IF(OR(ISBLANK(B1310),B1310=""), "", IFERROR(INDEX('SAÍDA DE VENDAS'!$H$6:$H$500 &amp; "x " &amp; 'SAÍDA DE VENDAS'!$G$6:$G$500, MATCH(B1310, 'SAÍDA DE VENDAS'!$B$6:$B$500, 0)), "")&amp; IF(COUNTIF('SAÍDA DE VENDAS'!$B$6:$B$500, B1310)&gt;1, " + " &amp; IFERROR(INDEX('SAÍDA DE VENDAS'!$H$6:$H$500 &amp; "x " &amp; 'SAÍDA DE VENDAS'!$G$6:$G$500, MATCH(B1310, 'SAÍDA DE VENDAS'!$B$6:$B$500, 0)+1), ""), "")&amp; IF(COUNTIF('SAÍDA DE VENDAS'!$B$6:$B$500, B1310)&gt;2, " + " &amp; IFERROR(INDEX('SAÍDA DE VENDAS'!$H$6:$H$500 &amp; "x " &amp; 'SAÍDA DE VENDAS'!$G$6:$G$500, MATCH(B1310, 'SAÍDA DE VENDAS'!$B$6:$B$500, 0)+2), ""), "")&amp; IF(COUNTIF('SAÍDA DE VENDAS'!$B$6:$B$500, B1310)&gt;3, " + " &amp; IFERROR(INDEX('SAÍDA DE VENDAS'!$H$6:$H$500 &amp; "x " &amp; 'SAÍDA DE VENDAS'!$G$6:$G$500, MATCH(B1310, 'SAÍDA DE VENDAS'!$B$6:$B$500, 0)+3), ""), "")&amp; IF(COUNTIF('SAÍDA DE VENDAS'!$B$6:$B$500, B1310)&gt;4, " + " &amp; IFERROR(INDEX('SAÍDA DE VENDAS'!$H$6:$H$500 &amp; "x " &amp; 'SAÍDA DE VENDAS'!$G$6:$G$500, MATCH(B1310, 'SAÍDA DE VENDAS'!$B$6:$B$500, 0)+4), ""), "")&amp; IF(COUNTIF('SAÍDA DE VENDAS'!$B$6:$B$500, B1310)&gt;5, " + " &amp; IFERROR(INDEX('SAÍDA DE VENDAS'!$H$6:$H$500 &amp; "x " &amp; 'SAÍDA DE VENDAS'!$G$6:$G$500, MATCH(B1310, 'SAÍDA DE VENDAS'!$B$6:$B$500, 0)+5), ""), ""))</f>
        <v/>
      </c>
      <c r="G1310" s="28">
        <f>IFERROR(VLOOKUP(B1310,'SAÍDA DE VENDAS'!$B$6:$P$500,10,FALSE),"")</f>
        <v>0</v>
      </c>
      <c r="H1310" s="28" t="str">
        <f>IF(OR(ISBLANK(B1310),B1310=""), "", IF(B1310=B1309, (VALUE(LEFT(H1309,FIND("/",H1309)-1))+1)&amp;"/"&amp;RIGHT(H1309,LEN(H1309)-FIND("/",H1309)), "1/"&amp;IFERROR(VLOOKUP(B1310,'SAÍDA DE VENDAS'!$B$6:$P$500,13,FALSE),"1")))</f>
        <v/>
      </c>
      <c r="I1310" s="69" t="str">
        <f t="shared" si="40"/>
        <v/>
      </c>
      <c r="J1310" s="33" t="str">
        <f>IFERROR(VLOOKUP(B1310,'SAÍDA DE VENDAS'!$B$6:$P$500,15,FALSE),"")</f>
        <v/>
      </c>
      <c r="K1310" s="28" t="str">
        <f t="shared" ca="1" si="41"/>
        <v/>
      </c>
      <c r="L1310" s="28"/>
      <c r="M1310" s="28"/>
    </row>
    <row r="1311" spans="2:13" ht="15" customHeight="1" x14ac:dyDescent="0.3">
      <c r="B1311" s="34" t="str">
        <f>IF(B1310="","", IF(VALUE(LEFT(H1310,FIND("/",H1310)-1)) &lt; VALUE(RIGHT(H1310,LEN(H1310)-FIND("/",H1310))), B1310, IFERROR(INDEX('SAÍDA DE VENDAS'!$B$6:$B$500, MATCH(B1310,'SAÍDA DE VENDAS'!$B$6:$B$500,0)+COUNTIF('SAÍDA DE VENDAS'!$B$6:$B$500, B1310)),"")))</f>
        <v/>
      </c>
      <c r="C1311" s="35">
        <f>IFERROR(VLOOKUP(B1311,'SAÍDA DE VENDAS'!$B$6:$P$500,3,FALSE),"")</f>
        <v>0</v>
      </c>
      <c r="D1311" s="34">
        <f>IFERROR(VLOOKUP(B1311,'SAÍDA DE VENDAS'!$B$6:$P$500,4,FALSE),"")</f>
        <v>0</v>
      </c>
      <c r="E1311" s="34" t="str">
        <f>IFERROR(VLOOKUP(B1311,'SAÍDA DE VENDAS'!$B$6:$P$500,5,FALSE),"")</f>
        <v/>
      </c>
      <c r="F1311" s="34" t="str">
        <f>IF(OR(ISBLANK(B1311),B1311=""), "", IFERROR(INDEX('SAÍDA DE VENDAS'!$H$6:$H$500 &amp; "x " &amp; 'SAÍDA DE VENDAS'!$G$6:$G$500, MATCH(B1311, 'SAÍDA DE VENDAS'!$B$6:$B$500, 0)), "")&amp; IF(COUNTIF('SAÍDA DE VENDAS'!$B$6:$B$500, B1311)&gt;1, " + " &amp; IFERROR(INDEX('SAÍDA DE VENDAS'!$H$6:$H$500 &amp; "x " &amp; 'SAÍDA DE VENDAS'!$G$6:$G$500, MATCH(B1311, 'SAÍDA DE VENDAS'!$B$6:$B$500, 0)+1), ""), "")&amp; IF(COUNTIF('SAÍDA DE VENDAS'!$B$6:$B$500, B1311)&gt;2, " + " &amp; IFERROR(INDEX('SAÍDA DE VENDAS'!$H$6:$H$500 &amp; "x " &amp; 'SAÍDA DE VENDAS'!$G$6:$G$500, MATCH(B1311, 'SAÍDA DE VENDAS'!$B$6:$B$500, 0)+2), ""), "")&amp; IF(COUNTIF('SAÍDA DE VENDAS'!$B$6:$B$500, B1311)&gt;3, " + " &amp; IFERROR(INDEX('SAÍDA DE VENDAS'!$H$6:$H$500 &amp; "x " &amp; 'SAÍDA DE VENDAS'!$G$6:$G$500, MATCH(B1311, 'SAÍDA DE VENDAS'!$B$6:$B$500, 0)+3), ""), "")&amp; IF(COUNTIF('SAÍDA DE VENDAS'!$B$6:$B$500, B1311)&gt;4, " + " &amp; IFERROR(INDEX('SAÍDA DE VENDAS'!$H$6:$H$500 &amp; "x " &amp; 'SAÍDA DE VENDAS'!$G$6:$G$500, MATCH(B1311, 'SAÍDA DE VENDAS'!$B$6:$B$500, 0)+4), ""), "")&amp; IF(COUNTIF('SAÍDA DE VENDAS'!$B$6:$B$500, B1311)&gt;5, " + " &amp; IFERROR(INDEX('SAÍDA DE VENDAS'!$H$6:$H$500 &amp; "x " &amp; 'SAÍDA DE VENDAS'!$G$6:$G$500, MATCH(B1311, 'SAÍDA DE VENDAS'!$B$6:$B$500, 0)+5), ""), ""))</f>
        <v/>
      </c>
      <c r="G1311" s="34">
        <f>IFERROR(VLOOKUP(B1311,'SAÍDA DE VENDAS'!$B$6:$P$500,10,FALSE),"")</f>
        <v>0</v>
      </c>
      <c r="H1311" s="34" t="str">
        <f>IF(OR(ISBLANK(B1311),B1311=""), "", IF(B1311=B1310, (VALUE(LEFT(H1310,FIND("/",H1310)-1))+1)&amp;"/"&amp;RIGHT(H1310,LEN(H1310)-FIND("/",H1310)), "1/"&amp;IFERROR(VLOOKUP(B1311,'SAÍDA DE VENDAS'!$B$6:$P$500,13,FALSE),"1")))</f>
        <v/>
      </c>
      <c r="I1311" s="35" t="str">
        <f t="shared" si="40"/>
        <v/>
      </c>
      <c r="J1311" s="39" t="str">
        <f>IFERROR(VLOOKUP(B1311,'SAÍDA DE VENDAS'!$B$6:$P$500,15,FALSE),"")</f>
        <v/>
      </c>
      <c r="K1311" s="34" t="str">
        <f t="shared" ca="1" si="41"/>
        <v/>
      </c>
      <c r="L1311" s="34"/>
      <c r="M1311" s="34"/>
    </row>
    <row r="1312" spans="2:13" ht="15" customHeight="1" x14ac:dyDescent="0.3">
      <c r="B1312" s="28" t="str">
        <f>IF(B1311="","", IF(VALUE(LEFT(H1311,FIND("/",H1311)-1)) &lt; VALUE(RIGHT(H1311,LEN(H1311)-FIND("/",H1311))), B1311, IFERROR(INDEX('SAÍDA DE VENDAS'!$B$6:$B$500, MATCH(B1311,'SAÍDA DE VENDAS'!$B$6:$B$500,0)+COUNTIF('SAÍDA DE VENDAS'!$B$6:$B$500, B1311)),"")))</f>
        <v/>
      </c>
      <c r="C1312" s="29">
        <f>IFERROR(VLOOKUP(B1312,'SAÍDA DE VENDAS'!$B$6:$P$500,3,FALSE),"")</f>
        <v>0</v>
      </c>
      <c r="D1312" s="28">
        <f>IFERROR(VLOOKUP(B1312,'SAÍDA DE VENDAS'!$B$6:$P$500,4,FALSE),"")</f>
        <v>0</v>
      </c>
      <c r="E1312" s="28" t="str">
        <f>IFERROR(VLOOKUP(B1312,'SAÍDA DE VENDAS'!$B$6:$P$500,5,FALSE),"")</f>
        <v/>
      </c>
      <c r="F1312" s="28" t="str">
        <f>IF(OR(ISBLANK(B1312),B1312=""), "", IFERROR(INDEX('SAÍDA DE VENDAS'!$H$6:$H$500 &amp; "x " &amp; 'SAÍDA DE VENDAS'!$G$6:$G$500, MATCH(B1312, 'SAÍDA DE VENDAS'!$B$6:$B$500, 0)), "")&amp; IF(COUNTIF('SAÍDA DE VENDAS'!$B$6:$B$500, B1312)&gt;1, " + " &amp; IFERROR(INDEX('SAÍDA DE VENDAS'!$H$6:$H$500 &amp; "x " &amp; 'SAÍDA DE VENDAS'!$G$6:$G$500, MATCH(B1312, 'SAÍDA DE VENDAS'!$B$6:$B$500, 0)+1), ""), "")&amp; IF(COUNTIF('SAÍDA DE VENDAS'!$B$6:$B$500, B1312)&gt;2, " + " &amp; IFERROR(INDEX('SAÍDA DE VENDAS'!$H$6:$H$500 &amp; "x " &amp; 'SAÍDA DE VENDAS'!$G$6:$G$500, MATCH(B1312, 'SAÍDA DE VENDAS'!$B$6:$B$500, 0)+2), ""), "")&amp; IF(COUNTIF('SAÍDA DE VENDAS'!$B$6:$B$500, B1312)&gt;3, " + " &amp; IFERROR(INDEX('SAÍDA DE VENDAS'!$H$6:$H$500 &amp; "x " &amp; 'SAÍDA DE VENDAS'!$G$6:$G$500, MATCH(B1312, 'SAÍDA DE VENDAS'!$B$6:$B$500, 0)+3), ""), "")&amp; IF(COUNTIF('SAÍDA DE VENDAS'!$B$6:$B$500, B1312)&gt;4, " + " &amp; IFERROR(INDEX('SAÍDA DE VENDAS'!$H$6:$H$500 &amp; "x " &amp; 'SAÍDA DE VENDAS'!$G$6:$G$500, MATCH(B1312, 'SAÍDA DE VENDAS'!$B$6:$B$500, 0)+4), ""), "")&amp; IF(COUNTIF('SAÍDA DE VENDAS'!$B$6:$B$500, B1312)&gt;5, " + " &amp; IFERROR(INDEX('SAÍDA DE VENDAS'!$H$6:$H$500 &amp; "x " &amp; 'SAÍDA DE VENDAS'!$G$6:$G$500, MATCH(B1312, 'SAÍDA DE VENDAS'!$B$6:$B$500, 0)+5), ""), ""))</f>
        <v/>
      </c>
      <c r="G1312" s="28">
        <f>IFERROR(VLOOKUP(B1312,'SAÍDA DE VENDAS'!$B$6:$P$500,10,FALSE),"")</f>
        <v>0</v>
      </c>
      <c r="H1312" s="28" t="str">
        <f>IF(OR(ISBLANK(B1312),B1312=""), "", IF(B1312=B1311, (VALUE(LEFT(H1311,FIND("/",H1311)-1))+1)&amp;"/"&amp;RIGHT(H1311,LEN(H1311)-FIND("/",H1311)), "1/"&amp;IFERROR(VLOOKUP(B1312,'SAÍDA DE VENDAS'!$B$6:$P$500,13,FALSE),"1")))</f>
        <v/>
      </c>
      <c r="I1312" s="69" t="str">
        <f t="shared" si="40"/>
        <v/>
      </c>
      <c r="J1312" s="33" t="str">
        <f>IFERROR(VLOOKUP(B1312,'SAÍDA DE VENDAS'!$B$6:$P$500,15,FALSE),"")</f>
        <v/>
      </c>
      <c r="K1312" s="28" t="str">
        <f t="shared" ca="1" si="41"/>
        <v/>
      </c>
      <c r="L1312" s="28"/>
      <c r="M1312" s="28"/>
    </row>
    <row r="1313" spans="2:13" ht="15" customHeight="1" x14ac:dyDescent="0.3">
      <c r="B1313" s="34" t="str">
        <f>IF(B1312="","", IF(VALUE(LEFT(H1312,FIND("/",H1312)-1)) &lt; VALUE(RIGHT(H1312,LEN(H1312)-FIND("/",H1312))), B1312, IFERROR(INDEX('SAÍDA DE VENDAS'!$B$6:$B$500, MATCH(B1312,'SAÍDA DE VENDAS'!$B$6:$B$500,0)+COUNTIF('SAÍDA DE VENDAS'!$B$6:$B$500, B1312)),"")))</f>
        <v/>
      </c>
      <c r="C1313" s="35">
        <f>IFERROR(VLOOKUP(B1313,'SAÍDA DE VENDAS'!$B$6:$P$500,3,FALSE),"")</f>
        <v>0</v>
      </c>
      <c r="D1313" s="34">
        <f>IFERROR(VLOOKUP(B1313,'SAÍDA DE VENDAS'!$B$6:$P$500,4,FALSE),"")</f>
        <v>0</v>
      </c>
      <c r="E1313" s="34" t="str">
        <f>IFERROR(VLOOKUP(B1313,'SAÍDA DE VENDAS'!$B$6:$P$500,5,FALSE),"")</f>
        <v/>
      </c>
      <c r="F1313" s="34" t="str">
        <f>IF(OR(ISBLANK(B1313),B1313=""), "", IFERROR(INDEX('SAÍDA DE VENDAS'!$H$6:$H$500 &amp; "x " &amp; 'SAÍDA DE VENDAS'!$G$6:$G$500, MATCH(B1313, 'SAÍDA DE VENDAS'!$B$6:$B$500, 0)), "")&amp; IF(COUNTIF('SAÍDA DE VENDAS'!$B$6:$B$500, B1313)&gt;1, " + " &amp; IFERROR(INDEX('SAÍDA DE VENDAS'!$H$6:$H$500 &amp; "x " &amp; 'SAÍDA DE VENDAS'!$G$6:$G$500, MATCH(B1313, 'SAÍDA DE VENDAS'!$B$6:$B$500, 0)+1), ""), "")&amp; IF(COUNTIF('SAÍDA DE VENDAS'!$B$6:$B$500, B1313)&gt;2, " + " &amp; IFERROR(INDEX('SAÍDA DE VENDAS'!$H$6:$H$500 &amp; "x " &amp; 'SAÍDA DE VENDAS'!$G$6:$G$500, MATCH(B1313, 'SAÍDA DE VENDAS'!$B$6:$B$500, 0)+2), ""), "")&amp; IF(COUNTIF('SAÍDA DE VENDAS'!$B$6:$B$500, B1313)&gt;3, " + " &amp; IFERROR(INDEX('SAÍDA DE VENDAS'!$H$6:$H$500 &amp; "x " &amp; 'SAÍDA DE VENDAS'!$G$6:$G$500, MATCH(B1313, 'SAÍDA DE VENDAS'!$B$6:$B$500, 0)+3), ""), "")&amp; IF(COUNTIF('SAÍDA DE VENDAS'!$B$6:$B$500, B1313)&gt;4, " + " &amp; IFERROR(INDEX('SAÍDA DE VENDAS'!$H$6:$H$500 &amp; "x " &amp; 'SAÍDA DE VENDAS'!$G$6:$G$500, MATCH(B1313, 'SAÍDA DE VENDAS'!$B$6:$B$500, 0)+4), ""), "")&amp; IF(COUNTIF('SAÍDA DE VENDAS'!$B$6:$B$500, B1313)&gt;5, " + " &amp; IFERROR(INDEX('SAÍDA DE VENDAS'!$H$6:$H$500 &amp; "x " &amp; 'SAÍDA DE VENDAS'!$G$6:$G$500, MATCH(B1313, 'SAÍDA DE VENDAS'!$B$6:$B$500, 0)+5), ""), ""))</f>
        <v/>
      </c>
      <c r="G1313" s="34">
        <f>IFERROR(VLOOKUP(B1313,'SAÍDA DE VENDAS'!$B$6:$P$500,10,FALSE),"")</f>
        <v>0</v>
      </c>
      <c r="H1313" s="34" t="str">
        <f>IF(OR(ISBLANK(B1313),B1313=""), "", IF(B1313=B1312, (VALUE(LEFT(H1312,FIND("/",H1312)-1))+1)&amp;"/"&amp;RIGHT(H1312,LEN(H1312)-FIND("/",H1312)), "1/"&amp;IFERROR(VLOOKUP(B1313,'SAÍDA DE VENDAS'!$B$6:$P$500,13,FALSE),"1")))</f>
        <v/>
      </c>
      <c r="I1313" s="35" t="str">
        <f t="shared" si="40"/>
        <v/>
      </c>
      <c r="J1313" s="39" t="str">
        <f>IFERROR(VLOOKUP(B1313,'SAÍDA DE VENDAS'!$B$6:$P$500,15,FALSE),"")</f>
        <v/>
      </c>
      <c r="K1313" s="34" t="str">
        <f t="shared" ca="1" si="41"/>
        <v/>
      </c>
      <c r="L1313" s="34"/>
      <c r="M1313" s="34"/>
    </row>
    <row r="1314" spans="2:13" ht="15" customHeight="1" x14ac:dyDescent="0.3">
      <c r="B1314" s="28" t="str">
        <f>IF(B1313="","", IF(VALUE(LEFT(H1313,FIND("/",H1313)-1)) &lt; VALUE(RIGHT(H1313,LEN(H1313)-FIND("/",H1313))), B1313, IFERROR(INDEX('SAÍDA DE VENDAS'!$B$6:$B$500, MATCH(B1313,'SAÍDA DE VENDAS'!$B$6:$B$500,0)+COUNTIF('SAÍDA DE VENDAS'!$B$6:$B$500, B1313)),"")))</f>
        <v/>
      </c>
      <c r="C1314" s="29">
        <f>IFERROR(VLOOKUP(B1314,'SAÍDA DE VENDAS'!$B$6:$P$500,3,FALSE),"")</f>
        <v>0</v>
      </c>
      <c r="D1314" s="28">
        <f>IFERROR(VLOOKUP(B1314,'SAÍDA DE VENDAS'!$B$6:$P$500,4,FALSE),"")</f>
        <v>0</v>
      </c>
      <c r="E1314" s="28" t="str">
        <f>IFERROR(VLOOKUP(B1314,'SAÍDA DE VENDAS'!$B$6:$P$500,5,FALSE),"")</f>
        <v/>
      </c>
      <c r="F1314" s="28" t="str">
        <f>IF(OR(ISBLANK(B1314),B1314=""), "", IFERROR(INDEX('SAÍDA DE VENDAS'!$H$6:$H$500 &amp; "x " &amp; 'SAÍDA DE VENDAS'!$G$6:$G$500, MATCH(B1314, 'SAÍDA DE VENDAS'!$B$6:$B$500, 0)), "")&amp; IF(COUNTIF('SAÍDA DE VENDAS'!$B$6:$B$500, B1314)&gt;1, " + " &amp; IFERROR(INDEX('SAÍDA DE VENDAS'!$H$6:$H$500 &amp; "x " &amp; 'SAÍDA DE VENDAS'!$G$6:$G$500, MATCH(B1314, 'SAÍDA DE VENDAS'!$B$6:$B$500, 0)+1), ""), "")&amp; IF(COUNTIF('SAÍDA DE VENDAS'!$B$6:$B$500, B1314)&gt;2, " + " &amp; IFERROR(INDEX('SAÍDA DE VENDAS'!$H$6:$H$500 &amp; "x " &amp; 'SAÍDA DE VENDAS'!$G$6:$G$500, MATCH(B1314, 'SAÍDA DE VENDAS'!$B$6:$B$500, 0)+2), ""), "")&amp; IF(COUNTIF('SAÍDA DE VENDAS'!$B$6:$B$500, B1314)&gt;3, " + " &amp; IFERROR(INDEX('SAÍDA DE VENDAS'!$H$6:$H$500 &amp; "x " &amp; 'SAÍDA DE VENDAS'!$G$6:$G$500, MATCH(B1314, 'SAÍDA DE VENDAS'!$B$6:$B$500, 0)+3), ""), "")&amp; IF(COUNTIF('SAÍDA DE VENDAS'!$B$6:$B$500, B1314)&gt;4, " + " &amp; IFERROR(INDEX('SAÍDA DE VENDAS'!$H$6:$H$500 &amp; "x " &amp; 'SAÍDA DE VENDAS'!$G$6:$G$500, MATCH(B1314, 'SAÍDA DE VENDAS'!$B$6:$B$500, 0)+4), ""), "")&amp; IF(COUNTIF('SAÍDA DE VENDAS'!$B$6:$B$500, B1314)&gt;5, " + " &amp; IFERROR(INDEX('SAÍDA DE VENDAS'!$H$6:$H$500 &amp; "x " &amp; 'SAÍDA DE VENDAS'!$G$6:$G$500, MATCH(B1314, 'SAÍDA DE VENDAS'!$B$6:$B$500, 0)+5), ""), ""))</f>
        <v/>
      </c>
      <c r="G1314" s="28">
        <f>IFERROR(VLOOKUP(B1314,'SAÍDA DE VENDAS'!$B$6:$P$500,10,FALSE),"")</f>
        <v>0</v>
      </c>
      <c r="H1314" s="28" t="str">
        <f>IF(OR(ISBLANK(B1314),B1314=""), "", IF(B1314=B1313, (VALUE(LEFT(H1313,FIND("/",H1313)-1))+1)&amp;"/"&amp;RIGHT(H1313,LEN(H1313)-FIND("/",H1313)), "1/"&amp;IFERROR(VLOOKUP(B1314,'SAÍDA DE VENDAS'!$B$6:$P$500,13,FALSE),"1")))</f>
        <v/>
      </c>
      <c r="I1314" s="69" t="str">
        <f t="shared" si="40"/>
        <v/>
      </c>
      <c r="J1314" s="33" t="str">
        <f>IFERROR(VLOOKUP(B1314,'SAÍDA DE VENDAS'!$B$6:$P$500,15,FALSE),"")</f>
        <v/>
      </c>
      <c r="K1314" s="28" t="str">
        <f t="shared" ca="1" si="41"/>
        <v/>
      </c>
      <c r="L1314" s="28"/>
      <c r="M1314" s="28"/>
    </row>
    <row r="1315" spans="2:13" ht="15" customHeight="1" x14ac:dyDescent="0.3">
      <c r="B1315" s="34" t="str">
        <f>IF(B1314="","", IF(VALUE(LEFT(H1314,FIND("/",H1314)-1)) &lt; VALUE(RIGHT(H1314,LEN(H1314)-FIND("/",H1314))), B1314, IFERROR(INDEX('SAÍDA DE VENDAS'!$B$6:$B$500, MATCH(B1314,'SAÍDA DE VENDAS'!$B$6:$B$500,0)+COUNTIF('SAÍDA DE VENDAS'!$B$6:$B$500, B1314)),"")))</f>
        <v/>
      </c>
      <c r="C1315" s="35">
        <f>IFERROR(VLOOKUP(B1315,'SAÍDA DE VENDAS'!$B$6:$P$500,3,FALSE),"")</f>
        <v>0</v>
      </c>
      <c r="D1315" s="34">
        <f>IFERROR(VLOOKUP(B1315,'SAÍDA DE VENDAS'!$B$6:$P$500,4,FALSE),"")</f>
        <v>0</v>
      </c>
      <c r="E1315" s="34" t="str">
        <f>IFERROR(VLOOKUP(B1315,'SAÍDA DE VENDAS'!$B$6:$P$500,5,FALSE),"")</f>
        <v/>
      </c>
      <c r="F1315" s="34" t="str">
        <f>IF(OR(ISBLANK(B1315),B1315=""), "", IFERROR(INDEX('SAÍDA DE VENDAS'!$H$6:$H$500 &amp; "x " &amp; 'SAÍDA DE VENDAS'!$G$6:$G$500, MATCH(B1315, 'SAÍDA DE VENDAS'!$B$6:$B$500, 0)), "")&amp; IF(COUNTIF('SAÍDA DE VENDAS'!$B$6:$B$500, B1315)&gt;1, " + " &amp; IFERROR(INDEX('SAÍDA DE VENDAS'!$H$6:$H$500 &amp; "x " &amp; 'SAÍDA DE VENDAS'!$G$6:$G$500, MATCH(B1315, 'SAÍDA DE VENDAS'!$B$6:$B$500, 0)+1), ""), "")&amp; IF(COUNTIF('SAÍDA DE VENDAS'!$B$6:$B$500, B1315)&gt;2, " + " &amp; IFERROR(INDEX('SAÍDA DE VENDAS'!$H$6:$H$500 &amp; "x " &amp; 'SAÍDA DE VENDAS'!$G$6:$G$500, MATCH(B1315, 'SAÍDA DE VENDAS'!$B$6:$B$500, 0)+2), ""), "")&amp; IF(COUNTIF('SAÍDA DE VENDAS'!$B$6:$B$500, B1315)&gt;3, " + " &amp; IFERROR(INDEX('SAÍDA DE VENDAS'!$H$6:$H$500 &amp; "x " &amp; 'SAÍDA DE VENDAS'!$G$6:$G$500, MATCH(B1315, 'SAÍDA DE VENDAS'!$B$6:$B$500, 0)+3), ""), "")&amp; IF(COUNTIF('SAÍDA DE VENDAS'!$B$6:$B$500, B1315)&gt;4, " + " &amp; IFERROR(INDEX('SAÍDA DE VENDAS'!$H$6:$H$500 &amp; "x " &amp; 'SAÍDA DE VENDAS'!$G$6:$G$500, MATCH(B1315, 'SAÍDA DE VENDAS'!$B$6:$B$500, 0)+4), ""), "")&amp; IF(COUNTIF('SAÍDA DE VENDAS'!$B$6:$B$500, B1315)&gt;5, " + " &amp; IFERROR(INDEX('SAÍDA DE VENDAS'!$H$6:$H$500 &amp; "x " &amp; 'SAÍDA DE VENDAS'!$G$6:$G$500, MATCH(B1315, 'SAÍDA DE VENDAS'!$B$6:$B$500, 0)+5), ""), ""))</f>
        <v/>
      </c>
      <c r="G1315" s="34">
        <f>IFERROR(VLOOKUP(B1315,'SAÍDA DE VENDAS'!$B$6:$P$500,10,FALSE),"")</f>
        <v>0</v>
      </c>
      <c r="H1315" s="34" t="str">
        <f>IF(OR(ISBLANK(B1315),B1315=""), "", IF(B1315=B1314, (VALUE(LEFT(H1314,FIND("/",H1314)-1))+1)&amp;"/"&amp;RIGHT(H1314,LEN(H1314)-FIND("/",H1314)), "1/"&amp;IFERROR(VLOOKUP(B1315,'SAÍDA DE VENDAS'!$B$6:$P$500,13,FALSE),"1")))</f>
        <v/>
      </c>
      <c r="I1315" s="35" t="str">
        <f t="shared" si="40"/>
        <v/>
      </c>
      <c r="J1315" s="39" t="str">
        <f>IFERROR(VLOOKUP(B1315,'SAÍDA DE VENDAS'!$B$6:$P$500,15,FALSE),"")</f>
        <v/>
      </c>
      <c r="K1315" s="34" t="str">
        <f t="shared" ca="1" si="41"/>
        <v/>
      </c>
      <c r="L1315" s="34"/>
      <c r="M1315" s="34"/>
    </row>
    <row r="1316" spans="2:13" ht="15" customHeight="1" x14ac:dyDescent="0.3">
      <c r="B1316" s="28" t="str">
        <f>IF(B1315="","", IF(VALUE(LEFT(H1315,FIND("/",H1315)-1)) &lt; VALUE(RIGHT(H1315,LEN(H1315)-FIND("/",H1315))), B1315, IFERROR(INDEX('SAÍDA DE VENDAS'!$B$6:$B$500, MATCH(B1315,'SAÍDA DE VENDAS'!$B$6:$B$500,0)+COUNTIF('SAÍDA DE VENDAS'!$B$6:$B$500, B1315)),"")))</f>
        <v/>
      </c>
      <c r="C1316" s="29">
        <f>IFERROR(VLOOKUP(B1316,'SAÍDA DE VENDAS'!$B$6:$P$500,3,FALSE),"")</f>
        <v>0</v>
      </c>
      <c r="D1316" s="28">
        <f>IFERROR(VLOOKUP(B1316,'SAÍDA DE VENDAS'!$B$6:$P$500,4,FALSE),"")</f>
        <v>0</v>
      </c>
      <c r="E1316" s="28" t="str">
        <f>IFERROR(VLOOKUP(B1316,'SAÍDA DE VENDAS'!$B$6:$P$500,5,FALSE),"")</f>
        <v/>
      </c>
      <c r="F1316" s="28" t="str">
        <f>IF(OR(ISBLANK(B1316),B1316=""), "", IFERROR(INDEX('SAÍDA DE VENDAS'!$H$6:$H$500 &amp; "x " &amp; 'SAÍDA DE VENDAS'!$G$6:$G$500, MATCH(B1316, 'SAÍDA DE VENDAS'!$B$6:$B$500, 0)), "")&amp; IF(COUNTIF('SAÍDA DE VENDAS'!$B$6:$B$500, B1316)&gt;1, " + " &amp; IFERROR(INDEX('SAÍDA DE VENDAS'!$H$6:$H$500 &amp; "x " &amp; 'SAÍDA DE VENDAS'!$G$6:$G$500, MATCH(B1316, 'SAÍDA DE VENDAS'!$B$6:$B$500, 0)+1), ""), "")&amp; IF(COUNTIF('SAÍDA DE VENDAS'!$B$6:$B$500, B1316)&gt;2, " + " &amp; IFERROR(INDEX('SAÍDA DE VENDAS'!$H$6:$H$500 &amp; "x " &amp; 'SAÍDA DE VENDAS'!$G$6:$G$500, MATCH(B1316, 'SAÍDA DE VENDAS'!$B$6:$B$500, 0)+2), ""), "")&amp; IF(COUNTIF('SAÍDA DE VENDAS'!$B$6:$B$500, B1316)&gt;3, " + " &amp; IFERROR(INDEX('SAÍDA DE VENDAS'!$H$6:$H$500 &amp; "x " &amp; 'SAÍDA DE VENDAS'!$G$6:$G$500, MATCH(B1316, 'SAÍDA DE VENDAS'!$B$6:$B$500, 0)+3), ""), "")&amp; IF(COUNTIF('SAÍDA DE VENDAS'!$B$6:$B$500, B1316)&gt;4, " + " &amp; IFERROR(INDEX('SAÍDA DE VENDAS'!$H$6:$H$500 &amp; "x " &amp; 'SAÍDA DE VENDAS'!$G$6:$G$500, MATCH(B1316, 'SAÍDA DE VENDAS'!$B$6:$B$500, 0)+4), ""), "")&amp; IF(COUNTIF('SAÍDA DE VENDAS'!$B$6:$B$500, B1316)&gt;5, " + " &amp; IFERROR(INDEX('SAÍDA DE VENDAS'!$H$6:$H$500 &amp; "x " &amp; 'SAÍDA DE VENDAS'!$G$6:$G$500, MATCH(B1316, 'SAÍDA DE VENDAS'!$B$6:$B$500, 0)+5), ""), ""))</f>
        <v/>
      </c>
      <c r="G1316" s="28">
        <f>IFERROR(VLOOKUP(B1316,'SAÍDA DE VENDAS'!$B$6:$P$500,10,FALSE),"")</f>
        <v>0</v>
      </c>
      <c r="H1316" s="28" t="str">
        <f>IF(OR(ISBLANK(B1316),B1316=""), "", IF(B1316=B1315, (VALUE(LEFT(H1315,FIND("/",H1315)-1))+1)&amp;"/"&amp;RIGHT(H1315,LEN(H1315)-FIND("/",H1315)), "1/"&amp;IFERROR(VLOOKUP(B1316,'SAÍDA DE VENDAS'!$B$6:$P$500,13,FALSE),"1")))</f>
        <v/>
      </c>
      <c r="I1316" s="69" t="str">
        <f t="shared" si="40"/>
        <v/>
      </c>
      <c r="J1316" s="33" t="str">
        <f>IFERROR(VLOOKUP(B1316,'SAÍDA DE VENDAS'!$B$6:$P$500,15,FALSE),"")</f>
        <v/>
      </c>
      <c r="K1316" s="28" t="str">
        <f t="shared" ca="1" si="41"/>
        <v/>
      </c>
      <c r="L1316" s="28"/>
      <c r="M1316" s="28"/>
    </row>
    <row r="1317" spans="2:13" ht="15" customHeight="1" x14ac:dyDescent="0.3">
      <c r="B1317" s="34" t="str">
        <f>IF(B1316="","", IF(VALUE(LEFT(H1316,FIND("/",H1316)-1)) &lt; VALUE(RIGHT(H1316,LEN(H1316)-FIND("/",H1316))), B1316, IFERROR(INDEX('SAÍDA DE VENDAS'!$B$6:$B$500, MATCH(B1316,'SAÍDA DE VENDAS'!$B$6:$B$500,0)+COUNTIF('SAÍDA DE VENDAS'!$B$6:$B$500, B1316)),"")))</f>
        <v/>
      </c>
      <c r="C1317" s="35">
        <f>IFERROR(VLOOKUP(B1317,'SAÍDA DE VENDAS'!$B$6:$P$500,3,FALSE),"")</f>
        <v>0</v>
      </c>
      <c r="D1317" s="34">
        <f>IFERROR(VLOOKUP(B1317,'SAÍDA DE VENDAS'!$B$6:$P$500,4,FALSE),"")</f>
        <v>0</v>
      </c>
      <c r="E1317" s="34" t="str">
        <f>IFERROR(VLOOKUP(B1317,'SAÍDA DE VENDAS'!$B$6:$P$500,5,FALSE),"")</f>
        <v/>
      </c>
      <c r="F1317" s="34" t="str">
        <f>IF(OR(ISBLANK(B1317),B1317=""), "", IFERROR(INDEX('SAÍDA DE VENDAS'!$H$6:$H$500 &amp; "x " &amp; 'SAÍDA DE VENDAS'!$G$6:$G$500, MATCH(B1317, 'SAÍDA DE VENDAS'!$B$6:$B$500, 0)), "")&amp; IF(COUNTIF('SAÍDA DE VENDAS'!$B$6:$B$500, B1317)&gt;1, " + " &amp; IFERROR(INDEX('SAÍDA DE VENDAS'!$H$6:$H$500 &amp; "x " &amp; 'SAÍDA DE VENDAS'!$G$6:$G$500, MATCH(B1317, 'SAÍDA DE VENDAS'!$B$6:$B$500, 0)+1), ""), "")&amp; IF(COUNTIF('SAÍDA DE VENDAS'!$B$6:$B$500, B1317)&gt;2, " + " &amp; IFERROR(INDEX('SAÍDA DE VENDAS'!$H$6:$H$500 &amp; "x " &amp; 'SAÍDA DE VENDAS'!$G$6:$G$500, MATCH(B1317, 'SAÍDA DE VENDAS'!$B$6:$B$500, 0)+2), ""), "")&amp; IF(COUNTIF('SAÍDA DE VENDAS'!$B$6:$B$500, B1317)&gt;3, " + " &amp; IFERROR(INDEX('SAÍDA DE VENDAS'!$H$6:$H$500 &amp; "x " &amp; 'SAÍDA DE VENDAS'!$G$6:$G$500, MATCH(B1317, 'SAÍDA DE VENDAS'!$B$6:$B$500, 0)+3), ""), "")&amp; IF(COUNTIF('SAÍDA DE VENDAS'!$B$6:$B$500, B1317)&gt;4, " + " &amp; IFERROR(INDEX('SAÍDA DE VENDAS'!$H$6:$H$500 &amp; "x " &amp; 'SAÍDA DE VENDAS'!$G$6:$G$500, MATCH(B1317, 'SAÍDA DE VENDAS'!$B$6:$B$500, 0)+4), ""), "")&amp; IF(COUNTIF('SAÍDA DE VENDAS'!$B$6:$B$500, B1317)&gt;5, " + " &amp; IFERROR(INDEX('SAÍDA DE VENDAS'!$H$6:$H$500 &amp; "x " &amp; 'SAÍDA DE VENDAS'!$G$6:$G$500, MATCH(B1317, 'SAÍDA DE VENDAS'!$B$6:$B$500, 0)+5), ""), ""))</f>
        <v/>
      </c>
      <c r="G1317" s="34">
        <f>IFERROR(VLOOKUP(B1317,'SAÍDA DE VENDAS'!$B$6:$P$500,10,FALSE),"")</f>
        <v>0</v>
      </c>
      <c r="H1317" s="34" t="str">
        <f>IF(OR(ISBLANK(B1317),B1317=""), "", IF(B1317=B1316, (VALUE(LEFT(H1316,FIND("/",H1316)-1))+1)&amp;"/"&amp;RIGHT(H1316,LEN(H1316)-FIND("/",H1316)), "1/"&amp;IFERROR(VLOOKUP(B1317,'SAÍDA DE VENDAS'!$B$6:$P$500,13,FALSE),"1")))</f>
        <v/>
      </c>
      <c r="I1317" s="35" t="str">
        <f t="shared" si="40"/>
        <v/>
      </c>
      <c r="J1317" s="39" t="str">
        <f>IFERROR(VLOOKUP(B1317,'SAÍDA DE VENDAS'!$B$6:$P$500,15,FALSE),"")</f>
        <v/>
      </c>
      <c r="K1317" s="34" t="str">
        <f t="shared" ca="1" si="41"/>
        <v/>
      </c>
      <c r="L1317" s="34"/>
      <c r="M1317" s="34"/>
    </row>
    <row r="1318" spans="2:13" ht="15" customHeight="1" x14ac:dyDescent="0.3">
      <c r="B1318" s="28" t="str">
        <f>IF(B1317="","", IF(VALUE(LEFT(H1317,FIND("/",H1317)-1)) &lt; VALUE(RIGHT(H1317,LEN(H1317)-FIND("/",H1317))), B1317, IFERROR(INDEX('SAÍDA DE VENDAS'!$B$6:$B$500, MATCH(B1317,'SAÍDA DE VENDAS'!$B$6:$B$500,0)+COUNTIF('SAÍDA DE VENDAS'!$B$6:$B$500, B1317)),"")))</f>
        <v/>
      </c>
      <c r="C1318" s="29">
        <f>IFERROR(VLOOKUP(B1318,'SAÍDA DE VENDAS'!$B$6:$P$500,3,FALSE),"")</f>
        <v>0</v>
      </c>
      <c r="D1318" s="28">
        <f>IFERROR(VLOOKUP(B1318,'SAÍDA DE VENDAS'!$B$6:$P$500,4,FALSE),"")</f>
        <v>0</v>
      </c>
      <c r="E1318" s="28" t="str">
        <f>IFERROR(VLOOKUP(B1318,'SAÍDA DE VENDAS'!$B$6:$P$500,5,FALSE),"")</f>
        <v/>
      </c>
      <c r="F1318" s="28" t="str">
        <f>IF(OR(ISBLANK(B1318),B1318=""), "", IFERROR(INDEX('SAÍDA DE VENDAS'!$H$6:$H$500 &amp; "x " &amp; 'SAÍDA DE VENDAS'!$G$6:$G$500, MATCH(B1318, 'SAÍDA DE VENDAS'!$B$6:$B$500, 0)), "")&amp; IF(COUNTIF('SAÍDA DE VENDAS'!$B$6:$B$500, B1318)&gt;1, " + " &amp; IFERROR(INDEX('SAÍDA DE VENDAS'!$H$6:$H$500 &amp; "x " &amp; 'SAÍDA DE VENDAS'!$G$6:$G$500, MATCH(B1318, 'SAÍDA DE VENDAS'!$B$6:$B$500, 0)+1), ""), "")&amp; IF(COUNTIF('SAÍDA DE VENDAS'!$B$6:$B$500, B1318)&gt;2, " + " &amp; IFERROR(INDEX('SAÍDA DE VENDAS'!$H$6:$H$500 &amp; "x " &amp; 'SAÍDA DE VENDAS'!$G$6:$G$500, MATCH(B1318, 'SAÍDA DE VENDAS'!$B$6:$B$500, 0)+2), ""), "")&amp; IF(COUNTIF('SAÍDA DE VENDAS'!$B$6:$B$500, B1318)&gt;3, " + " &amp; IFERROR(INDEX('SAÍDA DE VENDAS'!$H$6:$H$500 &amp; "x " &amp; 'SAÍDA DE VENDAS'!$G$6:$G$500, MATCH(B1318, 'SAÍDA DE VENDAS'!$B$6:$B$500, 0)+3), ""), "")&amp; IF(COUNTIF('SAÍDA DE VENDAS'!$B$6:$B$500, B1318)&gt;4, " + " &amp; IFERROR(INDEX('SAÍDA DE VENDAS'!$H$6:$H$500 &amp; "x " &amp; 'SAÍDA DE VENDAS'!$G$6:$G$500, MATCH(B1318, 'SAÍDA DE VENDAS'!$B$6:$B$500, 0)+4), ""), "")&amp; IF(COUNTIF('SAÍDA DE VENDAS'!$B$6:$B$500, B1318)&gt;5, " + " &amp; IFERROR(INDEX('SAÍDA DE VENDAS'!$H$6:$H$500 &amp; "x " &amp; 'SAÍDA DE VENDAS'!$G$6:$G$500, MATCH(B1318, 'SAÍDA DE VENDAS'!$B$6:$B$500, 0)+5), ""), ""))</f>
        <v/>
      </c>
      <c r="G1318" s="28">
        <f>IFERROR(VLOOKUP(B1318,'SAÍDA DE VENDAS'!$B$6:$P$500,10,FALSE),"")</f>
        <v>0</v>
      </c>
      <c r="H1318" s="28" t="str">
        <f>IF(OR(ISBLANK(B1318),B1318=""), "", IF(B1318=B1317, (VALUE(LEFT(H1317,FIND("/",H1317)-1))+1)&amp;"/"&amp;RIGHT(H1317,LEN(H1317)-FIND("/",H1317)), "1/"&amp;IFERROR(VLOOKUP(B1318,'SAÍDA DE VENDAS'!$B$6:$P$500,13,FALSE),"1")))</f>
        <v/>
      </c>
      <c r="I1318" s="69" t="str">
        <f t="shared" si="40"/>
        <v/>
      </c>
      <c r="J1318" s="33" t="str">
        <f>IFERROR(VLOOKUP(B1318,'SAÍDA DE VENDAS'!$B$6:$P$500,15,FALSE),"")</f>
        <v/>
      </c>
      <c r="K1318" s="28" t="str">
        <f t="shared" ca="1" si="41"/>
        <v/>
      </c>
      <c r="L1318" s="28"/>
      <c r="M1318" s="28"/>
    </row>
    <row r="1319" spans="2:13" ht="15" customHeight="1" x14ac:dyDescent="0.3">
      <c r="B1319" s="34" t="str">
        <f>IF(B1318="","", IF(VALUE(LEFT(H1318,FIND("/",H1318)-1)) &lt; VALUE(RIGHT(H1318,LEN(H1318)-FIND("/",H1318))), B1318, IFERROR(INDEX('SAÍDA DE VENDAS'!$B$6:$B$500, MATCH(B1318,'SAÍDA DE VENDAS'!$B$6:$B$500,0)+COUNTIF('SAÍDA DE VENDAS'!$B$6:$B$500, B1318)),"")))</f>
        <v/>
      </c>
      <c r="C1319" s="35">
        <f>IFERROR(VLOOKUP(B1319,'SAÍDA DE VENDAS'!$B$6:$P$500,3,FALSE),"")</f>
        <v>0</v>
      </c>
      <c r="D1319" s="34">
        <f>IFERROR(VLOOKUP(B1319,'SAÍDA DE VENDAS'!$B$6:$P$500,4,FALSE),"")</f>
        <v>0</v>
      </c>
      <c r="E1319" s="34" t="str">
        <f>IFERROR(VLOOKUP(B1319,'SAÍDA DE VENDAS'!$B$6:$P$500,5,FALSE),"")</f>
        <v/>
      </c>
      <c r="F1319" s="34" t="str">
        <f>IF(OR(ISBLANK(B1319),B1319=""), "", IFERROR(INDEX('SAÍDA DE VENDAS'!$H$6:$H$500 &amp; "x " &amp; 'SAÍDA DE VENDAS'!$G$6:$G$500, MATCH(B1319, 'SAÍDA DE VENDAS'!$B$6:$B$500, 0)), "")&amp; IF(COUNTIF('SAÍDA DE VENDAS'!$B$6:$B$500, B1319)&gt;1, " + " &amp; IFERROR(INDEX('SAÍDA DE VENDAS'!$H$6:$H$500 &amp; "x " &amp; 'SAÍDA DE VENDAS'!$G$6:$G$500, MATCH(B1319, 'SAÍDA DE VENDAS'!$B$6:$B$500, 0)+1), ""), "")&amp; IF(COUNTIF('SAÍDA DE VENDAS'!$B$6:$B$500, B1319)&gt;2, " + " &amp; IFERROR(INDEX('SAÍDA DE VENDAS'!$H$6:$H$500 &amp; "x " &amp; 'SAÍDA DE VENDAS'!$G$6:$G$500, MATCH(B1319, 'SAÍDA DE VENDAS'!$B$6:$B$500, 0)+2), ""), "")&amp; IF(COUNTIF('SAÍDA DE VENDAS'!$B$6:$B$500, B1319)&gt;3, " + " &amp; IFERROR(INDEX('SAÍDA DE VENDAS'!$H$6:$H$500 &amp; "x " &amp; 'SAÍDA DE VENDAS'!$G$6:$G$500, MATCH(B1319, 'SAÍDA DE VENDAS'!$B$6:$B$500, 0)+3), ""), "")&amp; IF(COUNTIF('SAÍDA DE VENDAS'!$B$6:$B$500, B1319)&gt;4, " + " &amp; IFERROR(INDEX('SAÍDA DE VENDAS'!$H$6:$H$500 &amp; "x " &amp; 'SAÍDA DE VENDAS'!$G$6:$G$500, MATCH(B1319, 'SAÍDA DE VENDAS'!$B$6:$B$500, 0)+4), ""), "")&amp; IF(COUNTIF('SAÍDA DE VENDAS'!$B$6:$B$500, B1319)&gt;5, " + " &amp; IFERROR(INDEX('SAÍDA DE VENDAS'!$H$6:$H$500 &amp; "x " &amp; 'SAÍDA DE VENDAS'!$G$6:$G$500, MATCH(B1319, 'SAÍDA DE VENDAS'!$B$6:$B$500, 0)+5), ""), ""))</f>
        <v/>
      </c>
      <c r="G1319" s="34">
        <f>IFERROR(VLOOKUP(B1319,'SAÍDA DE VENDAS'!$B$6:$P$500,10,FALSE),"")</f>
        <v>0</v>
      </c>
      <c r="H1319" s="34" t="str">
        <f>IF(OR(ISBLANK(B1319),B1319=""), "", IF(B1319=B1318, (VALUE(LEFT(H1318,FIND("/",H1318)-1))+1)&amp;"/"&amp;RIGHT(H1318,LEN(H1318)-FIND("/",H1318)), "1/"&amp;IFERROR(VLOOKUP(B1319,'SAÍDA DE VENDAS'!$B$6:$P$500,13,FALSE),"1")))</f>
        <v/>
      </c>
      <c r="I1319" s="35" t="str">
        <f t="shared" si="40"/>
        <v/>
      </c>
      <c r="J1319" s="39" t="str">
        <f>IFERROR(VLOOKUP(B1319,'SAÍDA DE VENDAS'!$B$6:$P$500,15,FALSE),"")</f>
        <v/>
      </c>
      <c r="K1319" s="34" t="str">
        <f t="shared" ca="1" si="41"/>
        <v/>
      </c>
      <c r="L1319" s="34"/>
      <c r="M1319" s="34"/>
    </row>
    <row r="1320" spans="2:13" ht="15" customHeight="1" x14ac:dyDescent="0.3">
      <c r="B1320" s="28" t="str">
        <f>IF(B1319="","", IF(VALUE(LEFT(H1319,FIND("/",H1319)-1)) &lt; VALUE(RIGHT(H1319,LEN(H1319)-FIND("/",H1319))), B1319, IFERROR(INDEX('SAÍDA DE VENDAS'!$B$6:$B$500, MATCH(B1319,'SAÍDA DE VENDAS'!$B$6:$B$500,0)+COUNTIF('SAÍDA DE VENDAS'!$B$6:$B$500, B1319)),"")))</f>
        <v/>
      </c>
      <c r="C1320" s="29">
        <f>IFERROR(VLOOKUP(B1320,'SAÍDA DE VENDAS'!$B$6:$P$500,3,FALSE),"")</f>
        <v>0</v>
      </c>
      <c r="D1320" s="28">
        <f>IFERROR(VLOOKUP(B1320,'SAÍDA DE VENDAS'!$B$6:$P$500,4,FALSE),"")</f>
        <v>0</v>
      </c>
      <c r="E1320" s="28" t="str">
        <f>IFERROR(VLOOKUP(B1320,'SAÍDA DE VENDAS'!$B$6:$P$500,5,FALSE),"")</f>
        <v/>
      </c>
      <c r="F1320" s="28" t="str">
        <f>IF(OR(ISBLANK(B1320),B1320=""), "", IFERROR(INDEX('SAÍDA DE VENDAS'!$H$6:$H$500 &amp; "x " &amp; 'SAÍDA DE VENDAS'!$G$6:$G$500, MATCH(B1320, 'SAÍDA DE VENDAS'!$B$6:$B$500, 0)), "")&amp; IF(COUNTIF('SAÍDA DE VENDAS'!$B$6:$B$500, B1320)&gt;1, " + " &amp; IFERROR(INDEX('SAÍDA DE VENDAS'!$H$6:$H$500 &amp; "x " &amp; 'SAÍDA DE VENDAS'!$G$6:$G$500, MATCH(B1320, 'SAÍDA DE VENDAS'!$B$6:$B$500, 0)+1), ""), "")&amp; IF(COUNTIF('SAÍDA DE VENDAS'!$B$6:$B$500, B1320)&gt;2, " + " &amp; IFERROR(INDEX('SAÍDA DE VENDAS'!$H$6:$H$500 &amp; "x " &amp; 'SAÍDA DE VENDAS'!$G$6:$G$500, MATCH(B1320, 'SAÍDA DE VENDAS'!$B$6:$B$500, 0)+2), ""), "")&amp; IF(COUNTIF('SAÍDA DE VENDAS'!$B$6:$B$500, B1320)&gt;3, " + " &amp; IFERROR(INDEX('SAÍDA DE VENDAS'!$H$6:$H$500 &amp; "x " &amp; 'SAÍDA DE VENDAS'!$G$6:$G$500, MATCH(B1320, 'SAÍDA DE VENDAS'!$B$6:$B$500, 0)+3), ""), "")&amp; IF(COUNTIF('SAÍDA DE VENDAS'!$B$6:$B$500, B1320)&gt;4, " + " &amp; IFERROR(INDEX('SAÍDA DE VENDAS'!$H$6:$H$500 &amp; "x " &amp; 'SAÍDA DE VENDAS'!$G$6:$G$500, MATCH(B1320, 'SAÍDA DE VENDAS'!$B$6:$B$500, 0)+4), ""), "")&amp; IF(COUNTIF('SAÍDA DE VENDAS'!$B$6:$B$500, B1320)&gt;5, " + " &amp; IFERROR(INDEX('SAÍDA DE VENDAS'!$H$6:$H$500 &amp; "x " &amp; 'SAÍDA DE VENDAS'!$G$6:$G$500, MATCH(B1320, 'SAÍDA DE VENDAS'!$B$6:$B$500, 0)+5), ""), ""))</f>
        <v/>
      </c>
      <c r="G1320" s="28">
        <f>IFERROR(VLOOKUP(B1320,'SAÍDA DE VENDAS'!$B$6:$P$500,10,FALSE),"")</f>
        <v>0</v>
      </c>
      <c r="H1320" s="28" t="str">
        <f>IF(OR(ISBLANK(B1320),B1320=""), "", IF(B1320=B1319, (VALUE(LEFT(H1319,FIND("/",H1319)-1))+1)&amp;"/"&amp;RIGHT(H1319,LEN(H1319)-FIND("/",H1319)), "1/"&amp;IFERROR(VLOOKUP(B1320,'SAÍDA DE VENDAS'!$B$6:$P$500,13,FALSE),"1")))</f>
        <v/>
      </c>
      <c r="I1320" s="69" t="str">
        <f t="shared" si="40"/>
        <v/>
      </c>
      <c r="J1320" s="33" t="str">
        <f>IFERROR(VLOOKUP(B1320,'SAÍDA DE VENDAS'!$B$6:$P$500,15,FALSE),"")</f>
        <v/>
      </c>
      <c r="K1320" s="28" t="str">
        <f t="shared" ca="1" si="41"/>
        <v/>
      </c>
      <c r="L1320" s="28"/>
      <c r="M1320" s="28"/>
    </row>
    <row r="1321" spans="2:13" ht="15" customHeight="1" x14ac:dyDescent="0.3">
      <c r="B1321" s="34" t="str">
        <f>IF(B1320="","", IF(VALUE(LEFT(H1320,FIND("/",H1320)-1)) &lt; VALUE(RIGHT(H1320,LEN(H1320)-FIND("/",H1320))), B1320, IFERROR(INDEX('SAÍDA DE VENDAS'!$B$6:$B$500, MATCH(B1320,'SAÍDA DE VENDAS'!$B$6:$B$500,0)+COUNTIF('SAÍDA DE VENDAS'!$B$6:$B$500, B1320)),"")))</f>
        <v/>
      </c>
      <c r="C1321" s="35">
        <f>IFERROR(VLOOKUP(B1321,'SAÍDA DE VENDAS'!$B$6:$P$500,3,FALSE),"")</f>
        <v>0</v>
      </c>
      <c r="D1321" s="34">
        <f>IFERROR(VLOOKUP(B1321,'SAÍDA DE VENDAS'!$B$6:$P$500,4,FALSE),"")</f>
        <v>0</v>
      </c>
      <c r="E1321" s="34" t="str">
        <f>IFERROR(VLOOKUP(B1321,'SAÍDA DE VENDAS'!$B$6:$P$500,5,FALSE),"")</f>
        <v/>
      </c>
      <c r="F1321" s="34" t="str">
        <f>IF(OR(ISBLANK(B1321),B1321=""), "", IFERROR(INDEX('SAÍDA DE VENDAS'!$H$6:$H$500 &amp; "x " &amp; 'SAÍDA DE VENDAS'!$G$6:$G$500, MATCH(B1321, 'SAÍDA DE VENDAS'!$B$6:$B$500, 0)), "")&amp; IF(COUNTIF('SAÍDA DE VENDAS'!$B$6:$B$500, B1321)&gt;1, " + " &amp; IFERROR(INDEX('SAÍDA DE VENDAS'!$H$6:$H$500 &amp; "x " &amp; 'SAÍDA DE VENDAS'!$G$6:$G$500, MATCH(B1321, 'SAÍDA DE VENDAS'!$B$6:$B$500, 0)+1), ""), "")&amp; IF(COUNTIF('SAÍDA DE VENDAS'!$B$6:$B$500, B1321)&gt;2, " + " &amp; IFERROR(INDEX('SAÍDA DE VENDAS'!$H$6:$H$500 &amp; "x " &amp; 'SAÍDA DE VENDAS'!$G$6:$G$500, MATCH(B1321, 'SAÍDA DE VENDAS'!$B$6:$B$500, 0)+2), ""), "")&amp; IF(COUNTIF('SAÍDA DE VENDAS'!$B$6:$B$500, B1321)&gt;3, " + " &amp; IFERROR(INDEX('SAÍDA DE VENDAS'!$H$6:$H$500 &amp; "x " &amp; 'SAÍDA DE VENDAS'!$G$6:$G$500, MATCH(B1321, 'SAÍDA DE VENDAS'!$B$6:$B$500, 0)+3), ""), "")&amp; IF(COUNTIF('SAÍDA DE VENDAS'!$B$6:$B$500, B1321)&gt;4, " + " &amp; IFERROR(INDEX('SAÍDA DE VENDAS'!$H$6:$H$500 &amp; "x " &amp; 'SAÍDA DE VENDAS'!$G$6:$G$500, MATCH(B1321, 'SAÍDA DE VENDAS'!$B$6:$B$500, 0)+4), ""), "")&amp; IF(COUNTIF('SAÍDA DE VENDAS'!$B$6:$B$500, B1321)&gt;5, " + " &amp; IFERROR(INDEX('SAÍDA DE VENDAS'!$H$6:$H$500 &amp; "x " &amp; 'SAÍDA DE VENDAS'!$G$6:$G$500, MATCH(B1321, 'SAÍDA DE VENDAS'!$B$6:$B$500, 0)+5), ""), ""))</f>
        <v/>
      </c>
      <c r="G1321" s="34">
        <f>IFERROR(VLOOKUP(B1321,'SAÍDA DE VENDAS'!$B$6:$P$500,10,FALSE),"")</f>
        <v>0</v>
      </c>
      <c r="H1321" s="34" t="str">
        <f>IF(OR(ISBLANK(B1321),B1321=""), "", IF(B1321=B1320, (VALUE(LEFT(H1320,FIND("/",H1320)-1))+1)&amp;"/"&amp;RIGHT(H1320,LEN(H1320)-FIND("/",H1320)), "1/"&amp;IFERROR(VLOOKUP(B1321,'SAÍDA DE VENDAS'!$B$6:$P$500,13,FALSE),"1")))</f>
        <v/>
      </c>
      <c r="I1321" s="35" t="str">
        <f t="shared" si="40"/>
        <v/>
      </c>
      <c r="J1321" s="39" t="str">
        <f>IFERROR(VLOOKUP(B1321,'SAÍDA DE VENDAS'!$B$6:$P$500,15,FALSE),"")</f>
        <v/>
      </c>
      <c r="K1321" s="34" t="str">
        <f t="shared" ca="1" si="41"/>
        <v/>
      </c>
      <c r="L1321" s="34"/>
      <c r="M1321" s="34"/>
    </row>
    <row r="1322" spans="2:13" ht="15" customHeight="1" x14ac:dyDescent="0.3">
      <c r="B1322" s="28" t="str">
        <f>IF(B1321="","", IF(VALUE(LEFT(H1321,FIND("/",H1321)-1)) &lt; VALUE(RIGHT(H1321,LEN(H1321)-FIND("/",H1321))), B1321, IFERROR(INDEX('SAÍDA DE VENDAS'!$B$6:$B$500, MATCH(B1321,'SAÍDA DE VENDAS'!$B$6:$B$500,0)+COUNTIF('SAÍDA DE VENDAS'!$B$6:$B$500, B1321)),"")))</f>
        <v/>
      </c>
      <c r="C1322" s="29">
        <f>IFERROR(VLOOKUP(B1322,'SAÍDA DE VENDAS'!$B$6:$P$500,3,FALSE),"")</f>
        <v>0</v>
      </c>
      <c r="D1322" s="28">
        <f>IFERROR(VLOOKUP(B1322,'SAÍDA DE VENDAS'!$B$6:$P$500,4,FALSE),"")</f>
        <v>0</v>
      </c>
      <c r="E1322" s="28" t="str">
        <f>IFERROR(VLOOKUP(B1322,'SAÍDA DE VENDAS'!$B$6:$P$500,5,FALSE),"")</f>
        <v/>
      </c>
      <c r="F1322" s="28" t="str">
        <f>IF(OR(ISBLANK(B1322),B1322=""), "", IFERROR(INDEX('SAÍDA DE VENDAS'!$H$6:$H$500 &amp; "x " &amp; 'SAÍDA DE VENDAS'!$G$6:$G$500, MATCH(B1322, 'SAÍDA DE VENDAS'!$B$6:$B$500, 0)), "")&amp; IF(COUNTIF('SAÍDA DE VENDAS'!$B$6:$B$500, B1322)&gt;1, " + " &amp; IFERROR(INDEX('SAÍDA DE VENDAS'!$H$6:$H$500 &amp; "x " &amp; 'SAÍDA DE VENDAS'!$G$6:$G$500, MATCH(B1322, 'SAÍDA DE VENDAS'!$B$6:$B$500, 0)+1), ""), "")&amp; IF(COUNTIF('SAÍDA DE VENDAS'!$B$6:$B$500, B1322)&gt;2, " + " &amp; IFERROR(INDEX('SAÍDA DE VENDAS'!$H$6:$H$500 &amp; "x " &amp; 'SAÍDA DE VENDAS'!$G$6:$G$500, MATCH(B1322, 'SAÍDA DE VENDAS'!$B$6:$B$500, 0)+2), ""), "")&amp; IF(COUNTIF('SAÍDA DE VENDAS'!$B$6:$B$500, B1322)&gt;3, " + " &amp; IFERROR(INDEX('SAÍDA DE VENDAS'!$H$6:$H$500 &amp; "x " &amp; 'SAÍDA DE VENDAS'!$G$6:$G$500, MATCH(B1322, 'SAÍDA DE VENDAS'!$B$6:$B$500, 0)+3), ""), "")&amp; IF(COUNTIF('SAÍDA DE VENDAS'!$B$6:$B$500, B1322)&gt;4, " + " &amp; IFERROR(INDEX('SAÍDA DE VENDAS'!$H$6:$H$500 &amp; "x " &amp; 'SAÍDA DE VENDAS'!$G$6:$G$500, MATCH(B1322, 'SAÍDA DE VENDAS'!$B$6:$B$500, 0)+4), ""), "")&amp; IF(COUNTIF('SAÍDA DE VENDAS'!$B$6:$B$500, B1322)&gt;5, " + " &amp; IFERROR(INDEX('SAÍDA DE VENDAS'!$H$6:$H$500 &amp; "x " &amp; 'SAÍDA DE VENDAS'!$G$6:$G$500, MATCH(B1322, 'SAÍDA DE VENDAS'!$B$6:$B$500, 0)+5), ""), ""))</f>
        <v/>
      </c>
      <c r="G1322" s="28">
        <f>IFERROR(VLOOKUP(B1322,'SAÍDA DE VENDAS'!$B$6:$P$500,10,FALSE),"")</f>
        <v>0</v>
      </c>
      <c r="H1322" s="28" t="str">
        <f>IF(OR(ISBLANK(B1322),B1322=""), "", IF(B1322=B1321, (VALUE(LEFT(H1321,FIND("/",H1321)-1))+1)&amp;"/"&amp;RIGHT(H1321,LEN(H1321)-FIND("/",H1321)), "1/"&amp;IFERROR(VLOOKUP(B1322,'SAÍDA DE VENDAS'!$B$6:$P$500,13,FALSE),"1")))</f>
        <v/>
      </c>
      <c r="I1322" s="69" t="str">
        <f t="shared" si="40"/>
        <v/>
      </c>
      <c r="J1322" s="33" t="str">
        <f>IFERROR(VLOOKUP(B1322,'SAÍDA DE VENDAS'!$B$6:$P$500,15,FALSE),"")</f>
        <v/>
      </c>
      <c r="K1322" s="28" t="str">
        <f t="shared" ca="1" si="41"/>
        <v/>
      </c>
      <c r="L1322" s="28"/>
      <c r="M1322" s="28"/>
    </row>
    <row r="1323" spans="2:13" ht="15" customHeight="1" x14ac:dyDescent="0.3">
      <c r="B1323" s="34" t="str">
        <f>IF(B1322="","", IF(VALUE(LEFT(H1322,FIND("/",H1322)-1)) &lt; VALUE(RIGHT(H1322,LEN(H1322)-FIND("/",H1322))), B1322, IFERROR(INDEX('SAÍDA DE VENDAS'!$B$6:$B$500, MATCH(B1322,'SAÍDA DE VENDAS'!$B$6:$B$500,0)+COUNTIF('SAÍDA DE VENDAS'!$B$6:$B$500, B1322)),"")))</f>
        <v/>
      </c>
      <c r="C1323" s="35">
        <f>IFERROR(VLOOKUP(B1323,'SAÍDA DE VENDAS'!$B$6:$P$500,3,FALSE),"")</f>
        <v>0</v>
      </c>
      <c r="D1323" s="34">
        <f>IFERROR(VLOOKUP(B1323,'SAÍDA DE VENDAS'!$B$6:$P$500,4,FALSE),"")</f>
        <v>0</v>
      </c>
      <c r="E1323" s="34" t="str">
        <f>IFERROR(VLOOKUP(B1323,'SAÍDA DE VENDAS'!$B$6:$P$500,5,FALSE),"")</f>
        <v/>
      </c>
      <c r="F1323" s="34" t="str">
        <f>IF(OR(ISBLANK(B1323),B1323=""), "", IFERROR(INDEX('SAÍDA DE VENDAS'!$H$6:$H$500 &amp; "x " &amp; 'SAÍDA DE VENDAS'!$G$6:$G$500, MATCH(B1323, 'SAÍDA DE VENDAS'!$B$6:$B$500, 0)), "")&amp; IF(COUNTIF('SAÍDA DE VENDAS'!$B$6:$B$500, B1323)&gt;1, " + " &amp; IFERROR(INDEX('SAÍDA DE VENDAS'!$H$6:$H$500 &amp; "x " &amp; 'SAÍDA DE VENDAS'!$G$6:$G$500, MATCH(B1323, 'SAÍDA DE VENDAS'!$B$6:$B$500, 0)+1), ""), "")&amp; IF(COUNTIF('SAÍDA DE VENDAS'!$B$6:$B$500, B1323)&gt;2, " + " &amp; IFERROR(INDEX('SAÍDA DE VENDAS'!$H$6:$H$500 &amp; "x " &amp; 'SAÍDA DE VENDAS'!$G$6:$G$500, MATCH(B1323, 'SAÍDA DE VENDAS'!$B$6:$B$500, 0)+2), ""), "")&amp; IF(COUNTIF('SAÍDA DE VENDAS'!$B$6:$B$500, B1323)&gt;3, " + " &amp; IFERROR(INDEX('SAÍDA DE VENDAS'!$H$6:$H$500 &amp; "x " &amp; 'SAÍDA DE VENDAS'!$G$6:$G$500, MATCH(B1323, 'SAÍDA DE VENDAS'!$B$6:$B$500, 0)+3), ""), "")&amp; IF(COUNTIF('SAÍDA DE VENDAS'!$B$6:$B$500, B1323)&gt;4, " + " &amp; IFERROR(INDEX('SAÍDA DE VENDAS'!$H$6:$H$500 &amp; "x " &amp; 'SAÍDA DE VENDAS'!$G$6:$G$500, MATCH(B1323, 'SAÍDA DE VENDAS'!$B$6:$B$500, 0)+4), ""), "")&amp; IF(COUNTIF('SAÍDA DE VENDAS'!$B$6:$B$500, B1323)&gt;5, " + " &amp; IFERROR(INDEX('SAÍDA DE VENDAS'!$H$6:$H$500 &amp; "x " &amp; 'SAÍDA DE VENDAS'!$G$6:$G$500, MATCH(B1323, 'SAÍDA DE VENDAS'!$B$6:$B$500, 0)+5), ""), ""))</f>
        <v/>
      </c>
      <c r="G1323" s="34">
        <f>IFERROR(VLOOKUP(B1323,'SAÍDA DE VENDAS'!$B$6:$P$500,10,FALSE),"")</f>
        <v>0</v>
      </c>
      <c r="H1323" s="34" t="str">
        <f>IF(OR(ISBLANK(B1323),B1323=""), "", IF(B1323=B1322, (VALUE(LEFT(H1322,FIND("/",H1322)-1))+1)&amp;"/"&amp;RIGHT(H1322,LEN(H1322)-FIND("/",H1322)), "1/"&amp;IFERROR(VLOOKUP(B1323,'SAÍDA DE VENDAS'!$B$6:$P$500,13,FALSE),"1")))</f>
        <v/>
      </c>
      <c r="I1323" s="35" t="str">
        <f t="shared" si="40"/>
        <v/>
      </c>
      <c r="J1323" s="39" t="str">
        <f>IFERROR(VLOOKUP(B1323,'SAÍDA DE VENDAS'!$B$6:$P$500,15,FALSE),"")</f>
        <v/>
      </c>
      <c r="K1323" s="34" t="str">
        <f t="shared" ca="1" si="41"/>
        <v/>
      </c>
      <c r="L1323" s="34"/>
      <c r="M1323" s="34"/>
    </row>
    <row r="1324" spans="2:13" ht="15" customHeight="1" x14ac:dyDescent="0.3">
      <c r="B1324" s="28" t="str">
        <f>IF(B1323="","", IF(VALUE(LEFT(H1323,FIND("/",H1323)-1)) &lt; VALUE(RIGHT(H1323,LEN(H1323)-FIND("/",H1323))), B1323, IFERROR(INDEX('SAÍDA DE VENDAS'!$B$6:$B$500, MATCH(B1323,'SAÍDA DE VENDAS'!$B$6:$B$500,0)+COUNTIF('SAÍDA DE VENDAS'!$B$6:$B$500, B1323)),"")))</f>
        <v/>
      </c>
      <c r="C1324" s="29">
        <f>IFERROR(VLOOKUP(B1324,'SAÍDA DE VENDAS'!$B$6:$P$500,3,FALSE),"")</f>
        <v>0</v>
      </c>
      <c r="D1324" s="28">
        <f>IFERROR(VLOOKUP(B1324,'SAÍDA DE VENDAS'!$B$6:$P$500,4,FALSE),"")</f>
        <v>0</v>
      </c>
      <c r="E1324" s="28" t="str">
        <f>IFERROR(VLOOKUP(B1324,'SAÍDA DE VENDAS'!$B$6:$P$500,5,FALSE),"")</f>
        <v/>
      </c>
      <c r="F1324" s="28" t="str">
        <f>IF(OR(ISBLANK(B1324),B1324=""), "", IFERROR(INDEX('SAÍDA DE VENDAS'!$H$6:$H$500 &amp; "x " &amp; 'SAÍDA DE VENDAS'!$G$6:$G$500, MATCH(B1324, 'SAÍDA DE VENDAS'!$B$6:$B$500, 0)), "")&amp; IF(COUNTIF('SAÍDA DE VENDAS'!$B$6:$B$500, B1324)&gt;1, " + " &amp; IFERROR(INDEX('SAÍDA DE VENDAS'!$H$6:$H$500 &amp; "x " &amp; 'SAÍDA DE VENDAS'!$G$6:$G$500, MATCH(B1324, 'SAÍDA DE VENDAS'!$B$6:$B$500, 0)+1), ""), "")&amp; IF(COUNTIF('SAÍDA DE VENDAS'!$B$6:$B$500, B1324)&gt;2, " + " &amp; IFERROR(INDEX('SAÍDA DE VENDAS'!$H$6:$H$500 &amp; "x " &amp; 'SAÍDA DE VENDAS'!$G$6:$G$500, MATCH(B1324, 'SAÍDA DE VENDAS'!$B$6:$B$500, 0)+2), ""), "")&amp; IF(COUNTIF('SAÍDA DE VENDAS'!$B$6:$B$500, B1324)&gt;3, " + " &amp; IFERROR(INDEX('SAÍDA DE VENDAS'!$H$6:$H$500 &amp; "x " &amp; 'SAÍDA DE VENDAS'!$G$6:$G$500, MATCH(B1324, 'SAÍDA DE VENDAS'!$B$6:$B$500, 0)+3), ""), "")&amp; IF(COUNTIF('SAÍDA DE VENDAS'!$B$6:$B$500, B1324)&gt;4, " + " &amp; IFERROR(INDEX('SAÍDA DE VENDAS'!$H$6:$H$500 &amp; "x " &amp; 'SAÍDA DE VENDAS'!$G$6:$G$500, MATCH(B1324, 'SAÍDA DE VENDAS'!$B$6:$B$500, 0)+4), ""), "")&amp; IF(COUNTIF('SAÍDA DE VENDAS'!$B$6:$B$500, B1324)&gt;5, " + " &amp; IFERROR(INDEX('SAÍDA DE VENDAS'!$H$6:$H$500 &amp; "x " &amp; 'SAÍDA DE VENDAS'!$G$6:$G$500, MATCH(B1324, 'SAÍDA DE VENDAS'!$B$6:$B$500, 0)+5), ""), ""))</f>
        <v/>
      </c>
      <c r="G1324" s="28">
        <f>IFERROR(VLOOKUP(B1324,'SAÍDA DE VENDAS'!$B$6:$P$500,10,FALSE),"")</f>
        <v>0</v>
      </c>
      <c r="H1324" s="28" t="str">
        <f>IF(OR(ISBLANK(B1324),B1324=""), "", IF(B1324=B1323, (VALUE(LEFT(H1323,FIND("/",H1323)-1))+1)&amp;"/"&amp;RIGHT(H1323,LEN(H1323)-FIND("/",H1323)), "1/"&amp;IFERROR(VLOOKUP(B1324,'SAÍDA DE VENDAS'!$B$6:$P$500,13,FALSE),"1")))</f>
        <v/>
      </c>
      <c r="I1324" s="69" t="str">
        <f t="shared" si="40"/>
        <v/>
      </c>
      <c r="J1324" s="33" t="str">
        <f>IFERROR(VLOOKUP(B1324,'SAÍDA DE VENDAS'!$B$6:$P$500,15,FALSE),"")</f>
        <v/>
      </c>
      <c r="K1324" s="28" t="str">
        <f t="shared" ca="1" si="41"/>
        <v/>
      </c>
      <c r="L1324" s="28"/>
      <c r="M1324" s="28"/>
    </row>
    <row r="1325" spans="2:13" ht="15" customHeight="1" x14ac:dyDescent="0.3">
      <c r="B1325" s="34" t="str">
        <f>IF(B1324="","", IF(VALUE(LEFT(H1324,FIND("/",H1324)-1)) &lt; VALUE(RIGHT(H1324,LEN(H1324)-FIND("/",H1324))), B1324, IFERROR(INDEX('SAÍDA DE VENDAS'!$B$6:$B$500, MATCH(B1324,'SAÍDA DE VENDAS'!$B$6:$B$500,0)+COUNTIF('SAÍDA DE VENDAS'!$B$6:$B$500, B1324)),"")))</f>
        <v/>
      </c>
      <c r="C1325" s="35">
        <f>IFERROR(VLOOKUP(B1325,'SAÍDA DE VENDAS'!$B$6:$P$500,3,FALSE),"")</f>
        <v>0</v>
      </c>
      <c r="D1325" s="34">
        <f>IFERROR(VLOOKUP(B1325,'SAÍDA DE VENDAS'!$B$6:$P$500,4,FALSE),"")</f>
        <v>0</v>
      </c>
      <c r="E1325" s="34" t="str">
        <f>IFERROR(VLOOKUP(B1325,'SAÍDA DE VENDAS'!$B$6:$P$500,5,FALSE),"")</f>
        <v/>
      </c>
      <c r="F1325" s="34" t="str">
        <f>IF(OR(ISBLANK(B1325),B1325=""), "", IFERROR(INDEX('SAÍDA DE VENDAS'!$H$6:$H$500 &amp; "x " &amp; 'SAÍDA DE VENDAS'!$G$6:$G$500, MATCH(B1325, 'SAÍDA DE VENDAS'!$B$6:$B$500, 0)), "")&amp; IF(COUNTIF('SAÍDA DE VENDAS'!$B$6:$B$500, B1325)&gt;1, " + " &amp; IFERROR(INDEX('SAÍDA DE VENDAS'!$H$6:$H$500 &amp; "x " &amp; 'SAÍDA DE VENDAS'!$G$6:$G$500, MATCH(B1325, 'SAÍDA DE VENDAS'!$B$6:$B$500, 0)+1), ""), "")&amp; IF(COUNTIF('SAÍDA DE VENDAS'!$B$6:$B$500, B1325)&gt;2, " + " &amp; IFERROR(INDEX('SAÍDA DE VENDAS'!$H$6:$H$500 &amp; "x " &amp; 'SAÍDA DE VENDAS'!$G$6:$G$500, MATCH(B1325, 'SAÍDA DE VENDAS'!$B$6:$B$500, 0)+2), ""), "")&amp; IF(COUNTIF('SAÍDA DE VENDAS'!$B$6:$B$500, B1325)&gt;3, " + " &amp; IFERROR(INDEX('SAÍDA DE VENDAS'!$H$6:$H$500 &amp; "x " &amp; 'SAÍDA DE VENDAS'!$G$6:$G$500, MATCH(B1325, 'SAÍDA DE VENDAS'!$B$6:$B$500, 0)+3), ""), "")&amp; IF(COUNTIF('SAÍDA DE VENDAS'!$B$6:$B$500, B1325)&gt;4, " + " &amp; IFERROR(INDEX('SAÍDA DE VENDAS'!$H$6:$H$500 &amp; "x " &amp; 'SAÍDA DE VENDAS'!$G$6:$G$500, MATCH(B1325, 'SAÍDA DE VENDAS'!$B$6:$B$500, 0)+4), ""), "")&amp; IF(COUNTIF('SAÍDA DE VENDAS'!$B$6:$B$500, B1325)&gt;5, " + " &amp; IFERROR(INDEX('SAÍDA DE VENDAS'!$H$6:$H$500 &amp; "x " &amp; 'SAÍDA DE VENDAS'!$G$6:$G$500, MATCH(B1325, 'SAÍDA DE VENDAS'!$B$6:$B$500, 0)+5), ""), ""))</f>
        <v/>
      </c>
      <c r="G1325" s="34">
        <f>IFERROR(VLOOKUP(B1325,'SAÍDA DE VENDAS'!$B$6:$P$500,10,FALSE),"")</f>
        <v>0</v>
      </c>
      <c r="H1325" s="34" t="str">
        <f>IF(OR(ISBLANK(B1325),B1325=""), "", IF(B1325=B1324, (VALUE(LEFT(H1324,FIND("/",H1324)-1))+1)&amp;"/"&amp;RIGHT(H1324,LEN(H1324)-FIND("/",H1324)), "1/"&amp;IFERROR(VLOOKUP(B1325,'SAÍDA DE VENDAS'!$B$6:$P$500,13,FALSE),"1")))</f>
        <v/>
      </c>
      <c r="I1325" s="35" t="str">
        <f t="shared" si="40"/>
        <v/>
      </c>
      <c r="J1325" s="39" t="str">
        <f>IFERROR(VLOOKUP(B1325,'SAÍDA DE VENDAS'!$B$6:$P$500,15,FALSE),"")</f>
        <v/>
      </c>
      <c r="K1325" s="34" t="str">
        <f t="shared" ca="1" si="41"/>
        <v/>
      </c>
      <c r="L1325" s="34"/>
      <c r="M1325" s="34"/>
    </row>
    <row r="1326" spans="2:13" ht="15" customHeight="1" x14ac:dyDescent="0.3">
      <c r="B1326" s="28" t="str">
        <f>IF(B1325="","", IF(VALUE(LEFT(H1325,FIND("/",H1325)-1)) &lt; VALUE(RIGHT(H1325,LEN(H1325)-FIND("/",H1325))), B1325, IFERROR(INDEX('SAÍDA DE VENDAS'!$B$6:$B$500, MATCH(B1325,'SAÍDA DE VENDAS'!$B$6:$B$500,0)+COUNTIF('SAÍDA DE VENDAS'!$B$6:$B$500, B1325)),"")))</f>
        <v/>
      </c>
      <c r="C1326" s="29">
        <f>IFERROR(VLOOKUP(B1326,'SAÍDA DE VENDAS'!$B$6:$P$500,3,FALSE),"")</f>
        <v>0</v>
      </c>
      <c r="D1326" s="28">
        <f>IFERROR(VLOOKUP(B1326,'SAÍDA DE VENDAS'!$B$6:$P$500,4,FALSE),"")</f>
        <v>0</v>
      </c>
      <c r="E1326" s="28" t="str">
        <f>IFERROR(VLOOKUP(B1326,'SAÍDA DE VENDAS'!$B$6:$P$500,5,FALSE),"")</f>
        <v/>
      </c>
      <c r="F1326" s="28" t="str">
        <f>IF(OR(ISBLANK(B1326),B1326=""), "", IFERROR(INDEX('SAÍDA DE VENDAS'!$H$6:$H$500 &amp; "x " &amp; 'SAÍDA DE VENDAS'!$G$6:$G$500, MATCH(B1326, 'SAÍDA DE VENDAS'!$B$6:$B$500, 0)), "")&amp; IF(COUNTIF('SAÍDA DE VENDAS'!$B$6:$B$500, B1326)&gt;1, " + " &amp; IFERROR(INDEX('SAÍDA DE VENDAS'!$H$6:$H$500 &amp; "x " &amp; 'SAÍDA DE VENDAS'!$G$6:$G$500, MATCH(B1326, 'SAÍDA DE VENDAS'!$B$6:$B$500, 0)+1), ""), "")&amp; IF(COUNTIF('SAÍDA DE VENDAS'!$B$6:$B$500, B1326)&gt;2, " + " &amp; IFERROR(INDEX('SAÍDA DE VENDAS'!$H$6:$H$500 &amp; "x " &amp; 'SAÍDA DE VENDAS'!$G$6:$G$500, MATCH(B1326, 'SAÍDA DE VENDAS'!$B$6:$B$500, 0)+2), ""), "")&amp; IF(COUNTIF('SAÍDA DE VENDAS'!$B$6:$B$500, B1326)&gt;3, " + " &amp; IFERROR(INDEX('SAÍDA DE VENDAS'!$H$6:$H$500 &amp; "x " &amp; 'SAÍDA DE VENDAS'!$G$6:$G$500, MATCH(B1326, 'SAÍDA DE VENDAS'!$B$6:$B$500, 0)+3), ""), "")&amp; IF(COUNTIF('SAÍDA DE VENDAS'!$B$6:$B$500, B1326)&gt;4, " + " &amp; IFERROR(INDEX('SAÍDA DE VENDAS'!$H$6:$H$500 &amp; "x " &amp; 'SAÍDA DE VENDAS'!$G$6:$G$500, MATCH(B1326, 'SAÍDA DE VENDAS'!$B$6:$B$500, 0)+4), ""), "")&amp; IF(COUNTIF('SAÍDA DE VENDAS'!$B$6:$B$500, B1326)&gt;5, " + " &amp; IFERROR(INDEX('SAÍDA DE VENDAS'!$H$6:$H$500 &amp; "x " &amp; 'SAÍDA DE VENDAS'!$G$6:$G$500, MATCH(B1326, 'SAÍDA DE VENDAS'!$B$6:$B$500, 0)+5), ""), ""))</f>
        <v/>
      </c>
      <c r="G1326" s="28">
        <f>IFERROR(VLOOKUP(B1326,'SAÍDA DE VENDAS'!$B$6:$P$500,10,FALSE),"")</f>
        <v>0</v>
      </c>
      <c r="H1326" s="28" t="str">
        <f>IF(OR(ISBLANK(B1326),B1326=""), "", IF(B1326=B1325, (VALUE(LEFT(H1325,FIND("/",H1325)-1))+1)&amp;"/"&amp;RIGHT(H1325,LEN(H1325)-FIND("/",H1325)), "1/"&amp;IFERROR(VLOOKUP(B1326,'SAÍDA DE VENDAS'!$B$6:$P$500,13,FALSE),"1")))</f>
        <v/>
      </c>
      <c r="I1326" s="69" t="str">
        <f t="shared" si="40"/>
        <v/>
      </c>
      <c r="J1326" s="33" t="str">
        <f>IFERROR(VLOOKUP(B1326,'SAÍDA DE VENDAS'!$B$6:$P$500,15,FALSE),"")</f>
        <v/>
      </c>
      <c r="K1326" s="28" t="str">
        <f t="shared" ca="1" si="41"/>
        <v/>
      </c>
      <c r="L1326" s="28"/>
      <c r="M1326" s="28"/>
    </row>
    <row r="1327" spans="2:13" ht="15" customHeight="1" x14ac:dyDescent="0.3">
      <c r="B1327" s="34" t="str">
        <f>IF(B1326="","", IF(VALUE(LEFT(H1326,FIND("/",H1326)-1)) &lt; VALUE(RIGHT(H1326,LEN(H1326)-FIND("/",H1326))), B1326, IFERROR(INDEX('SAÍDA DE VENDAS'!$B$6:$B$500, MATCH(B1326,'SAÍDA DE VENDAS'!$B$6:$B$500,0)+COUNTIF('SAÍDA DE VENDAS'!$B$6:$B$500, B1326)),"")))</f>
        <v/>
      </c>
      <c r="C1327" s="35">
        <f>IFERROR(VLOOKUP(B1327,'SAÍDA DE VENDAS'!$B$6:$P$500,3,FALSE),"")</f>
        <v>0</v>
      </c>
      <c r="D1327" s="34">
        <f>IFERROR(VLOOKUP(B1327,'SAÍDA DE VENDAS'!$B$6:$P$500,4,FALSE),"")</f>
        <v>0</v>
      </c>
      <c r="E1327" s="34" t="str">
        <f>IFERROR(VLOOKUP(B1327,'SAÍDA DE VENDAS'!$B$6:$P$500,5,FALSE),"")</f>
        <v/>
      </c>
      <c r="F1327" s="34" t="str">
        <f>IF(OR(ISBLANK(B1327),B1327=""), "", IFERROR(INDEX('SAÍDA DE VENDAS'!$H$6:$H$500 &amp; "x " &amp; 'SAÍDA DE VENDAS'!$G$6:$G$500, MATCH(B1327, 'SAÍDA DE VENDAS'!$B$6:$B$500, 0)), "")&amp; IF(COUNTIF('SAÍDA DE VENDAS'!$B$6:$B$500, B1327)&gt;1, " + " &amp; IFERROR(INDEX('SAÍDA DE VENDAS'!$H$6:$H$500 &amp; "x " &amp; 'SAÍDA DE VENDAS'!$G$6:$G$500, MATCH(B1327, 'SAÍDA DE VENDAS'!$B$6:$B$500, 0)+1), ""), "")&amp; IF(COUNTIF('SAÍDA DE VENDAS'!$B$6:$B$500, B1327)&gt;2, " + " &amp; IFERROR(INDEX('SAÍDA DE VENDAS'!$H$6:$H$500 &amp; "x " &amp; 'SAÍDA DE VENDAS'!$G$6:$G$500, MATCH(B1327, 'SAÍDA DE VENDAS'!$B$6:$B$500, 0)+2), ""), "")&amp; IF(COUNTIF('SAÍDA DE VENDAS'!$B$6:$B$500, B1327)&gt;3, " + " &amp; IFERROR(INDEX('SAÍDA DE VENDAS'!$H$6:$H$500 &amp; "x " &amp; 'SAÍDA DE VENDAS'!$G$6:$G$500, MATCH(B1327, 'SAÍDA DE VENDAS'!$B$6:$B$500, 0)+3), ""), "")&amp; IF(COUNTIF('SAÍDA DE VENDAS'!$B$6:$B$500, B1327)&gt;4, " + " &amp; IFERROR(INDEX('SAÍDA DE VENDAS'!$H$6:$H$500 &amp; "x " &amp; 'SAÍDA DE VENDAS'!$G$6:$G$500, MATCH(B1327, 'SAÍDA DE VENDAS'!$B$6:$B$500, 0)+4), ""), "")&amp; IF(COUNTIF('SAÍDA DE VENDAS'!$B$6:$B$500, B1327)&gt;5, " + " &amp; IFERROR(INDEX('SAÍDA DE VENDAS'!$H$6:$H$500 &amp; "x " &amp; 'SAÍDA DE VENDAS'!$G$6:$G$500, MATCH(B1327, 'SAÍDA DE VENDAS'!$B$6:$B$500, 0)+5), ""), ""))</f>
        <v/>
      </c>
      <c r="G1327" s="34">
        <f>IFERROR(VLOOKUP(B1327,'SAÍDA DE VENDAS'!$B$6:$P$500,10,FALSE),"")</f>
        <v>0</v>
      </c>
      <c r="H1327" s="34" t="str">
        <f>IF(OR(ISBLANK(B1327),B1327=""), "", IF(B1327=B1326, (VALUE(LEFT(H1326,FIND("/",H1326)-1))+1)&amp;"/"&amp;RIGHT(H1326,LEN(H1326)-FIND("/",H1326)), "1/"&amp;IFERROR(VLOOKUP(B1327,'SAÍDA DE VENDAS'!$B$6:$P$500,13,FALSE),"1")))</f>
        <v/>
      </c>
      <c r="I1327" s="35" t="str">
        <f t="shared" si="40"/>
        <v/>
      </c>
      <c r="J1327" s="39" t="str">
        <f>IFERROR(VLOOKUP(B1327,'SAÍDA DE VENDAS'!$B$6:$P$500,15,FALSE),"")</f>
        <v/>
      </c>
      <c r="K1327" s="34" t="str">
        <f t="shared" ca="1" si="41"/>
        <v/>
      </c>
      <c r="L1327" s="34"/>
      <c r="M1327" s="34"/>
    </row>
    <row r="1328" spans="2:13" ht="15" customHeight="1" x14ac:dyDescent="0.3">
      <c r="B1328" s="28" t="str">
        <f>IF(B1327="","", IF(VALUE(LEFT(H1327,FIND("/",H1327)-1)) &lt; VALUE(RIGHT(H1327,LEN(H1327)-FIND("/",H1327))), B1327, IFERROR(INDEX('SAÍDA DE VENDAS'!$B$6:$B$500, MATCH(B1327,'SAÍDA DE VENDAS'!$B$6:$B$500,0)+COUNTIF('SAÍDA DE VENDAS'!$B$6:$B$500, B1327)),"")))</f>
        <v/>
      </c>
      <c r="C1328" s="29">
        <f>IFERROR(VLOOKUP(B1328,'SAÍDA DE VENDAS'!$B$6:$P$500,3,FALSE),"")</f>
        <v>0</v>
      </c>
      <c r="D1328" s="28">
        <f>IFERROR(VLOOKUP(B1328,'SAÍDA DE VENDAS'!$B$6:$P$500,4,FALSE),"")</f>
        <v>0</v>
      </c>
      <c r="E1328" s="28" t="str">
        <f>IFERROR(VLOOKUP(B1328,'SAÍDA DE VENDAS'!$B$6:$P$500,5,FALSE),"")</f>
        <v/>
      </c>
      <c r="F1328" s="28" t="str">
        <f>IF(OR(ISBLANK(B1328),B1328=""), "", IFERROR(INDEX('SAÍDA DE VENDAS'!$H$6:$H$500 &amp; "x " &amp; 'SAÍDA DE VENDAS'!$G$6:$G$500, MATCH(B1328, 'SAÍDA DE VENDAS'!$B$6:$B$500, 0)), "")&amp; IF(COUNTIF('SAÍDA DE VENDAS'!$B$6:$B$500, B1328)&gt;1, " + " &amp; IFERROR(INDEX('SAÍDA DE VENDAS'!$H$6:$H$500 &amp; "x " &amp; 'SAÍDA DE VENDAS'!$G$6:$G$500, MATCH(B1328, 'SAÍDA DE VENDAS'!$B$6:$B$500, 0)+1), ""), "")&amp; IF(COUNTIF('SAÍDA DE VENDAS'!$B$6:$B$500, B1328)&gt;2, " + " &amp; IFERROR(INDEX('SAÍDA DE VENDAS'!$H$6:$H$500 &amp; "x " &amp; 'SAÍDA DE VENDAS'!$G$6:$G$500, MATCH(B1328, 'SAÍDA DE VENDAS'!$B$6:$B$500, 0)+2), ""), "")&amp; IF(COUNTIF('SAÍDA DE VENDAS'!$B$6:$B$500, B1328)&gt;3, " + " &amp; IFERROR(INDEX('SAÍDA DE VENDAS'!$H$6:$H$500 &amp; "x " &amp; 'SAÍDA DE VENDAS'!$G$6:$G$500, MATCH(B1328, 'SAÍDA DE VENDAS'!$B$6:$B$500, 0)+3), ""), "")&amp; IF(COUNTIF('SAÍDA DE VENDAS'!$B$6:$B$500, B1328)&gt;4, " + " &amp; IFERROR(INDEX('SAÍDA DE VENDAS'!$H$6:$H$500 &amp; "x " &amp; 'SAÍDA DE VENDAS'!$G$6:$G$500, MATCH(B1328, 'SAÍDA DE VENDAS'!$B$6:$B$500, 0)+4), ""), "")&amp; IF(COUNTIF('SAÍDA DE VENDAS'!$B$6:$B$500, B1328)&gt;5, " + " &amp; IFERROR(INDEX('SAÍDA DE VENDAS'!$H$6:$H$500 &amp; "x " &amp; 'SAÍDA DE VENDAS'!$G$6:$G$500, MATCH(B1328, 'SAÍDA DE VENDAS'!$B$6:$B$500, 0)+5), ""), ""))</f>
        <v/>
      </c>
      <c r="G1328" s="28">
        <f>IFERROR(VLOOKUP(B1328,'SAÍDA DE VENDAS'!$B$6:$P$500,10,FALSE),"")</f>
        <v>0</v>
      </c>
      <c r="H1328" s="28" t="str">
        <f>IF(OR(ISBLANK(B1328),B1328=""), "", IF(B1328=B1327, (VALUE(LEFT(H1327,FIND("/",H1327)-1))+1)&amp;"/"&amp;RIGHT(H1327,LEN(H1327)-FIND("/",H1327)), "1/"&amp;IFERROR(VLOOKUP(B1328,'SAÍDA DE VENDAS'!$B$6:$P$500,13,FALSE),"1")))</f>
        <v/>
      </c>
      <c r="I1328" s="69" t="str">
        <f t="shared" si="40"/>
        <v/>
      </c>
      <c r="J1328" s="33" t="str">
        <f>IFERROR(VLOOKUP(B1328,'SAÍDA DE VENDAS'!$B$6:$P$500,15,FALSE),"")</f>
        <v/>
      </c>
      <c r="K1328" s="28" t="str">
        <f t="shared" ca="1" si="41"/>
        <v/>
      </c>
      <c r="L1328" s="28"/>
      <c r="M1328" s="28"/>
    </row>
    <row r="1329" spans="2:13" ht="15" customHeight="1" x14ac:dyDescent="0.3">
      <c r="B1329" s="34" t="str">
        <f>IF(B1328="","", IF(VALUE(LEFT(H1328,FIND("/",H1328)-1)) &lt; VALUE(RIGHT(H1328,LEN(H1328)-FIND("/",H1328))), B1328, IFERROR(INDEX('SAÍDA DE VENDAS'!$B$6:$B$500, MATCH(B1328,'SAÍDA DE VENDAS'!$B$6:$B$500,0)+COUNTIF('SAÍDA DE VENDAS'!$B$6:$B$500, B1328)),"")))</f>
        <v/>
      </c>
      <c r="C1329" s="35">
        <f>IFERROR(VLOOKUP(B1329,'SAÍDA DE VENDAS'!$B$6:$P$500,3,FALSE),"")</f>
        <v>0</v>
      </c>
      <c r="D1329" s="34">
        <f>IFERROR(VLOOKUP(B1329,'SAÍDA DE VENDAS'!$B$6:$P$500,4,FALSE),"")</f>
        <v>0</v>
      </c>
      <c r="E1329" s="34" t="str">
        <f>IFERROR(VLOOKUP(B1329,'SAÍDA DE VENDAS'!$B$6:$P$500,5,FALSE),"")</f>
        <v/>
      </c>
      <c r="F1329" s="34" t="str">
        <f>IF(OR(ISBLANK(B1329),B1329=""), "", IFERROR(INDEX('SAÍDA DE VENDAS'!$H$6:$H$500 &amp; "x " &amp; 'SAÍDA DE VENDAS'!$G$6:$G$500, MATCH(B1329, 'SAÍDA DE VENDAS'!$B$6:$B$500, 0)), "")&amp; IF(COUNTIF('SAÍDA DE VENDAS'!$B$6:$B$500, B1329)&gt;1, " + " &amp; IFERROR(INDEX('SAÍDA DE VENDAS'!$H$6:$H$500 &amp; "x " &amp; 'SAÍDA DE VENDAS'!$G$6:$G$500, MATCH(B1329, 'SAÍDA DE VENDAS'!$B$6:$B$500, 0)+1), ""), "")&amp; IF(COUNTIF('SAÍDA DE VENDAS'!$B$6:$B$500, B1329)&gt;2, " + " &amp; IFERROR(INDEX('SAÍDA DE VENDAS'!$H$6:$H$500 &amp; "x " &amp; 'SAÍDA DE VENDAS'!$G$6:$G$500, MATCH(B1329, 'SAÍDA DE VENDAS'!$B$6:$B$500, 0)+2), ""), "")&amp; IF(COUNTIF('SAÍDA DE VENDAS'!$B$6:$B$500, B1329)&gt;3, " + " &amp; IFERROR(INDEX('SAÍDA DE VENDAS'!$H$6:$H$500 &amp; "x " &amp; 'SAÍDA DE VENDAS'!$G$6:$G$500, MATCH(B1329, 'SAÍDA DE VENDAS'!$B$6:$B$500, 0)+3), ""), "")&amp; IF(COUNTIF('SAÍDA DE VENDAS'!$B$6:$B$500, B1329)&gt;4, " + " &amp; IFERROR(INDEX('SAÍDA DE VENDAS'!$H$6:$H$500 &amp; "x " &amp; 'SAÍDA DE VENDAS'!$G$6:$G$500, MATCH(B1329, 'SAÍDA DE VENDAS'!$B$6:$B$500, 0)+4), ""), "")&amp; IF(COUNTIF('SAÍDA DE VENDAS'!$B$6:$B$500, B1329)&gt;5, " + " &amp; IFERROR(INDEX('SAÍDA DE VENDAS'!$H$6:$H$500 &amp; "x " &amp; 'SAÍDA DE VENDAS'!$G$6:$G$500, MATCH(B1329, 'SAÍDA DE VENDAS'!$B$6:$B$500, 0)+5), ""), ""))</f>
        <v/>
      </c>
      <c r="G1329" s="34">
        <f>IFERROR(VLOOKUP(B1329,'SAÍDA DE VENDAS'!$B$6:$P$500,10,FALSE),"")</f>
        <v>0</v>
      </c>
      <c r="H1329" s="34" t="str">
        <f>IF(OR(ISBLANK(B1329),B1329=""), "", IF(B1329=B1328, (VALUE(LEFT(H1328,FIND("/",H1328)-1))+1)&amp;"/"&amp;RIGHT(H1328,LEN(H1328)-FIND("/",H1328)), "1/"&amp;IFERROR(VLOOKUP(B1329,'SAÍDA DE VENDAS'!$B$6:$P$500,13,FALSE),"1")))</f>
        <v/>
      </c>
      <c r="I1329" s="35" t="str">
        <f t="shared" si="40"/>
        <v/>
      </c>
      <c r="J1329" s="39" t="str">
        <f>IFERROR(VLOOKUP(B1329,'SAÍDA DE VENDAS'!$B$6:$P$500,15,FALSE),"")</f>
        <v/>
      </c>
      <c r="K1329" s="34" t="str">
        <f t="shared" ca="1" si="41"/>
        <v/>
      </c>
      <c r="L1329" s="34"/>
      <c r="M1329" s="34"/>
    </row>
    <row r="1330" spans="2:13" ht="15" customHeight="1" x14ac:dyDescent="0.3">
      <c r="B1330" s="28" t="str">
        <f>IF(B1329="","", IF(VALUE(LEFT(H1329,FIND("/",H1329)-1)) &lt; VALUE(RIGHT(H1329,LEN(H1329)-FIND("/",H1329))), B1329, IFERROR(INDEX('SAÍDA DE VENDAS'!$B$6:$B$500, MATCH(B1329,'SAÍDA DE VENDAS'!$B$6:$B$500,0)+COUNTIF('SAÍDA DE VENDAS'!$B$6:$B$500, B1329)),"")))</f>
        <v/>
      </c>
      <c r="C1330" s="29">
        <f>IFERROR(VLOOKUP(B1330,'SAÍDA DE VENDAS'!$B$6:$P$500,3,FALSE),"")</f>
        <v>0</v>
      </c>
      <c r="D1330" s="28">
        <f>IFERROR(VLOOKUP(B1330,'SAÍDA DE VENDAS'!$B$6:$P$500,4,FALSE),"")</f>
        <v>0</v>
      </c>
      <c r="E1330" s="28" t="str">
        <f>IFERROR(VLOOKUP(B1330,'SAÍDA DE VENDAS'!$B$6:$P$500,5,FALSE),"")</f>
        <v/>
      </c>
      <c r="F1330" s="28" t="str">
        <f>IF(OR(ISBLANK(B1330),B1330=""), "", IFERROR(INDEX('SAÍDA DE VENDAS'!$H$6:$H$500 &amp; "x " &amp; 'SAÍDA DE VENDAS'!$G$6:$G$500, MATCH(B1330, 'SAÍDA DE VENDAS'!$B$6:$B$500, 0)), "")&amp; IF(COUNTIF('SAÍDA DE VENDAS'!$B$6:$B$500, B1330)&gt;1, " + " &amp; IFERROR(INDEX('SAÍDA DE VENDAS'!$H$6:$H$500 &amp; "x " &amp; 'SAÍDA DE VENDAS'!$G$6:$G$500, MATCH(B1330, 'SAÍDA DE VENDAS'!$B$6:$B$500, 0)+1), ""), "")&amp; IF(COUNTIF('SAÍDA DE VENDAS'!$B$6:$B$500, B1330)&gt;2, " + " &amp; IFERROR(INDEX('SAÍDA DE VENDAS'!$H$6:$H$500 &amp; "x " &amp; 'SAÍDA DE VENDAS'!$G$6:$G$500, MATCH(B1330, 'SAÍDA DE VENDAS'!$B$6:$B$500, 0)+2), ""), "")&amp; IF(COUNTIF('SAÍDA DE VENDAS'!$B$6:$B$500, B1330)&gt;3, " + " &amp; IFERROR(INDEX('SAÍDA DE VENDAS'!$H$6:$H$500 &amp; "x " &amp; 'SAÍDA DE VENDAS'!$G$6:$G$500, MATCH(B1330, 'SAÍDA DE VENDAS'!$B$6:$B$500, 0)+3), ""), "")&amp; IF(COUNTIF('SAÍDA DE VENDAS'!$B$6:$B$500, B1330)&gt;4, " + " &amp; IFERROR(INDEX('SAÍDA DE VENDAS'!$H$6:$H$500 &amp; "x " &amp; 'SAÍDA DE VENDAS'!$G$6:$G$500, MATCH(B1330, 'SAÍDA DE VENDAS'!$B$6:$B$500, 0)+4), ""), "")&amp; IF(COUNTIF('SAÍDA DE VENDAS'!$B$6:$B$500, B1330)&gt;5, " + " &amp; IFERROR(INDEX('SAÍDA DE VENDAS'!$H$6:$H$500 &amp; "x " &amp; 'SAÍDA DE VENDAS'!$G$6:$G$500, MATCH(B1330, 'SAÍDA DE VENDAS'!$B$6:$B$500, 0)+5), ""), ""))</f>
        <v/>
      </c>
      <c r="G1330" s="28">
        <f>IFERROR(VLOOKUP(B1330,'SAÍDA DE VENDAS'!$B$6:$P$500,10,FALSE),"")</f>
        <v>0</v>
      </c>
      <c r="H1330" s="28" t="str">
        <f>IF(OR(ISBLANK(B1330),B1330=""), "", IF(B1330=B1329, (VALUE(LEFT(H1329,FIND("/",H1329)-1))+1)&amp;"/"&amp;RIGHT(H1329,LEN(H1329)-FIND("/",H1329)), "1/"&amp;IFERROR(VLOOKUP(B1330,'SAÍDA DE VENDAS'!$B$6:$P$500,13,FALSE),"1")))</f>
        <v/>
      </c>
      <c r="I1330" s="69" t="str">
        <f t="shared" si="40"/>
        <v/>
      </c>
      <c r="J1330" s="33" t="str">
        <f>IFERROR(VLOOKUP(B1330,'SAÍDA DE VENDAS'!$B$6:$P$500,15,FALSE),"")</f>
        <v/>
      </c>
      <c r="K1330" s="28" t="str">
        <f t="shared" ca="1" si="41"/>
        <v/>
      </c>
      <c r="L1330" s="28"/>
      <c r="M1330" s="28"/>
    </row>
    <row r="1331" spans="2:13" ht="15" customHeight="1" x14ac:dyDescent="0.3">
      <c r="B1331" s="34" t="str">
        <f>IF(B1330="","", IF(VALUE(LEFT(H1330,FIND("/",H1330)-1)) &lt; VALUE(RIGHT(H1330,LEN(H1330)-FIND("/",H1330))), B1330, IFERROR(INDEX('SAÍDA DE VENDAS'!$B$6:$B$500, MATCH(B1330,'SAÍDA DE VENDAS'!$B$6:$B$500,0)+COUNTIF('SAÍDA DE VENDAS'!$B$6:$B$500, B1330)),"")))</f>
        <v/>
      </c>
      <c r="C1331" s="35">
        <f>IFERROR(VLOOKUP(B1331,'SAÍDA DE VENDAS'!$B$6:$P$500,3,FALSE),"")</f>
        <v>0</v>
      </c>
      <c r="D1331" s="34">
        <f>IFERROR(VLOOKUP(B1331,'SAÍDA DE VENDAS'!$B$6:$P$500,4,FALSE),"")</f>
        <v>0</v>
      </c>
      <c r="E1331" s="34" t="str">
        <f>IFERROR(VLOOKUP(B1331,'SAÍDA DE VENDAS'!$B$6:$P$500,5,FALSE),"")</f>
        <v/>
      </c>
      <c r="F1331" s="34" t="str">
        <f>IF(OR(ISBLANK(B1331),B1331=""), "", IFERROR(INDEX('SAÍDA DE VENDAS'!$H$6:$H$500 &amp; "x " &amp; 'SAÍDA DE VENDAS'!$G$6:$G$500, MATCH(B1331, 'SAÍDA DE VENDAS'!$B$6:$B$500, 0)), "")&amp; IF(COUNTIF('SAÍDA DE VENDAS'!$B$6:$B$500, B1331)&gt;1, " + " &amp; IFERROR(INDEX('SAÍDA DE VENDAS'!$H$6:$H$500 &amp; "x " &amp; 'SAÍDA DE VENDAS'!$G$6:$G$500, MATCH(B1331, 'SAÍDA DE VENDAS'!$B$6:$B$500, 0)+1), ""), "")&amp; IF(COUNTIF('SAÍDA DE VENDAS'!$B$6:$B$500, B1331)&gt;2, " + " &amp; IFERROR(INDEX('SAÍDA DE VENDAS'!$H$6:$H$500 &amp; "x " &amp; 'SAÍDA DE VENDAS'!$G$6:$G$500, MATCH(B1331, 'SAÍDA DE VENDAS'!$B$6:$B$500, 0)+2), ""), "")&amp; IF(COUNTIF('SAÍDA DE VENDAS'!$B$6:$B$500, B1331)&gt;3, " + " &amp; IFERROR(INDEX('SAÍDA DE VENDAS'!$H$6:$H$500 &amp; "x " &amp; 'SAÍDA DE VENDAS'!$G$6:$G$500, MATCH(B1331, 'SAÍDA DE VENDAS'!$B$6:$B$500, 0)+3), ""), "")&amp; IF(COUNTIF('SAÍDA DE VENDAS'!$B$6:$B$500, B1331)&gt;4, " + " &amp; IFERROR(INDEX('SAÍDA DE VENDAS'!$H$6:$H$500 &amp; "x " &amp; 'SAÍDA DE VENDAS'!$G$6:$G$500, MATCH(B1331, 'SAÍDA DE VENDAS'!$B$6:$B$500, 0)+4), ""), "")&amp; IF(COUNTIF('SAÍDA DE VENDAS'!$B$6:$B$500, B1331)&gt;5, " + " &amp; IFERROR(INDEX('SAÍDA DE VENDAS'!$H$6:$H$500 &amp; "x " &amp; 'SAÍDA DE VENDAS'!$G$6:$G$500, MATCH(B1331, 'SAÍDA DE VENDAS'!$B$6:$B$500, 0)+5), ""), ""))</f>
        <v/>
      </c>
      <c r="G1331" s="34">
        <f>IFERROR(VLOOKUP(B1331,'SAÍDA DE VENDAS'!$B$6:$P$500,10,FALSE),"")</f>
        <v>0</v>
      </c>
      <c r="H1331" s="34" t="str">
        <f>IF(OR(ISBLANK(B1331),B1331=""), "", IF(B1331=B1330, (VALUE(LEFT(H1330,FIND("/",H1330)-1))+1)&amp;"/"&amp;RIGHT(H1330,LEN(H1330)-FIND("/",H1330)), "1/"&amp;IFERROR(VLOOKUP(B1331,'SAÍDA DE VENDAS'!$B$6:$P$500,13,FALSE),"1")))</f>
        <v/>
      </c>
      <c r="I1331" s="35" t="str">
        <f t="shared" si="40"/>
        <v/>
      </c>
      <c r="J1331" s="39" t="str">
        <f>IFERROR(VLOOKUP(B1331,'SAÍDA DE VENDAS'!$B$6:$P$500,15,FALSE),"")</f>
        <v/>
      </c>
      <c r="K1331" s="34" t="str">
        <f t="shared" ca="1" si="41"/>
        <v/>
      </c>
      <c r="L1331" s="34"/>
      <c r="M1331" s="34"/>
    </row>
    <row r="1332" spans="2:13" ht="15" customHeight="1" x14ac:dyDescent="0.3">
      <c r="B1332" s="28" t="str">
        <f>IF(B1331="","", IF(VALUE(LEFT(H1331,FIND("/",H1331)-1)) &lt; VALUE(RIGHT(H1331,LEN(H1331)-FIND("/",H1331))), B1331, IFERROR(INDEX('SAÍDA DE VENDAS'!$B$6:$B$500, MATCH(B1331,'SAÍDA DE VENDAS'!$B$6:$B$500,0)+COUNTIF('SAÍDA DE VENDAS'!$B$6:$B$500, B1331)),"")))</f>
        <v/>
      </c>
      <c r="C1332" s="29">
        <f>IFERROR(VLOOKUP(B1332,'SAÍDA DE VENDAS'!$B$6:$P$500,3,FALSE),"")</f>
        <v>0</v>
      </c>
      <c r="D1332" s="28">
        <f>IFERROR(VLOOKUP(B1332,'SAÍDA DE VENDAS'!$B$6:$P$500,4,FALSE),"")</f>
        <v>0</v>
      </c>
      <c r="E1332" s="28" t="str">
        <f>IFERROR(VLOOKUP(B1332,'SAÍDA DE VENDAS'!$B$6:$P$500,5,FALSE),"")</f>
        <v/>
      </c>
      <c r="F1332" s="28" t="str">
        <f>IF(OR(ISBLANK(B1332),B1332=""), "", IFERROR(INDEX('SAÍDA DE VENDAS'!$H$6:$H$500 &amp; "x " &amp; 'SAÍDA DE VENDAS'!$G$6:$G$500, MATCH(B1332, 'SAÍDA DE VENDAS'!$B$6:$B$500, 0)), "")&amp; IF(COUNTIF('SAÍDA DE VENDAS'!$B$6:$B$500, B1332)&gt;1, " + " &amp; IFERROR(INDEX('SAÍDA DE VENDAS'!$H$6:$H$500 &amp; "x " &amp; 'SAÍDA DE VENDAS'!$G$6:$G$500, MATCH(B1332, 'SAÍDA DE VENDAS'!$B$6:$B$500, 0)+1), ""), "")&amp; IF(COUNTIF('SAÍDA DE VENDAS'!$B$6:$B$500, B1332)&gt;2, " + " &amp; IFERROR(INDEX('SAÍDA DE VENDAS'!$H$6:$H$500 &amp; "x " &amp; 'SAÍDA DE VENDAS'!$G$6:$G$500, MATCH(B1332, 'SAÍDA DE VENDAS'!$B$6:$B$500, 0)+2), ""), "")&amp; IF(COUNTIF('SAÍDA DE VENDAS'!$B$6:$B$500, B1332)&gt;3, " + " &amp; IFERROR(INDEX('SAÍDA DE VENDAS'!$H$6:$H$500 &amp; "x " &amp; 'SAÍDA DE VENDAS'!$G$6:$G$500, MATCH(B1332, 'SAÍDA DE VENDAS'!$B$6:$B$500, 0)+3), ""), "")&amp; IF(COUNTIF('SAÍDA DE VENDAS'!$B$6:$B$500, B1332)&gt;4, " + " &amp; IFERROR(INDEX('SAÍDA DE VENDAS'!$H$6:$H$500 &amp; "x " &amp; 'SAÍDA DE VENDAS'!$G$6:$G$500, MATCH(B1332, 'SAÍDA DE VENDAS'!$B$6:$B$500, 0)+4), ""), "")&amp; IF(COUNTIF('SAÍDA DE VENDAS'!$B$6:$B$500, B1332)&gt;5, " + " &amp; IFERROR(INDEX('SAÍDA DE VENDAS'!$H$6:$H$500 &amp; "x " &amp; 'SAÍDA DE VENDAS'!$G$6:$G$500, MATCH(B1332, 'SAÍDA DE VENDAS'!$B$6:$B$500, 0)+5), ""), ""))</f>
        <v/>
      </c>
      <c r="G1332" s="28">
        <f>IFERROR(VLOOKUP(B1332,'SAÍDA DE VENDAS'!$B$6:$P$500,10,FALSE),"")</f>
        <v>0</v>
      </c>
      <c r="H1332" s="28" t="str">
        <f>IF(OR(ISBLANK(B1332),B1332=""), "", IF(B1332=B1331, (VALUE(LEFT(H1331,FIND("/",H1331)-1))+1)&amp;"/"&amp;RIGHT(H1331,LEN(H1331)-FIND("/",H1331)), "1/"&amp;IFERROR(VLOOKUP(B1332,'SAÍDA DE VENDAS'!$B$6:$P$500,13,FALSE),"1")))</f>
        <v/>
      </c>
      <c r="I1332" s="69" t="str">
        <f t="shared" si="40"/>
        <v/>
      </c>
      <c r="J1332" s="33" t="str">
        <f>IFERROR(VLOOKUP(B1332,'SAÍDA DE VENDAS'!$B$6:$P$500,15,FALSE),"")</f>
        <v/>
      </c>
      <c r="K1332" s="28" t="str">
        <f t="shared" ca="1" si="41"/>
        <v/>
      </c>
      <c r="L1332" s="28"/>
      <c r="M1332" s="28"/>
    </row>
    <row r="1333" spans="2:13" ht="15" customHeight="1" x14ac:dyDescent="0.3">
      <c r="B1333" s="34" t="str">
        <f>IF(B1332="","", IF(VALUE(LEFT(H1332,FIND("/",H1332)-1)) &lt; VALUE(RIGHT(H1332,LEN(H1332)-FIND("/",H1332))), B1332, IFERROR(INDEX('SAÍDA DE VENDAS'!$B$6:$B$500, MATCH(B1332,'SAÍDA DE VENDAS'!$B$6:$B$500,0)+COUNTIF('SAÍDA DE VENDAS'!$B$6:$B$500, B1332)),"")))</f>
        <v/>
      </c>
      <c r="C1333" s="35">
        <f>IFERROR(VLOOKUP(B1333,'SAÍDA DE VENDAS'!$B$6:$P$500,3,FALSE),"")</f>
        <v>0</v>
      </c>
      <c r="D1333" s="34">
        <f>IFERROR(VLOOKUP(B1333,'SAÍDA DE VENDAS'!$B$6:$P$500,4,FALSE),"")</f>
        <v>0</v>
      </c>
      <c r="E1333" s="34" t="str">
        <f>IFERROR(VLOOKUP(B1333,'SAÍDA DE VENDAS'!$B$6:$P$500,5,FALSE),"")</f>
        <v/>
      </c>
      <c r="F1333" s="34" t="str">
        <f>IF(OR(ISBLANK(B1333),B1333=""), "", IFERROR(INDEX('SAÍDA DE VENDAS'!$H$6:$H$500 &amp; "x " &amp; 'SAÍDA DE VENDAS'!$G$6:$G$500, MATCH(B1333, 'SAÍDA DE VENDAS'!$B$6:$B$500, 0)), "")&amp; IF(COUNTIF('SAÍDA DE VENDAS'!$B$6:$B$500, B1333)&gt;1, " + " &amp; IFERROR(INDEX('SAÍDA DE VENDAS'!$H$6:$H$500 &amp; "x " &amp; 'SAÍDA DE VENDAS'!$G$6:$G$500, MATCH(B1333, 'SAÍDA DE VENDAS'!$B$6:$B$500, 0)+1), ""), "")&amp; IF(COUNTIF('SAÍDA DE VENDAS'!$B$6:$B$500, B1333)&gt;2, " + " &amp; IFERROR(INDEX('SAÍDA DE VENDAS'!$H$6:$H$500 &amp; "x " &amp; 'SAÍDA DE VENDAS'!$G$6:$G$500, MATCH(B1333, 'SAÍDA DE VENDAS'!$B$6:$B$500, 0)+2), ""), "")&amp; IF(COUNTIF('SAÍDA DE VENDAS'!$B$6:$B$500, B1333)&gt;3, " + " &amp; IFERROR(INDEX('SAÍDA DE VENDAS'!$H$6:$H$500 &amp; "x " &amp; 'SAÍDA DE VENDAS'!$G$6:$G$500, MATCH(B1333, 'SAÍDA DE VENDAS'!$B$6:$B$500, 0)+3), ""), "")&amp; IF(COUNTIF('SAÍDA DE VENDAS'!$B$6:$B$500, B1333)&gt;4, " + " &amp; IFERROR(INDEX('SAÍDA DE VENDAS'!$H$6:$H$500 &amp; "x " &amp; 'SAÍDA DE VENDAS'!$G$6:$G$500, MATCH(B1333, 'SAÍDA DE VENDAS'!$B$6:$B$500, 0)+4), ""), "")&amp; IF(COUNTIF('SAÍDA DE VENDAS'!$B$6:$B$500, B1333)&gt;5, " + " &amp; IFERROR(INDEX('SAÍDA DE VENDAS'!$H$6:$H$500 &amp; "x " &amp; 'SAÍDA DE VENDAS'!$G$6:$G$500, MATCH(B1333, 'SAÍDA DE VENDAS'!$B$6:$B$500, 0)+5), ""), ""))</f>
        <v/>
      </c>
      <c r="G1333" s="34">
        <f>IFERROR(VLOOKUP(B1333,'SAÍDA DE VENDAS'!$B$6:$P$500,10,FALSE),"")</f>
        <v>0</v>
      </c>
      <c r="H1333" s="34" t="str">
        <f>IF(OR(ISBLANK(B1333),B1333=""), "", IF(B1333=B1332, (VALUE(LEFT(H1332,FIND("/",H1332)-1))+1)&amp;"/"&amp;RIGHT(H1332,LEN(H1332)-FIND("/",H1332)), "1/"&amp;IFERROR(VLOOKUP(B1333,'SAÍDA DE VENDAS'!$B$6:$P$500,13,FALSE),"1")))</f>
        <v/>
      </c>
      <c r="I1333" s="35" t="str">
        <f t="shared" si="40"/>
        <v/>
      </c>
      <c r="J1333" s="39" t="str">
        <f>IFERROR(VLOOKUP(B1333,'SAÍDA DE VENDAS'!$B$6:$P$500,15,FALSE),"")</f>
        <v/>
      </c>
      <c r="K1333" s="34" t="str">
        <f t="shared" ca="1" si="41"/>
        <v/>
      </c>
      <c r="L1333" s="34"/>
      <c r="M1333" s="34"/>
    </row>
    <row r="1334" spans="2:13" ht="15" customHeight="1" x14ac:dyDescent="0.3">
      <c r="B1334" s="28" t="str">
        <f>IF(B1333="","", IF(VALUE(LEFT(H1333,FIND("/",H1333)-1)) &lt; VALUE(RIGHT(H1333,LEN(H1333)-FIND("/",H1333))), B1333, IFERROR(INDEX('SAÍDA DE VENDAS'!$B$6:$B$500, MATCH(B1333,'SAÍDA DE VENDAS'!$B$6:$B$500,0)+COUNTIF('SAÍDA DE VENDAS'!$B$6:$B$500, B1333)),"")))</f>
        <v/>
      </c>
      <c r="C1334" s="29">
        <f>IFERROR(VLOOKUP(B1334,'SAÍDA DE VENDAS'!$B$6:$P$500,3,FALSE),"")</f>
        <v>0</v>
      </c>
      <c r="D1334" s="28">
        <f>IFERROR(VLOOKUP(B1334,'SAÍDA DE VENDAS'!$B$6:$P$500,4,FALSE),"")</f>
        <v>0</v>
      </c>
      <c r="E1334" s="28" t="str">
        <f>IFERROR(VLOOKUP(B1334,'SAÍDA DE VENDAS'!$B$6:$P$500,5,FALSE),"")</f>
        <v/>
      </c>
      <c r="F1334" s="28" t="str">
        <f>IF(OR(ISBLANK(B1334),B1334=""), "", IFERROR(INDEX('SAÍDA DE VENDAS'!$H$6:$H$500 &amp; "x " &amp; 'SAÍDA DE VENDAS'!$G$6:$G$500, MATCH(B1334, 'SAÍDA DE VENDAS'!$B$6:$B$500, 0)), "")&amp; IF(COUNTIF('SAÍDA DE VENDAS'!$B$6:$B$500, B1334)&gt;1, " + " &amp; IFERROR(INDEX('SAÍDA DE VENDAS'!$H$6:$H$500 &amp; "x " &amp; 'SAÍDA DE VENDAS'!$G$6:$G$500, MATCH(B1334, 'SAÍDA DE VENDAS'!$B$6:$B$500, 0)+1), ""), "")&amp; IF(COUNTIF('SAÍDA DE VENDAS'!$B$6:$B$500, B1334)&gt;2, " + " &amp; IFERROR(INDEX('SAÍDA DE VENDAS'!$H$6:$H$500 &amp; "x " &amp; 'SAÍDA DE VENDAS'!$G$6:$G$500, MATCH(B1334, 'SAÍDA DE VENDAS'!$B$6:$B$500, 0)+2), ""), "")&amp; IF(COUNTIF('SAÍDA DE VENDAS'!$B$6:$B$500, B1334)&gt;3, " + " &amp; IFERROR(INDEX('SAÍDA DE VENDAS'!$H$6:$H$500 &amp; "x " &amp; 'SAÍDA DE VENDAS'!$G$6:$G$500, MATCH(B1334, 'SAÍDA DE VENDAS'!$B$6:$B$500, 0)+3), ""), "")&amp; IF(COUNTIF('SAÍDA DE VENDAS'!$B$6:$B$500, B1334)&gt;4, " + " &amp; IFERROR(INDEX('SAÍDA DE VENDAS'!$H$6:$H$500 &amp; "x " &amp; 'SAÍDA DE VENDAS'!$G$6:$G$500, MATCH(B1334, 'SAÍDA DE VENDAS'!$B$6:$B$500, 0)+4), ""), "")&amp; IF(COUNTIF('SAÍDA DE VENDAS'!$B$6:$B$500, B1334)&gt;5, " + " &amp; IFERROR(INDEX('SAÍDA DE VENDAS'!$H$6:$H$500 &amp; "x " &amp; 'SAÍDA DE VENDAS'!$G$6:$G$500, MATCH(B1334, 'SAÍDA DE VENDAS'!$B$6:$B$500, 0)+5), ""), ""))</f>
        <v/>
      </c>
      <c r="G1334" s="28">
        <f>IFERROR(VLOOKUP(B1334,'SAÍDA DE VENDAS'!$B$6:$P$500,10,FALSE),"")</f>
        <v>0</v>
      </c>
      <c r="H1334" s="28" t="str">
        <f>IF(OR(ISBLANK(B1334),B1334=""), "", IF(B1334=B1333, (VALUE(LEFT(H1333,FIND("/",H1333)-1))+1)&amp;"/"&amp;RIGHT(H1333,LEN(H1333)-FIND("/",H1333)), "1/"&amp;IFERROR(VLOOKUP(B1334,'SAÍDA DE VENDAS'!$B$6:$P$500,13,FALSE),"1")))</f>
        <v/>
      </c>
      <c r="I1334" s="69" t="str">
        <f t="shared" si="40"/>
        <v/>
      </c>
      <c r="J1334" s="33" t="str">
        <f>IFERROR(VLOOKUP(B1334,'SAÍDA DE VENDAS'!$B$6:$P$500,15,FALSE),"")</f>
        <v/>
      </c>
      <c r="K1334" s="28" t="str">
        <f t="shared" ca="1" si="41"/>
        <v/>
      </c>
      <c r="L1334" s="28"/>
      <c r="M1334" s="28"/>
    </row>
    <row r="1335" spans="2:13" ht="15" customHeight="1" x14ac:dyDescent="0.3">
      <c r="B1335" s="34" t="str">
        <f>IF(B1334="","", IF(VALUE(LEFT(H1334,FIND("/",H1334)-1)) &lt; VALUE(RIGHT(H1334,LEN(H1334)-FIND("/",H1334))), B1334, IFERROR(INDEX('SAÍDA DE VENDAS'!$B$6:$B$500, MATCH(B1334,'SAÍDA DE VENDAS'!$B$6:$B$500,0)+COUNTIF('SAÍDA DE VENDAS'!$B$6:$B$500, B1334)),"")))</f>
        <v/>
      </c>
      <c r="C1335" s="35">
        <f>IFERROR(VLOOKUP(B1335,'SAÍDA DE VENDAS'!$B$6:$P$500,3,FALSE),"")</f>
        <v>0</v>
      </c>
      <c r="D1335" s="34">
        <f>IFERROR(VLOOKUP(B1335,'SAÍDA DE VENDAS'!$B$6:$P$500,4,FALSE),"")</f>
        <v>0</v>
      </c>
      <c r="E1335" s="34" t="str">
        <f>IFERROR(VLOOKUP(B1335,'SAÍDA DE VENDAS'!$B$6:$P$500,5,FALSE),"")</f>
        <v/>
      </c>
      <c r="F1335" s="34" t="str">
        <f>IF(OR(ISBLANK(B1335),B1335=""), "", IFERROR(INDEX('SAÍDA DE VENDAS'!$H$6:$H$500 &amp; "x " &amp; 'SAÍDA DE VENDAS'!$G$6:$G$500, MATCH(B1335, 'SAÍDA DE VENDAS'!$B$6:$B$500, 0)), "")&amp; IF(COUNTIF('SAÍDA DE VENDAS'!$B$6:$B$500, B1335)&gt;1, " + " &amp; IFERROR(INDEX('SAÍDA DE VENDAS'!$H$6:$H$500 &amp; "x " &amp; 'SAÍDA DE VENDAS'!$G$6:$G$500, MATCH(B1335, 'SAÍDA DE VENDAS'!$B$6:$B$500, 0)+1), ""), "")&amp; IF(COUNTIF('SAÍDA DE VENDAS'!$B$6:$B$500, B1335)&gt;2, " + " &amp; IFERROR(INDEX('SAÍDA DE VENDAS'!$H$6:$H$500 &amp; "x " &amp; 'SAÍDA DE VENDAS'!$G$6:$G$500, MATCH(B1335, 'SAÍDA DE VENDAS'!$B$6:$B$500, 0)+2), ""), "")&amp; IF(COUNTIF('SAÍDA DE VENDAS'!$B$6:$B$500, B1335)&gt;3, " + " &amp; IFERROR(INDEX('SAÍDA DE VENDAS'!$H$6:$H$500 &amp; "x " &amp; 'SAÍDA DE VENDAS'!$G$6:$G$500, MATCH(B1335, 'SAÍDA DE VENDAS'!$B$6:$B$500, 0)+3), ""), "")&amp; IF(COUNTIF('SAÍDA DE VENDAS'!$B$6:$B$500, B1335)&gt;4, " + " &amp; IFERROR(INDEX('SAÍDA DE VENDAS'!$H$6:$H$500 &amp; "x " &amp; 'SAÍDA DE VENDAS'!$G$6:$G$500, MATCH(B1335, 'SAÍDA DE VENDAS'!$B$6:$B$500, 0)+4), ""), "")&amp; IF(COUNTIF('SAÍDA DE VENDAS'!$B$6:$B$500, B1335)&gt;5, " + " &amp; IFERROR(INDEX('SAÍDA DE VENDAS'!$H$6:$H$500 &amp; "x " &amp; 'SAÍDA DE VENDAS'!$G$6:$G$500, MATCH(B1335, 'SAÍDA DE VENDAS'!$B$6:$B$500, 0)+5), ""), ""))</f>
        <v/>
      </c>
      <c r="G1335" s="34">
        <f>IFERROR(VLOOKUP(B1335,'SAÍDA DE VENDAS'!$B$6:$P$500,10,FALSE),"")</f>
        <v>0</v>
      </c>
      <c r="H1335" s="34" t="str">
        <f>IF(OR(ISBLANK(B1335),B1335=""), "", IF(B1335=B1334, (VALUE(LEFT(H1334,FIND("/",H1334)-1))+1)&amp;"/"&amp;RIGHT(H1334,LEN(H1334)-FIND("/",H1334)), "1/"&amp;IFERROR(VLOOKUP(B1335,'SAÍDA DE VENDAS'!$B$6:$P$500,13,FALSE),"1")))</f>
        <v/>
      </c>
      <c r="I1335" s="35" t="str">
        <f t="shared" si="40"/>
        <v/>
      </c>
      <c r="J1335" s="39" t="str">
        <f>IFERROR(VLOOKUP(B1335,'SAÍDA DE VENDAS'!$B$6:$P$500,15,FALSE),"")</f>
        <v/>
      </c>
      <c r="K1335" s="34" t="str">
        <f t="shared" ca="1" si="41"/>
        <v/>
      </c>
      <c r="L1335" s="34"/>
      <c r="M1335" s="34"/>
    </row>
    <row r="1336" spans="2:13" ht="15" customHeight="1" x14ac:dyDescent="0.3">
      <c r="B1336" s="28" t="str">
        <f>IF(B1335="","", IF(VALUE(LEFT(H1335,FIND("/",H1335)-1)) &lt; VALUE(RIGHT(H1335,LEN(H1335)-FIND("/",H1335))), B1335, IFERROR(INDEX('SAÍDA DE VENDAS'!$B$6:$B$500, MATCH(B1335,'SAÍDA DE VENDAS'!$B$6:$B$500,0)+COUNTIF('SAÍDA DE VENDAS'!$B$6:$B$500, B1335)),"")))</f>
        <v/>
      </c>
      <c r="C1336" s="29">
        <f>IFERROR(VLOOKUP(B1336,'SAÍDA DE VENDAS'!$B$6:$P$500,3,FALSE),"")</f>
        <v>0</v>
      </c>
      <c r="D1336" s="28">
        <f>IFERROR(VLOOKUP(B1336,'SAÍDA DE VENDAS'!$B$6:$P$500,4,FALSE),"")</f>
        <v>0</v>
      </c>
      <c r="E1336" s="28" t="str">
        <f>IFERROR(VLOOKUP(B1336,'SAÍDA DE VENDAS'!$B$6:$P$500,5,FALSE),"")</f>
        <v/>
      </c>
      <c r="F1336" s="28" t="str">
        <f>IF(OR(ISBLANK(B1336),B1336=""), "", IFERROR(INDEX('SAÍDA DE VENDAS'!$H$6:$H$500 &amp; "x " &amp; 'SAÍDA DE VENDAS'!$G$6:$G$500, MATCH(B1336, 'SAÍDA DE VENDAS'!$B$6:$B$500, 0)), "")&amp; IF(COUNTIF('SAÍDA DE VENDAS'!$B$6:$B$500, B1336)&gt;1, " + " &amp; IFERROR(INDEX('SAÍDA DE VENDAS'!$H$6:$H$500 &amp; "x " &amp; 'SAÍDA DE VENDAS'!$G$6:$G$500, MATCH(B1336, 'SAÍDA DE VENDAS'!$B$6:$B$500, 0)+1), ""), "")&amp; IF(COUNTIF('SAÍDA DE VENDAS'!$B$6:$B$500, B1336)&gt;2, " + " &amp; IFERROR(INDEX('SAÍDA DE VENDAS'!$H$6:$H$500 &amp; "x " &amp; 'SAÍDA DE VENDAS'!$G$6:$G$500, MATCH(B1336, 'SAÍDA DE VENDAS'!$B$6:$B$500, 0)+2), ""), "")&amp; IF(COUNTIF('SAÍDA DE VENDAS'!$B$6:$B$500, B1336)&gt;3, " + " &amp; IFERROR(INDEX('SAÍDA DE VENDAS'!$H$6:$H$500 &amp; "x " &amp; 'SAÍDA DE VENDAS'!$G$6:$G$500, MATCH(B1336, 'SAÍDA DE VENDAS'!$B$6:$B$500, 0)+3), ""), "")&amp; IF(COUNTIF('SAÍDA DE VENDAS'!$B$6:$B$500, B1336)&gt;4, " + " &amp; IFERROR(INDEX('SAÍDA DE VENDAS'!$H$6:$H$500 &amp; "x " &amp; 'SAÍDA DE VENDAS'!$G$6:$G$500, MATCH(B1336, 'SAÍDA DE VENDAS'!$B$6:$B$500, 0)+4), ""), "")&amp; IF(COUNTIF('SAÍDA DE VENDAS'!$B$6:$B$500, B1336)&gt;5, " + " &amp; IFERROR(INDEX('SAÍDA DE VENDAS'!$H$6:$H$500 &amp; "x " &amp; 'SAÍDA DE VENDAS'!$G$6:$G$500, MATCH(B1336, 'SAÍDA DE VENDAS'!$B$6:$B$500, 0)+5), ""), ""))</f>
        <v/>
      </c>
      <c r="G1336" s="28">
        <f>IFERROR(VLOOKUP(B1336,'SAÍDA DE VENDAS'!$B$6:$P$500,10,FALSE),"")</f>
        <v>0</v>
      </c>
      <c r="H1336" s="28" t="str">
        <f>IF(OR(ISBLANK(B1336),B1336=""), "", IF(B1336=B1335, (VALUE(LEFT(H1335,FIND("/",H1335)-1))+1)&amp;"/"&amp;RIGHT(H1335,LEN(H1335)-FIND("/",H1335)), "1/"&amp;IFERROR(VLOOKUP(B1336,'SAÍDA DE VENDAS'!$B$6:$P$500,13,FALSE),"1")))</f>
        <v/>
      </c>
      <c r="I1336" s="69" t="str">
        <f t="shared" si="40"/>
        <v/>
      </c>
      <c r="J1336" s="33" t="str">
        <f>IFERROR(VLOOKUP(B1336,'SAÍDA DE VENDAS'!$B$6:$P$500,15,FALSE),"")</f>
        <v/>
      </c>
      <c r="K1336" s="28" t="str">
        <f t="shared" ca="1" si="41"/>
        <v/>
      </c>
      <c r="L1336" s="28"/>
      <c r="M1336" s="28"/>
    </row>
    <row r="1337" spans="2:13" ht="15" customHeight="1" x14ac:dyDescent="0.3">
      <c r="B1337" s="34" t="str">
        <f>IF(B1336="","", IF(VALUE(LEFT(H1336,FIND("/",H1336)-1)) &lt; VALUE(RIGHT(H1336,LEN(H1336)-FIND("/",H1336))), B1336, IFERROR(INDEX('SAÍDA DE VENDAS'!$B$6:$B$500, MATCH(B1336,'SAÍDA DE VENDAS'!$B$6:$B$500,0)+COUNTIF('SAÍDA DE VENDAS'!$B$6:$B$500, B1336)),"")))</f>
        <v/>
      </c>
      <c r="C1337" s="35">
        <f>IFERROR(VLOOKUP(B1337,'SAÍDA DE VENDAS'!$B$6:$P$500,3,FALSE),"")</f>
        <v>0</v>
      </c>
      <c r="D1337" s="34">
        <f>IFERROR(VLOOKUP(B1337,'SAÍDA DE VENDAS'!$B$6:$P$500,4,FALSE),"")</f>
        <v>0</v>
      </c>
      <c r="E1337" s="34" t="str">
        <f>IFERROR(VLOOKUP(B1337,'SAÍDA DE VENDAS'!$B$6:$P$500,5,FALSE),"")</f>
        <v/>
      </c>
      <c r="F1337" s="34" t="str">
        <f>IF(OR(ISBLANK(B1337),B1337=""), "", IFERROR(INDEX('SAÍDA DE VENDAS'!$H$6:$H$500 &amp; "x " &amp; 'SAÍDA DE VENDAS'!$G$6:$G$500, MATCH(B1337, 'SAÍDA DE VENDAS'!$B$6:$B$500, 0)), "")&amp; IF(COUNTIF('SAÍDA DE VENDAS'!$B$6:$B$500, B1337)&gt;1, " + " &amp; IFERROR(INDEX('SAÍDA DE VENDAS'!$H$6:$H$500 &amp; "x " &amp; 'SAÍDA DE VENDAS'!$G$6:$G$500, MATCH(B1337, 'SAÍDA DE VENDAS'!$B$6:$B$500, 0)+1), ""), "")&amp; IF(COUNTIF('SAÍDA DE VENDAS'!$B$6:$B$500, B1337)&gt;2, " + " &amp; IFERROR(INDEX('SAÍDA DE VENDAS'!$H$6:$H$500 &amp; "x " &amp; 'SAÍDA DE VENDAS'!$G$6:$G$500, MATCH(B1337, 'SAÍDA DE VENDAS'!$B$6:$B$500, 0)+2), ""), "")&amp; IF(COUNTIF('SAÍDA DE VENDAS'!$B$6:$B$500, B1337)&gt;3, " + " &amp; IFERROR(INDEX('SAÍDA DE VENDAS'!$H$6:$H$500 &amp; "x " &amp; 'SAÍDA DE VENDAS'!$G$6:$G$500, MATCH(B1337, 'SAÍDA DE VENDAS'!$B$6:$B$500, 0)+3), ""), "")&amp; IF(COUNTIF('SAÍDA DE VENDAS'!$B$6:$B$500, B1337)&gt;4, " + " &amp; IFERROR(INDEX('SAÍDA DE VENDAS'!$H$6:$H$500 &amp; "x " &amp; 'SAÍDA DE VENDAS'!$G$6:$G$500, MATCH(B1337, 'SAÍDA DE VENDAS'!$B$6:$B$500, 0)+4), ""), "")&amp; IF(COUNTIF('SAÍDA DE VENDAS'!$B$6:$B$500, B1337)&gt;5, " + " &amp; IFERROR(INDEX('SAÍDA DE VENDAS'!$H$6:$H$500 &amp; "x " &amp; 'SAÍDA DE VENDAS'!$G$6:$G$500, MATCH(B1337, 'SAÍDA DE VENDAS'!$B$6:$B$500, 0)+5), ""), ""))</f>
        <v/>
      </c>
      <c r="G1337" s="34">
        <f>IFERROR(VLOOKUP(B1337,'SAÍDA DE VENDAS'!$B$6:$P$500,10,FALSE),"")</f>
        <v>0</v>
      </c>
      <c r="H1337" s="34" t="str">
        <f>IF(OR(ISBLANK(B1337),B1337=""), "", IF(B1337=B1336, (VALUE(LEFT(H1336,FIND("/",H1336)-1))+1)&amp;"/"&amp;RIGHT(H1336,LEN(H1336)-FIND("/",H1336)), "1/"&amp;IFERROR(VLOOKUP(B1337,'SAÍDA DE VENDAS'!$B$6:$P$500,13,FALSE),"1")))</f>
        <v/>
      </c>
      <c r="I1337" s="35" t="str">
        <f t="shared" si="40"/>
        <v/>
      </c>
      <c r="J1337" s="39" t="str">
        <f>IFERROR(VLOOKUP(B1337,'SAÍDA DE VENDAS'!$B$6:$P$500,15,FALSE),"")</f>
        <v/>
      </c>
      <c r="K1337" s="34" t="str">
        <f t="shared" ca="1" si="41"/>
        <v/>
      </c>
      <c r="L1337" s="34"/>
      <c r="M1337" s="34"/>
    </row>
    <row r="1338" spans="2:13" ht="15" customHeight="1" x14ac:dyDescent="0.3">
      <c r="B1338" s="28" t="str">
        <f>IF(B1337="","", IF(VALUE(LEFT(H1337,FIND("/",H1337)-1)) &lt; VALUE(RIGHT(H1337,LEN(H1337)-FIND("/",H1337))), B1337, IFERROR(INDEX('SAÍDA DE VENDAS'!$B$6:$B$500, MATCH(B1337,'SAÍDA DE VENDAS'!$B$6:$B$500,0)+COUNTIF('SAÍDA DE VENDAS'!$B$6:$B$500, B1337)),"")))</f>
        <v/>
      </c>
      <c r="C1338" s="29">
        <f>IFERROR(VLOOKUP(B1338,'SAÍDA DE VENDAS'!$B$6:$P$500,3,FALSE),"")</f>
        <v>0</v>
      </c>
      <c r="D1338" s="28">
        <f>IFERROR(VLOOKUP(B1338,'SAÍDA DE VENDAS'!$B$6:$P$500,4,FALSE),"")</f>
        <v>0</v>
      </c>
      <c r="E1338" s="28" t="str">
        <f>IFERROR(VLOOKUP(B1338,'SAÍDA DE VENDAS'!$B$6:$P$500,5,FALSE),"")</f>
        <v/>
      </c>
      <c r="F1338" s="28" t="str">
        <f>IF(OR(ISBLANK(B1338),B1338=""), "", IFERROR(INDEX('SAÍDA DE VENDAS'!$H$6:$H$500 &amp; "x " &amp; 'SAÍDA DE VENDAS'!$G$6:$G$500, MATCH(B1338, 'SAÍDA DE VENDAS'!$B$6:$B$500, 0)), "")&amp; IF(COUNTIF('SAÍDA DE VENDAS'!$B$6:$B$500, B1338)&gt;1, " + " &amp; IFERROR(INDEX('SAÍDA DE VENDAS'!$H$6:$H$500 &amp; "x " &amp; 'SAÍDA DE VENDAS'!$G$6:$G$500, MATCH(B1338, 'SAÍDA DE VENDAS'!$B$6:$B$500, 0)+1), ""), "")&amp; IF(COUNTIF('SAÍDA DE VENDAS'!$B$6:$B$500, B1338)&gt;2, " + " &amp; IFERROR(INDEX('SAÍDA DE VENDAS'!$H$6:$H$500 &amp; "x " &amp; 'SAÍDA DE VENDAS'!$G$6:$G$500, MATCH(B1338, 'SAÍDA DE VENDAS'!$B$6:$B$500, 0)+2), ""), "")&amp; IF(COUNTIF('SAÍDA DE VENDAS'!$B$6:$B$500, B1338)&gt;3, " + " &amp; IFERROR(INDEX('SAÍDA DE VENDAS'!$H$6:$H$500 &amp; "x " &amp; 'SAÍDA DE VENDAS'!$G$6:$G$500, MATCH(B1338, 'SAÍDA DE VENDAS'!$B$6:$B$500, 0)+3), ""), "")&amp; IF(COUNTIF('SAÍDA DE VENDAS'!$B$6:$B$500, B1338)&gt;4, " + " &amp; IFERROR(INDEX('SAÍDA DE VENDAS'!$H$6:$H$500 &amp; "x " &amp; 'SAÍDA DE VENDAS'!$G$6:$G$500, MATCH(B1338, 'SAÍDA DE VENDAS'!$B$6:$B$500, 0)+4), ""), "")&amp; IF(COUNTIF('SAÍDA DE VENDAS'!$B$6:$B$500, B1338)&gt;5, " + " &amp; IFERROR(INDEX('SAÍDA DE VENDAS'!$H$6:$H$500 &amp; "x " &amp; 'SAÍDA DE VENDAS'!$G$6:$G$500, MATCH(B1338, 'SAÍDA DE VENDAS'!$B$6:$B$500, 0)+5), ""), ""))</f>
        <v/>
      </c>
      <c r="G1338" s="28">
        <f>IFERROR(VLOOKUP(B1338,'SAÍDA DE VENDAS'!$B$6:$P$500,10,FALSE),"")</f>
        <v>0</v>
      </c>
      <c r="H1338" s="28" t="str">
        <f>IF(OR(ISBLANK(B1338),B1338=""), "", IF(B1338=B1337, (VALUE(LEFT(H1337,FIND("/",H1337)-1))+1)&amp;"/"&amp;RIGHT(H1337,LEN(H1337)-FIND("/",H1337)), "1/"&amp;IFERROR(VLOOKUP(B1338,'SAÍDA DE VENDAS'!$B$6:$P$500,13,FALSE),"1")))</f>
        <v/>
      </c>
      <c r="I1338" s="69" t="str">
        <f t="shared" si="40"/>
        <v/>
      </c>
      <c r="J1338" s="33" t="str">
        <f>IFERROR(VLOOKUP(B1338,'SAÍDA DE VENDAS'!$B$6:$P$500,15,FALSE),"")</f>
        <v/>
      </c>
      <c r="K1338" s="28" t="str">
        <f t="shared" ca="1" si="41"/>
        <v/>
      </c>
      <c r="L1338" s="28"/>
      <c r="M1338" s="28"/>
    </row>
    <row r="1339" spans="2:13" ht="15" customHeight="1" x14ac:dyDescent="0.3">
      <c r="B1339" s="34" t="str">
        <f>IF(B1338="","", IF(VALUE(LEFT(H1338,FIND("/",H1338)-1)) &lt; VALUE(RIGHT(H1338,LEN(H1338)-FIND("/",H1338))), B1338, IFERROR(INDEX('SAÍDA DE VENDAS'!$B$6:$B$500, MATCH(B1338,'SAÍDA DE VENDAS'!$B$6:$B$500,0)+COUNTIF('SAÍDA DE VENDAS'!$B$6:$B$500, B1338)),"")))</f>
        <v/>
      </c>
      <c r="C1339" s="35">
        <f>IFERROR(VLOOKUP(B1339,'SAÍDA DE VENDAS'!$B$6:$P$500,3,FALSE),"")</f>
        <v>0</v>
      </c>
      <c r="D1339" s="34">
        <f>IFERROR(VLOOKUP(B1339,'SAÍDA DE VENDAS'!$B$6:$P$500,4,FALSE),"")</f>
        <v>0</v>
      </c>
      <c r="E1339" s="34" t="str">
        <f>IFERROR(VLOOKUP(B1339,'SAÍDA DE VENDAS'!$B$6:$P$500,5,FALSE),"")</f>
        <v/>
      </c>
      <c r="F1339" s="34" t="str">
        <f>IF(OR(ISBLANK(B1339),B1339=""), "", IFERROR(INDEX('SAÍDA DE VENDAS'!$H$6:$H$500 &amp; "x " &amp; 'SAÍDA DE VENDAS'!$G$6:$G$500, MATCH(B1339, 'SAÍDA DE VENDAS'!$B$6:$B$500, 0)), "")&amp; IF(COUNTIF('SAÍDA DE VENDAS'!$B$6:$B$500, B1339)&gt;1, " + " &amp; IFERROR(INDEX('SAÍDA DE VENDAS'!$H$6:$H$500 &amp; "x " &amp; 'SAÍDA DE VENDAS'!$G$6:$G$500, MATCH(B1339, 'SAÍDA DE VENDAS'!$B$6:$B$500, 0)+1), ""), "")&amp; IF(COUNTIF('SAÍDA DE VENDAS'!$B$6:$B$500, B1339)&gt;2, " + " &amp; IFERROR(INDEX('SAÍDA DE VENDAS'!$H$6:$H$500 &amp; "x " &amp; 'SAÍDA DE VENDAS'!$G$6:$G$500, MATCH(B1339, 'SAÍDA DE VENDAS'!$B$6:$B$500, 0)+2), ""), "")&amp; IF(COUNTIF('SAÍDA DE VENDAS'!$B$6:$B$500, B1339)&gt;3, " + " &amp; IFERROR(INDEX('SAÍDA DE VENDAS'!$H$6:$H$500 &amp; "x " &amp; 'SAÍDA DE VENDAS'!$G$6:$G$500, MATCH(B1339, 'SAÍDA DE VENDAS'!$B$6:$B$500, 0)+3), ""), "")&amp; IF(COUNTIF('SAÍDA DE VENDAS'!$B$6:$B$500, B1339)&gt;4, " + " &amp; IFERROR(INDEX('SAÍDA DE VENDAS'!$H$6:$H$500 &amp; "x " &amp; 'SAÍDA DE VENDAS'!$G$6:$G$500, MATCH(B1339, 'SAÍDA DE VENDAS'!$B$6:$B$500, 0)+4), ""), "")&amp; IF(COUNTIF('SAÍDA DE VENDAS'!$B$6:$B$500, B1339)&gt;5, " + " &amp; IFERROR(INDEX('SAÍDA DE VENDAS'!$H$6:$H$500 &amp; "x " &amp; 'SAÍDA DE VENDAS'!$G$6:$G$500, MATCH(B1339, 'SAÍDA DE VENDAS'!$B$6:$B$500, 0)+5), ""), ""))</f>
        <v/>
      </c>
      <c r="G1339" s="34">
        <f>IFERROR(VLOOKUP(B1339,'SAÍDA DE VENDAS'!$B$6:$P$500,10,FALSE),"")</f>
        <v>0</v>
      </c>
      <c r="H1339" s="34" t="str">
        <f>IF(OR(ISBLANK(B1339),B1339=""), "", IF(B1339=B1338, (VALUE(LEFT(H1338,FIND("/",H1338)-1))+1)&amp;"/"&amp;RIGHT(H1338,LEN(H1338)-FIND("/",H1338)), "1/"&amp;IFERROR(VLOOKUP(B1339,'SAÍDA DE VENDAS'!$B$6:$P$500,13,FALSE),"1")))</f>
        <v/>
      </c>
      <c r="I1339" s="35" t="str">
        <f t="shared" si="40"/>
        <v/>
      </c>
      <c r="J1339" s="39" t="str">
        <f>IFERROR(VLOOKUP(B1339,'SAÍDA DE VENDAS'!$B$6:$P$500,15,FALSE),"")</f>
        <v/>
      </c>
      <c r="K1339" s="34" t="str">
        <f t="shared" ca="1" si="41"/>
        <v/>
      </c>
      <c r="L1339" s="34"/>
      <c r="M1339" s="34"/>
    </row>
    <row r="1340" spans="2:13" ht="15" customHeight="1" x14ac:dyDescent="0.3">
      <c r="B1340" s="28" t="str">
        <f>IF(B1339="","", IF(VALUE(LEFT(H1339,FIND("/",H1339)-1)) &lt; VALUE(RIGHT(H1339,LEN(H1339)-FIND("/",H1339))), B1339, IFERROR(INDEX('SAÍDA DE VENDAS'!$B$6:$B$500, MATCH(B1339,'SAÍDA DE VENDAS'!$B$6:$B$500,0)+COUNTIF('SAÍDA DE VENDAS'!$B$6:$B$500, B1339)),"")))</f>
        <v/>
      </c>
      <c r="C1340" s="29">
        <f>IFERROR(VLOOKUP(B1340,'SAÍDA DE VENDAS'!$B$6:$P$500,3,FALSE),"")</f>
        <v>0</v>
      </c>
      <c r="D1340" s="28">
        <f>IFERROR(VLOOKUP(B1340,'SAÍDA DE VENDAS'!$B$6:$P$500,4,FALSE),"")</f>
        <v>0</v>
      </c>
      <c r="E1340" s="28" t="str">
        <f>IFERROR(VLOOKUP(B1340,'SAÍDA DE VENDAS'!$B$6:$P$500,5,FALSE),"")</f>
        <v/>
      </c>
      <c r="F1340" s="28" t="str">
        <f>IF(OR(ISBLANK(B1340),B1340=""), "", IFERROR(INDEX('SAÍDA DE VENDAS'!$H$6:$H$500 &amp; "x " &amp; 'SAÍDA DE VENDAS'!$G$6:$G$500, MATCH(B1340, 'SAÍDA DE VENDAS'!$B$6:$B$500, 0)), "")&amp; IF(COUNTIF('SAÍDA DE VENDAS'!$B$6:$B$500, B1340)&gt;1, " + " &amp; IFERROR(INDEX('SAÍDA DE VENDAS'!$H$6:$H$500 &amp; "x " &amp; 'SAÍDA DE VENDAS'!$G$6:$G$500, MATCH(B1340, 'SAÍDA DE VENDAS'!$B$6:$B$500, 0)+1), ""), "")&amp; IF(COUNTIF('SAÍDA DE VENDAS'!$B$6:$B$500, B1340)&gt;2, " + " &amp; IFERROR(INDEX('SAÍDA DE VENDAS'!$H$6:$H$500 &amp; "x " &amp; 'SAÍDA DE VENDAS'!$G$6:$G$500, MATCH(B1340, 'SAÍDA DE VENDAS'!$B$6:$B$500, 0)+2), ""), "")&amp; IF(COUNTIF('SAÍDA DE VENDAS'!$B$6:$B$500, B1340)&gt;3, " + " &amp; IFERROR(INDEX('SAÍDA DE VENDAS'!$H$6:$H$500 &amp; "x " &amp; 'SAÍDA DE VENDAS'!$G$6:$G$500, MATCH(B1340, 'SAÍDA DE VENDAS'!$B$6:$B$500, 0)+3), ""), "")&amp; IF(COUNTIF('SAÍDA DE VENDAS'!$B$6:$B$500, B1340)&gt;4, " + " &amp; IFERROR(INDEX('SAÍDA DE VENDAS'!$H$6:$H$500 &amp; "x " &amp; 'SAÍDA DE VENDAS'!$G$6:$G$500, MATCH(B1340, 'SAÍDA DE VENDAS'!$B$6:$B$500, 0)+4), ""), "")&amp; IF(COUNTIF('SAÍDA DE VENDAS'!$B$6:$B$500, B1340)&gt;5, " + " &amp; IFERROR(INDEX('SAÍDA DE VENDAS'!$H$6:$H$500 &amp; "x " &amp; 'SAÍDA DE VENDAS'!$G$6:$G$500, MATCH(B1340, 'SAÍDA DE VENDAS'!$B$6:$B$500, 0)+5), ""), ""))</f>
        <v/>
      </c>
      <c r="G1340" s="28">
        <f>IFERROR(VLOOKUP(B1340,'SAÍDA DE VENDAS'!$B$6:$P$500,10,FALSE),"")</f>
        <v>0</v>
      </c>
      <c r="H1340" s="28" t="str">
        <f>IF(OR(ISBLANK(B1340),B1340=""), "", IF(B1340=B1339, (VALUE(LEFT(H1339,FIND("/",H1339)-1))+1)&amp;"/"&amp;RIGHT(H1339,LEN(H1339)-FIND("/",H1339)), "1/"&amp;IFERROR(VLOOKUP(B1340,'SAÍDA DE VENDAS'!$B$6:$P$500,13,FALSE),"1")))</f>
        <v/>
      </c>
      <c r="I1340" s="69" t="str">
        <f t="shared" si="40"/>
        <v/>
      </c>
      <c r="J1340" s="33" t="str">
        <f>IFERROR(VLOOKUP(B1340,'SAÍDA DE VENDAS'!$B$6:$P$500,15,FALSE),"")</f>
        <v/>
      </c>
      <c r="K1340" s="28" t="str">
        <f t="shared" ca="1" si="41"/>
        <v/>
      </c>
      <c r="L1340" s="28"/>
      <c r="M1340" s="28"/>
    </row>
    <row r="1341" spans="2:13" ht="15" customHeight="1" x14ac:dyDescent="0.3">
      <c r="B1341" s="34" t="str">
        <f>IF(B1340="","", IF(VALUE(LEFT(H1340,FIND("/",H1340)-1)) &lt; VALUE(RIGHT(H1340,LEN(H1340)-FIND("/",H1340))), B1340, IFERROR(INDEX('SAÍDA DE VENDAS'!$B$6:$B$500, MATCH(B1340,'SAÍDA DE VENDAS'!$B$6:$B$500,0)+COUNTIF('SAÍDA DE VENDAS'!$B$6:$B$500, B1340)),"")))</f>
        <v/>
      </c>
      <c r="C1341" s="35">
        <f>IFERROR(VLOOKUP(B1341,'SAÍDA DE VENDAS'!$B$6:$P$500,3,FALSE),"")</f>
        <v>0</v>
      </c>
      <c r="D1341" s="34">
        <f>IFERROR(VLOOKUP(B1341,'SAÍDA DE VENDAS'!$B$6:$P$500,4,FALSE),"")</f>
        <v>0</v>
      </c>
      <c r="E1341" s="34" t="str">
        <f>IFERROR(VLOOKUP(B1341,'SAÍDA DE VENDAS'!$B$6:$P$500,5,FALSE),"")</f>
        <v/>
      </c>
      <c r="F1341" s="34" t="str">
        <f>IF(OR(ISBLANK(B1341),B1341=""), "", IFERROR(INDEX('SAÍDA DE VENDAS'!$H$6:$H$500 &amp; "x " &amp; 'SAÍDA DE VENDAS'!$G$6:$G$500, MATCH(B1341, 'SAÍDA DE VENDAS'!$B$6:$B$500, 0)), "")&amp; IF(COUNTIF('SAÍDA DE VENDAS'!$B$6:$B$500, B1341)&gt;1, " + " &amp; IFERROR(INDEX('SAÍDA DE VENDAS'!$H$6:$H$500 &amp; "x " &amp; 'SAÍDA DE VENDAS'!$G$6:$G$500, MATCH(B1341, 'SAÍDA DE VENDAS'!$B$6:$B$500, 0)+1), ""), "")&amp; IF(COUNTIF('SAÍDA DE VENDAS'!$B$6:$B$500, B1341)&gt;2, " + " &amp; IFERROR(INDEX('SAÍDA DE VENDAS'!$H$6:$H$500 &amp; "x " &amp; 'SAÍDA DE VENDAS'!$G$6:$G$500, MATCH(B1341, 'SAÍDA DE VENDAS'!$B$6:$B$500, 0)+2), ""), "")&amp; IF(COUNTIF('SAÍDA DE VENDAS'!$B$6:$B$500, B1341)&gt;3, " + " &amp; IFERROR(INDEX('SAÍDA DE VENDAS'!$H$6:$H$500 &amp; "x " &amp; 'SAÍDA DE VENDAS'!$G$6:$G$500, MATCH(B1341, 'SAÍDA DE VENDAS'!$B$6:$B$500, 0)+3), ""), "")&amp; IF(COUNTIF('SAÍDA DE VENDAS'!$B$6:$B$500, B1341)&gt;4, " + " &amp; IFERROR(INDEX('SAÍDA DE VENDAS'!$H$6:$H$500 &amp; "x " &amp; 'SAÍDA DE VENDAS'!$G$6:$G$500, MATCH(B1341, 'SAÍDA DE VENDAS'!$B$6:$B$500, 0)+4), ""), "")&amp; IF(COUNTIF('SAÍDA DE VENDAS'!$B$6:$B$500, B1341)&gt;5, " + " &amp; IFERROR(INDEX('SAÍDA DE VENDAS'!$H$6:$H$500 &amp; "x " &amp; 'SAÍDA DE VENDAS'!$G$6:$G$500, MATCH(B1341, 'SAÍDA DE VENDAS'!$B$6:$B$500, 0)+5), ""), ""))</f>
        <v/>
      </c>
      <c r="G1341" s="34">
        <f>IFERROR(VLOOKUP(B1341,'SAÍDA DE VENDAS'!$B$6:$P$500,10,FALSE),"")</f>
        <v>0</v>
      </c>
      <c r="H1341" s="34" t="str">
        <f>IF(OR(ISBLANK(B1341),B1341=""), "", IF(B1341=B1340, (VALUE(LEFT(H1340,FIND("/",H1340)-1))+1)&amp;"/"&amp;RIGHT(H1340,LEN(H1340)-FIND("/",H1340)), "1/"&amp;IFERROR(VLOOKUP(B1341,'SAÍDA DE VENDAS'!$B$6:$P$500,13,FALSE),"1")))</f>
        <v/>
      </c>
      <c r="I1341" s="35" t="str">
        <f t="shared" si="40"/>
        <v/>
      </c>
      <c r="J1341" s="39" t="str">
        <f>IFERROR(VLOOKUP(B1341,'SAÍDA DE VENDAS'!$B$6:$P$500,15,FALSE),"")</f>
        <v/>
      </c>
      <c r="K1341" s="34" t="str">
        <f t="shared" ca="1" si="41"/>
        <v/>
      </c>
      <c r="L1341" s="34"/>
      <c r="M1341" s="34"/>
    </row>
    <row r="1342" spans="2:13" ht="15" customHeight="1" x14ac:dyDescent="0.3">
      <c r="B1342" s="28" t="str">
        <f>IF(B1341="","", IF(VALUE(LEFT(H1341,FIND("/",H1341)-1)) &lt; VALUE(RIGHT(H1341,LEN(H1341)-FIND("/",H1341))), B1341, IFERROR(INDEX('SAÍDA DE VENDAS'!$B$6:$B$500, MATCH(B1341,'SAÍDA DE VENDAS'!$B$6:$B$500,0)+COUNTIF('SAÍDA DE VENDAS'!$B$6:$B$500, B1341)),"")))</f>
        <v/>
      </c>
      <c r="C1342" s="29">
        <f>IFERROR(VLOOKUP(B1342,'SAÍDA DE VENDAS'!$B$6:$P$500,3,FALSE),"")</f>
        <v>0</v>
      </c>
      <c r="D1342" s="28">
        <f>IFERROR(VLOOKUP(B1342,'SAÍDA DE VENDAS'!$B$6:$P$500,4,FALSE),"")</f>
        <v>0</v>
      </c>
      <c r="E1342" s="28" t="str">
        <f>IFERROR(VLOOKUP(B1342,'SAÍDA DE VENDAS'!$B$6:$P$500,5,FALSE),"")</f>
        <v/>
      </c>
      <c r="F1342" s="28" t="str">
        <f>IF(OR(ISBLANK(B1342),B1342=""), "", IFERROR(INDEX('SAÍDA DE VENDAS'!$H$6:$H$500 &amp; "x " &amp; 'SAÍDA DE VENDAS'!$G$6:$G$500, MATCH(B1342, 'SAÍDA DE VENDAS'!$B$6:$B$500, 0)), "")&amp; IF(COUNTIF('SAÍDA DE VENDAS'!$B$6:$B$500, B1342)&gt;1, " + " &amp; IFERROR(INDEX('SAÍDA DE VENDAS'!$H$6:$H$500 &amp; "x " &amp; 'SAÍDA DE VENDAS'!$G$6:$G$500, MATCH(B1342, 'SAÍDA DE VENDAS'!$B$6:$B$500, 0)+1), ""), "")&amp; IF(COUNTIF('SAÍDA DE VENDAS'!$B$6:$B$500, B1342)&gt;2, " + " &amp; IFERROR(INDEX('SAÍDA DE VENDAS'!$H$6:$H$500 &amp; "x " &amp; 'SAÍDA DE VENDAS'!$G$6:$G$500, MATCH(B1342, 'SAÍDA DE VENDAS'!$B$6:$B$500, 0)+2), ""), "")&amp; IF(COUNTIF('SAÍDA DE VENDAS'!$B$6:$B$500, B1342)&gt;3, " + " &amp; IFERROR(INDEX('SAÍDA DE VENDAS'!$H$6:$H$500 &amp; "x " &amp; 'SAÍDA DE VENDAS'!$G$6:$G$500, MATCH(B1342, 'SAÍDA DE VENDAS'!$B$6:$B$500, 0)+3), ""), "")&amp; IF(COUNTIF('SAÍDA DE VENDAS'!$B$6:$B$500, B1342)&gt;4, " + " &amp; IFERROR(INDEX('SAÍDA DE VENDAS'!$H$6:$H$500 &amp; "x " &amp; 'SAÍDA DE VENDAS'!$G$6:$G$500, MATCH(B1342, 'SAÍDA DE VENDAS'!$B$6:$B$500, 0)+4), ""), "")&amp; IF(COUNTIF('SAÍDA DE VENDAS'!$B$6:$B$500, B1342)&gt;5, " + " &amp; IFERROR(INDEX('SAÍDA DE VENDAS'!$H$6:$H$500 &amp; "x " &amp; 'SAÍDA DE VENDAS'!$G$6:$G$500, MATCH(B1342, 'SAÍDA DE VENDAS'!$B$6:$B$500, 0)+5), ""), ""))</f>
        <v/>
      </c>
      <c r="G1342" s="28">
        <f>IFERROR(VLOOKUP(B1342,'SAÍDA DE VENDAS'!$B$6:$P$500,10,FALSE),"")</f>
        <v>0</v>
      </c>
      <c r="H1342" s="28" t="str">
        <f>IF(OR(ISBLANK(B1342),B1342=""), "", IF(B1342=B1341, (VALUE(LEFT(H1341,FIND("/",H1341)-1))+1)&amp;"/"&amp;RIGHT(H1341,LEN(H1341)-FIND("/",H1341)), "1/"&amp;IFERROR(VLOOKUP(B1342,'SAÍDA DE VENDAS'!$B$6:$P$500,13,FALSE),"1")))</f>
        <v/>
      </c>
      <c r="I1342" s="69" t="str">
        <f t="shared" si="40"/>
        <v/>
      </c>
      <c r="J1342" s="33" t="str">
        <f>IFERROR(VLOOKUP(B1342,'SAÍDA DE VENDAS'!$B$6:$P$500,15,FALSE),"")</f>
        <v/>
      </c>
      <c r="K1342" s="28" t="str">
        <f t="shared" ca="1" si="41"/>
        <v/>
      </c>
      <c r="L1342" s="28"/>
      <c r="M1342" s="28"/>
    </row>
    <row r="1343" spans="2:13" ht="15" customHeight="1" x14ac:dyDescent="0.3">
      <c r="B1343" s="34" t="str">
        <f>IF(B1342="","", IF(VALUE(LEFT(H1342,FIND("/",H1342)-1)) &lt; VALUE(RIGHT(H1342,LEN(H1342)-FIND("/",H1342))), B1342, IFERROR(INDEX('SAÍDA DE VENDAS'!$B$6:$B$500, MATCH(B1342,'SAÍDA DE VENDAS'!$B$6:$B$500,0)+COUNTIF('SAÍDA DE VENDAS'!$B$6:$B$500, B1342)),"")))</f>
        <v/>
      </c>
      <c r="C1343" s="35">
        <f>IFERROR(VLOOKUP(B1343,'SAÍDA DE VENDAS'!$B$6:$P$500,3,FALSE),"")</f>
        <v>0</v>
      </c>
      <c r="D1343" s="34">
        <f>IFERROR(VLOOKUP(B1343,'SAÍDA DE VENDAS'!$B$6:$P$500,4,FALSE),"")</f>
        <v>0</v>
      </c>
      <c r="E1343" s="34" t="str">
        <f>IFERROR(VLOOKUP(B1343,'SAÍDA DE VENDAS'!$B$6:$P$500,5,FALSE),"")</f>
        <v/>
      </c>
      <c r="F1343" s="34" t="str">
        <f>IF(OR(ISBLANK(B1343),B1343=""), "", IFERROR(INDEX('SAÍDA DE VENDAS'!$H$6:$H$500 &amp; "x " &amp; 'SAÍDA DE VENDAS'!$G$6:$G$500, MATCH(B1343, 'SAÍDA DE VENDAS'!$B$6:$B$500, 0)), "")&amp; IF(COUNTIF('SAÍDA DE VENDAS'!$B$6:$B$500, B1343)&gt;1, " + " &amp; IFERROR(INDEX('SAÍDA DE VENDAS'!$H$6:$H$500 &amp; "x " &amp; 'SAÍDA DE VENDAS'!$G$6:$G$500, MATCH(B1343, 'SAÍDA DE VENDAS'!$B$6:$B$500, 0)+1), ""), "")&amp; IF(COUNTIF('SAÍDA DE VENDAS'!$B$6:$B$500, B1343)&gt;2, " + " &amp; IFERROR(INDEX('SAÍDA DE VENDAS'!$H$6:$H$500 &amp; "x " &amp; 'SAÍDA DE VENDAS'!$G$6:$G$500, MATCH(B1343, 'SAÍDA DE VENDAS'!$B$6:$B$500, 0)+2), ""), "")&amp; IF(COUNTIF('SAÍDA DE VENDAS'!$B$6:$B$500, B1343)&gt;3, " + " &amp; IFERROR(INDEX('SAÍDA DE VENDAS'!$H$6:$H$500 &amp; "x " &amp; 'SAÍDA DE VENDAS'!$G$6:$G$500, MATCH(B1343, 'SAÍDA DE VENDAS'!$B$6:$B$500, 0)+3), ""), "")&amp; IF(COUNTIF('SAÍDA DE VENDAS'!$B$6:$B$500, B1343)&gt;4, " + " &amp; IFERROR(INDEX('SAÍDA DE VENDAS'!$H$6:$H$500 &amp; "x " &amp; 'SAÍDA DE VENDAS'!$G$6:$G$500, MATCH(B1343, 'SAÍDA DE VENDAS'!$B$6:$B$500, 0)+4), ""), "")&amp; IF(COUNTIF('SAÍDA DE VENDAS'!$B$6:$B$500, B1343)&gt;5, " + " &amp; IFERROR(INDEX('SAÍDA DE VENDAS'!$H$6:$H$500 &amp; "x " &amp; 'SAÍDA DE VENDAS'!$G$6:$G$500, MATCH(B1343, 'SAÍDA DE VENDAS'!$B$6:$B$500, 0)+5), ""), ""))</f>
        <v/>
      </c>
      <c r="G1343" s="34">
        <f>IFERROR(VLOOKUP(B1343,'SAÍDA DE VENDAS'!$B$6:$P$500,10,FALSE),"")</f>
        <v>0</v>
      </c>
      <c r="H1343" s="34" t="str">
        <f>IF(OR(ISBLANK(B1343),B1343=""), "", IF(B1343=B1342, (VALUE(LEFT(H1342,FIND("/",H1342)-1))+1)&amp;"/"&amp;RIGHT(H1342,LEN(H1342)-FIND("/",H1342)), "1/"&amp;IFERROR(VLOOKUP(B1343,'SAÍDA DE VENDAS'!$B$6:$P$500,13,FALSE),"1")))</f>
        <v/>
      </c>
      <c r="I1343" s="35" t="str">
        <f t="shared" si="40"/>
        <v/>
      </c>
      <c r="J1343" s="39" t="str">
        <f>IFERROR(VLOOKUP(B1343,'SAÍDA DE VENDAS'!$B$6:$P$500,15,FALSE),"")</f>
        <v/>
      </c>
      <c r="K1343" s="34" t="str">
        <f t="shared" ca="1" si="41"/>
        <v/>
      </c>
      <c r="L1343" s="34"/>
      <c r="M1343" s="34"/>
    </row>
    <row r="1344" spans="2:13" ht="15" customHeight="1" x14ac:dyDescent="0.3">
      <c r="B1344" s="28" t="str">
        <f>IF(B1343="","", IF(VALUE(LEFT(H1343,FIND("/",H1343)-1)) &lt; VALUE(RIGHT(H1343,LEN(H1343)-FIND("/",H1343))), B1343, IFERROR(INDEX('SAÍDA DE VENDAS'!$B$6:$B$500, MATCH(B1343,'SAÍDA DE VENDAS'!$B$6:$B$500,0)+COUNTIF('SAÍDA DE VENDAS'!$B$6:$B$500, B1343)),"")))</f>
        <v/>
      </c>
      <c r="C1344" s="29">
        <f>IFERROR(VLOOKUP(B1344,'SAÍDA DE VENDAS'!$B$6:$P$500,3,FALSE),"")</f>
        <v>0</v>
      </c>
      <c r="D1344" s="28">
        <f>IFERROR(VLOOKUP(B1344,'SAÍDA DE VENDAS'!$B$6:$P$500,4,FALSE),"")</f>
        <v>0</v>
      </c>
      <c r="E1344" s="28" t="str">
        <f>IFERROR(VLOOKUP(B1344,'SAÍDA DE VENDAS'!$B$6:$P$500,5,FALSE),"")</f>
        <v/>
      </c>
      <c r="F1344" s="28" t="str">
        <f>IF(OR(ISBLANK(B1344),B1344=""), "", IFERROR(INDEX('SAÍDA DE VENDAS'!$H$6:$H$500 &amp; "x " &amp; 'SAÍDA DE VENDAS'!$G$6:$G$500, MATCH(B1344, 'SAÍDA DE VENDAS'!$B$6:$B$500, 0)), "")&amp; IF(COUNTIF('SAÍDA DE VENDAS'!$B$6:$B$500, B1344)&gt;1, " + " &amp; IFERROR(INDEX('SAÍDA DE VENDAS'!$H$6:$H$500 &amp; "x " &amp; 'SAÍDA DE VENDAS'!$G$6:$G$500, MATCH(B1344, 'SAÍDA DE VENDAS'!$B$6:$B$500, 0)+1), ""), "")&amp; IF(COUNTIF('SAÍDA DE VENDAS'!$B$6:$B$500, B1344)&gt;2, " + " &amp; IFERROR(INDEX('SAÍDA DE VENDAS'!$H$6:$H$500 &amp; "x " &amp; 'SAÍDA DE VENDAS'!$G$6:$G$500, MATCH(B1344, 'SAÍDA DE VENDAS'!$B$6:$B$500, 0)+2), ""), "")&amp; IF(COUNTIF('SAÍDA DE VENDAS'!$B$6:$B$500, B1344)&gt;3, " + " &amp; IFERROR(INDEX('SAÍDA DE VENDAS'!$H$6:$H$500 &amp; "x " &amp; 'SAÍDA DE VENDAS'!$G$6:$G$500, MATCH(B1344, 'SAÍDA DE VENDAS'!$B$6:$B$500, 0)+3), ""), "")&amp; IF(COUNTIF('SAÍDA DE VENDAS'!$B$6:$B$500, B1344)&gt;4, " + " &amp; IFERROR(INDEX('SAÍDA DE VENDAS'!$H$6:$H$500 &amp; "x " &amp; 'SAÍDA DE VENDAS'!$G$6:$G$500, MATCH(B1344, 'SAÍDA DE VENDAS'!$B$6:$B$500, 0)+4), ""), "")&amp; IF(COUNTIF('SAÍDA DE VENDAS'!$B$6:$B$500, B1344)&gt;5, " + " &amp; IFERROR(INDEX('SAÍDA DE VENDAS'!$H$6:$H$500 &amp; "x " &amp; 'SAÍDA DE VENDAS'!$G$6:$G$500, MATCH(B1344, 'SAÍDA DE VENDAS'!$B$6:$B$500, 0)+5), ""), ""))</f>
        <v/>
      </c>
      <c r="G1344" s="28">
        <f>IFERROR(VLOOKUP(B1344,'SAÍDA DE VENDAS'!$B$6:$P$500,10,FALSE),"")</f>
        <v>0</v>
      </c>
      <c r="H1344" s="28" t="str">
        <f>IF(OR(ISBLANK(B1344),B1344=""), "", IF(B1344=B1343, (VALUE(LEFT(H1343,FIND("/",H1343)-1))+1)&amp;"/"&amp;RIGHT(H1343,LEN(H1343)-FIND("/",H1343)), "1/"&amp;IFERROR(VLOOKUP(B1344,'SAÍDA DE VENDAS'!$B$6:$P$500,13,FALSE),"1")))</f>
        <v/>
      </c>
      <c r="I1344" s="69" t="str">
        <f t="shared" si="40"/>
        <v/>
      </c>
      <c r="J1344" s="33" t="str">
        <f>IFERROR(VLOOKUP(B1344,'SAÍDA DE VENDAS'!$B$6:$P$500,15,FALSE),"")</f>
        <v/>
      </c>
      <c r="K1344" s="28" t="str">
        <f t="shared" ca="1" si="41"/>
        <v/>
      </c>
      <c r="L1344" s="28"/>
      <c r="M1344" s="28"/>
    </row>
    <row r="1345" spans="2:13" ht="15" customHeight="1" x14ac:dyDescent="0.3">
      <c r="B1345" s="34" t="str">
        <f>IF(B1344="","", IF(VALUE(LEFT(H1344,FIND("/",H1344)-1)) &lt; VALUE(RIGHT(H1344,LEN(H1344)-FIND("/",H1344))), B1344, IFERROR(INDEX('SAÍDA DE VENDAS'!$B$6:$B$500, MATCH(B1344,'SAÍDA DE VENDAS'!$B$6:$B$500,0)+COUNTIF('SAÍDA DE VENDAS'!$B$6:$B$500, B1344)),"")))</f>
        <v/>
      </c>
      <c r="C1345" s="35">
        <f>IFERROR(VLOOKUP(B1345,'SAÍDA DE VENDAS'!$B$6:$P$500,3,FALSE),"")</f>
        <v>0</v>
      </c>
      <c r="D1345" s="34">
        <f>IFERROR(VLOOKUP(B1345,'SAÍDA DE VENDAS'!$B$6:$P$500,4,FALSE),"")</f>
        <v>0</v>
      </c>
      <c r="E1345" s="34" t="str">
        <f>IFERROR(VLOOKUP(B1345,'SAÍDA DE VENDAS'!$B$6:$P$500,5,FALSE),"")</f>
        <v/>
      </c>
      <c r="F1345" s="34" t="str">
        <f>IF(OR(ISBLANK(B1345),B1345=""), "", IFERROR(INDEX('SAÍDA DE VENDAS'!$H$6:$H$500 &amp; "x " &amp; 'SAÍDA DE VENDAS'!$G$6:$G$500, MATCH(B1345, 'SAÍDA DE VENDAS'!$B$6:$B$500, 0)), "")&amp; IF(COUNTIF('SAÍDA DE VENDAS'!$B$6:$B$500, B1345)&gt;1, " + " &amp; IFERROR(INDEX('SAÍDA DE VENDAS'!$H$6:$H$500 &amp; "x " &amp; 'SAÍDA DE VENDAS'!$G$6:$G$500, MATCH(B1345, 'SAÍDA DE VENDAS'!$B$6:$B$500, 0)+1), ""), "")&amp; IF(COUNTIF('SAÍDA DE VENDAS'!$B$6:$B$500, B1345)&gt;2, " + " &amp; IFERROR(INDEX('SAÍDA DE VENDAS'!$H$6:$H$500 &amp; "x " &amp; 'SAÍDA DE VENDAS'!$G$6:$G$500, MATCH(B1345, 'SAÍDA DE VENDAS'!$B$6:$B$500, 0)+2), ""), "")&amp; IF(COUNTIF('SAÍDA DE VENDAS'!$B$6:$B$500, B1345)&gt;3, " + " &amp; IFERROR(INDEX('SAÍDA DE VENDAS'!$H$6:$H$500 &amp; "x " &amp; 'SAÍDA DE VENDAS'!$G$6:$G$500, MATCH(B1345, 'SAÍDA DE VENDAS'!$B$6:$B$500, 0)+3), ""), "")&amp; IF(COUNTIF('SAÍDA DE VENDAS'!$B$6:$B$500, B1345)&gt;4, " + " &amp; IFERROR(INDEX('SAÍDA DE VENDAS'!$H$6:$H$500 &amp; "x " &amp; 'SAÍDA DE VENDAS'!$G$6:$G$500, MATCH(B1345, 'SAÍDA DE VENDAS'!$B$6:$B$500, 0)+4), ""), "")&amp; IF(COUNTIF('SAÍDA DE VENDAS'!$B$6:$B$500, B1345)&gt;5, " + " &amp; IFERROR(INDEX('SAÍDA DE VENDAS'!$H$6:$H$500 &amp; "x " &amp; 'SAÍDA DE VENDAS'!$G$6:$G$500, MATCH(B1345, 'SAÍDA DE VENDAS'!$B$6:$B$500, 0)+5), ""), ""))</f>
        <v/>
      </c>
      <c r="G1345" s="34">
        <f>IFERROR(VLOOKUP(B1345,'SAÍDA DE VENDAS'!$B$6:$P$500,10,FALSE),"")</f>
        <v>0</v>
      </c>
      <c r="H1345" s="34" t="str">
        <f>IF(OR(ISBLANK(B1345),B1345=""), "", IF(B1345=B1344, (VALUE(LEFT(H1344,FIND("/",H1344)-1))+1)&amp;"/"&amp;RIGHT(H1344,LEN(H1344)-FIND("/",H1344)), "1/"&amp;IFERROR(VLOOKUP(B1345,'SAÍDA DE VENDAS'!$B$6:$P$500,13,FALSE),"1")))</f>
        <v/>
      </c>
      <c r="I1345" s="35" t="str">
        <f t="shared" si="40"/>
        <v/>
      </c>
      <c r="J1345" s="39" t="str">
        <f>IFERROR(VLOOKUP(B1345,'SAÍDA DE VENDAS'!$B$6:$P$500,15,FALSE),"")</f>
        <v/>
      </c>
      <c r="K1345" s="34" t="str">
        <f t="shared" ca="1" si="41"/>
        <v/>
      </c>
      <c r="L1345" s="34"/>
      <c r="M1345" s="34"/>
    </row>
    <row r="1346" spans="2:13" ht="15" customHeight="1" x14ac:dyDescent="0.3">
      <c r="B1346" s="28" t="str">
        <f>IF(B1345="","", IF(VALUE(LEFT(H1345,FIND("/",H1345)-1)) &lt; VALUE(RIGHT(H1345,LEN(H1345)-FIND("/",H1345))), B1345, IFERROR(INDEX('SAÍDA DE VENDAS'!$B$6:$B$500, MATCH(B1345,'SAÍDA DE VENDAS'!$B$6:$B$500,0)+COUNTIF('SAÍDA DE VENDAS'!$B$6:$B$500, B1345)),"")))</f>
        <v/>
      </c>
      <c r="C1346" s="29">
        <f>IFERROR(VLOOKUP(B1346,'SAÍDA DE VENDAS'!$B$6:$P$500,3,FALSE),"")</f>
        <v>0</v>
      </c>
      <c r="D1346" s="28">
        <f>IFERROR(VLOOKUP(B1346,'SAÍDA DE VENDAS'!$B$6:$P$500,4,FALSE),"")</f>
        <v>0</v>
      </c>
      <c r="E1346" s="28" t="str">
        <f>IFERROR(VLOOKUP(B1346,'SAÍDA DE VENDAS'!$B$6:$P$500,5,FALSE),"")</f>
        <v/>
      </c>
      <c r="F1346" s="28" t="str">
        <f>IF(OR(ISBLANK(B1346),B1346=""), "", IFERROR(INDEX('SAÍDA DE VENDAS'!$H$6:$H$500 &amp; "x " &amp; 'SAÍDA DE VENDAS'!$G$6:$G$500, MATCH(B1346, 'SAÍDA DE VENDAS'!$B$6:$B$500, 0)), "")&amp; IF(COUNTIF('SAÍDA DE VENDAS'!$B$6:$B$500, B1346)&gt;1, " + " &amp; IFERROR(INDEX('SAÍDA DE VENDAS'!$H$6:$H$500 &amp; "x " &amp; 'SAÍDA DE VENDAS'!$G$6:$G$500, MATCH(B1346, 'SAÍDA DE VENDAS'!$B$6:$B$500, 0)+1), ""), "")&amp; IF(COUNTIF('SAÍDA DE VENDAS'!$B$6:$B$500, B1346)&gt;2, " + " &amp; IFERROR(INDEX('SAÍDA DE VENDAS'!$H$6:$H$500 &amp; "x " &amp; 'SAÍDA DE VENDAS'!$G$6:$G$500, MATCH(B1346, 'SAÍDA DE VENDAS'!$B$6:$B$500, 0)+2), ""), "")&amp; IF(COUNTIF('SAÍDA DE VENDAS'!$B$6:$B$500, B1346)&gt;3, " + " &amp; IFERROR(INDEX('SAÍDA DE VENDAS'!$H$6:$H$500 &amp; "x " &amp; 'SAÍDA DE VENDAS'!$G$6:$G$500, MATCH(B1346, 'SAÍDA DE VENDAS'!$B$6:$B$500, 0)+3), ""), "")&amp; IF(COUNTIF('SAÍDA DE VENDAS'!$B$6:$B$500, B1346)&gt;4, " + " &amp; IFERROR(INDEX('SAÍDA DE VENDAS'!$H$6:$H$500 &amp; "x " &amp; 'SAÍDA DE VENDAS'!$G$6:$G$500, MATCH(B1346, 'SAÍDA DE VENDAS'!$B$6:$B$500, 0)+4), ""), "")&amp; IF(COUNTIF('SAÍDA DE VENDAS'!$B$6:$B$500, B1346)&gt;5, " + " &amp; IFERROR(INDEX('SAÍDA DE VENDAS'!$H$6:$H$500 &amp; "x " &amp; 'SAÍDA DE VENDAS'!$G$6:$G$500, MATCH(B1346, 'SAÍDA DE VENDAS'!$B$6:$B$500, 0)+5), ""), ""))</f>
        <v/>
      </c>
      <c r="G1346" s="28">
        <f>IFERROR(VLOOKUP(B1346,'SAÍDA DE VENDAS'!$B$6:$P$500,10,FALSE),"")</f>
        <v>0</v>
      </c>
      <c r="H1346" s="28" t="str">
        <f>IF(OR(ISBLANK(B1346),B1346=""), "", IF(B1346=B1345, (VALUE(LEFT(H1345,FIND("/",H1345)-1))+1)&amp;"/"&amp;RIGHT(H1345,LEN(H1345)-FIND("/",H1345)), "1/"&amp;IFERROR(VLOOKUP(B1346,'SAÍDA DE VENDAS'!$B$6:$P$500,13,FALSE),"1")))</f>
        <v/>
      </c>
      <c r="I1346" s="69" t="str">
        <f t="shared" si="40"/>
        <v/>
      </c>
      <c r="J1346" s="33" t="str">
        <f>IFERROR(VLOOKUP(B1346,'SAÍDA DE VENDAS'!$B$6:$P$500,15,FALSE),"")</f>
        <v/>
      </c>
      <c r="K1346" s="28" t="str">
        <f t="shared" ca="1" si="41"/>
        <v/>
      </c>
      <c r="L1346" s="28"/>
      <c r="M1346" s="28"/>
    </row>
    <row r="1347" spans="2:13" ht="15" customHeight="1" x14ac:dyDescent="0.3">
      <c r="B1347" s="34" t="str">
        <f>IF(B1346="","", IF(VALUE(LEFT(H1346,FIND("/",H1346)-1)) &lt; VALUE(RIGHT(H1346,LEN(H1346)-FIND("/",H1346))), B1346, IFERROR(INDEX('SAÍDA DE VENDAS'!$B$6:$B$500, MATCH(B1346,'SAÍDA DE VENDAS'!$B$6:$B$500,0)+COUNTIF('SAÍDA DE VENDAS'!$B$6:$B$500, B1346)),"")))</f>
        <v/>
      </c>
      <c r="C1347" s="35">
        <f>IFERROR(VLOOKUP(B1347,'SAÍDA DE VENDAS'!$B$6:$P$500,3,FALSE),"")</f>
        <v>0</v>
      </c>
      <c r="D1347" s="34">
        <f>IFERROR(VLOOKUP(B1347,'SAÍDA DE VENDAS'!$B$6:$P$500,4,FALSE),"")</f>
        <v>0</v>
      </c>
      <c r="E1347" s="34" t="str">
        <f>IFERROR(VLOOKUP(B1347,'SAÍDA DE VENDAS'!$B$6:$P$500,5,FALSE),"")</f>
        <v/>
      </c>
      <c r="F1347" s="34" t="str">
        <f>IF(OR(ISBLANK(B1347),B1347=""), "", IFERROR(INDEX('SAÍDA DE VENDAS'!$H$6:$H$500 &amp; "x " &amp; 'SAÍDA DE VENDAS'!$G$6:$G$500, MATCH(B1347, 'SAÍDA DE VENDAS'!$B$6:$B$500, 0)), "")&amp; IF(COUNTIF('SAÍDA DE VENDAS'!$B$6:$B$500, B1347)&gt;1, " + " &amp; IFERROR(INDEX('SAÍDA DE VENDAS'!$H$6:$H$500 &amp; "x " &amp; 'SAÍDA DE VENDAS'!$G$6:$G$500, MATCH(B1347, 'SAÍDA DE VENDAS'!$B$6:$B$500, 0)+1), ""), "")&amp; IF(COUNTIF('SAÍDA DE VENDAS'!$B$6:$B$500, B1347)&gt;2, " + " &amp; IFERROR(INDEX('SAÍDA DE VENDAS'!$H$6:$H$500 &amp; "x " &amp; 'SAÍDA DE VENDAS'!$G$6:$G$500, MATCH(B1347, 'SAÍDA DE VENDAS'!$B$6:$B$500, 0)+2), ""), "")&amp; IF(COUNTIF('SAÍDA DE VENDAS'!$B$6:$B$500, B1347)&gt;3, " + " &amp; IFERROR(INDEX('SAÍDA DE VENDAS'!$H$6:$H$500 &amp; "x " &amp; 'SAÍDA DE VENDAS'!$G$6:$G$500, MATCH(B1347, 'SAÍDA DE VENDAS'!$B$6:$B$500, 0)+3), ""), "")&amp; IF(COUNTIF('SAÍDA DE VENDAS'!$B$6:$B$500, B1347)&gt;4, " + " &amp; IFERROR(INDEX('SAÍDA DE VENDAS'!$H$6:$H$500 &amp; "x " &amp; 'SAÍDA DE VENDAS'!$G$6:$G$500, MATCH(B1347, 'SAÍDA DE VENDAS'!$B$6:$B$500, 0)+4), ""), "")&amp; IF(COUNTIF('SAÍDA DE VENDAS'!$B$6:$B$500, B1347)&gt;5, " + " &amp; IFERROR(INDEX('SAÍDA DE VENDAS'!$H$6:$H$500 &amp; "x " &amp; 'SAÍDA DE VENDAS'!$G$6:$G$500, MATCH(B1347, 'SAÍDA DE VENDAS'!$B$6:$B$500, 0)+5), ""), ""))</f>
        <v/>
      </c>
      <c r="G1347" s="34">
        <f>IFERROR(VLOOKUP(B1347,'SAÍDA DE VENDAS'!$B$6:$P$500,10,FALSE),"")</f>
        <v>0</v>
      </c>
      <c r="H1347" s="34" t="str">
        <f>IF(OR(ISBLANK(B1347),B1347=""), "", IF(B1347=B1346, (VALUE(LEFT(H1346,FIND("/",H1346)-1))+1)&amp;"/"&amp;RIGHT(H1346,LEN(H1346)-FIND("/",H1346)), "1/"&amp;IFERROR(VLOOKUP(B1347,'SAÍDA DE VENDAS'!$B$6:$P$500,13,FALSE),"1")))</f>
        <v/>
      </c>
      <c r="I1347" s="35" t="str">
        <f t="shared" si="40"/>
        <v/>
      </c>
      <c r="J1347" s="39" t="str">
        <f>IFERROR(VLOOKUP(B1347,'SAÍDA DE VENDAS'!$B$6:$P$500,15,FALSE),"")</f>
        <v/>
      </c>
      <c r="K1347" s="34" t="str">
        <f t="shared" ca="1" si="41"/>
        <v/>
      </c>
      <c r="L1347" s="34"/>
      <c r="M1347" s="34"/>
    </row>
    <row r="1348" spans="2:13" ht="15" customHeight="1" x14ac:dyDescent="0.3">
      <c r="B1348" s="28" t="str">
        <f>IF(B1347="","", IF(VALUE(LEFT(H1347,FIND("/",H1347)-1)) &lt; VALUE(RIGHT(H1347,LEN(H1347)-FIND("/",H1347))), B1347, IFERROR(INDEX('SAÍDA DE VENDAS'!$B$6:$B$500, MATCH(B1347,'SAÍDA DE VENDAS'!$B$6:$B$500,0)+COUNTIF('SAÍDA DE VENDAS'!$B$6:$B$500, B1347)),"")))</f>
        <v/>
      </c>
      <c r="C1348" s="29">
        <f>IFERROR(VLOOKUP(B1348,'SAÍDA DE VENDAS'!$B$6:$P$500,3,FALSE),"")</f>
        <v>0</v>
      </c>
      <c r="D1348" s="28">
        <f>IFERROR(VLOOKUP(B1348,'SAÍDA DE VENDAS'!$B$6:$P$500,4,FALSE),"")</f>
        <v>0</v>
      </c>
      <c r="E1348" s="28" t="str">
        <f>IFERROR(VLOOKUP(B1348,'SAÍDA DE VENDAS'!$B$6:$P$500,5,FALSE),"")</f>
        <v/>
      </c>
      <c r="F1348" s="28" t="str">
        <f>IF(OR(ISBLANK(B1348),B1348=""), "", IFERROR(INDEX('SAÍDA DE VENDAS'!$H$6:$H$500 &amp; "x " &amp; 'SAÍDA DE VENDAS'!$G$6:$G$500, MATCH(B1348, 'SAÍDA DE VENDAS'!$B$6:$B$500, 0)), "")&amp; IF(COUNTIF('SAÍDA DE VENDAS'!$B$6:$B$500, B1348)&gt;1, " + " &amp; IFERROR(INDEX('SAÍDA DE VENDAS'!$H$6:$H$500 &amp; "x " &amp; 'SAÍDA DE VENDAS'!$G$6:$G$500, MATCH(B1348, 'SAÍDA DE VENDAS'!$B$6:$B$500, 0)+1), ""), "")&amp; IF(COUNTIF('SAÍDA DE VENDAS'!$B$6:$B$500, B1348)&gt;2, " + " &amp; IFERROR(INDEX('SAÍDA DE VENDAS'!$H$6:$H$500 &amp; "x " &amp; 'SAÍDA DE VENDAS'!$G$6:$G$500, MATCH(B1348, 'SAÍDA DE VENDAS'!$B$6:$B$500, 0)+2), ""), "")&amp; IF(COUNTIF('SAÍDA DE VENDAS'!$B$6:$B$500, B1348)&gt;3, " + " &amp; IFERROR(INDEX('SAÍDA DE VENDAS'!$H$6:$H$500 &amp; "x " &amp; 'SAÍDA DE VENDAS'!$G$6:$G$500, MATCH(B1348, 'SAÍDA DE VENDAS'!$B$6:$B$500, 0)+3), ""), "")&amp; IF(COUNTIF('SAÍDA DE VENDAS'!$B$6:$B$500, B1348)&gt;4, " + " &amp; IFERROR(INDEX('SAÍDA DE VENDAS'!$H$6:$H$500 &amp; "x " &amp; 'SAÍDA DE VENDAS'!$G$6:$G$500, MATCH(B1348, 'SAÍDA DE VENDAS'!$B$6:$B$500, 0)+4), ""), "")&amp; IF(COUNTIF('SAÍDA DE VENDAS'!$B$6:$B$500, B1348)&gt;5, " + " &amp; IFERROR(INDEX('SAÍDA DE VENDAS'!$H$6:$H$500 &amp; "x " &amp; 'SAÍDA DE VENDAS'!$G$6:$G$500, MATCH(B1348, 'SAÍDA DE VENDAS'!$B$6:$B$500, 0)+5), ""), ""))</f>
        <v/>
      </c>
      <c r="G1348" s="28">
        <f>IFERROR(VLOOKUP(B1348,'SAÍDA DE VENDAS'!$B$6:$P$500,10,FALSE),"")</f>
        <v>0</v>
      </c>
      <c r="H1348" s="28" t="str">
        <f>IF(OR(ISBLANK(B1348),B1348=""), "", IF(B1348=B1347, (VALUE(LEFT(H1347,FIND("/",H1347)-1))+1)&amp;"/"&amp;RIGHT(H1347,LEN(H1347)-FIND("/",H1347)), "1/"&amp;IFERROR(VLOOKUP(B1348,'SAÍDA DE VENDAS'!$B$6:$P$500,13,FALSE),"1")))</f>
        <v/>
      </c>
      <c r="I1348" s="69" t="str">
        <f t="shared" si="40"/>
        <v/>
      </c>
      <c r="J1348" s="33" t="str">
        <f>IFERROR(VLOOKUP(B1348,'SAÍDA DE VENDAS'!$B$6:$P$500,15,FALSE),"")</f>
        <v/>
      </c>
      <c r="K1348" s="28" t="str">
        <f t="shared" ca="1" si="41"/>
        <v/>
      </c>
      <c r="L1348" s="28"/>
      <c r="M1348" s="28"/>
    </row>
    <row r="1349" spans="2:13" ht="15" customHeight="1" x14ac:dyDescent="0.3">
      <c r="B1349" s="34" t="str">
        <f>IF(B1348="","", IF(VALUE(LEFT(H1348,FIND("/",H1348)-1)) &lt; VALUE(RIGHT(H1348,LEN(H1348)-FIND("/",H1348))), B1348, IFERROR(INDEX('SAÍDA DE VENDAS'!$B$6:$B$500, MATCH(B1348,'SAÍDA DE VENDAS'!$B$6:$B$500,0)+COUNTIF('SAÍDA DE VENDAS'!$B$6:$B$500, B1348)),"")))</f>
        <v/>
      </c>
      <c r="C1349" s="35">
        <f>IFERROR(VLOOKUP(B1349,'SAÍDA DE VENDAS'!$B$6:$P$500,3,FALSE),"")</f>
        <v>0</v>
      </c>
      <c r="D1349" s="34">
        <f>IFERROR(VLOOKUP(B1349,'SAÍDA DE VENDAS'!$B$6:$P$500,4,FALSE),"")</f>
        <v>0</v>
      </c>
      <c r="E1349" s="34" t="str">
        <f>IFERROR(VLOOKUP(B1349,'SAÍDA DE VENDAS'!$B$6:$P$500,5,FALSE),"")</f>
        <v/>
      </c>
      <c r="F1349" s="34" t="str">
        <f>IF(OR(ISBLANK(B1349),B1349=""), "", IFERROR(INDEX('SAÍDA DE VENDAS'!$H$6:$H$500 &amp; "x " &amp; 'SAÍDA DE VENDAS'!$G$6:$G$500, MATCH(B1349, 'SAÍDA DE VENDAS'!$B$6:$B$500, 0)), "")&amp; IF(COUNTIF('SAÍDA DE VENDAS'!$B$6:$B$500, B1349)&gt;1, " + " &amp; IFERROR(INDEX('SAÍDA DE VENDAS'!$H$6:$H$500 &amp; "x " &amp; 'SAÍDA DE VENDAS'!$G$6:$G$500, MATCH(B1349, 'SAÍDA DE VENDAS'!$B$6:$B$500, 0)+1), ""), "")&amp; IF(COUNTIF('SAÍDA DE VENDAS'!$B$6:$B$500, B1349)&gt;2, " + " &amp; IFERROR(INDEX('SAÍDA DE VENDAS'!$H$6:$H$500 &amp; "x " &amp; 'SAÍDA DE VENDAS'!$G$6:$G$500, MATCH(B1349, 'SAÍDA DE VENDAS'!$B$6:$B$500, 0)+2), ""), "")&amp; IF(COUNTIF('SAÍDA DE VENDAS'!$B$6:$B$500, B1349)&gt;3, " + " &amp; IFERROR(INDEX('SAÍDA DE VENDAS'!$H$6:$H$500 &amp; "x " &amp; 'SAÍDA DE VENDAS'!$G$6:$G$500, MATCH(B1349, 'SAÍDA DE VENDAS'!$B$6:$B$500, 0)+3), ""), "")&amp; IF(COUNTIF('SAÍDA DE VENDAS'!$B$6:$B$500, B1349)&gt;4, " + " &amp; IFERROR(INDEX('SAÍDA DE VENDAS'!$H$6:$H$500 &amp; "x " &amp; 'SAÍDA DE VENDAS'!$G$6:$G$500, MATCH(B1349, 'SAÍDA DE VENDAS'!$B$6:$B$500, 0)+4), ""), "")&amp; IF(COUNTIF('SAÍDA DE VENDAS'!$B$6:$B$500, B1349)&gt;5, " + " &amp; IFERROR(INDEX('SAÍDA DE VENDAS'!$H$6:$H$500 &amp; "x " &amp; 'SAÍDA DE VENDAS'!$G$6:$G$500, MATCH(B1349, 'SAÍDA DE VENDAS'!$B$6:$B$500, 0)+5), ""), ""))</f>
        <v/>
      </c>
      <c r="G1349" s="34">
        <f>IFERROR(VLOOKUP(B1349,'SAÍDA DE VENDAS'!$B$6:$P$500,10,FALSE),"")</f>
        <v>0</v>
      </c>
      <c r="H1349" s="34" t="str">
        <f>IF(OR(ISBLANK(B1349),B1349=""), "", IF(B1349=B1348, (VALUE(LEFT(H1348,FIND("/",H1348)-1))+1)&amp;"/"&amp;RIGHT(H1348,LEN(H1348)-FIND("/",H1348)), "1/"&amp;IFERROR(VLOOKUP(B1349,'SAÍDA DE VENDAS'!$B$6:$P$500,13,FALSE),"1")))</f>
        <v/>
      </c>
      <c r="I1349" s="35" t="str">
        <f t="shared" si="40"/>
        <v/>
      </c>
      <c r="J1349" s="39" t="str">
        <f>IFERROR(VLOOKUP(B1349,'SAÍDA DE VENDAS'!$B$6:$P$500,15,FALSE),"")</f>
        <v/>
      </c>
      <c r="K1349" s="34" t="str">
        <f t="shared" ca="1" si="41"/>
        <v/>
      </c>
      <c r="L1349" s="34"/>
      <c r="M1349" s="34"/>
    </row>
    <row r="1350" spans="2:13" ht="15" customHeight="1" x14ac:dyDescent="0.3">
      <c r="B1350" s="28" t="str">
        <f>IF(B1349="","", IF(VALUE(LEFT(H1349,FIND("/",H1349)-1)) &lt; VALUE(RIGHT(H1349,LEN(H1349)-FIND("/",H1349))), B1349, IFERROR(INDEX('SAÍDA DE VENDAS'!$B$6:$B$500, MATCH(B1349,'SAÍDA DE VENDAS'!$B$6:$B$500,0)+COUNTIF('SAÍDA DE VENDAS'!$B$6:$B$500, B1349)),"")))</f>
        <v/>
      </c>
      <c r="C1350" s="29">
        <f>IFERROR(VLOOKUP(B1350,'SAÍDA DE VENDAS'!$B$6:$P$500,3,FALSE),"")</f>
        <v>0</v>
      </c>
      <c r="D1350" s="28">
        <f>IFERROR(VLOOKUP(B1350,'SAÍDA DE VENDAS'!$B$6:$P$500,4,FALSE),"")</f>
        <v>0</v>
      </c>
      <c r="E1350" s="28" t="str">
        <f>IFERROR(VLOOKUP(B1350,'SAÍDA DE VENDAS'!$B$6:$P$500,5,FALSE),"")</f>
        <v/>
      </c>
      <c r="F1350" s="28" t="str">
        <f>IF(OR(ISBLANK(B1350),B1350=""), "", IFERROR(INDEX('SAÍDA DE VENDAS'!$H$6:$H$500 &amp; "x " &amp; 'SAÍDA DE VENDAS'!$G$6:$G$500, MATCH(B1350, 'SAÍDA DE VENDAS'!$B$6:$B$500, 0)), "")&amp; IF(COUNTIF('SAÍDA DE VENDAS'!$B$6:$B$500, B1350)&gt;1, " + " &amp; IFERROR(INDEX('SAÍDA DE VENDAS'!$H$6:$H$500 &amp; "x " &amp; 'SAÍDA DE VENDAS'!$G$6:$G$500, MATCH(B1350, 'SAÍDA DE VENDAS'!$B$6:$B$500, 0)+1), ""), "")&amp; IF(COUNTIF('SAÍDA DE VENDAS'!$B$6:$B$500, B1350)&gt;2, " + " &amp; IFERROR(INDEX('SAÍDA DE VENDAS'!$H$6:$H$500 &amp; "x " &amp; 'SAÍDA DE VENDAS'!$G$6:$G$500, MATCH(B1350, 'SAÍDA DE VENDAS'!$B$6:$B$500, 0)+2), ""), "")&amp; IF(COUNTIF('SAÍDA DE VENDAS'!$B$6:$B$500, B1350)&gt;3, " + " &amp; IFERROR(INDEX('SAÍDA DE VENDAS'!$H$6:$H$500 &amp; "x " &amp; 'SAÍDA DE VENDAS'!$G$6:$G$500, MATCH(B1350, 'SAÍDA DE VENDAS'!$B$6:$B$500, 0)+3), ""), "")&amp; IF(COUNTIF('SAÍDA DE VENDAS'!$B$6:$B$500, B1350)&gt;4, " + " &amp; IFERROR(INDEX('SAÍDA DE VENDAS'!$H$6:$H$500 &amp; "x " &amp; 'SAÍDA DE VENDAS'!$G$6:$G$500, MATCH(B1350, 'SAÍDA DE VENDAS'!$B$6:$B$500, 0)+4), ""), "")&amp; IF(COUNTIF('SAÍDA DE VENDAS'!$B$6:$B$500, B1350)&gt;5, " + " &amp; IFERROR(INDEX('SAÍDA DE VENDAS'!$H$6:$H$500 &amp; "x " &amp; 'SAÍDA DE VENDAS'!$G$6:$G$500, MATCH(B1350, 'SAÍDA DE VENDAS'!$B$6:$B$500, 0)+5), ""), ""))</f>
        <v/>
      </c>
      <c r="G1350" s="28">
        <f>IFERROR(VLOOKUP(B1350,'SAÍDA DE VENDAS'!$B$6:$P$500,10,FALSE),"")</f>
        <v>0</v>
      </c>
      <c r="H1350" s="28" t="str">
        <f>IF(OR(ISBLANK(B1350),B1350=""), "", IF(B1350=B1349, (VALUE(LEFT(H1349,FIND("/",H1349)-1))+1)&amp;"/"&amp;RIGHT(H1349,LEN(H1349)-FIND("/",H1349)), "1/"&amp;IFERROR(VLOOKUP(B1350,'SAÍDA DE VENDAS'!$B$6:$P$500,13,FALSE),"1")))</f>
        <v/>
      </c>
      <c r="I1350" s="69" t="str">
        <f t="shared" ref="I1350:I1413" si="42">IF(OR(ISBLANK(B1350), B1350="", C1350=""), "", C1350 + (IFERROR(VALUE(LEFT(H1350, FIND("/", H1350)-1)), 1) * 30))</f>
        <v/>
      </c>
      <c r="J1350" s="33" t="str">
        <f>IFERROR(VLOOKUP(B1350,'SAÍDA DE VENDAS'!$B$6:$P$500,15,FALSE),"")</f>
        <v/>
      </c>
      <c r="K1350" s="28" t="str">
        <f t="shared" ref="K1350:K1413" ca="1" si="43">IF(B1350="","", IF(OR(G1350="À Vista", L1350&lt;&gt;""), "Pago", IF(AND(I1350&lt;&gt;"", I1350&lt;TODAY()), "Atrasado", "Pendente")))</f>
        <v/>
      </c>
      <c r="L1350" s="28"/>
      <c r="M1350" s="28"/>
    </row>
    <row r="1351" spans="2:13" ht="15" customHeight="1" x14ac:dyDescent="0.3">
      <c r="B1351" s="34" t="str">
        <f>IF(B1350="","", IF(VALUE(LEFT(H1350,FIND("/",H1350)-1)) &lt; VALUE(RIGHT(H1350,LEN(H1350)-FIND("/",H1350))), B1350, IFERROR(INDEX('SAÍDA DE VENDAS'!$B$6:$B$500, MATCH(B1350,'SAÍDA DE VENDAS'!$B$6:$B$500,0)+COUNTIF('SAÍDA DE VENDAS'!$B$6:$B$500, B1350)),"")))</f>
        <v/>
      </c>
      <c r="C1351" s="35">
        <f>IFERROR(VLOOKUP(B1351,'SAÍDA DE VENDAS'!$B$6:$P$500,3,FALSE),"")</f>
        <v>0</v>
      </c>
      <c r="D1351" s="34">
        <f>IFERROR(VLOOKUP(B1351,'SAÍDA DE VENDAS'!$B$6:$P$500,4,FALSE),"")</f>
        <v>0</v>
      </c>
      <c r="E1351" s="34" t="str">
        <f>IFERROR(VLOOKUP(B1351,'SAÍDA DE VENDAS'!$B$6:$P$500,5,FALSE),"")</f>
        <v/>
      </c>
      <c r="F1351" s="34" t="str">
        <f>IF(OR(ISBLANK(B1351),B1351=""), "", IFERROR(INDEX('SAÍDA DE VENDAS'!$H$6:$H$500 &amp; "x " &amp; 'SAÍDA DE VENDAS'!$G$6:$G$500, MATCH(B1351, 'SAÍDA DE VENDAS'!$B$6:$B$500, 0)), "")&amp; IF(COUNTIF('SAÍDA DE VENDAS'!$B$6:$B$500, B1351)&gt;1, " + " &amp; IFERROR(INDEX('SAÍDA DE VENDAS'!$H$6:$H$500 &amp; "x " &amp; 'SAÍDA DE VENDAS'!$G$6:$G$500, MATCH(B1351, 'SAÍDA DE VENDAS'!$B$6:$B$500, 0)+1), ""), "")&amp; IF(COUNTIF('SAÍDA DE VENDAS'!$B$6:$B$500, B1351)&gt;2, " + " &amp; IFERROR(INDEX('SAÍDA DE VENDAS'!$H$6:$H$500 &amp; "x " &amp; 'SAÍDA DE VENDAS'!$G$6:$G$500, MATCH(B1351, 'SAÍDA DE VENDAS'!$B$6:$B$500, 0)+2), ""), "")&amp; IF(COUNTIF('SAÍDA DE VENDAS'!$B$6:$B$500, B1351)&gt;3, " + " &amp; IFERROR(INDEX('SAÍDA DE VENDAS'!$H$6:$H$500 &amp; "x " &amp; 'SAÍDA DE VENDAS'!$G$6:$G$500, MATCH(B1351, 'SAÍDA DE VENDAS'!$B$6:$B$500, 0)+3), ""), "")&amp; IF(COUNTIF('SAÍDA DE VENDAS'!$B$6:$B$500, B1351)&gt;4, " + " &amp; IFERROR(INDEX('SAÍDA DE VENDAS'!$H$6:$H$500 &amp; "x " &amp; 'SAÍDA DE VENDAS'!$G$6:$G$500, MATCH(B1351, 'SAÍDA DE VENDAS'!$B$6:$B$500, 0)+4), ""), "")&amp; IF(COUNTIF('SAÍDA DE VENDAS'!$B$6:$B$500, B1351)&gt;5, " + " &amp; IFERROR(INDEX('SAÍDA DE VENDAS'!$H$6:$H$500 &amp; "x " &amp; 'SAÍDA DE VENDAS'!$G$6:$G$500, MATCH(B1351, 'SAÍDA DE VENDAS'!$B$6:$B$500, 0)+5), ""), ""))</f>
        <v/>
      </c>
      <c r="G1351" s="34">
        <f>IFERROR(VLOOKUP(B1351,'SAÍDA DE VENDAS'!$B$6:$P$500,10,FALSE),"")</f>
        <v>0</v>
      </c>
      <c r="H1351" s="34" t="str">
        <f>IF(OR(ISBLANK(B1351),B1351=""), "", IF(B1351=B1350, (VALUE(LEFT(H1350,FIND("/",H1350)-1))+1)&amp;"/"&amp;RIGHT(H1350,LEN(H1350)-FIND("/",H1350)), "1/"&amp;IFERROR(VLOOKUP(B1351,'SAÍDA DE VENDAS'!$B$6:$P$500,13,FALSE),"1")))</f>
        <v/>
      </c>
      <c r="I1351" s="35" t="str">
        <f t="shared" si="42"/>
        <v/>
      </c>
      <c r="J1351" s="39" t="str">
        <f>IFERROR(VLOOKUP(B1351,'SAÍDA DE VENDAS'!$B$6:$P$500,15,FALSE),"")</f>
        <v/>
      </c>
      <c r="K1351" s="34" t="str">
        <f t="shared" ca="1" si="43"/>
        <v/>
      </c>
      <c r="L1351" s="34"/>
      <c r="M1351" s="34"/>
    </row>
    <row r="1352" spans="2:13" ht="15" customHeight="1" x14ac:dyDescent="0.3">
      <c r="B1352" s="28" t="str">
        <f>IF(B1351="","", IF(VALUE(LEFT(H1351,FIND("/",H1351)-1)) &lt; VALUE(RIGHT(H1351,LEN(H1351)-FIND("/",H1351))), B1351, IFERROR(INDEX('SAÍDA DE VENDAS'!$B$6:$B$500, MATCH(B1351,'SAÍDA DE VENDAS'!$B$6:$B$500,0)+COUNTIF('SAÍDA DE VENDAS'!$B$6:$B$500, B1351)),"")))</f>
        <v/>
      </c>
      <c r="C1352" s="29">
        <f>IFERROR(VLOOKUP(B1352,'SAÍDA DE VENDAS'!$B$6:$P$500,3,FALSE),"")</f>
        <v>0</v>
      </c>
      <c r="D1352" s="28">
        <f>IFERROR(VLOOKUP(B1352,'SAÍDA DE VENDAS'!$B$6:$P$500,4,FALSE),"")</f>
        <v>0</v>
      </c>
      <c r="E1352" s="28" t="str">
        <f>IFERROR(VLOOKUP(B1352,'SAÍDA DE VENDAS'!$B$6:$P$500,5,FALSE),"")</f>
        <v/>
      </c>
      <c r="F1352" s="28" t="str">
        <f>IF(OR(ISBLANK(B1352),B1352=""), "", IFERROR(INDEX('SAÍDA DE VENDAS'!$H$6:$H$500 &amp; "x " &amp; 'SAÍDA DE VENDAS'!$G$6:$G$500, MATCH(B1352, 'SAÍDA DE VENDAS'!$B$6:$B$500, 0)), "")&amp; IF(COUNTIF('SAÍDA DE VENDAS'!$B$6:$B$500, B1352)&gt;1, " + " &amp; IFERROR(INDEX('SAÍDA DE VENDAS'!$H$6:$H$500 &amp; "x " &amp; 'SAÍDA DE VENDAS'!$G$6:$G$500, MATCH(B1352, 'SAÍDA DE VENDAS'!$B$6:$B$500, 0)+1), ""), "")&amp; IF(COUNTIF('SAÍDA DE VENDAS'!$B$6:$B$500, B1352)&gt;2, " + " &amp; IFERROR(INDEX('SAÍDA DE VENDAS'!$H$6:$H$500 &amp; "x " &amp; 'SAÍDA DE VENDAS'!$G$6:$G$500, MATCH(B1352, 'SAÍDA DE VENDAS'!$B$6:$B$500, 0)+2), ""), "")&amp; IF(COUNTIF('SAÍDA DE VENDAS'!$B$6:$B$500, B1352)&gt;3, " + " &amp; IFERROR(INDEX('SAÍDA DE VENDAS'!$H$6:$H$500 &amp; "x " &amp; 'SAÍDA DE VENDAS'!$G$6:$G$500, MATCH(B1352, 'SAÍDA DE VENDAS'!$B$6:$B$500, 0)+3), ""), "")&amp; IF(COUNTIF('SAÍDA DE VENDAS'!$B$6:$B$500, B1352)&gt;4, " + " &amp; IFERROR(INDEX('SAÍDA DE VENDAS'!$H$6:$H$500 &amp; "x " &amp; 'SAÍDA DE VENDAS'!$G$6:$G$500, MATCH(B1352, 'SAÍDA DE VENDAS'!$B$6:$B$500, 0)+4), ""), "")&amp; IF(COUNTIF('SAÍDA DE VENDAS'!$B$6:$B$500, B1352)&gt;5, " + " &amp; IFERROR(INDEX('SAÍDA DE VENDAS'!$H$6:$H$500 &amp; "x " &amp; 'SAÍDA DE VENDAS'!$G$6:$G$500, MATCH(B1352, 'SAÍDA DE VENDAS'!$B$6:$B$500, 0)+5), ""), ""))</f>
        <v/>
      </c>
      <c r="G1352" s="28">
        <f>IFERROR(VLOOKUP(B1352,'SAÍDA DE VENDAS'!$B$6:$P$500,10,FALSE),"")</f>
        <v>0</v>
      </c>
      <c r="H1352" s="28" t="str">
        <f>IF(OR(ISBLANK(B1352),B1352=""), "", IF(B1352=B1351, (VALUE(LEFT(H1351,FIND("/",H1351)-1))+1)&amp;"/"&amp;RIGHT(H1351,LEN(H1351)-FIND("/",H1351)), "1/"&amp;IFERROR(VLOOKUP(B1352,'SAÍDA DE VENDAS'!$B$6:$P$500,13,FALSE),"1")))</f>
        <v/>
      </c>
      <c r="I1352" s="69" t="str">
        <f t="shared" si="42"/>
        <v/>
      </c>
      <c r="J1352" s="33" t="str">
        <f>IFERROR(VLOOKUP(B1352,'SAÍDA DE VENDAS'!$B$6:$P$500,15,FALSE),"")</f>
        <v/>
      </c>
      <c r="K1352" s="28" t="str">
        <f t="shared" ca="1" si="43"/>
        <v/>
      </c>
      <c r="L1352" s="28"/>
      <c r="M1352" s="28"/>
    </row>
    <row r="1353" spans="2:13" ht="15" customHeight="1" x14ac:dyDescent="0.3">
      <c r="B1353" s="34" t="str">
        <f>IF(B1352="","", IF(VALUE(LEFT(H1352,FIND("/",H1352)-1)) &lt; VALUE(RIGHT(H1352,LEN(H1352)-FIND("/",H1352))), B1352, IFERROR(INDEX('SAÍDA DE VENDAS'!$B$6:$B$500, MATCH(B1352,'SAÍDA DE VENDAS'!$B$6:$B$500,0)+COUNTIF('SAÍDA DE VENDAS'!$B$6:$B$500, B1352)),"")))</f>
        <v/>
      </c>
      <c r="C1353" s="35">
        <f>IFERROR(VLOOKUP(B1353,'SAÍDA DE VENDAS'!$B$6:$P$500,3,FALSE),"")</f>
        <v>0</v>
      </c>
      <c r="D1353" s="34">
        <f>IFERROR(VLOOKUP(B1353,'SAÍDA DE VENDAS'!$B$6:$P$500,4,FALSE),"")</f>
        <v>0</v>
      </c>
      <c r="E1353" s="34" t="str">
        <f>IFERROR(VLOOKUP(B1353,'SAÍDA DE VENDAS'!$B$6:$P$500,5,FALSE),"")</f>
        <v/>
      </c>
      <c r="F1353" s="34" t="str">
        <f>IF(OR(ISBLANK(B1353),B1353=""), "", IFERROR(INDEX('SAÍDA DE VENDAS'!$H$6:$H$500 &amp; "x " &amp; 'SAÍDA DE VENDAS'!$G$6:$G$500, MATCH(B1353, 'SAÍDA DE VENDAS'!$B$6:$B$500, 0)), "")&amp; IF(COUNTIF('SAÍDA DE VENDAS'!$B$6:$B$500, B1353)&gt;1, " + " &amp; IFERROR(INDEX('SAÍDA DE VENDAS'!$H$6:$H$500 &amp; "x " &amp; 'SAÍDA DE VENDAS'!$G$6:$G$500, MATCH(B1353, 'SAÍDA DE VENDAS'!$B$6:$B$500, 0)+1), ""), "")&amp; IF(COUNTIF('SAÍDA DE VENDAS'!$B$6:$B$500, B1353)&gt;2, " + " &amp; IFERROR(INDEX('SAÍDA DE VENDAS'!$H$6:$H$500 &amp; "x " &amp; 'SAÍDA DE VENDAS'!$G$6:$G$500, MATCH(B1353, 'SAÍDA DE VENDAS'!$B$6:$B$500, 0)+2), ""), "")&amp; IF(COUNTIF('SAÍDA DE VENDAS'!$B$6:$B$500, B1353)&gt;3, " + " &amp; IFERROR(INDEX('SAÍDA DE VENDAS'!$H$6:$H$500 &amp; "x " &amp; 'SAÍDA DE VENDAS'!$G$6:$G$500, MATCH(B1353, 'SAÍDA DE VENDAS'!$B$6:$B$500, 0)+3), ""), "")&amp; IF(COUNTIF('SAÍDA DE VENDAS'!$B$6:$B$500, B1353)&gt;4, " + " &amp; IFERROR(INDEX('SAÍDA DE VENDAS'!$H$6:$H$500 &amp; "x " &amp; 'SAÍDA DE VENDAS'!$G$6:$G$500, MATCH(B1353, 'SAÍDA DE VENDAS'!$B$6:$B$500, 0)+4), ""), "")&amp; IF(COUNTIF('SAÍDA DE VENDAS'!$B$6:$B$500, B1353)&gt;5, " + " &amp; IFERROR(INDEX('SAÍDA DE VENDAS'!$H$6:$H$500 &amp; "x " &amp; 'SAÍDA DE VENDAS'!$G$6:$G$500, MATCH(B1353, 'SAÍDA DE VENDAS'!$B$6:$B$500, 0)+5), ""), ""))</f>
        <v/>
      </c>
      <c r="G1353" s="34">
        <f>IFERROR(VLOOKUP(B1353,'SAÍDA DE VENDAS'!$B$6:$P$500,10,FALSE),"")</f>
        <v>0</v>
      </c>
      <c r="H1353" s="34" t="str">
        <f>IF(OR(ISBLANK(B1353),B1353=""), "", IF(B1353=B1352, (VALUE(LEFT(H1352,FIND("/",H1352)-1))+1)&amp;"/"&amp;RIGHT(H1352,LEN(H1352)-FIND("/",H1352)), "1/"&amp;IFERROR(VLOOKUP(B1353,'SAÍDA DE VENDAS'!$B$6:$P$500,13,FALSE),"1")))</f>
        <v/>
      </c>
      <c r="I1353" s="35" t="str">
        <f t="shared" si="42"/>
        <v/>
      </c>
      <c r="J1353" s="39" t="str">
        <f>IFERROR(VLOOKUP(B1353,'SAÍDA DE VENDAS'!$B$6:$P$500,15,FALSE),"")</f>
        <v/>
      </c>
      <c r="K1353" s="34" t="str">
        <f t="shared" ca="1" si="43"/>
        <v/>
      </c>
      <c r="L1353" s="34"/>
      <c r="M1353" s="34"/>
    </row>
    <row r="1354" spans="2:13" ht="15" customHeight="1" x14ac:dyDescent="0.3">
      <c r="B1354" s="28" t="str">
        <f>IF(B1353="","", IF(VALUE(LEFT(H1353,FIND("/",H1353)-1)) &lt; VALUE(RIGHT(H1353,LEN(H1353)-FIND("/",H1353))), B1353, IFERROR(INDEX('SAÍDA DE VENDAS'!$B$6:$B$500, MATCH(B1353,'SAÍDA DE VENDAS'!$B$6:$B$500,0)+COUNTIF('SAÍDA DE VENDAS'!$B$6:$B$500, B1353)),"")))</f>
        <v/>
      </c>
      <c r="C1354" s="29">
        <f>IFERROR(VLOOKUP(B1354,'SAÍDA DE VENDAS'!$B$6:$P$500,3,FALSE),"")</f>
        <v>0</v>
      </c>
      <c r="D1354" s="28">
        <f>IFERROR(VLOOKUP(B1354,'SAÍDA DE VENDAS'!$B$6:$P$500,4,FALSE),"")</f>
        <v>0</v>
      </c>
      <c r="E1354" s="28" t="str">
        <f>IFERROR(VLOOKUP(B1354,'SAÍDA DE VENDAS'!$B$6:$P$500,5,FALSE),"")</f>
        <v/>
      </c>
      <c r="F1354" s="28" t="str">
        <f>IF(OR(ISBLANK(B1354),B1354=""), "", IFERROR(INDEX('SAÍDA DE VENDAS'!$H$6:$H$500 &amp; "x " &amp; 'SAÍDA DE VENDAS'!$G$6:$G$500, MATCH(B1354, 'SAÍDA DE VENDAS'!$B$6:$B$500, 0)), "")&amp; IF(COUNTIF('SAÍDA DE VENDAS'!$B$6:$B$500, B1354)&gt;1, " + " &amp; IFERROR(INDEX('SAÍDA DE VENDAS'!$H$6:$H$500 &amp; "x " &amp; 'SAÍDA DE VENDAS'!$G$6:$G$500, MATCH(B1354, 'SAÍDA DE VENDAS'!$B$6:$B$500, 0)+1), ""), "")&amp; IF(COUNTIF('SAÍDA DE VENDAS'!$B$6:$B$500, B1354)&gt;2, " + " &amp; IFERROR(INDEX('SAÍDA DE VENDAS'!$H$6:$H$500 &amp; "x " &amp; 'SAÍDA DE VENDAS'!$G$6:$G$500, MATCH(B1354, 'SAÍDA DE VENDAS'!$B$6:$B$500, 0)+2), ""), "")&amp; IF(COUNTIF('SAÍDA DE VENDAS'!$B$6:$B$500, B1354)&gt;3, " + " &amp; IFERROR(INDEX('SAÍDA DE VENDAS'!$H$6:$H$500 &amp; "x " &amp; 'SAÍDA DE VENDAS'!$G$6:$G$500, MATCH(B1354, 'SAÍDA DE VENDAS'!$B$6:$B$500, 0)+3), ""), "")&amp; IF(COUNTIF('SAÍDA DE VENDAS'!$B$6:$B$500, B1354)&gt;4, " + " &amp; IFERROR(INDEX('SAÍDA DE VENDAS'!$H$6:$H$500 &amp; "x " &amp; 'SAÍDA DE VENDAS'!$G$6:$G$500, MATCH(B1354, 'SAÍDA DE VENDAS'!$B$6:$B$500, 0)+4), ""), "")&amp; IF(COUNTIF('SAÍDA DE VENDAS'!$B$6:$B$500, B1354)&gt;5, " + " &amp; IFERROR(INDEX('SAÍDA DE VENDAS'!$H$6:$H$500 &amp; "x " &amp; 'SAÍDA DE VENDAS'!$G$6:$G$500, MATCH(B1354, 'SAÍDA DE VENDAS'!$B$6:$B$500, 0)+5), ""), ""))</f>
        <v/>
      </c>
      <c r="G1354" s="28">
        <f>IFERROR(VLOOKUP(B1354,'SAÍDA DE VENDAS'!$B$6:$P$500,10,FALSE),"")</f>
        <v>0</v>
      </c>
      <c r="H1354" s="28" t="str">
        <f>IF(OR(ISBLANK(B1354),B1354=""), "", IF(B1354=B1353, (VALUE(LEFT(H1353,FIND("/",H1353)-1))+1)&amp;"/"&amp;RIGHT(H1353,LEN(H1353)-FIND("/",H1353)), "1/"&amp;IFERROR(VLOOKUP(B1354,'SAÍDA DE VENDAS'!$B$6:$P$500,13,FALSE),"1")))</f>
        <v/>
      </c>
      <c r="I1354" s="69" t="str">
        <f t="shared" si="42"/>
        <v/>
      </c>
      <c r="J1354" s="33" t="str">
        <f>IFERROR(VLOOKUP(B1354,'SAÍDA DE VENDAS'!$B$6:$P$500,15,FALSE),"")</f>
        <v/>
      </c>
      <c r="K1354" s="28" t="str">
        <f t="shared" ca="1" si="43"/>
        <v/>
      </c>
      <c r="L1354" s="28"/>
      <c r="M1354" s="28"/>
    </row>
    <row r="1355" spans="2:13" ht="15" customHeight="1" x14ac:dyDescent="0.3">
      <c r="B1355" s="34" t="str">
        <f>IF(B1354="","", IF(VALUE(LEFT(H1354,FIND("/",H1354)-1)) &lt; VALUE(RIGHT(H1354,LEN(H1354)-FIND("/",H1354))), B1354, IFERROR(INDEX('SAÍDA DE VENDAS'!$B$6:$B$500, MATCH(B1354,'SAÍDA DE VENDAS'!$B$6:$B$500,0)+COUNTIF('SAÍDA DE VENDAS'!$B$6:$B$500, B1354)),"")))</f>
        <v/>
      </c>
      <c r="C1355" s="35">
        <f>IFERROR(VLOOKUP(B1355,'SAÍDA DE VENDAS'!$B$6:$P$500,3,FALSE),"")</f>
        <v>0</v>
      </c>
      <c r="D1355" s="34">
        <f>IFERROR(VLOOKUP(B1355,'SAÍDA DE VENDAS'!$B$6:$P$500,4,FALSE),"")</f>
        <v>0</v>
      </c>
      <c r="E1355" s="34" t="str">
        <f>IFERROR(VLOOKUP(B1355,'SAÍDA DE VENDAS'!$B$6:$P$500,5,FALSE),"")</f>
        <v/>
      </c>
      <c r="F1355" s="34" t="str">
        <f>IF(OR(ISBLANK(B1355),B1355=""), "", IFERROR(INDEX('SAÍDA DE VENDAS'!$H$6:$H$500 &amp; "x " &amp; 'SAÍDA DE VENDAS'!$G$6:$G$500, MATCH(B1355, 'SAÍDA DE VENDAS'!$B$6:$B$500, 0)), "")&amp; IF(COUNTIF('SAÍDA DE VENDAS'!$B$6:$B$500, B1355)&gt;1, " + " &amp; IFERROR(INDEX('SAÍDA DE VENDAS'!$H$6:$H$500 &amp; "x " &amp; 'SAÍDA DE VENDAS'!$G$6:$G$500, MATCH(B1355, 'SAÍDA DE VENDAS'!$B$6:$B$500, 0)+1), ""), "")&amp; IF(COUNTIF('SAÍDA DE VENDAS'!$B$6:$B$500, B1355)&gt;2, " + " &amp; IFERROR(INDEX('SAÍDA DE VENDAS'!$H$6:$H$500 &amp; "x " &amp; 'SAÍDA DE VENDAS'!$G$6:$G$500, MATCH(B1355, 'SAÍDA DE VENDAS'!$B$6:$B$500, 0)+2), ""), "")&amp; IF(COUNTIF('SAÍDA DE VENDAS'!$B$6:$B$500, B1355)&gt;3, " + " &amp; IFERROR(INDEX('SAÍDA DE VENDAS'!$H$6:$H$500 &amp; "x " &amp; 'SAÍDA DE VENDAS'!$G$6:$G$500, MATCH(B1355, 'SAÍDA DE VENDAS'!$B$6:$B$500, 0)+3), ""), "")&amp; IF(COUNTIF('SAÍDA DE VENDAS'!$B$6:$B$500, B1355)&gt;4, " + " &amp; IFERROR(INDEX('SAÍDA DE VENDAS'!$H$6:$H$500 &amp; "x " &amp; 'SAÍDA DE VENDAS'!$G$6:$G$500, MATCH(B1355, 'SAÍDA DE VENDAS'!$B$6:$B$500, 0)+4), ""), "")&amp; IF(COUNTIF('SAÍDA DE VENDAS'!$B$6:$B$500, B1355)&gt;5, " + " &amp; IFERROR(INDEX('SAÍDA DE VENDAS'!$H$6:$H$500 &amp; "x " &amp; 'SAÍDA DE VENDAS'!$G$6:$G$500, MATCH(B1355, 'SAÍDA DE VENDAS'!$B$6:$B$500, 0)+5), ""), ""))</f>
        <v/>
      </c>
      <c r="G1355" s="34">
        <f>IFERROR(VLOOKUP(B1355,'SAÍDA DE VENDAS'!$B$6:$P$500,10,FALSE),"")</f>
        <v>0</v>
      </c>
      <c r="H1355" s="34" t="str">
        <f>IF(OR(ISBLANK(B1355),B1355=""), "", IF(B1355=B1354, (VALUE(LEFT(H1354,FIND("/",H1354)-1))+1)&amp;"/"&amp;RIGHT(H1354,LEN(H1354)-FIND("/",H1354)), "1/"&amp;IFERROR(VLOOKUP(B1355,'SAÍDA DE VENDAS'!$B$6:$P$500,13,FALSE),"1")))</f>
        <v/>
      </c>
      <c r="I1355" s="35" t="str">
        <f t="shared" si="42"/>
        <v/>
      </c>
      <c r="J1355" s="39" t="str">
        <f>IFERROR(VLOOKUP(B1355,'SAÍDA DE VENDAS'!$B$6:$P$500,15,FALSE),"")</f>
        <v/>
      </c>
      <c r="K1355" s="34" t="str">
        <f t="shared" ca="1" si="43"/>
        <v/>
      </c>
      <c r="L1355" s="34"/>
      <c r="M1355" s="34"/>
    </row>
    <row r="1356" spans="2:13" ht="15" customHeight="1" x14ac:dyDescent="0.3">
      <c r="B1356" s="28" t="str">
        <f>IF(B1355="","", IF(VALUE(LEFT(H1355,FIND("/",H1355)-1)) &lt; VALUE(RIGHT(H1355,LEN(H1355)-FIND("/",H1355))), B1355, IFERROR(INDEX('SAÍDA DE VENDAS'!$B$6:$B$500, MATCH(B1355,'SAÍDA DE VENDAS'!$B$6:$B$500,0)+COUNTIF('SAÍDA DE VENDAS'!$B$6:$B$500, B1355)),"")))</f>
        <v/>
      </c>
      <c r="C1356" s="29">
        <f>IFERROR(VLOOKUP(B1356,'SAÍDA DE VENDAS'!$B$6:$P$500,3,FALSE),"")</f>
        <v>0</v>
      </c>
      <c r="D1356" s="28">
        <f>IFERROR(VLOOKUP(B1356,'SAÍDA DE VENDAS'!$B$6:$P$500,4,FALSE),"")</f>
        <v>0</v>
      </c>
      <c r="E1356" s="28" t="str">
        <f>IFERROR(VLOOKUP(B1356,'SAÍDA DE VENDAS'!$B$6:$P$500,5,FALSE),"")</f>
        <v/>
      </c>
      <c r="F1356" s="28" t="str">
        <f>IF(OR(ISBLANK(B1356),B1356=""), "", IFERROR(INDEX('SAÍDA DE VENDAS'!$H$6:$H$500 &amp; "x " &amp; 'SAÍDA DE VENDAS'!$G$6:$G$500, MATCH(B1356, 'SAÍDA DE VENDAS'!$B$6:$B$500, 0)), "")&amp; IF(COUNTIF('SAÍDA DE VENDAS'!$B$6:$B$500, B1356)&gt;1, " + " &amp; IFERROR(INDEX('SAÍDA DE VENDAS'!$H$6:$H$500 &amp; "x " &amp; 'SAÍDA DE VENDAS'!$G$6:$G$500, MATCH(B1356, 'SAÍDA DE VENDAS'!$B$6:$B$500, 0)+1), ""), "")&amp; IF(COUNTIF('SAÍDA DE VENDAS'!$B$6:$B$500, B1356)&gt;2, " + " &amp; IFERROR(INDEX('SAÍDA DE VENDAS'!$H$6:$H$500 &amp; "x " &amp; 'SAÍDA DE VENDAS'!$G$6:$G$500, MATCH(B1356, 'SAÍDA DE VENDAS'!$B$6:$B$500, 0)+2), ""), "")&amp; IF(COUNTIF('SAÍDA DE VENDAS'!$B$6:$B$500, B1356)&gt;3, " + " &amp; IFERROR(INDEX('SAÍDA DE VENDAS'!$H$6:$H$500 &amp; "x " &amp; 'SAÍDA DE VENDAS'!$G$6:$G$500, MATCH(B1356, 'SAÍDA DE VENDAS'!$B$6:$B$500, 0)+3), ""), "")&amp; IF(COUNTIF('SAÍDA DE VENDAS'!$B$6:$B$500, B1356)&gt;4, " + " &amp; IFERROR(INDEX('SAÍDA DE VENDAS'!$H$6:$H$500 &amp; "x " &amp; 'SAÍDA DE VENDAS'!$G$6:$G$500, MATCH(B1356, 'SAÍDA DE VENDAS'!$B$6:$B$500, 0)+4), ""), "")&amp; IF(COUNTIF('SAÍDA DE VENDAS'!$B$6:$B$500, B1356)&gt;5, " + " &amp; IFERROR(INDEX('SAÍDA DE VENDAS'!$H$6:$H$500 &amp; "x " &amp; 'SAÍDA DE VENDAS'!$G$6:$G$500, MATCH(B1356, 'SAÍDA DE VENDAS'!$B$6:$B$500, 0)+5), ""), ""))</f>
        <v/>
      </c>
      <c r="G1356" s="28">
        <f>IFERROR(VLOOKUP(B1356,'SAÍDA DE VENDAS'!$B$6:$P$500,10,FALSE),"")</f>
        <v>0</v>
      </c>
      <c r="H1356" s="28" t="str">
        <f>IF(OR(ISBLANK(B1356),B1356=""), "", IF(B1356=B1355, (VALUE(LEFT(H1355,FIND("/",H1355)-1))+1)&amp;"/"&amp;RIGHT(H1355,LEN(H1355)-FIND("/",H1355)), "1/"&amp;IFERROR(VLOOKUP(B1356,'SAÍDA DE VENDAS'!$B$6:$P$500,13,FALSE),"1")))</f>
        <v/>
      </c>
      <c r="I1356" s="69" t="str">
        <f t="shared" si="42"/>
        <v/>
      </c>
      <c r="J1356" s="33" t="str">
        <f>IFERROR(VLOOKUP(B1356,'SAÍDA DE VENDAS'!$B$6:$P$500,15,FALSE),"")</f>
        <v/>
      </c>
      <c r="K1356" s="28" t="str">
        <f t="shared" ca="1" si="43"/>
        <v/>
      </c>
      <c r="L1356" s="28"/>
      <c r="M1356" s="28"/>
    </row>
    <row r="1357" spans="2:13" ht="15" customHeight="1" x14ac:dyDescent="0.3">
      <c r="B1357" s="34" t="str">
        <f>IF(B1356="","", IF(VALUE(LEFT(H1356,FIND("/",H1356)-1)) &lt; VALUE(RIGHT(H1356,LEN(H1356)-FIND("/",H1356))), B1356, IFERROR(INDEX('SAÍDA DE VENDAS'!$B$6:$B$500, MATCH(B1356,'SAÍDA DE VENDAS'!$B$6:$B$500,0)+COUNTIF('SAÍDA DE VENDAS'!$B$6:$B$500, B1356)),"")))</f>
        <v/>
      </c>
      <c r="C1357" s="35">
        <f>IFERROR(VLOOKUP(B1357,'SAÍDA DE VENDAS'!$B$6:$P$500,3,FALSE),"")</f>
        <v>0</v>
      </c>
      <c r="D1357" s="34">
        <f>IFERROR(VLOOKUP(B1357,'SAÍDA DE VENDAS'!$B$6:$P$500,4,FALSE),"")</f>
        <v>0</v>
      </c>
      <c r="E1357" s="34" t="str">
        <f>IFERROR(VLOOKUP(B1357,'SAÍDA DE VENDAS'!$B$6:$P$500,5,FALSE),"")</f>
        <v/>
      </c>
      <c r="F1357" s="34" t="str">
        <f>IF(OR(ISBLANK(B1357),B1357=""), "", IFERROR(INDEX('SAÍDA DE VENDAS'!$H$6:$H$500 &amp; "x " &amp; 'SAÍDA DE VENDAS'!$G$6:$G$500, MATCH(B1357, 'SAÍDA DE VENDAS'!$B$6:$B$500, 0)), "")&amp; IF(COUNTIF('SAÍDA DE VENDAS'!$B$6:$B$500, B1357)&gt;1, " + " &amp; IFERROR(INDEX('SAÍDA DE VENDAS'!$H$6:$H$500 &amp; "x " &amp; 'SAÍDA DE VENDAS'!$G$6:$G$500, MATCH(B1357, 'SAÍDA DE VENDAS'!$B$6:$B$500, 0)+1), ""), "")&amp; IF(COUNTIF('SAÍDA DE VENDAS'!$B$6:$B$500, B1357)&gt;2, " + " &amp; IFERROR(INDEX('SAÍDA DE VENDAS'!$H$6:$H$500 &amp; "x " &amp; 'SAÍDA DE VENDAS'!$G$6:$G$500, MATCH(B1357, 'SAÍDA DE VENDAS'!$B$6:$B$500, 0)+2), ""), "")&amp; IF(COUNTIF('SAÍDA DE VENDAS'!$B$6:$B$500, B1357)&gt;3, " + " &amp; IFERROR(INDEX('SAÍDA DE VENDAS'!$H$6:$H$500 &amp; "x " &amp; 'SAÍDA DE VENDAS'!$G$6:$G$500, MATCH(B1357, 'SAÍDA DE VENDAS'!$B$6:$B$500, 0)+3), ""), "")&amp; IF(COUNTIF('SAÍDA DE VENDAS'!$B$6:$B$500, B1357)&gt;4, " + " &amp; IFERROR(INDEX('SAÍDA DE VENDAS'!$H$6:$H$500 &amp; "x " &amp; 'SAÍDA DE VENDAS'!$G$6:$G$500, MATCH(B1357, 'SAÍDA DE VENDAS'!$B$6:$B$500, 0)+4), ""), "")&amp; IF(COUNTIF('SAÍDA DE VENDAS'!$B$6:$B$500, B1357)&gt;5, " + " &amp; IFERROR(INDEX('SAÍDA DE VENDAS'!$H$6:$H$500 &amp; "x " &amp; 'SAÍDA DE VENDAS'!$G$6:$G$500, MATCH(B1357, 'SAÍDA DE VENDAS'!$B$6:$B$500, 0)+5), ""), ""))</f>
        <v/>
      </c>
      <c r="G1357" s="34">
        <f>IFERROR(VLOOKUP(B1357,'SAÍDA DE VENDAS'!$B$6:$P$500,10,FALSE),"")</f>
        <v>0</v>
      </c>
      <c r="H1357" s="34" t="str">
        <f>IF(OR(ISBLANK(B1357),B1357=""), "", IF(B1357=B1356, (VALUE(LEFT(H1356,FIND("/",H1356)-1))+1)&amp;"/"&amp;RIGHT(H1356,LEN(H1356)-FIND("/",H1356)), "1/"&amp;IFERROR(VLOOKUP(B1357,'SAÍDA DE VENDAS'!$B$6:$P$500,13,FALSE),"1")))</f>
        <v/>
      </c>
      <c r="I1357" s="35" t="str">
        <f t="shared" si="42"/>
        <v/>
      </c>
      <c r="J1357" s="39" t="str">
        <f>IFERROR(VLOOKUP(B1357,'SAÍDA DE VENDAS'!$B$6:$P$500,15,FALSE),"")</f>
        <v/>
      </c>
      <c r="K1357" s="34" t="str">
        <f t="shared" ca="1" si="43"/>
        <v/>
      </c>
      <c r="L1357" s="34"/>
      <c r="M1357" s="34"/>
    </row>
    <row r="1358" spans="2:13" ht="15" customHeight="1" x14ac:dyDescent="0.3">
      <c r="B1358" s="28" t="str">
        <f>IF(B1357="","", IF(VALUE(LEFT(H1357,FIND("/",H1357)-1)) &lt; VALUE(RIGHT(H1357,LEN(H1357)-FIND("/",H1357))), B1357, IFERROR(INDEX('SAÍDA DE VENDAS'!$B$6:$B$500, MATCH(B1357,'SAÍDA DE VENDAS'!$B$6:$B$500,0)+COUNTIF('SAÍDA DE VENDAS'!$B$6:$B$500, B1357)),"")))</f>
        <v/>
      </c>
      <c r="C1358" s="29">
        <f>IFERROR(VLOOKUP(B1358,'SAÍDA DE VENDAS'!$B$6:$P$500,3,FALSE),"")</f>
        <v>0</v>
      </c>
      <c r="D1358" s="28">
        <f>IFERROR(VLOOKUP(B1358,'SAÍDA DE VENDAS'!$B$6:$P$500,4,FALSE),"")</f>
        <v>0</v>
      </c>
      <c r="E1358" s="28" t="str">
        <f>IFERROR(VLOOKUP(B1358,'SAÍDA DE VENDAS'!$B$6:$P$500,5,FALSE),"")</f>
        <v/>
      </c>
      <c r="F1358" s="28" t="str">
        <f>IF(OR(ISBLANK(B1358),B1358=""), "", IFERROR(INDEX('SAÍDA DE VENDAS'!$H$6:$H$500 &amp; "x " &amp; 'SAÍDA DE VENDAS'!$G$6:$G$500, MATCH(B1358, 'SAÍDA DE VENDAS'!$B$6:$B$500, 0)), "")&amp; IF(COUNTIF('SAÍDA DE VENDAS'!$B$6:$B$500, B1358)&gt;1, " + " &amp; IFERROR(INDEX('SAÍDA DE VENDAS'!$H$6:$H$500 &amp; "x " &amp; 'SAÍDA DE VENDAS'!$G$6:$G$500, MATCH(B1358, 'SAÍDA DE VENDAS'!$B$6:$B$500, 0)+1), ""), "")&amp; IF(COUNTIF('SAÍDA DE VENDAS'!$B$6:$B$500, B1358)&gt;2, " + " &amp; IFERROR(INDEX('SAÍDA DE VENDAS'!$H$6:$H$500 &amp; "x " &amp; 'SAÍDA DE VENDAS'!$G$6:$G$500, MATCH(B1358, 'SAÍDA DE VENDAS'!$B$6:$B$500, 0)+2), ""), "")&amp; IF(COUNTIF('SAÍDA DE VENDAS'!$B$6:$B$500, B1358)&gt;3, " + " &amp; IFERROR(INDEX('SAÍDA DE VENDAS'!$H$6:$H$500 &amp; "x " &amp; 'SAÍDA DE VENDAS'!$G$6:$G$500, MATCH(B1358, 'SAÍDA DE VENDAS'!$B$6:$B$500, 0)+3), ""), "")&amp; IF(COUNTIF('SAÍDA DE VENDAS'!$B$6:$B$500, B1358)&gt;4, " + " &amp; IFERROR(INDEX('SAÍDA DE VENDAS'!$H$6:$H$500 &amp; "x " &amp; 'SAÍDA DE VENDAS'!$G$6:$G$500, MATCH(B1358, 'SAÍDA DE VENDAS'!$B$6:$B$500, 0)+4), ""), "")&amp; IF(COUNTIF('SAÍDA DE VENDAS'!$B$6:$B$500, B1358)&gt;5, " + " &amp; IFERROR(INDEX('SAÍDA DE VENDAS'!$H$6:$H$500 &amp; "x " &amp; 'SAÍDA DE VENDAS'!$G$6:$G$500, MATCH(B1358, 'SAÍDA DE VENDAS'!$B$6:$B$500, 0)+5), ""), ""))</f>
        <v/>
      </c>
      <c r="G1358" s="28">
        <f>IFERROR(VLOOKUP(B1358,'SAÍDA DE VENDAS'!$B$6:$P$500,10,FALSE),"")</f>
        <v>0</v>
      </c>
      <c r="H1358" s="28" t="str">
        <f>IF(OR(ISBLANK(B1358),B1358=""), "", IF(B1358=B1357, (VALUE(LEFT(H1357,FIND("/",H1357)-1))+1)&amp;"/"&amp;RIGHT(H1357,LEN(H1357)-FIND("/",H1357)), "1/"&amp;IFERROR(VLOOKUP(B1358,'SAÍDA DE VENDAS'!$B$6:$P$500,13,FALSE),"1")))</f>
        <v/>
      </c>
      <c r="I1358" s="69" t="str">
        <f t="shared" si="42"/>
        <v/>
      </c>
      <c r="J1358" s="33" t="str">
        <f>IFERROR(VLOOKUP(B1358,'SAÍDA DE VENDAS'!$B$6:$P$500,15,FALSE),"")</f>
        <v/>
      </c>
      <c r="K1358" s="28" t="str">
        <f t="shared" ca="1" si="43"/>
        <v/>
      </c>
      <c r="L1358" s="28"/>
      <c r="M1358" s="28"/>
    </row>
    <row r="1359" spans="2:13" ht="15" customHeight="1" x14ac:dyDescent="0.3">
      <c r="B1359" s="34" t="str">
        <f>IF(B1358="","", IF(VALUE(LEFT(H1358,FIND("/",H1358)-1)) &lt; VALUE(RIGHT(H1358,LEN(H1358)-FIND("/",H1358))), B1358, IFERROR(INDEX('SAÍDA DE VENDAS'!$B$6:$B$500, MATCH(B1358,'SAÍDA DE VENDAS'!$B$6:$B$500,0)+COUNTIF('SAÍDA DE VENDAS'!$B$6:$B$500, B1358)),"")))</f>
        <v/>
      </c>
      <c r="C1359" s="35">
        <f>IFERROR(VLOOKUP(B1359,'SAÍDA DE VENDAS'!$B$6:$P$500,3,FALSE),"")</f>
        <v>0</v>
      </c>
      <c r="D1359" s="34">
        <f>IFERROR(VLOOKUP(B1359,'SAÍDA DE VENDAS'!$B$6:$P$500,4,FALSE),"")</f>
        <v>0</v>
      </c>
      <c r="E1359" s="34" t="str">
        <f>IFERROR(VLOOKUP(B1359,'SAÍDA DE VENDAS'!$B$6:$P$500,5,FALSE),"")</f>
        <v/>
      </c>
      <c r="F1359" s="34" t="str">
        <f>IF(OR(ISBLANK(B1359),B1359=""), "", IFERROR(INDEX('SAÍDA DE VENDAS'!$H$6:$H$500 &amp; "x " &amp; 'SAÍDA DE VENDAS'!$G$6:$G$500, MATCH(B1359, 'SAÍDA DE VENDAS'!$B$6:$B$500, 0)), "")&amp; IF(COUNTIF('SAÍDA DE VENDAS'!$B$6:$B$500, B1359)&gt;1, " + " &amp; IFERROR(INDEX('SAÍDA DE VENDAS'!$H$6:$H$500 &amp; "x " &amp; 'SAÍDA DE VENDAS'!$G$6:$G$500, MATCH(B1359, 'SAÍDA DE VENDAS'!$B$6:$B$500, 0)+1), ""), "")&amp; IF(COUNTIF('SAÍDA DE VENDAS'!$B$6:$B$500, B1359)&gt;2, " + " &amp; IFERROR(INDEX('SAÍDA DE VENDAS'!$H$6:$H$500 &amp; "x " &amp; 'SAÍDA DE VENDAS'!$G$6:$G$500, MATCH(B1359, 'SAÍDA DE VENDAS'!$B$6:$B$500, 0)+2), ""), "")&amp; IF(COUNTIF('SAÍDA DE VENDAS'!$B$6:$B$500, B1359)&gt;3, " + " &amp; IFERROR(INDEX('SAÍDA DE VENDAS'!$H$6:$H$500 &amp; "x " &amp; 'SAÍDA DE VENDAS'!$G$6:$G$500, MATCH(B1359, 'SAÍDA DE VENDAS'!$B$6:$B$500, 0)+3), ""), "")&amp; IF(COUNTIF('SAÍDA DE VENDAS'!$B$6:$B$500, B1359)&gt;4, " + " &amp; IFERROR(INDEX('SAÍDA DE VENDAS'!$H$6:$H$500 &amp; "x " &amp; 'SAÍDA DE VENDAS'!$G$6:$G$500, MATCH(B1359, 'SAÍDA DE VENDAS'!$B$6:$B$500, 0)+4), ""), "")&amp; IF(COUNTIF('SAÍDA DE VENDAS'!$B$6:$B$500, B1359)&gt;5, " + " &amp; IFERROR(INDEX('SAÍDA DE VENDAS'!$H$6:$H$500 &amp; "x " &amp; 'SAÍDA DE VENDAS'!$G$6:$G$500, MATCH(B1359, 'SAÍDA DE VENDAS'!$B$6:$B$500, 0)+5), ""), ""))</f>
        <v/>
      </c>
      <c r="G1359" s="34">
        <f>IFERROR(VLOOKUP(B1359,'SAÍDA DE VENDAS'!$B$6:$P$500,10,FALSE),"")</f>
        <v>0</v>
      </c>
      <c r="H1359" s="34" t="str">
        <f>IF(OR(ISBLANK(B1359),B1359=""), "", IF(B1359=B1358, (VALUE(LEFT(H1358,FIND("/",H1358)-1))+1)&amp;"/"&amp;RIGHT(H1358,LEN(H1358)-FIND("/",H1358)), "1/"&amp;IFERROR(VLOOKUP(B1359,'SAÍDA DE VENDAS'!$B$6:$P$500,13,FALSE),"1")))</f>
        <v/>
      </c>
      <c r="I1359" s="35" t="str">
        <f t="shared" si="42"/>
        <v/>
      </c>
      <c r="J1359" s="39" t="str">
        <f>IFERROR(VLOOKUP(B1359,'SAÍDA DE VENDAS'!$B$6:$P$500,15,FALSE),"")</f>
        <v/>
      </c>
      <c r="K1359" s="34" t="str">
        <f t="shared" ca="1" si="43"/>
        <v/>
      </c>
      <c r="L1359" s="34"/>
      <c r="M1359" s="34"/>
    </row>
    <row r="1360" spans="2:13" ht="15" customHeight="1" x14ac:dyDescent="0.3">
      <c r="B1360" s="28" t="str">
        <f>IF(B1359="","", IF(VALUE(LEFT(H1359,FIND("/",H1359)-1)) &lt; VALUE(RIGHT(H1359,LEN(H1359)-FIND("/",H1359))), B1359, IFERROR(INDEX('SAÍDA DE VENDAS'!$B$6:$B$500, MATCH(B1359,'SAÍDA DE VENDAS'!$B$6:$B$500,0)+COUNTIF('SAÍDA DE VENDAS'!$B$6:$B$500, B1359)),"")))</f>
        <v/>
      </c>
      <c r="C1360" s="29">
        <f>IFERROR(VLOOKUP(B1360,'SAÍDA DE VENDAS'!$B$6:$P$500,3,FALSE),"")</f>
        <v>0</v>
      </c>
      <c r="D1360" s="28">
        <f>IFERROR(VLOOKUP(B1360,'SAÍDA DE VENDAS'!$B$6:$P$500,4,FALSE),"")</f>
        <v>0</v>
      </c>
      <c r="E1360" s="28" t="str">
        <f>IFERROR(VLOOKUP(B1360,'SAÍDA DE VENDAS'!$B$6:$P$500,5,FALSE),"")</f>
        <v/>
      </c>
      <c r="F1360" s="28" t="str">
        <f>IF(OR(ISBLANK(B1360),B1360=""), "", IFERROR(INDEX('SAÍDA DE VENDAS'!$H$6:$H$500 &amp; "x " &amp; 'SAÍDA DE VENDAS'!$G$6:$G$500, MATCH(B1360, 'SAÍDA DE VENDAS'!$B$6:$B$500, 0)), "")&amp; IF(COUNTIF('SAÍDA DE VENDAS'!$B$6:$B$500, B1360)&gt;1, " + " &amp; IFERROR(INDEX('SAÍDA DE VENDAS'!$H$6:$H$500 &amp; "x " &amp; 'SAÍDA DE VENDAS'!$G$6:$G$500, MATCH(B1360, 'SAÍDA DE VENDAS'!$B$6:$B$500, 0)+1), ""), "")&amp; IF(COUNTIF('SAÍDA DE VENDAS'!$B$6:$B$500, B1360)&gt;2, " + " &amp; IFERROR(INDEX('SAÍDA DE VENDAS'!$H$6:$H$500 &amp; "x " &amp; 'SAÍDA DE VENDAS'!$G$6:$G$500, MATCH(B1360, 'SAÍDA DE VENDAS'!$B$6:$B$500, 0)+2), ""), "")&amp; IF(COUNTIF('SAÍDA DE VENDAS'!$B$6:$B$500, B1360)&gt;3, " + " &amp; IFERROR(INDEX('SAÍDA DE VENDAS'!$H$6:$H$500 &amp; "x " &amp; 'SAÍDA DE VENDAS'!$G$6:$G$500, MATCH(B1360, 'SAÍDA DE VENDAS'!$B$6:$B$500, 0)+3), ""), "")&amp; IF(COUNTIF('SAÍDA DE VENDAS'!$B$6:$B$500, B1360)&gt;4, " + " &amp; IFERROR(INDEX('SAÍDA DE VENDAS'!$H$6:$H$500 &amp; "x " &amp; 'SAÍDA DE VENDAS'!$G$6:$G$500, MATCH(B1360, 'SAÍDA DE VENDAS'!$B$6:$B$500, 0)+4), ""), "")&amp; IF(COUNTIF('SAÍDA DE VENDAS'!$B$6:$B$500, B1360)&gt;5, " + " &amp; IFERROR(INDEX('SAÍDA DE VENDAS'!$H$6:$H$500 &amp; "x " &amp; 'SAÍDA DE VENDAS'!$G$6:$G$500, MATCH(B1360, 'SAÍDA DE VENDAS'!$B$6:$B$500, 0)+5), ""), ""))</f>
        <v/>
      </c>
      <c r="G1360" s="28">
        <f>IFERROR(VLOOKUP(B1360,'SAÍDA DE VENDAS'!$B$6:$P$500,10,FALSE),"")</f>
        <v>0</v>
      </c>
      <c r="H1360" s="28" t="str">
        <f>IF(OR(ISBLANK(B1360),B1360=""), "", IF(B1360=B1359, (VALUE(LEFT(H1359,FIND("/",H1359)-1))+1)&amp;"/"&amp;RIGHT(H1359,LEN(H1359)-FIND("/",H1359)), "1/"&amp;IFERROR(VLOOKUP(B1360,'SAÍDA DE VENDAS'!$B$6:$P$500,13,FALSE),"1")))</f>
        <v/>
      </c>
      <c r="I1360" s="69" t="str">
        <f t="shared" si="42"/>
        <v/>
      </c>
      <c r="J1360" s="33" t="str">
        <f>IFERROR(VLOOKUP(B1360,'SAÍDA DE VENDAS'!$B$6:$P$500,15,FALSE),"")</f>
        <v/>
      </c>
      <c r="K1360" s="28" t="str">
        <f t="shared" ca="1" si="43"/>
        <v/>
      </c>
      <c r="L1360" s="28"/>
      <c r="M1360" s="28"/>
    </row>
    <row r="1361" spans="2:13" ht="15" customHeight="1" x14ac:dyDescent="0.3">
      <c r="B1361" s="34" t="str">
        <f>IF(B1360="","", IF(VALUE(LEFT(H1360,FIND("/",H1360)-1)) &lt; VALUE(RIGHT(H1360,LEN(H1360)-FIND("/",H1360))), B1360, IFERROR(INDEX('SAÍDA DE VENDAS'!$B$6:$B$500, MATCH(B1360,'SAÍDA DE VENDAS'!$B$6:$B$500,0)+COUNTIF('SAÍDA DE VENDAS'!$B$6:$B$500, B1360)),"")))</f>
        <v/>
      </c>
      <c r="C1361" s="35">
        <f>IFERROR(VLOOKUP(B1361,'SAÍDA DE VENDAS'!$B$6:$P$500,3,FALSE),"")</f>
        <v>0</v>
      </c>
      <c r="D1361" s="34">
        <f>IFERROR(VLOOKUP(B1361,'SAÍDA DE VENDAS'!$B$6:$P$500,4,FALSE),"")</f>
        <v>0</v>
      </c>
      <c r="E1361" s="34" t="str">
        <f>IFERROR(VLOOKUP(B1361,'SAÍDA DE VENDAS'!$B$6:$P$500,5,FALSE),"")</f>
        <v/>
      </c>
      <c r="F1361" s="34" t="str">
        <f>IF(OR(ISBLANK(B1361),B1361=""), "", IFERROR(INDEX('SAÍDA DE VENDAS'!$H$6:$H$500 &amp; "x " &amp; 'SAÍDA DE VENDAS'!$G$6:$G$500, MATCH(B1361, 'SAÍDA DE VENDAS'!$B$6:$B$500, 0)), "")&amp; IF(COUNTIF('SAÍDA DE VENDAS'!$B$6:$B$500, B1361)&gt;1, " + " &amp; IFERROR(INDEX('SAÍDA DE VENDAS'!$H$6:$H$500 &amp; "x " &amp; 'SAÍDA DE VENDAS'!$G$6:$G$500, MATCH(B1361, 'SAÍDA DE VENDAS'!$B$6:$B$500, 0)+1), ""), "")&amp; IF(COUNTIF('SAÍDA DE VENDAS'!$B$6:$B$500, B1361)&gt;2, " + " &amp; IFERROR(INDEX('SAÍDA DE VENDAS'!$H$6:$H$500 &amp; "x " &amp; 'SAÍDA DE VENDAS'!$G$6:$G$500, MATCH(B1361, 'SAÍDA DE VENDAS'!$B$6:$B$500, 0)+2), ""), "")&amp; IF(COUNTIF('SAÍDA DE VENDAS'!$B$6:$B$500, B1361)&gt;3, " + " &amp; IFERROR(INDEX('SAÍDA DE VENDAS'!$H$6:$H$500 &amp; "x " &amp; 'SAÍDA DE VENDAS'!$G$6:$G$500, MATCH(B1361, 'SAÍDA DE VENDAS'!$B$6:$B$500, 0)+3), ""), "")&amp; IF(COUNTIF('SAÍDA DE VENDAS'!$B$6:$B$500, B1361)&gt;4, " + " &amp; IFERROR(INDEX('SAÍDA DE VENDAS'!$H$6:$H$500 &amp; "x " &amp; 'SAÍDA DE VENDAS'!$G$6:$G$500, MATCH(B1361, 'SAÍDA DE VENDAS'!$B$6:$B$500, 0)+4), ""), "")&amp; IF(COUNTIF('SAÍDA DE VENDAS'!$B$6:$B$500, B1361)&gt;5, " + " &amp; IFERROR(INDEX('SAÍDA DE VENDAS'!$H$6:$H$500 &amp; "x " &amp; 'SAÍDA DE VENDAS'!$G$6:$G$500, MATCH(B1361, 'SAÍDA DE VENDAS'!$B$6:$B$500, 0)+5), ""), ""))</f>
        <v/>
      </c>
      <c r="G1361" s="34">
        <f>IFERROR(VLOOKUP(B1361,'SAÍDA DE VENDAS'!$B$6:$P$500,10,FALSE),"")</f>
        <v>0</v>
      </c>
      <c r="H1361" s="34" t="str">
        <f>IF(OR(ISBLANK(B1361),B1361=""), "", IF(B1361=B1360, (VALUE(LEFT(H1360,FIND("/",H1360)-1))+1)&amp;"/"&amp;RIGHT(H1360,LEN(H1360)-FIND("/",H1360)), "1/"&amp;IFERROR(VLOOKUP(B1361,'SAÍDA DE VENDAS'!$B$6:$P$500,13,FALSE),"1")))</f>
        <v/>
      </c>
      <c r="I1361" s="35" t="str">
        <f t="shared" si="42"/>
        <v/>
      </c>
      <c r="J1361" s="39" t="str">
        <f>IFERROR(VLOOKUP(B1361,'SAÍDA DE VENDAS'!$B$6:$P$500,15,FALSE),"")</f>
        <v/>
      </c>
      <c r="K1361" s="34" t="str">
        <f t="shared" ca="1" si="43"/>
        <v/>
      </c>
      <c r="L1361" s="34"/>
      <c r="M1361" s="34"/>
    </row>
    <row r="1362" spans="2:13" ht="15" customHeight="1" x14ac:dyDescent="0.3">
      <c r="B1362" s="28" t="str">
        <f>IF(B1361="","", IF(VALUE(LEFT(H1361,FIND("/",H1361)-1)) &lt; VALUE(RIGHT(H1361,LEN(H1361)-FIND("/",H1361))), B1361, IFERROR(INDEX('SAÍDA DE VENDAS'!$B$6:$B$500, MATCH(B1361,'SAÍDA DE VENDAS'!$B$6:$B$500,0)+COUNTIF('SAÍDA DE VENDAS'!$B$6:$B$500, B1361)),"")))</f>
        <v/>
      </c>
      <c r="C1362" s="29">
        <f>IFERROR(VLOOKUP(B1362,'SAÍDA DE VENDAS'!$B$6:$P$500,3,FALSE),"")</f>
        <v>0</v>
      </c>
      <c r="D1362" s="28">
        <f>IFERROR(VLOOKUP(B1362,'SAÍDA DE VENDAS'!$B$6:$P$500,4,FALSE),"")</f>
        <v>0</v>
      </c>
      <c r="E1362" s="28" t="str">
        <f>IFERROR(VLOOKUP(B1362,'SAÍDA DE VENDAS'!$B$6:$P$500,5,FALSE),"")</f>
        <v/>
      </c>
      <c r="F1362" s="28" t="str">
        <f>IF(OR(ISBLANK(B1362),B1362=""), "", IFERROR(INDEX('SAÍDA DE VENDAS'!$H$6:$H$500 &amp; "x " &amp; 'SAÍDA DE VENDAS'!$G$6:$G$500, MATCH(B1362, 'SAÍDA DE VENDAS'!$B$6:$B$500, 0)), "")&amp; IF(COUNTIF('SAÍDA DE VENDAS'!$B$6:$B$500, B1362)&gt;1, " + " &amp; IFERROR(INDEX('SAÍDA DE VENDAS'!$H$6:$H$500 &amp; "x " &amp; 'SAÍDA DE VENDAS'!$G$6:$G$500, MATCH(B1362, 'SAÍDA DE VENDAS'!$B$6:$B$500, 0)+1), ""), "")&amp; IF(COUNTIF('SAÍDA DE VENDAS'!$B$6:$B$500, B1362)&gt;2, " + " &amp; IFERROR(INDEX('SAÍDA DE VENDAS'!$H$6:$H$500 &amp; "x " &amp; 'SAÍDA DE VENDAS'!$G$6:$G$500, MATCH(B1362, 'SAÍDA DE VENDAS'!$B$6:$B$500, 0)+2), ""), "")&amp; IF(COUNTIF('SAÍDA DE VENDAS'!$B$6:$B$500, B1362)&gt;3, " + " &amp; IFERROR(INDEX('SAÍDA DE VENDAS'!$H$6:$H$500 &amp; "x " &amp; 'SAÍDA DE VENDAS'!$G$6:$G$500, MATCH(B1362, 'SAÍDA DE VENDAS'!$B$6:$B$500, 0)+3), ""), "")&amp; IF(COUNTIF('SAÍDA DE VENDAS'!$B$6:$B$500, B1362)&gt;4, " + " &amp; IFERROR(INDEX('SAÍDA DE VENDAS'!$H$6:$H$500 &amp; "x " &amp; 'SAÍDA DE VENDAS'!$G$6:$G$500, MATCH(B1362, 'SAÍDA DE VENDAS'!$B$6:$B$500, 0)+4), ""), "")&amp; IF(COUNTIF('SAÍDA DE VENDAS'!$B$6:$B$500, B1362)&gt;5, " + " &amp; IFERROR(INDEX('SAÍDA DE VENDAS'!$H$6:$H$500 &amp; "x " &amp; 'SAÍDA DE VENDAS'!$G$6:$G$500, MATCH(B1362, 'SAÍDA DE VENDAS'!$B$6:$B$500, 0)+5), ""), ""))</f>
        <v/>
      </c>
      <c r="G1362" s="28">
        <f>IFERROR(VLOOKUP(B1362,'SAÍDA DE VENDAS'!$B$6:$P$500,10,FALSE),"")</f>
        <v>0</v>
      </c>
      <c r="H1362" s="28" t="str">
        <f>IF(OR(ISBLANK(B1362),B1362=""), "", IF(B1362=B1361, (VALUE(LEFT(H1361,FIND("/",H1361)-1))+1)&amp;"/"&amp;RIGHT(H1361,LEN(H1361)-FIND("/",H1361)), "1/"&amp;IFERROR(VLOOKUP(B1362,'SAÍDA DE VENDAS'!$B$6:$P$500,13,FALSE),"1")))</f>
        <v/>
      </c>
      <c r="I1362" s="69" t="str">
        <f t="shared" si="42"/>
        <v/>
      </c>
      <c r="J1362" s="33" t="str">
        <f>IFERROR(VLOOKUP(B1362,'SAÍDA DE VENDAS'!$B$6:$P$500,15,FALSE),"")</f>
        <v/>
      </c>
      <c r="K1362" s="28" t="str">
        <f t="shared" ca="1" si="43"/>
        <v/>
      </c>
      <c r="L1362" s="28"/>
      <c r="M1362" s="28"/>
    </row>
    <row r="1363" spans="2:13" ht="15" customHeight="1" x14ac:dyDescent="0.3">
      <c r="B1363" s="34" t="str">
        <f>IF(B1362="","", IF(VALUE(LEFT(H1362,FIND("/",H1362)-1)) &lt; VALUE(RIGHT(H1362,LEN(H1362)-FIND("/",H1362))), B1362, IFERROR(INDEX('SAÍDA DE VENDAS'!$B$6:$B$500, MATCH(B1362,'SAÍDA DE VENDAS'!$B$6:$B$500,0)+COUNTIF('SAÍDA DE VENDAS'!$B$6:$B$500, B1362)),"")))</f>
        <v/>
      </c>
      <c r="C1363" s="35">
        <f>IFERROR(VLOOKUP(B1363,'SAÍDA DE VENDAS'!$B$6:$P$500,3,FALSE),"")</f>
        <v>0</v>
      </c>
      <c r="D1363" s="34">
        <f>IFERROR(VLOOKUP(B1363,'SAÍDA DE VENDAS'!$B$6:$P$500,4,FALSE),"")</f>
        <v>0</v>
      </c>
      <c r="E1363" s="34" t="str">
        <f>IFERROR(VLOOKUP(B1363,'SAÍDA DE VENDAS'!$B$6:$P$500,5,FALSE),"")</f>
        <v/>
      </c>
      <c r="F1363" s="34" t="str">
        <f>IF(OR(ISBLANK(B1363),B1363=""), "", IFERROR(INDEX('SAÍDA DE VENDAS'!$H$6:$H$500 &amp; "x " &amp; 'SAÍDA DE VENDAS'!$G$6:$G$500, MATCH(B1363, 'SAÍDA DE VENDAS'!$B$6:$B$500, 0)), "")&amp; IF(COUNTIF('SAÍDA DE VENDAS'!$B$6:$B$500, B1363)&gt;1, " + " &amp; IFERROR(INDEX('SAÍDA DE VENDAS'!$H$6:$H$500 &amp; "x " &amp; 'SAÍDA DE VENDAS'!$G$6:$G$500, MATCH(B1363, 'SAÍDA DE VENDAS'!$B$6:$B$500, 0)+1), ""), "")&amp; IF(COUNTIF('SAÍDA DE VENDAS'!$B$6:$B$500, B1363)&gt;2, " + " &amp; IFERROR(INDEX('SAÍDA DE VENDAS'!$H$6:$H$500 &amp; "x " &amp; 'SAÍDA DE VENDAS'!$G$6:$G$500, MATCH(B1363, 'SAÍDA DE VENDAS'!$B$6:$B$500, 0)+2), ""), "")&amp; IF(COUNTIF('SAÍDA DE VENDAS'!$B$6:$B$500, B1363)&gt;3, " + " &amp; IFERROR(INDEX('SAÍDA DE VENDAS'!$H$6:$H$500 &amp; "x " &amp; 'SAÍDA DE VENDAS'!$G$6:$G$500, MATCH(B1363, 'SAÍDA DE VENDAS'!$B$6:$B$500, 0)+3), ""), "")&amp; IF(COUNTIF('SAÍDA DE VENDAS'!$B$6:$B$500, B1363)&gt;4, " + " &amp; IFERROR(INDEX('SAÍDA DE VENDAS'!$H$6:$H$500 &amp; "x " &amp; 'SAÍDA DE VENDAS'!$G$6:$G$500, MATCH(B1363, 'SAÍDA DE VENDAS'!$B$6:$B$500, 0)+4), ""), "")&amp; IF(COUNTIF('SAÍDA DE VENDAS'!$B$6:$B$500, B1363)&gt;5, " + " &amp; IFERROR(INDEX('SAÍDA DE VENDAS'!$H$6:$H$500 &amp; "x " &amp; 'SAÍDA DE VENDAS'!$G$6:$G$500, MATCH(B1363, 'SAÍDA DE VENDAS'!$B$6:$B$500, 0)+5), ""), ""))</f>
        <v/>
      </c>
      <c r="G1363" s="34">
        <f>IFERROR(VLOOKUP(B1363,'SAÍDA DE VENDAS'!$B$6:$P$500,10,FALSE),"")</f>
        <v>0</v>
      </c>
      <c r="H1363" s="34" t="str">
        <f>IF(OR(ISBLANK(B1363),B1363=""), "", IF(B1363=B1362, (VALUE(LEFT(H1362,FIND("/",H1362)-1))+1)&amp;"/"&amp;RIGHT(H1362,LEN(H1362)-FIND("/",H1362)), "1/"&amp;IFERROR(VLOOKUP(B1363,'SAÍDA DE VENDAS'!$B$6:$P$500,13,FALSE),"1")))</f>
        <v/>
      </c>
      <c r="I1363" s="35" t="str">
        <f t="shared" si="42"/>
        <v/>
      </c>
      <c r="J1363" s="39" t="str">
        <f>IFERROR(VLOOKUP(B1363,'SAÍDA DE VENDAS'!$B$6:$P$500,15,FALSE),"")</f>
        <v/>
      </c>
      <c r="K1363" s="34" t="str">
        <f t="shared" ca="1" si="43"/>
        <v/>
      </c>
      <c r="L1363" s="34"/>
      <c r="M1363" s="34"/>
    </row>
    <row r="1364" spans="2:13" ht="15" customHeight="1" x14ac:dyDescent="0.3">
      <c r="B1364" s="28" t="str">
        <f>IF(B1363="","", IF(VALUE(LEFT(H1363,FIND("/",H1363)-1)) &lt; VALUE(RIGHT(H1363,LEN(H1363)-FIND("/",H1363))), B1363, IFERROR(INDEX('SAÍDA DE VENDAS'!$B$6:$B$500, MATCH(B1363,'SAÍDA DE VENDAS'!$B$6:$B$500,0)+COUNTIF('SAÍDA DE VENDAS'!$B$6:$B$500, B1363)),"")))</f>
        <v/>
      </c>
      <c r="C1364" s="29">
        <f>IFERROR(VLOOKUP(B1364,'SAÍDA DE VENDAS'!$B$6:$P$500,3,FALSE),"")</f>
        <v>0</v>
      </c>
      <c r="D1364" s="28">
        <f>IFERROR(VLOOKUP(B1364,'SAÍDA DE VENDAS'!$B$6:$P$500,4,FALSE),"")</f>
        <v>0</v>
      </c>
      <c r="E1364" s="28" t="str">
        <f>IFERROR(VLOOKUP(B1364,'SAÍDA DE VENDAS'!$B$6:$P$500,5,FALSE),"")</f>
        <v/>
      </c>
      <c r="F1364" s="28" t="str">
        <f>IF(OR(ISBLANK(B1364),B1364=""), "", IFERROR(INDEX('SAÍDA DE VENDAS'!$H$6:$H$500 &amp; "x " &amp; 'SAÍDA DE VENDAS'!$G$6:$G$500, MATCH(B1364, 'SAÍDA DE VENDAS'!$B$6:$B$500, 0)), "")&amp; IF(COUNTIF('SAÍDA DE VENDAS'!$B$6:$B$500, B1364)&gt;1, " + " &amp; IFERROR(INDEX('SAÍDA DE VENDAS'!$H$6:$H$500 &amp; "x " &amp; 'SAÍDA DE VENDAS'!$G$6:$G$500, MATCH(B1364, 'SAÍDA DE VENDAS'!$B$6:$B$500, 0)+1), ""), "")&amp; IF(COUNTIF('SAÍDA DE VENDAS'!$B$6:$B$500, B1364)&gt;2, " + " &amp; IFERROR(INDEX('SAÍDA DE VENDAS'!$H$6:$H$500 &amp; "x " &amp; 'SAÍDA DE VENDAS'!$G$6:$G$500, MATCH(B1364, 'SAÍDA DE VENDAS'!$B$6:$B$500, 0)+2), ""), "")&amp; IF(COUNTIF('SAÍDA DE VENDAS'!$B$6:$B$500, B1364)&gt;3, " + " &amp; IFERROR(INDEX('SAÍDA DE VENDAS'!$H$6:$H$500 &amp; "x " &amp; 'SAÍDA DE VENDAS'!$G$6:$G$500, MATCH(B1364, 'SAÍDA DE VENDAS'!$B$6:$B$500, 0)+3), ""), "")&amp; IF(COUNTIF('SAÍDA DE VENDAS'!$B$6:$B$500, B1364)&gt;4, " + " &amp; IFERROR(INDEX('SAÍDA DE VENDAS'!$H$6:$H$500 &amp; "x " &amp; 'SAÍDA DE VENDAS'!$G$6:$G$500, MATCH(B1364, 'SAÍDA DE VENDAS'!$B$6:$B$500, 0)+4), ""), "")&amp; IF(COUNTIF('SAÍDA DE VENDAS'!$B$6:$B$500, B1364)&gt;5, " + " &amp; IFERROR(INDEX('SAÍDA DE VENDAS'!$H$6:$H$500 &amp; "x " &amp; 'SAÍDA DE VENDAS'!$G$6:$G$500, MATCH(B1364, 'SAÍDA DE VENDAS'!$B$6:$B$500, 0)+5), ""), ""))</f>
        <v/>
      </c>
      <c r="G1364" s="28">
        <f>IFERROR(VLOOKUP(B1364,'SAÍDA DE VENDAS'!$B$6:$P$500,10,FALSE),"")</f>
        <v>0</v>
      </c>
      <c r="H1364" s="28" t="str">
        <f>IF(OR(ISBLANK(B1364),B1364=""), "", IF(B1364=B1363, (VALUE(LEFT(H1363,FIND("/",H1363)-1))+1)&amp;"/"&amp;RIGHT(H1363,LEN(H1363)-FIND("/",H1363)), "1/"&amp;IFERROR(VLOOKUP(B1364,'SAÍDA DE VENDAS'!$B$6:$P$500,13,FALSE),"1")))</f>
        <v/>
      </c>
      <c r="I1364" s="69" t="str">
        <f t="shared" si="42"/>
        <v/>
      </c>
      <c r="J1364" s="33" t="str">
        <f>IFERROR(VLOOKUP(B1364,'SAÍDA DE VENDAS'!$B$6:$P$500,15,FALSE),"")</f>
        <v/>
      </c>
      <c r="K1364" s="28" t="str">
        <f t="shared" ca="1" si="43"/>
        <v/>
      </c>
      <c r="L1364" s="28"/>
      <c r="M1364" s="28"/>
    </row>
    <row r="1365" spans="2:13" ht="15" customHeight="1" x14ac:dyDescent="0.3">
      <c r="B1365" s="34" t="str">
        <f>IF(B1364="","", IF(VALUE(LEFT(H1364,FIND("/",H1364)-1)) &lt; VALUE(RIGHT(H1364,LEN(H1364)-FIND("/",H1364))), B1364, IFERROR(INDEX('SAÍDA DE VENDAS'!$B$6:$B$500, MATCH(B1364,'SAÍDA DE VENDAS'!$B$6:$B$500,0)+COUNTIF('SAÍDA DE VENDAS'!$B$6:$B$500, B1364)),"")))</f>
        <v/>
      </c>
      <c r="C1365" s="35">
        <f>IFERROR(VLOOKUP(B1365,'SAÍDA DE VENDAS'!$B$6:$P$500,3,FALSE),"")</f>
        <v>0</v>
      </c>
      <c r="D1365" s="34">
        <f>IFERROR(VLOOKUP(B1365,'SAÍDA DE VENDAS'!$B$6:$P$500,4,FALSE),"")</f>
        <v>0</v>
      </c>
      <c r="E1365" s="34" t="str">
        <f>IFERROR(VLOOKUP(B1365,'SAÍDA DE VENDAS'!$B$6:$P$500,5,FALSE),"")</f>
        <v/>
      </c>
      <c r="F1365" s="34" t="str">
        <f>IF(OR(ISBLANK(B1365),B1365=""), "", IFERROR(INDEX('SAÍDA DE VENDAS'!$H$6:$H$500 &amp; "x " &amp; 'SAÍDA DE VENDAS'!$G$6:$G$500, MATCH(B1365, 'SAÍDA DE VENDAS'!$B$6:$B$500, 0)), "")&amp; IF(COUNTIF('SAÍDA DE VENDAS'!$B$6:$B$500, B1365)&gt;1, " + " &amp; IFERROR(INDEX('SAÍDA DE VENDAS'!$H$6:$H$500 &amp; "x " &amp; 'SAÍDA DE VENDAS'!$G$6:$G$500, MATCH(B1365, 'SAÍDA DE VENDAS'!$B$6:$B$500, 0)+1), ""), "")&amp; IF(COUNTIF('SAÍDA DE VENDAS'!$B$6:$B$500, B1365)&gt;2, " + " &amp; IFERROR(INDEX('SAÍDA DE VENDAS'!$H$6:$H$500 &amp; "x " &amp; 'SAÍDA DE VENDAS'!$G$6:$G$500, MATCH(B1365, 'SAÍDA DE VENDAS'!$B$6:$B$500, 0)+2), ""), "")&amp; IF(COUNTIF('SAÍDA DE VENDAS'!$B$6:$B$500, B1365)&gt;3, " + " &amp; IFERROR(INDEX('SAÍDA DE VENDAS'!$H$6:$H$500 &amp; "x " &amp; 'SAÍDA DE VENDAS'!$G$6:$G$500, MATCH(B1365, 'SAÍDA DE VENDAS'!$B$6:$B$500, 0)+3), ""), "")&amp; IF(COUNTIF('SAÍDA DE VENDAS'!$B$6:$B$500, B1365)&gt;4, " + " &amp; IFERROR(INDEX('SAÍDA DE VENDAS'!$H$6:$H$500 &amp; "x " &amp; 'SAÍDA DE VENDAS'!$G$6:$G$500, MATCH(B1365, 'SAÍDA DE VENDAS'!$B$6:$B$500, 0)+4), ""), "")&amp; IF(COUNTIF('SAÍDA DE VENDAS'!$B$6:$B$500, B1365)&gt;5, " + " &amp; IFERROR(INDEX('SAÍDA DE VENDAS'!$H$6:$H$500 &amp; "x " &amp; 'SAÍDA DE VENDAS'!$G$6:$G$500, MATCH(B1365, 'SAÍDA DE VENDAS'!$B$6:$B$500, 0)+5), ""), ""))</f>
        <v/>
      </c>
      <c r="G1365" s="34">
        <f>IFERROR(VLOOKUP(B1365,'SAÍDA DE VENDAS'!$B$6:$P$500,10,FALSE),"")</f>
        <v>0</v>
      </c>
      <c r="H1365" s="34" t="str">
        <f>IF(OR(ISBLANK(B1365),B1365=""), "", IF(B1365=B1364, (VALUE(LEFT(H1364,FIND("/",H1364)-1))+1)&amp;"/"&amp;RIGHT(H1364,LEN(H1364)-FIND("/",H1364)), "1/"&amp;IFERROR(VLOOKUP(B1365,'SAÍDA DE VENDAS'!$B$6:$P$500,13,FALSE),"1")))</f>
        <v/>
      </c>
      <c r="I1365" s="35" t="str">
        <f t="shared" si="42"/>
        <v/>
      </c>
      <c r="J1365" s="39" t="str">
        <f>IFERROR(VLOOKUP(B1365,'SAÍDA DE VENDAS'!$B$6:$P$500,15,FALSE),"")</f>
        <v/>
      </c>
      <c r="K1365" s="34" t="str">
        <f t="shared" ca="1" si="43"/>
        <v/>
      </c>
      <c r="L1365" s="34"/>
      <c r="M1365" s="34"/>
    </row>
    <row r="1366" spans="2:13" ht="15" customHeight="1" x14ac:dyDescent="0.3">
      <c r="B1366" s="28" t="str">
        <f>IF(B1365="","", IF(VALUE(LEFT(H1365,FIND("/",H1365)-1)) &lt; VALUE(RIGHT(H1365,LEN(H1365)-FIND("/",H1365))), B1365, IFERROR(INDEX('SAÍDA DE VENDAS'!$B$6:$B$500, MATCH(B1365,'SAÍDA DE VENDAS'!$B$6:$B$500,0)+COUNTIF('SAÍDA DE VENDAS'!$B$6:$B$500, B1365)),"")))</f>
        <v/>
      </c>
      <c r="C1366" s="29">
        <f>IFERROR(VLOOKUP(B1366,'SAÍDA DE VENDAS'!$B$6:$P$500,3,FALSE),"")</f>
        <v>0</v>
      </c>
      <c r="D1366" s="28">
        <f>IFERROR(VLOOKUP(B1366,'SAÍDA DE VENDAS'!$B$6:$P$500,4,FALSE),"")</f>
        <v>0</v>
      </c>
      <c r="E1366" s="28" t="str">
        <f>IFERROR(VLOOKUP(B1366,'SAÍDA DE VENDAS'!$B$6:$P$500,5,FALSE),"")</f>
        <v/>
      </c>
      <c r="F1366" s="28" t="str">
        <f>IF(OR(ISBLANK(B1366),B1366=""), "", IFERROR(INDEX('SAÍDA DE VENDAS'!$H$6:$H$500 &amp; "x " &amp; 'SAÍDA DE VENDAS'!$G$6:$G$500, MATCH(B1366, 'SAÍDA DE VENDAS'!$B$6:$B$500, 0)), "")&amp; IF(COUNTIF('SAÍDA DE VENDAS'!$B$6:$B$500, B1366)&gt;1, " + " &amp; IFERROR(INDEX('SAÍDA DE VENDAS'!$H$6:$H$500 &amp; "x " &amp; 'SAÍDA DE VENDAS'!$G$6:$G$500, MATCH(B1366, 'SAÍDA DE VENDAS'!$B$6:$B$500, 0)+1), ""), "")&amp; IF(COUNTIF('SAÍDA DE VENDAS'!$B$6:$B$500, B1366)&gt;2, " + " &amp; IFERROR(INDEX('SAÍDA DE VENDAS'!$H$6:$H$500 &amp; "x " &amp; 'SAÍDA DE VENDAS'!$G$6:$G$500, MATCH(B1366, 'SAÍDA DE VENDAS'!$B$6:$B$500, 0)+2), ""), "")&amp; IF(COUNTIF('SAÍDA DE VENDAS'!$B$6:$B$500, B1366)&gt;3, " + " &amp; IFERROR(INDEX('SAÍDA DE VENDAS'!$H$6:$H$500 &amp; "x " &amp; 'SAÍDA DE VENDAS'!$G$6:$G$500, MATCH(B1366, 'SAÍDA DE VENDAS'!$B$6:$B$500, 0)+3), ""), "")&amp; IF(COUNTIF('SAÍDA DE VENDAS'!$B$6:$B$500, B1366)&gt;4, " + " &amp; IFERROR(INDEX('SAÍDA DE VENDAS'!$H$6:$H$500 &amp; "x " &amp; 'SAÍDA DE VENDAS'!$G$6:$G$500, MATCH(B1366, 'SAÍDA DE VENDAS'!$B$6:$B$500, 0)+4), ""), "")&amp; IF(COUNTIF('SAÍDA DE VENDAS'!$B$6:$B$500, B1366)&gt;5, " + " &amp; IFERROR(INDEX('SAÍDA DE VENDAS'!$H$6:$H$500 &amp; "x " &amp; 'SAÍDA DE VENDAS'!$G$6:$G$500, MATCH(B1366, 'SAÍDA DE VENDAS'!$B$6:$B$500, 0)+5), ""), ""))</f>
        <v/>
      </c>
      <c r="G1366" s="28">
        <f>IFERROR(VLOOKUP(B1366,'SAÍDA DE VENDAS'!$B$6:$P$500,10,FALSE),"")</f>
        <v>0</v>
      </c>
      <c r="H1366" s="28" t="str">
        <f>IF(OR(ISBLANK(B1366),B1366=""), "", IF(B1366=B1365, (VALUE(LEFT(H1365,FIND("/",H1365)-1))+1)&amp;"/"&amp;RIGHT(H1365,LEN(H1365)-FIND("/",H1365)), "1/"&amp;IFERROR(VLOOKUP(B1366,'SAÍDA DE VENDAS'!$B$6:$P$500,13,FALSE),"1")))</f>
        <v/>
      </c>
      <c r="I1366" s="69" t="str">
        <f t="shared" si="42"/>
        <v/>
      </c>
      <c r="J1366" s="33" t="str">
        <f>IFERROR(VLOOKUP(B1366,'SAÍDA DE VENDAS'!$B$6:$P$500,15,FALSE),"")</f>
        <v/>
      </c>
      <c r="K1366" s="28" t="str">
        <f t="shared" ca="1" si="43"/>
        <v/>
      </c>
      <c r="L1366" s="28"/>
      <c r="M1366" s="28"/>
    </row>
    <row r="1367" spans="2:13" ht="15" customHeight="1" x14ac:dyDescent="0.3">
      <c r="B1367" s="34" t="str">
        <f>IF(B1366="","", IF(VALUE(LEFT(H1366,FIND("/",H1366)-1)) &lt; VALUE(RIGHT(H1366,LEN(H1366)-FIND("/",H1366))), B1366, IFERROR(INDEX('SAÍDA DE VENDAS'!$B$6:$B$500, MATCH(B1366,'SAÍDA DE VENDAS'!$B$6:$B$500,0)+COUNTIF('SAÍDA DE VENDAS'!$B$6:$B$500, B1366)),"")))</f>
        <v/>
      </c>
      <c r="C1367" s="35">
        <f>IFERROR(VLOOKUP(B1367,'SAÍDA DE VENDAS'!$B$6:$P$500,3,FALSE),"")</f>
        <v>0</v>
      </c>
      <c r="D1367" s="34">
        <f>IFERROR(VLOOKUP(B1367,'SAÍDA DE VENDAS'!$B$6:$P$500,4,FALSE),"")</f>
        <v>0</v>
      </c>
      <c r="E1367" s="34" t="str">
        <f>IFERROR(VLOOKUP(B1367,'SAÍDA DE VENDAS'!$B$6:$P$500,5,FALSE),"")</f>
        <v/>
      </c>
      <c r="F1367" s="34" t="str">
        <f>IF(OR(ISBLANK(B1367),B1367=""), "", IFERROR(INDEX('SAÍDA DE VENDAS'!$H$6:$H$500 &amp; "x " &amp; 'SAÍDA DE VENDAS'!$G$6:$G$500, MATCH(B1367, 'SAÍDA DE VENDAS'!$B$6:$B$500, 0)), "")&amp; IF(COUNTIF('SAÍDA DE VENDAS'!$B$6:$B$500, B1367)&gt;1, " + " &amp; IFERROR(INDEX('SAÍDA DE VENDAS'!$H$6:$H$500 &amp; "x " &amp; 'SAÍDA DE VENDAS'!$G$6:$G$500, MATCH(B1367, 'SAÍDA DE VENDAS'!$B$6:$B$500, 0)+1), ""), "")&amp; IF(COUNTIF('SAÍDA DE VENDAS'!$B$6:$B$500, B1367)&gt;2, " + " &amp; IFERROR(INDEX('SAÍDA DE VENDAS'!$H$6:$H$500 &amp; "x " &amp; 'SAÍDA DE VENDAS'!$G$6:$G$500, MATCH(B1367, 'SAÍDA DE VENDAS'!$B$6:$B$500, 0)+2), ""), "")&amp; IF(COUNTIF('SAÍDA DE VENDAS'!$B$6:$B$500, B1367)&gt;3, " + " &amp; IFERROR(INDEX('SAÍDA DE VENDAS'!$H$6:$H$500 &amp; "x " &amp; 'SAÍDA DE VENDAS'!$G$6:$G$500, MATCH(B1367, 'SAÍDA DE VENDAS'!$B$6:$B$500, 0)+3), ""), "")&amp; IF(COUNTIF('SAÍDA DE VENDAS'!$B$6:$B$500, B1367)&gt;4, " + " &amp; IFERROR(INDEX('SAÍDA DE VENDAS'!$H$6:$H$500 &amp; "x " &amp; 'SAÍDA DE VENDAS'!$G$6:$G$500, MATCH(B1367, 'SAÍDA DE VENDAS'!$B$6:$B$500, 0)+4), ""), "")&amp; IF(COUNTIF('SAÍDA DE VENDAS'!$B$6:$B$500, B1367)&gt;5, " + " &amp; IFERROR(INDEX('SAÍDA DE VENDAS'!$H$6:$H$500 &amp; "x " &amp; 'SAÍDA DE VENDAS'!$G$6:$G$500, MATCH(B1367, 'SAÍDA DE VENDAS'!$B$6:$B$500, 0)+5), ""), ""))</f>
        <v/>
      </c>
      <c r="G1367" s="34">
        <f>IFERROR(VLOOKUP(B1367,'SAÍDA DE VENDAS'!$B$6:$P$500,10,FALSE),"")</f>
        <v>0</v>
      </c>
      <c r="H1367" s="34" t="str">
        <f>IF(OR(ISBLANK(B1367),B1367=""), "", IF(B1367=B1366, (VALUE(LEFT(H1366,FIND("/",H1366)-1))+1)&amp;"/"&amp;RIGHT(H1366,LEN(H1366)-FIND("/",H1366)), "1/"&amp;IFERROR(VLOOKUP(B1367,'SAÍDA DE VENDAS'!$B$6:$P$500,13,FALSE),"1")))</f>
        <v/>
      </c>
      <c r="I1367" s="35" t="str">
        <f t="shared" si="42"/>
        <v/>
      </c>
      <c r="J1367" s="39" t="str">
        <f>IFERROR(VLOOKUP(B1367,'SAÍDA DE VENDAS'!$B$6:$P$500,15,FALSE),"")</f>
        <v/>
      </c>
      <c r="K1367" s="34" t="str">
        <f t="shared" ca="1" si="43"/>
        <v/>
      </c>
      <c r="L1367" s="34"/>
      <c r="M1367" s="34"/>
    </row>
    <row r="1368" spans="2:13" ht="15" customHeight="1" x14ac:dyDescent="0.3">
      <c r="B1368" s="28" t="str">
        <f>IF(B1367="","", IF(VALUE(LEFT(H1367,FIND("/",H1367)-1)) &lt; VALUE(RIGHT(H1367,LEN(H1367)-FIND("/",H1367))), B1367, IFERROR(INDEX('SAÍDA DE VENDAS'!$B$6:$B$500, MATCH(B1367,'SAÍDA DE VENDAS'!$B$6:$B$500,0)+COUNTIF('SAÍDA DE VENDAS'!$B$6:$B$500, B1367)),"")))</f>
        <v/>
      </c>
      <c r="C1368" s="29">
        <f>IFERROR(VLOOKUP(B1368,'SAÍDA DE VENDAS'!$B$6:$P$500,3,FALSE),"")</f>
        <v>0</v>
      </c>
      <c r="D1368" s="28">
        <f>IFERROR(VLOOKUP(B1368,'SAÍDA DE VENDAS'!$B$6:$P$500,4,FALSE),"")</f>
        <v>0</v>
      </c>
      <c r="E1368" s="28" t="str">
        <f>IFERROR(VLOOKUP(B1368,'SAÍDA DE VENDAS'!$B$6:$P$500,5,FALSE),"")</f>
        <v/>
      </c>
      <c r="F1368" s="28" t="str">
        <f>IF(OR(ISBLANK(B1368),B1368=""), "", IFERROR(INDEX('SAÍDA DE VENDAS'!$H$6:$H$500 &amp; "x " &amp; 'SAÍDA DE VENDAS'!$G$6:$G$500, MATCH(B1368, 'SAÍDA DE VENDAS'!$B$6:$B$500, 0)), "")&amp; IF(COUNTIF('SAÍDA DE VENDAS'!$B$6:$B$500, B1368)&gt;1, " + " &amp; IFERROR(INDEX('SAÍDA DE VENDAS'!$H$6:$H$500 &amp; "x " &amp; 'SAÍDA DE VENDAS'!$G$6:$G$500, MATCH(B1368, 'SAÍDA DE VENDAS'!$B$6:$B$500, 0)+1), ""), "")&amp; IF(COUNTIF('SAÍDA DE VENDAS'!$B$6:$B$500, B1368)&gt;2, " + " &amp; IFERROR(INDEX('SAÍDA DE VENDAS'!$H$6:$H$500 &amp; "x " &amp; 'SAÍDA DE VENDAS'!$G$6:$G$500, MATCH(B1368, 'SAÍDA DE VENDAS'!$B$6:$B$500, 0)+2), ""), "")&amp; IF(COUNTIF('SAÍDA DE VENDAS'!$B$6:$B$500, B1368)&gt;3, " + " &amp; IFERROR(INDEX('SAÍDA DE VENDAS'!$H$6:$H$500 &amp; "x " &amp; 'SAÍDA DE VENDAS'!$G$6:$G$500, MATCH(B1368, 'SAÍDA DE VENDAS'!$B$6:$B$500, 0)+3), ""), "")&amp; IF(COUNTIF('SAÍDA DE VENDAS'!$B$6:$B$500, B1368)&gt;4, " + " &amp; IFERROR(INDEX('SAÍDA DE VENDAS'!$H$6:$H$500 &amp; "x " &amp; 'SAÍDA DE VENDAS'!$G$6:$G$500, MATCH(B1368, 'SAÍDA DE VENDAS'!$B$6:$B$500, 0)+4), ""), "")&amp; IF(COUNTIF('SAÍDA DE VENDAS'!$B$6:$B$500, B1368)&gt;5, " + " &amp; IFERROR(INDEX('SAÍDA DE VENDAS'!$H$6:$H$500 &amp; "x " &amp; 'SAÍDA DE VENDAS'!$G$6:$G$500, MATCH(B1368, 'SAÍDA DE VENDAS'!$B$6:$B$500, 0)+5), ""), ""))</f>
        <v/>
      </c>
      <c r="G1368" s="28">
        <f>IFERROR(VLOOKUP(B1368,'SAÍDA DE VENDAS'!$B$6:$P$500,10,FALSE),"")</f>
        <v>0</v>
      </c>
      <c r="H1368" s="28" t="str">
        <f>IF(OR(ISBLANK(B1368),B1368=""), "", IF(B1368=B1367, (VALUE(LEFT(H1367,FIND("/",H1367)-1))+1)&amp;"/"&amp;RIGHT(H1367,LEN(H1367)-FIND("/",H1367)), "1/"&amp;IFERROR(VLOOKUP(B1368,'SAÍDA DE VENDAS'!$B$6:$P$500,13,FALSE),"1")))</f>
        <v/>
      </c>
      <c r="I1368" s="69" t="str">
        <f t="shared" si="42"/>
        <v/>
      </c>
      <c r="J1368" s="33" t="str">
        <f>IFERROR(VLOOKUP(B1368,'SAÍDA DE VENDAS'!$B$6:$P$500,15,FALSE),"")</f>
        <v/>
      </c>
      <c r="K1368" s="28" t="str">
        <f t="shared" ca="1" si="43"/>
        <v/>
      </c>
      <c r="L1368" s="28"/>
      <c r="M1368" s="28"/>
    </row>
    <row r="1369" spans="2:13" ht="15" customHeight="1" x14ac:dyDescent="0.3">
      <c r="B1369" s="34" t="str">
        <f>IF(B1368="","", IF(VALUE(LEFT(H1368,FIND("/",H1368)-1)) &lt; VALUE(RIGHT(H1368,LEN(H1368)-FIND("/",H1368))), B1368, IFERROR(INDEX('SAÍDA DE VENDAS'!$B$6:$B$500, MATCH(B1368,'SAÍDA DE VENDAS'!$B$6:$B$500,0)+COUNTIF('SAÍDA DE VENDAS'!$B$6:$B$500, B1368)),"")))</f>
        <v/>
      </c>
      <c r="C1369" s="35">
        <f>IFERROR(VLOOKUP(B1369,'SAÍDA DE VENDAS'!$B$6:$P$500,3,FALSE),"")</f>
        <v>0</v>
      </c>
      <c r="D1369" s="34">
        <f>IFERROR(VLOOKUP(B1369,'SAÍDA DE VENDAS'!$B$6:$P$500,4,FALSE),"")</f>
        <v>0</v>
      </c>
      <c r="E1369" s="34" t="str">
        <f>IFERROR(VLOOKUP(B1369,'SAÍDA DE VENDAS'!$B$6:$P$500,5,FALSE),"")</f>
        <v/>
      </c>
      <c r="F1369" s="34" t="str">
        <f>IF(OR(ISBLANK(B1369),B1369=""), "", IFERROR(INDEX('SAÍDA DE VENDAS'!$H$6:$H$500 &amp; "x " &amp; 'SAÍDA DE VENDAS'!$G$6:$G$500, MATCH(B1369, 'SAÍDA DE VENDAS'!$B$6:$B$500, 0)), "")&amp; IF(COUNTIF('SAÍDA DE VENDAS'!$B$6:$B$500, B1369)&gt;1, " + " &amp; IFERROR(INDEX('SAÍDA DE VENDAS'!$H$6:$H$500 &amp; "x " &amp; 'SAÍDA DE VENDAS'!$G$6:$G$500, MATCH(B1369, 'SAÍDA DE VENDAS'!$B$6:$B$500, 0)+1), ""), "")&amp; IF(COUNTIF('SAÍDA DE VENDAS'!$B$6:$B$500, B1369)&gt;2, " + " &amp; IFERROR(INDEX('SAÍDA DE VENDAS'!$H$6:$H$500 &amp; "x " &amp; 'SAÍDA DE VENDAS'!$G$6:$G$500, MATCH(B1369, 'SAÍDA DE VENDAS'!$B$6:$B$500, 0)+2), ""), "")&amp; IF(COUNTIF('SAÍDA DE VENDAS'!$B$6:$B$500, B1369)&gt;3, " + " &amp; IFERROR(INDEX('SAÍDA DE VENDAS'!$H$6:$H$500 &amp; "x " &amp; 'SAÍDA DE VENDAS'!$G$6:$G$500, MATCH(B1369, 'SAÍDA DE VENDAS'!$B$6:$B$500, 0)+3), ""), "")&amp; IF(COUNTIF('SAÍDA DE VENDAS'!$B$6:$B$500, B1369)&gt;4, " + " &amp; IFERROR(INDEX('SAÍDA DE VENDAS'!$H$6:$H$500 &amp; "x " &amp; 'SAÍDA DE VENDAS'!$G$6:$G$500, MATCH(B1369, 'SAÍDA DE VENDAS'!$B$6:$B$500, 0)+4), ""), "")&amp; IF(COUNTIF('SAÍDA DE VENDAS'!$B$6:$B$500, B1369)&gt;5, " + " &amp; IFERROR(INDEX('SAÍDA DE VENDAS'!$H$6:$H$500 &amp; "x " &amp; 'SAÍDA DE VENDAS'!$G$6:$G$500, MATCH(B1369, 'SAÍDA DE VENDAS'!$B$6:$B$500, 0)+5), ""), ""))</f>
        <v/>
      </c>
      <c r="G1369" s="34">
        <f>IFERROR(VLOOKUP(B1369,'SAÍDA DE VENDAS'!$B$6:$P$500,10,FALSE),"")</f>
        <v>0</v>
      </c>
      <c r="H1369" s="34" t="str">
        <f>IF(OR(ISBLANK(B1369),B1369=""), "", IF(B1369=B1368, (VALUE(LEFT(H1368,FIND("/",H1368)-1))+1)&amp;"/"&amp;RIGHT(H1368,LEN(H1368)-FIND("/",H1368)), "1/"&amp;IFERROR(VLOOKUP(B1369,'SAÍDA DE VENDAS'!$B$6:$P$500,13,FALSE),"1")))</f>
        <v/>
      </c>
      <c r="I1369" s="35" t="str">
        <f t="shared" si="42"/>
        <v/>
      </c>
      <c r="J1369" s="39" t="str">
        <f>IFERROR(VLOOKUP(B1369,'SAÍDA DE VENDAS'!$B$6:$P$500,15,FALSE),"")</f>
        <v/>
      </c>
      <c r="K1369" s="34" t="str">
        <f t="shared" ca="1" si="43"/>
        <v/>
      </c>
      <c r="L1369" s="34"/>
      <c r="M1369" s="34"/>
    </row>
    <row r="1370" spans="2:13" ht="15" customHeight="1" x14ac:dyDescent="0.3">
      <c r="B1370" s="28" t="str">
        <f>IF(B1369="","", IF(VALUE(LEFT(H1369,FIND("/",H1369)-1)) &lt; VALUE(RIGHT(H1369,LEN(H1369)-FIND("/",H1369))), B1369, IFERROR(INDEX('SAÍDA DE VENDAS'!$B$6:$B$500, MATCH(B1369,'SAÍDA DE VENDAS'!$B$6:$B$500,0)+COUNTIF('SAÍDA DE VENDAS'!$B$6:$B$500, B1369)),"")))</f>
        <v/>
      </c>
      <c r="C1370" s="29">
        <f>IFERROR(VLOOKUP(B1370,'SAÍDA DE VENDAS'!$B$6:$P$500,3,FALSE),"")</f>
        <v>0</v>
      </c>
      <c r="D1370" s="28">
        <f>IFERROR(VLOOKUP(B1370,'SAÍDA DE VENDAS'!$B$6:$P$500,4,FALSE),"")</f>
        <v>0</v>
      </c>
      <c r="E1370" s="28" t="str">
        <f>IFERROR(VLOOKUP(B1370,'SAÍDA DE VENDAS'!$B$6:$P$500,5,FALSE),"")</f>
        <v/>
      </c>
      <c r="F1370" s="28" t="str">
        <f>IF(OR(ISBLANK(B1370),B1370=""), "", IFERROR(INDEX('SAÍDA DE VENDAS'!$H$6:$H$500 &amp; "x " &amp; 'SAÍDA DE VENDAS'!$G$6:$G$500, MATCH(B1370, 'SAÍDA DE VENDAS'!$B$6:$B$500, 0)), "")&amp; IF(COUNTIF('SAÍDA DE VENDAS'!$B$6:$B$500, B1370)&gt;1, " + " &amp; IFERROR(INDEX('SAÍDA DE VENDAS'!$H$6:$H$500 &amp; "x " &amp; 'SAÍDA DE VENDAS'!$G$6:$G$500, MATCH(B1370, 'SAÍDA DE VENDAS'!$B$6:$B$500, 0)+1), ""), "")&amp; IF(COUNTIF('SAÍDA DE VENDAS'!$B$6:$B$500, B1370)&gt;2, " + " &amp; IFERROR(INDEX('SAÍDA DE VENDAS'!$H$6:$H$500 &amp; "x " &amp; 'SAÍDA DE VENDAS'!$G$6:$G$500, MATCH(B1370, 'SAÍDA DE VENDAS'!$B$6:$B$500, 0)+2), ""), "")&amp; IF(COUNTIF('SAÍDA DE VENDAS'!$B$6:$B$500, B1370)&gt;3, " + " &amp; IFERROR(INDEX('SAÍDA DE VENDAS'!$H$6:$H$500 &amp; "x " &amp; 'SAÍDA DE VENDAS'!$G$6:$G$500, MATCH(B1370, 'SAÍDA DE VENDAS'!$B$6:$B$500, 0)+3), ""), "")&amp; IF(COUNTIF('SAÍDA DE VENDAS'!$B$6:$B$500, B1370)&gt;4, " + " &amp; IFERROR(INDEX('SAÍDA DE VENDAS'!$H$6:$H$500 &amp; "x " &amp; 'SAÍDA DE VENDAS'!$G$6:$G$500, MATCH(B1370, 'SAÍDA DE VENDAS'!$B$6:$B$500, 0)+4), ""), "")&amp; IF(COUNTIF('SAÍDA DE VENDAS'!$B$6:$B$500, B1370)&gt;5, " + " &amp; IFERROR(INDEX('SAÍDA DE VENDAS'!$H$6:$H$500 &amp; "x " &amp; 'SAÍDA DE VENDAS'!$G$6:$G$500, MATCH(B1370, 'SAÍDA DE VENDAS'!$B$6:$B$500, 0)+5), ""), ""))</f>
        <v/>
      </c>
      <c r="G1370" s="28">
        <f>IFERROR(VLOOKUP(B1370,'SAÍDA DE VENDAS'!$B$6:$P$500,10,FALSE),"")</f>
        <v>0</v>
      </c>
      <c r="H1370" s="28" t="str">
        <f>IF(OR(ISBLANK(B1370),B1370=""), "", IF(B1370=B1369, (VALUE(LEFT(H1369,FIND("/",H1369)-1))+1)&amp;"/"&amp;RIGHT(H1369,LEN(H1369)-FIND("/",H1369)), "1/"&amp;IFERROR(VLOOKUP(B1370,'SAÍDA DE VENDAS'!$B$6:$P$500,13,FALSE),"1")))</f>
        <v/>
      </c>
      <c r="I1370" s="69" t="str">
        <f t="shared" si="42"/>
        <v/>
      </c>
      <c r="J1370" s="33" t="str">
        <f>IFERROR(VLOOKUP(B1370,'SAÍDA DE VENDAS'!$B$6:$P$500,15,FALSE),"")</f>
        <v/>
      </c>
      <c r="K1370" s="28" t="str">
        <f t="shared" ca="1" si="43"/>
        <v/>
      </c>
      <c r="L1370" s="28"/>
      <c r="M1370" s="28"/>
    </row>
    <row r="1371" spans="2:13" ht="15" customHeight="1" x14ac:dyDescent="0.3">
      <c r="B1371" s="34" t="str">
        <f>IF(B1370="","", IF(VALUE(LEFT(H1370,FIND("/",H1370)-1)) &lt; VALUE(RIGHT(H1370,LEN(H1370)-FIND("/",H1370))), B1370, IFERROR(INDEX('SAÍDA DE VENDAS'!$B$6:$B$500, MATCH(B1370,'SAÍDA DE VENDAS'!$B$6:$B$500,0)+COUNTIF('SAÍDA DE VENDAS'!$B$6:$B$500, B1370)),"")))</f>
        <v/>
      </c>
      <c r="C1371" s="35">
        <f>IFERROR(VLOOKUP(B1371,'SAÍDA DE VENDAS'!$B$6:$P$500,3,FALSE),"")</f>
        <v>0</v>
      </c>
      <c r="D1371" s="34">
        <f>IFERROR(VLOOKUP(B1371,'SAÍDA DE VENDAS'!$B$6:$P$500,4,FALSE),"")</f>
        <v>0</v>
      </c>
      <c r="E1371" s="34" t="str">
        <f>IFERROR(VLOOKUP(B1371,'SAÍDA DE VENDAS'!$B$6:$P$500,5,FALSE),"")</f>
        <v/>
      </c>
      <c r="F1371" s="34" t="str">
        <f>IF(OR(ISBLANK(B1371),B1371=""), "", IFERROR(INDEX('SAÍDA DE VENDAS'!$H$6:$H$500 &amp; "x " &amp; 'SAÍDA DE VENDAS'!$G$6:$G$500, MATCH(B1371, 'SAÍDA DE VENDAS'!$B$6:$B$500, 0)), "")&amp; IF(COUNTIF('SAÍDA DE VENDAS'!$B$6:$B$500, B1371)&gt;1, " + " &amp; IFERROR(INDEX('SAÍDA DE VENDAS'!$H$6:$H$500 &amp; "x " &amp; 'SAÍDA DE VENDAS'!$G$6:$G$500, MATCH(B1371, 'SAÍDA DE VENDAS'!$B$6:$B$500, 0)+1), ""), "")&amp; IF(COUNTIF('SAÍDA DE VENDAS'!$B$6:$B$500, B1371)&gt;2, " + " &amp; IFERROR(INDEX('SAÍDA DE VENDAS'!$H$6:$H$500 &amp; "x " &amp; 'SAÍDA DE VENDAS'!$G$6:$G$500, MATCH(B1371, 'SAÍDA DE VENDAS'!$B$6:$B$500, 0)+2), ""), "")&amp; IF(COUNTIF('SAÍDA DE VENDAS'!$B$6:$B$500, B1371)&gt;3, " + " &amp; IFERROR(INDEX('SAÍDA DE VENDAS'!$H$6:$H$500 &amp; "x " &amp; 'SAÍDA DE VENDAS'!$G$6:$G$500, MATCH(B1371, 'SAÍDA DE VENDAS'!$B$6:$B$500, 0)+3), ""), "")&amp; IF(COUNTIF('SAÍDA DE VENDAS'!$B$6:$B$500, B1371)&gt;4, " + " &amp; IFERROR(INDEX('SAÍDA DE VENDAS'!$H$6:$H$500 &amp; "x " &amp; 'SAÍDA DE VENDAS'!$G$6:$G$500, MATCH(B1371, 'SAÍDA DE VENDAS'!$B$6:$B$500, 0)+4), ""), "")&amp; IF(COUNTIF('SAÍDA DE VENDAS'!$B$6:$B$500, B1371)&gt;5, " + " &amp; IFERROR(INDEX('SAÍDA DE VENDAS'!$H$6:$H$500 &amp; "x " &amp; 'SAÍDA DE VENDAS'!$G$6:$G$500, MATCH(B1371, 'SAÍDA DE VENDAS'!$B$6:$B$500, 0)+5), ""), ""))</f>
        <v/>
      </c>
      <c r="G1371" s="34">
        <f>IFERROR(VLOOKUP(B1371,'SAÍDA DE VENDAS'!$B$6:$P$500,10,FALSE),"")</f>
        <v>0</v>
      </c>
      <c r="H1371" s="34" t="str">
        <f>IF(OR(ISBLANK(B1371),B1371=""), "", IF(B1371=B1370, (VALUE(LEFT(H1370,FIND("/",H1370)-1))+1)&amp;"/"&amp;RIGHT(H1370,LEN(H1370)-FIND("/",H1370)), "1/"&amp;IFERROR(VLOOKUP(B1371,'SAÍDA DE VENDAS'!$B$6:$P$500,13,FALSE),"1")))</f>
        <v/>
      </c>
      <c r="I1371" s="35" t="str">
        <f t="shared" si="42"/>
        <v/>
      </c>
      <c r="J1371" s="39" t="str">
        <f>IFERROR(VLOOKUP(B1371,'SAÍDA DE VENDAS'!$B$6:$P$500,15,FALSE),"")</f>
        <v/>
      </c>
      <c r="K1371" s="34" t="str">
        <f t="shared" ca="1" si="43"/>
        <v/>
      </c>
      <c r="L1371" s="34"/>
      <c r="M1371" s="34"/>
    </row>
    <row r="1372" spans="2:13" ht="15" customHeight="1" x14ac:dyDescent="0.3">
      <c r="B1372" s="28" t="str">
        <f>IF(B1371="","", IF(VALUE(LEFT(H1371,FIND("/",H1371)-1)) &lt; VALUE(RIGHT(H1371,LEN(H1371)-FIND("/",H1371))), B1371, IFERROR(INDEX('SAÍDA DE VENDAS'!$B$6:$B$500, MATCH(B1371,'SAÍDA DE VENDAS'!$B$6:$B$500,0)+COUNTIF('SAÍDA DE VENDAS'!$B$6:$B$500, B1371)),"")))</f>
        <v/>
      </c>
      <c r="C1372" s="29">
        <f>IFERROR(VLOOKUP(B1372,'SAÍDA DE VENDAS'!$B$6:$P$500,3,FALSE),"")</f>
        <v>0</v>
      </c>
      <c r="D1372" s="28">
        <f>IFERROR(VLOOKUP(B1372,'SAÍDA DE VENDAS'!$B$6:$P$500,4,FALSE),"")</f>
        <v>0</v>
      </c>
      <c r="E1372" s="28" t="str">
        <f>IFERROR(VLOOKUP(B1372,'SAÍDA DE VENDAS'!$B$6:$P$500,5,FALSE),"")</f>
        <v/>
      </c>
      <c r="F1372" s="28" t="str">
        <f>IF(OR(ISBLANK(B1372),B1372=""), "", IFERROR(INDEX('SAÍDA DE VENDAS'!$H$6:$H$500 &amp; "x " &amp; 'SAÍDA DE VENDAS'!$G$6:$G$500, MATCH(B1372, 'SAÍDA DE VENDAS'!$B$6:$B$500, 0)), "")&amp; IF(COUNTIF('SAÍDA DE VENDAS'!$B$6:$B$500, B1372)&gt;1, " + " &amp; IFERROR(INDEX('SAÍDA DE VENDAS'!$H$6:$H$500 &amp; "x " &amp; 'SAÍDA DE VENDAS'!$G$6:$G$500, MATCH(B1372, 'SAÍDA DE VENDAS'!$B$6:$B$500, 0)+1), ""), "")&amp; IF(COUNTIF('SAÍDA DE VENDAS'!$B$6:$B$500, B1372)&gt;2, " + " &amp; IFERROR(INDEX('SAÍDA DE VENDAS'!$H$6:$H$500 &amp; "x " &amp; 'SAÍDA DE VENDAS'!$G$6:$G$500, MATCH(B1372, 'SAÍDA DE VENDAS'!$B$6:$B$500, 0)+2), ""), "")&amp; IF(COUNTIF('SAÍDA DE VENDAS'!$B$6:$B$500, B1372)&gt;3, " + " &amp; IFERROR(INDEX('SAÍDA DE VENDAS'!$H$6:$H$500 &amp; "x " &amp; 'SAÍDA DE VENDAS'!$G$6:$G$500, MATCH(B1372, 'SAÍDA DE VENDAS'!$B$6:$B$500, 0)+3), ""), "")&amp; IF(COUNTIF('SAÍDA DE VENDAS'!$B$6:$B$500, B1372)&gt;4, " + " &amp; IFERROR(INDEX('SAÍDA DE VENDAS'!$H$6:$H$500 &amp; "x " &amp; 'SAÍDA DE VENDAS'!$G$6:$G$500, MATCH(B1372, 'SAÍDA DE VENDAS'!$B$6:$B$500, 0)+4), ""), "")&amp; IF(COUNTIF('SAÍDA DE VENDAS'!$B$6:$B$500, B1372)&gt;5, " + " &amp; IFERROR(INDEX('SAÍDA DE VENDAS'!$H$6:$H$500 &amp; "x " &amp; 'SAÍDA DE VENDAS'!$G$6:$G$500, MATCH(B1372, 'SAÍDA DE VENDAS'!$B$6:$B$500, 0)+5), ""), ""))</f>
        <v/>
      </c>
      <c r="G1372" s="28">
        <f>IFERROR(VLOOKUP(B1372,'SAÍDA DE VENDAS'!$B$6:$P$500,10,FALSE),"")</f>
        <v>0</v>
      </c>
      <c r="H1372" s="28" t="str">
        <f>IF(OR(ISBLANK(B1372),B1372=""), "", IF(B1372=B1371, (VALUE(LEFT(H1371,FIND("/",H1371)-1))+1)&amp;"/"&amp;RIGHT(H1371,LEN(H1371)-FIND("/",H1371)), "1/"&amp;IFERROR(VLOOKUP(B1372,'SAÍDA DE VENDAS'!$B$6:$P$500,13,FALSE),"1")))</f>
        <v/>
      </c>
      <c r="I1372" s="69" t="str">
        <f t="shared" si="42"/>
        <v/>
      </c>
      <c r="J1372" s="33" t="str">
        <f>IFERROR(VLOOKUP(B1372,'SAÍDA DE VENDAS'!$B$6:$P$500,15,FALSE),"")</f>
        <v/>
      </c>
      <c r="K1372" s="28" t="str">
        <f t="shared" ca="1" si="43"/>
        <v/>
      </c>
      <c r="L1372" s="28"/>
      <c r="M1372" s="28"/>
    </row>
    <row r="1373" spans="2:13" ht="15" customHeight="1" x14ac:dyDescent="0.3">
      <c r="B1373" s="34" t="str">
        <f>IF(B1372="","", IF(VALUE(LEFT(H1372,FIND("/",H1372)-1)) &lt; VALUE(RIGHT(H1372,LEN(H1372)-FIND("/",H1372))), B1372, IFERROR(INDEX('SAÍDA DE VENDAS'!$B$6:$B$500, MATCH(B1372,'SAÍDA DE VENDAS'!$B$6:$B$500,0)+COUNTIF('SAÍDA DE VENDAS'!$B$6:$B$500, B1372)),"")))</f>
        <v/>
      </c>
      <c r="C1373" s="35">
        <f>IFERROR(VLOOKUP(B1373,'SAÍDA DE VENDAS'!$B$6:$P$500,3,FALSE),"")</f>
        <v>0</v>
      </c>
      <c r="D1373" s="34">
        <f>IFERROR(VLOOKUP(B1373,'SAÍDA DE VENDAS'!$B$6:$P$500,4,FALSE),"")</f>
        <v>0</v>
      </c>
      <c r="E1373" s="34" t="str">
        <f>IFERROR(VLOOKUP(B1373,'SAÍDA DE VENDAS'!$B$6:$P$500,5,FALSE),"")</f>
        <v/>
      </c>
      <c r="F1373" s="34" t="str">
        <f>IF(OR(ISBLANK(B1373),B1373=""), "", IFERROR(INDEX('SAÍDA DE VENDAS'!$H$6:$H$500 &amp; "x " &amp; 'SAÍDA DE VENDAS'!$G$6:$G$500, MATCH(B1373, 'SAÍDA DE VENDAS'!$B$6:$B$500, 0)), "")&amp; IF(COUNTIF('SAÍDA DE VENDAS'!$B$6:$B$500, B1373)&gt;1, " + " &amp; IFERROR(INDEX('SAÍDA DE VENDAS'!$H$6:$H$500 &amp; "x " &amp; 'SAÍDA DE VENDAS'!$G$6:$G$500, MATCH(B1373, 'SAÍDA DE VENDAS'!$B$6:$B$500, 0)+1), ""), "")&amp; IF(COUNTIF('SAÍDA DE VENDAS'!$B$6:$B$500, B1373)&gt;2, " + " &amp; IFERROR(INDEX('SAÍDA DE VENDAS'!$H$6:$H$500 &amp; "x " &amp; 'SAÍDA DE VENDAS'!$G$6:$G$500, MATCH(B1373, 'SAÍDA DE VENDAS'!$B$6:$B$500, 0)+2), ""), "")&amp; IF(COUNTIF('SAÍDA DE VENDAS'!$B$6:$B$500, B1373)&gt;3, " + " &amp; IFERROR(INDEX('SAÍDA DE VENDAS'!$H$6:$H$500 &amp; "x " &amp; 'SAÍDA DE VENDAS'!$G$6:$G$500, MATCH(B1373, 'SAÍDA DE VENDAS'!$B$6:$B$500, 0)+3), ""), "")&amp; IF(COUNTIF('SAÍDA DE VENDAS'!$B$6:$B$500, B1373)&gt;4, " + " &amp; IFERROR(INDEX('SAÍDA DE VENDAS'!$H$6:$H$500 &amp; "x " &amp; 'SAÍDA DE VENDAS'!$G$6:$G$500, MATCH(B1373, 'SAÍDA DE VENDAS'!$B$6:$B$500, 0)+4), ""), "")&amp; IF(COUNTIF('SAÍDA DE VENDAS'!$B$6:$B$500, B1373)&gt;5, " + " &amp; IFERROR(INDEX('SAÍDA DE VENDAS'!$H$6:$H$500 &amp; "x " &amp; 'SAÍDA DE VENDAS'!$G$6:$G$500, MATCH(B1373, 'SAÍDA DE VENDAS'!$B$6:$B$500, 0)+5), ""), ""))</f>
        <v/>
      </c>
      <c r="G1373" s="34">
        <f>IFERROR(VLOOKUP(B1373,'SAÍDA DE VENDAS'!$B$6:$P$500,10,FALSE),"")</f>
        <v>0</v>
      </c>
      <c r="H1373" s="34" t="str">
        <f>IF(OR(ISBLANK(B1373),B1373=""), "", IF(B1373=B1372, (VALUE(LEFT(H1372,FIND("/",H1372)-1))+1)&amp;"/"&amp;RIGHT(H1372,LEN(H1372)-FIND("/",H1372)), "1/"&amp;IFERROR(VLOOKUP(B1373,'SAÍDA DE VENDAS'!$B$6:$P$500,13,FALSE),"1")))</f>
        <v/>
      </c>
      <c r="I1373" s="35" t="str">
        <f t="shared" si="42"/>
        <v/>
      </c>
      <c r="J1373" s="39" t="str">
        <f>IFERROR(VLOOKUP(B1373,'SAÍDA DE VENDAS'!$B$6:$P$500,15,FALSE),"")</f>
        <v/>
      </c>
      <c r="K1373" s="34" t="str">
        <f t="shared" ca="1" si="43"/>
        <v/>
      </c>
      <c r="L1373" s="34"/>
      <c r="M1373" s="34"/>
    </row>
    <row r="1374" spans="2:13" ht="15" customHeight="1" x14ac:dyDescent="0.3">
      <c r="B1374" s="28" t="str">
        <f>IF(B1373="","", IF(VALUE(LEFT(H1373,FIND("/",H1373)-1)) &lt; VALUE(RIGHT(H1373,LEN(H1373)-FIND("/",H1373))), B1373, IFERROR(INDEX('SAÍDA DE VENDAS'!$B$6:$B$500, MATCH(B1373,'SAÍDA DE VENDAS'!$B$6:$B$500,0)+COUNTIF('SAÍDA DE VENDAS'!$B$6:$B$500, B1373)),"")))</f>
        <v/>
      </c>
      <c r="C1374" s="29">
        <f>IFERROR(VLOOKUP(B1374,'SAÍDA DE VENDAS'!$B$6:$P$500,3,FALSE),"")</f>
        <v>0</v>
      </c>
      <c r="D1374" s="28">
        <f>IFERROR(VLOOKUP(B1374,'SAÍDA DE VENDAS'!$B$6:$P$500,4,FALSE),"")</f>
        <v>0</v>
      </c>
      <c r="E1374" s="28" t="str">
        <f>IFERROR(VLOOKUP(B1374,'SAÍDA DE VENDAS'!$B$6:$P$500,5,FALSE),"")</f>
        <v/>
      </c>
      <c r="F1374" s="28" t="str">
        <f>IF(OR(ISBLANK(B1374),B1374=""), "", IFERROR(INDEX('SAÍDA DE VENDAS'!$H$6:$H$500 &amp; "x " &amp; 'SAÍDA DE VENDAS'!$G$6:$G$500, MATCH(B1374, 'SAÍDA DE VENDAS'!$B$6:$B$500, 0)), "")&amp; IF(COUNTIF('SAÍDA DE VENDAS'!$B$6:$B$500, B1374)&gt;1, " + " &amp; IFERROR(INDEX('SAÍDA DE VENDAS'!$H$6:$H$500 &amp; "x " &amp; 'SAÍDA DE VENDAS'!$G$6:$G$500, MATCH(B1374, 'SAÍDA DE VENDAS'!$B$6:$B$500, 0)+1), ""), "")&amp; IF(COUNTIF('SAÍDA DE VENDAS'!$B$6:$B$500, B1374)&gt;2, " + " &amp; IFERROR(INDEX('SAÍDA DE VENDAS'!$H$6:$H$500 &amp; "x " &amp; 'SAÍDA DE VENDAS'!$G$6:$G$500, MATCH(B1374, 'SAÍDA DE VENDAS'!$B$6:$B$500, 0)+2), ""), "")&amp; IF(COUNTIF('SAÍDA DE VENDAS'!$B$6:$B$500, B1374)&gt;3, " + " &amp; IFERROR(INDEX('SAÍDA DE VENDAS'!$H$6:$H$500 &amp; "x " &amp; 'SAÍDA DE VENDAS'!$G$6:$G$500, MATCH(B1374, 'SAÍDA DE VENDAS'!$B$6:$B$500, 0)+3), ""), "")&amp; IF(COUNTIF('SAÍDA DE VENDAS'!$B$6:$B$500, B1374)&gt;4, " + " &amp; IFERROR(INDEX('SAÍDA DE VENDAS'!$H$6:$H$500 &amp; "x " &amp; 'SAÍDA DE VENDAS'!$G$6:$G$500, MATCH(B1374, 'SAÍDA DE VENDAS'!$B$6:$B$500, 0)+4), ""), "")&amp; IF(COUNTIF('SAÍDA DE VENDAS'!$B$6:$B$500, B1374)&gt;5, " + " &amp; IFERROR(INDEX('SAÍDA DE VENDAS'!$H$6:$H$500 &amp; "x " &amp; 'SAÍDA DE VENDAS'!$G$6:$G$500, MATCH(B1374, 'SAÍDA DE VENDAS'!$B$6:$B$500, 0)+5), ""), ""))</f>
        <v/>
      </c>
      <c r="G1374" s="28">
        <f>IFERROR(VLOOKUP(B1374,'SAÍDA DE VENDAS'!$B$6:$P$500,10,FALSE),"")</f>
        <v>0</v>
      </c>
      <c r="H1374" s="28" t="str">
        <f>IF(OR(ISBLANK(B1374),B1374=""), "", IF(B1374=B1373, (VALUE(LEFT(H1373,FIND("/",H1373)-1))+1)&amp;"/"&amp;RIGHT(H1373,LEN(H1373)-FIND("/",H1373)), "1/"&amp;IFERROR(VLOOKUP(B1374,'SAÍDA DE VENDAS'!$B$6:$P$500,13,FALSE),"1")))</f>
        <v/>
      </c>
      <c r="I1374" s="69" t="str">
        <f t="shared" si="42"/>
        <v/>
      </c>
      <c r="J1374" s="33" t="str">
        <f>IFERROR(VLOOKUP(B1374,'SAÍDA DE VENDAS'!$B$6:$P$500,15,FALSE),"")</f>
        <v/>
      </c>
      <c r="K1374" s="28" t="str">
        <f t="shared" ca="1" si="43"/>
        <v/>
      </c>
      <c r="L1374" s="28"/>
      <c r="M1374" s="28"/>
    </row>
    <row r="1375" spans="2:13" ht="15" customHeight="1" x14ac:dyDescent="0.3">
      <c r="B1375" s="34" t="str">
        <f>IF(B1374="","", IF(VALUE(LEFT(H1374,FIND("/",H1374)-1)) &lt; VALUE(RIGHT(H1374,LEN(H1374)-FIND("/",H1374))), B1374, IFERROR(INDEX('SAÍDA DE VENDAS'!$B$6:$B$500, MATCH(B1374,'SAÍDA DE VENDAS'!$B$6:$B$500,0)+COUNTIF('SAÍDA DE VENDAS'!$B$6:$B$500, B1374)),"")))</f>
        <v/>
      </c>
      <c r="C1375" s="35">
        <f>IFERROR(VLOOKUP(B1375,'SAÍDA DE VENDAS'!$B$6:$P$500,3,FALSE),"")</f>
        <v>0</v>
      </c>
      <c r="D1375" s="34">
        <f>IFERROR(VLOOKUP(B1375,'SAÍDA DE VENDAS'!$B$6:$P$500,4,FALSE),"")</f>
        <v>0</v>
      </c>
      <c r="E1375" s="34" t="str">
        <f>IFERROR(VLOOKUP(B1375,'SAÍDA DE VENDAS'!$B$6:$P$500,5,FALSE),"")</f>
        <v/>
      </c>
      <c r="F1375" s="34" t="str">
        <f>IF(OR(ISBLANK(B1375),B1375=""), "", IFERROR(INDEX('SAÍDA DE VENDAS'!$H$6:$H$500 &amp; "x " &amp; 'SAÍDA DE VENDAS'!$G$6:$G$500, MATCH(B1375, 'SAÍDA DE VENDAS'!$B$6:$B$500, 0)), "")&amp; IF(COUNTIF('SAÍDA DE VENDAS'!$B$6:$B$500, B1375)&gt;1, " + " &amp; IFERROR(INDEX('SAÍDA DE VENDAS'!$H$6:$H$500 &amp; "x " &amp; 'SAÍDA DE VENDAS'!$G$6:$G$500, MATCH(B1375, 'SAÍDA DE VENDAS'!$B$6:$B$500, 0)+1), ""), "")&amp; IF(COUNTIF('SAÍDA DE VENDAS'!$B$6:$B$500, B1375)&gt;2, " + " &amp; IFERROR(INDEX('SAÍDA DE VENDAS'!$H$6:$H$500 &amp; "x " &amp; 'SAÍDA DE VENDAS'!$G$6:$G$500, MATCH(B1375, 'SAÍDA DE VENDAS'!$B$6:$B$500, 0)+2), ""), "")&amp; IF(COUNTIF('SAÍDA DE VENDAS'!$B$6:$B$500, B1375)&gt;3, " + " &amp; IFERROR(INDEX('SAÍDA DE VENDAS'!$H$6:$H$500 &amp; "x " &amp; 'SAÍDA DE VENDAS'!$G$6:$G$500, MATCH(B1375, 'SAÍDA DE VENDAS'!$B$6:$B$500, 0)+3), ""), "")&amp; IF(COUNTIF('SAÍDA DE VENDAS'!$B$6:$B$500, B1375)&gt;4, " + " &amp; IFERROR(INDEX('SAÍDA DE VENDAS'!$H$6:$H$500 &amp; "x " &amp; 'SAÍDA DE VENDAS'!$G$6:$G$500, MATCH(B1375, 'SAÍDA DE VENDAS'!$B$6:$B$500, 0)+4), ""), "")&amp; IF(COUNTIF('SAÍDA DE VENDAS'!$B$6:$B$500, B1375)&gt;5, " + " &amp; IFERROR(INDEX('SAÍDA DE VENDAS'!$H$6:$H$500 &amp; "x " &amp; 'SAÍDA DE VENDAS'!$G$6:$G$500, MATCH(B1375, 'SAÍDA DE VENDAS'!$B$6:$B$500, 0)+5), ""), ""))</f>
        <v/>
      </c>
      <c r="G1375" s="34">
        <f>IFERROR(VLOOKUP(B1375,'SAÍDA DE VENDAS'!$B$6:$P$500,10,FALSE),"")</f>
        <v>0</v>
      </c>
      <c r="H1375" s="34" t="str">
        <f>IF(OR(ISBLANK(B1375),B1375=""), "", IF(B1375=B1374, (VALUE(LEFT(H1374,FIND("/",H1374)-1))+1)&amp;"/"&amp;RIGHT(H1374,LEN(H1374)-FIND("/",H1374)), "1/"&amp;IFERROR(VLOOKUP(B1375,'SAÍDA DE VENDAS'!$B$6:$P$500,13,FALSE),"1")))</f>
        <v/>
      </c>
      <c r="I1375" s="35" t="str">
        <f t="shared" si="42"/>
        <v/>
      </c>
      <c r="J1375" s="39" t="str">
        <f>IFERROR(VLOOKUP(B1375,'SAÍDA DE VENDAS'!$B$6:$P$500,15,FALSE),"")</f>
        <v/>
      </c>
      <c r="K1375" s="34" t="str">
        <f t="shared" ca="1" si="43"/>
        <v/>
      </c>
      <c r="L1375" s="34"/>
      <c r="M1375" s="34"/>
    </row>
    <row r="1376" spans="2:13" ht="15" customHeight="1" x14ac:dyDescent="0.3">
      <c r="B1376" s="28" t="str">
        <f>IF(B1375="","", IF(VALUE(LEFT(H1375,FIND("/",H1375)-1)) &lt; VALUE(RIGHT(H1375,LEN(H1375)-FIND("/",H1375))), B1375, IFERROR(INDEX('SAÍDA DE VENDAS'!$B$6:$B$500, MATCH(B1375,'SAÍDA DE VENDAS'!$B$6:$B$500,0)+COUNTIF('SAÍDA DE VENDAS'!$B$6:$B$500, B1375)),"")))</f>
        <v/>
      </c>
      <c r="C1376" s="29">
        <f>IFERROR(VLOOKUP(B1376,'SAÍDA DE VENDAS'!$B$6:$P$500,3,FALSE),"")</f>
        <v>0</v>
      </c>
      <c r="D1376" s="28">
        <f>IFERROR(VLOOKUP(B1376,'SAÍDA DE VENDAS'!$B$6:$P$500,4,FALSE),"")</f>
        <v>0</v>
      </c>
      <c r="E1376" s="28" t="str">
        <f>IFERROR(VLOOKUP(B1376,'SAÍDA DE VENDAS'!$B$6:$P$500,5,FALSE),"")</f>
        <v/>
      </c>
      <c r="F1376" s="28" t="str">
        <f>IF(OR(ISBLANK(B1376),B1376=""), "", IFERROR(INDEX('SAÍDA DE VENDAS'!$H$6:$H$500 &amp; "x " &amp; 'SAÍDA DE VENDAS'!$G$6:$G$500, MATCH(B1376, 'SAÍDA DE VENDAS'!$B$6:$B$500, 0)), "")&amp; IF(COUNTIF('SAÍDA DE VENDAS'!$B$6:$B$500, B1376)&gt;1, " + " &amp; IFERROR(INDEX('SAÍDA DE VENDAS'!$H$6:$H$500 &amp; "x " &amp; 'SAÍDA DE VENDAS'!$G$6:$G$500, MATCH(B1376, 'SAÍDA DE VENDAS'!$B$6:$B$500, 0)+1), ""), "")&amp; IF(COUNTIF('SAÍDA DE VENDAS'!$B$6:$B$500, B1376)&gt;2, " + " &amp; IFERROR(INDEX('SAÍDA DE VENDAS'!$H$6:$H$500 &amp; "x " &amp; 'SAÍDA DE VENDAS'!$G$6:$G$500, MATCH(B1376, 'SAÍDA DE VENDAS'!$B$6:$B$500, 0)+2), ""), "")&amp; IF(COUNTIF('SAÍDA DE VENDAS'!$B$6:$B$500, B1376)&gt;3, " + " &amp; IFERROR(INDEX('SAÍDA DE VENDAS'!$H$6:$H$500 &amp; "x " &amp; 'SAÍDA DE VENDAS'!$G$6:$G$500, MATCH(B1376, 'SAÍDA DE VENDAS'!$B$6:$B$500, 0)+3), ""), "")&amp; IF(COUNTIF('SAÍDA DE VENDAS'!$B$6:$B$500, B1376)&gt;4, " + " &amp; IFERROR(INDEX('SAÍDA DE VENDAS'!$H$6:$H$500 &amp; "x " &amp; 'SAÍDA DE VENDAS'!$G$6:$G$500, MATCH(B1376, 'SAÍDA DE VENDAS'!$B$6:$B$500, 0)+4), ""), "")&amp; IF(COUNTIF('SAÍDA DE VENDAS'!$B$6:$B$500, B1376)&gt;5, " + " &amp; IFERROR(INDEX('SAÍDA DE VENDAS'!$H$6:$H$500 &amp; "x " &amp; 'SAÍDA DE VENDAS'!$G$6:$G$500, MATCH(B1376, 'SAÍDA DE VENDAS'!$B$6:$B$500, 0)+5), ""), ""))</f>
        <v/>
      </c>
      <c r="G1376" s="28">
        <f>IFERROR(VLOOKUP(B1376,'SAÍDA DE VENDAS'!$B$6:$P$500,10,FALSE),"")</f>
        <v>0</v>
      </c>
      <c r="H1376" s="28" t="str">
        <f>IF(OR(ISBLANK(B1376),B1376=""), "", IF(B1376=B1375, (VALUE(LEFT(H1375,FIND("/",H1375)-1))+1)&amp;"/"&amp;RIGHT(H1375,LEN(H1375)-FIND("/",H1375)), "1/"&amp;IFERROR(VLOOKUP(B1376,'SAÍDA DE VENDAS'!$B$6:$P$500,13,FALSE),"1")))</f>
        <v/>
      </c>
      <c r="I1376" s="69" t="str">
        <f t="shared" si="42"/>
        <v/>
      </c>
      <c r="J1376" s="33" t="str">
        <f>IFERROR(VLOOKUP(B1376,'SAÍDA DE VENDAS'!$B$6:$P$500,15,FALSE),"")</f>
        <v/>
      </c>
      <c r="K1376" s="28" t="str">
        <f t="shared" ca="1" si="43"/>
        <v/>
      </c>
      <c r="L1376" s="28"/>
      <c r="M1376" s="28"/>
    </row>
    <row r="1377" spans="2:13" ht="15" customHeight="1" x14ac:dyDescent="0.3">
      <c r="B1377" s="34" t="str">
        <f>IF(B1376="","", IF(VALUE(LEFT(H1376,FIND("/",H1376)-1)) &lt; VALUE(RIGHT(H1376,LEN(H1376)-FIND("/",H1376))), B1376, IFERROR(INDEX('SAÍDA DE VENDAS'!$B$6:$B$500, MATCH(B1376,'SAÍDA DE VENDAS'!$B$6:$B$500,0)+COUNTIF('SAÍDA DE VENDAS'!$B$6:$B$500, B1376)),"")))</f>
        <v/>
      </c>
      <c r="C1377" s="35">
        <f>IFERROR(VLOOKUP(B1377,'SAÍDA DE VENDAS'!$B$6:$P$500,3,FALSE),"")</f>
        <v>0</v>
      </c>
      <c r="D1377" s="34">
        <f>IFERROR(VLOOKUP(B1377,'SAÍDA DE VENDAS'!$B$6:$P$500,4,FALSE),"")</f>
        <v>0</v>
      </c>
      <c r="E1377" s="34" t="str">
        <f>IFERROR(VLOOKUP(B1377,'SAÍDA DE VENDAS'!$B$6:$P$500,5,FALSE),"")</f>
        <v/>
      </c>
      <c r="F1377" s="34" t="str">
        <f>IF(OR(ISBLANK(B1377),B1377=""), "", IFERROR(INDEX('SAÍDA DE VENDAS'!$H$6:$H$500 &amp; "x " &amp; 'SAÍDA DE VENDAS'!$G$6:$G$500, MATCH(B1377, 'SAÍDA DE VENDAS'!$B$6:$B$500, 0)), "")&amp; IF(COUNTIF('SAÍDA DE VENDAS'!$B$6:$B$500, B1377)&gt;1, " + " &amp; IFERROR(INDEX('SAÍDA DE VENDAS'!$H$6:$H$500 &amp; "x " &amp; 'SAÍDA DE VENDAS'!$G$6:$G$500, MATCH(B1377, 'SAÍDA DE VENDAS'!$B$6:$B$500, 0)+1), ""), "")&amp; IF(COUNTIF('SAÍDA DE VENDAS'!$B$6:$B$500, B1377)&gt;2, " + " &amp; IFERROR(INDEX('SAÍDA DE VENDAS'!$H$6:$H$500 &amp; "x " &amp; 'SAÍDA DE VENDAS'!$G$6:$G$500, MATCH(B1377, 'SAÍDA DE VENDAS'!$B$6:$B$500, 0)+2), ""), "")&amp; IF(COUNTIF('SAÍDA DE VENDAS'!$B$6:$B$500, B1377)&gt;3, " + " &amp; IFERROR(INDEX('SAÍDA DE VENDAS'!$H$6:$H$500 &amp; "x " &amp; 'SAÍDA DE VENDAS'!$G$6:$G$500, MATCH(B1377, 'SAÍDA DE VENDAS'!$B$6:$B$500, 0)+3), ""), "")&amp; IF(COUNTIF('SAÍDA DE VENDAS'!$B$6:$B$500, B1377)&gt;4, " + " &amp; IFERROR(INDEX('SAÍDA DE VENDAS'!$H$6:$H$500 &amp; "x " &amp; 'SAÍDA DE VENDAS'!$G$6:$G$500, MATCH(B1377, 'SAÍDA DE VENDAS'!$B$6:$B$500, 0)+4), ""), "")&amp; IF(COUNTIF('SAÍDA DE VENDAS'!$B$6:$B$500, B1377)&gt;5, " + " &amp; IFERROR(INDEX('SAÍDA DE VENDAS'!$H$6:$H$500 &amp; "x " &amp; 'SAÍDA DE VENDAS'!$G$6:$G$500, MATCH(B1377, 'SAÍDA DE VENDAS'!$B$6:$B$500, 0)+5), ""), ""))</f>
        <v/>
      </c>
      <c r="G1377" s="34">
        <f>IFERROR(VLOOKUP(B1377,'SAÍDA DE VENDAS'!$B$6:$P$500,10,FALSE),"")</f>
        <v>0</v>
      </c>
      <c r="H1377" s="34" t="str">
        <f>IF(OR(ISBLANK(B1377),B1377=""), "", IF(B1377=B1376, (VALUE(LEFT(H1376,FIND("/",H1376)-1))+1)&amp;"/"&amp;RIGHT(H1376,LEN(H1376)-FIND("/",H1376)), "1/"&amp;IFERROR(VLOOKUP(B1377,'SAÍDA DE VENDAS'!$B$6:$P$500,13,FALSE),"1")))</f>
        <v/>
      </c>
      <c r="I1377" s="35" t="str">
        <f t="shared" si="42"/>
        <v/>
      </c>
      <c r="J1377" s="39" t="str">
        <f>IFERROR(VLOOKUP(B1377,'SAÍDA DE VENDAS'!$B$6:$P$500,15,FALSE),"")</f>
        <v/>
      </c>
      <c r="K1377" s="34" t="str">
        <f t="shared" ca="1" si="43"/>
        <v/>
      </c>
      <c r="L1377" s="34"/>
      <c r="M1377" s="34"/>
    </row>
    <row r="1378" spans="2:13" ht="15" customHeight="1" x14ac:dyDescent="0.3">
      <c r="B1378" s="28" t="str">
        <f>IF(B1377="","", IF(VALUE(LEFT(H1377,FIND("/",H1377)-1)) &lt; VALUE(RIGHT(H1377,LEN(H1377)-FIND("/",H1377))), B1377, IFERROR(INDEX('SAÍDA DE VENDAS'!$B$6:$B$500, MATCH(B1377,'SAÍDA DE VENDAS'!$B$6:$B$500,0)+COUNTIF('SAÍDA DE VENDAS'!$B$6:$B$500, B1377)),"")))</f>
        <v/>
      </c>
      <c r="C1378" s="29">
        <f>IFERROR(VLOOKUP(B1378,'SAÍDA DE VENDAS'!$B$6:$P$500,3,FALSE),"")</f>
        <v>0</v>
      </c>
      <c r="D1378" s="28">
        <f>IFERROR(VLOOKUP(B1378,'SAÍDA DE VENDAS'!$B$6:$P$500,4,FALSE),"")</f>
        <v>0</v>
      </c>
      <c r="E1378" s="28" t="str">
        <f>IFERROR(VLOOKUP(B1378,'SAÍDA DE VENDAS'!$B$6:$P$500,5,FALSE),"")</f>
        <v/>
      </c>
      <c r="F1378" s="28" t="str">
        <f>IF(OR(ISBLANK(B1378),B1378=""), "", IFERROR(INDEX('SAÍDA DE VENDAS'!$H$6:$H$500 &amp; "x " &amp; 'SAÍDA DE VENDAS'!$G$6:$G$500, MATCH(B1378, 'SAÍDA DE VENDAS'!$B$6:$B$500, 0)), "")&amp; IF(COUNTIF('SAÍDA DE VENDAS'!$B$6:$B$500, B1378)&gt;1, " + " &amp; IFERROR(INDEX('SAÍDA DE VENDAS'!$H$6:$H$500 &amp; "x " &amp; 'SAÍDA DE VENDAS'!$G$6:$G$500, MATCH(B1378, 'SAÍDA DE VENDAS'!$B$6:$B$500, 0)+1), ""), "")&amp; IF(COUNTIF('SAÍDA DE VENDAS'!$B$6:$B$500, B1378)&gt;2, " + " &amp; IFERROR(INDEX('SAÍDA DE VENDAS'!$H$6:$H$500 &amp; "x " &amp; 'SAÍDA DE VENDAS'!$G$6:$G$500, MATCH(B1378, 'SAÍDA DE VENDAS'!$B$6:$B$500, 0)+2), ""), "")&amp; IF(COUNTIF('SAÍDA DE VENDAS'!$B$6:$B$500, B1378)&gt;3, " + " &amp; IFERROR(INDEX('SAÍDA DE VENDAS'!$H$6:$H$500 &amp; "x " &amp; 'SAÍDA DE VENDAS'!$G$6:$G$500, MATCH(B1378, 'SAÍDA DE VENDAS'!$B$6:$B$500, 0)+3), ""), "")&amp; IF(COUNTIF('SAÍDA DE VENDAS'!$B$6:$B$500, B1378)&gt;4, " + " &amp; IFERROR(INDEX('SAÍDA DE VENDAS'!$H$6:$H$500 &amp; "x " &amp; 'SAÍDA DE VENDAS'!$G$6:$G$500, MATCH(B1378, 'SAÍDA DE VENDAS'!$B$6:$B$500, 0)+4), ""), "")&amp; IF(COUNTIF('SAÍDA DE VENDAS'!$B$6:$B$500, B1378)&gt;5, " + " &amp; IFERROR(INDEX('SAÍDA DE VENDAS'!$H$6:$H$500 &amp; "x " &amp; 'SAÍDA DE VENDAS'!$G$6:$G$500, MATCH(B1378, 'SAÍDA DE VENDAS'!$B$6:$B$500, 0)+5), ""), ""))</f>
        <v/>
      </c>
      <c r="G1378" s="28">
        <f>IFERROR(VLOOKUP(B1378,'SAÍDA DE VENDAS'!$B$6:$P$500,10,FALSE),"")</f>
        <v>0</v>
      </c>
      <c r="H1378" s="28" t="str">
        <f>IF(OR(ISBLANK(B1378),B1378=""), "", IF(B1378=B1377, (VALUE(LEFT(H1377,FIND("/",H1377)-1))+1)&amp;"/"&amp;RIGHT(H1377,LEN(H1377)-FIND("/",H1377)), "1/"&amp;IFERROR(VLOOKUP(B1378,'SAÍDA DE VENDAS'!$B$6:$P$500,13,FALSE),"1")))</f>
        <v/>
      </c>
      <c r="I1378" s="69" t="str">
        <f t="shared" si="42"/>
        <v/>
      </c>
      <c r="J1378" s="33" t="str">
        <f>IFERROR(VLOOKUP(B1378,'SAÍDA DE VENDAS'!$B$6:$P$500,15,FALSE),"")</f>
        <v/>
      </c>
      <c r="K1378" s="28" t="str">
        <f t="shared" ca="1" si="43"/>
        <v/>
      </c>
      <c r="L1378" s="28"/>
      <c r="M1378" s="28"/>
    </row>
    <row r="1379" spans="2:13" ht="15" customHeight="1" x14ac:dyDescent="0.3">
      <c r="B1379" s="34" t="str">
        <f>IF(B1378="","", IF(VALUE(LEFT(H1378,FIND("/",H1378)-1)) &lt; VALUE(RIGHT(H1378,LEN(H1378)-FIND("/",H1378))), B1378, IFERROR(INDEX('SAÍDA DE VENDAS'!$B$6:$B$500, MATCH(B1378,'SAÍDA DE VENDAS'!$B$6:$B$500,0)+COUNTIF('SAÍDA DE VENDAS'!$B$6:$B$500, B1378)),"")))</f>
        <v/>
      </c>
      <c r="C1379" s="35">
        <f>IFERROR(VLOOKUP(B1379,'SAÍDA DE VENDAS'!$B$6:$P$500,3,FALSE),"")</f>
        <v>0</v>
      </c>
      <c r="D1379" s="34">
        <f>IFERROR(VLOOKUP(B1379,'SAÍDA DE VENDAS'!$B$6:$P$500,4,FALSE),"")</f>
        <v>0</v>
      </c>
      <c r="E1379" s="34" t="str">
        <f>IFERROR(VLOOKUP(B1379,'SAÍDA DE VENDAS'!$B$6:$P$500,5,FALSE),"")</f>
        <v/>
      </c>
      <c r="F1379" s="34" t="str">
        <f>IF(OR(ISBLANK(B1379),B1379=""), "", IFERROR(INDEX('SAÍDA DE VENDAS'!$H$6:$H$500 &amp; "x " &amp; 'SAÍDA DE VENDAS'!$G$6:$G$500, MATCH(B1379, 'SAÍDA DE VENDAS'!$B$6:$B$500, 0)), "")&amp; IF(COUNTIF('SAÍDA DE VENDAS'!$B$6:$B$500, B1379)&gt;1, " + " &amp; IFERROR(INDEX('SAÍDA DE VENDAS'!$H$6:$H$500 &amp; "x " &amp; 'SAÍDA DE VENDAS'!$G$6:$G$500, MATCH(B1379, 'SAÍDA DE VENDAS'!$B$6:$B$500, 0)+1), ""), "")&amp; IF(COUNTIF('SAÍDA DE VENDAS'!$B$6:$B$500, B1379)&gt;2, " + " &amp; IFERROR(INDEX('SAÍDA DE VENDAS'!$H$6:$H$500 &amp; "x " &amp; 'SAÍDA DE VENDAS'!$G$6:$G$500, MATCH(B1379, 'SAÍDA DE VENDAS'!$B$6:$B$500, 0)+2), ""), "")&amp; IF(COUNTIF('SAÍDA DE VENDAS'!$B$6:$B$500, B1379)&gt;3, " + " &amp; IFERROR(INDEX('SAÍDA DE VENDAS'!$H$6:$H$500 &amp; "x " &amp; 'SAÍDA DE VENDAS'!$G$6:$G$500, MATCH(B1379, 'SAÍDA DE VENDAS'!$B$6:$B$500, 0)+3), ""), "")&amp; IF(COUNTIF('SAÍDA DE VENDAS'!$B$6:$B$500, B1379)&gt;4, " + " &amp; IFERROR(INDEX('SAÍDA DE VENDAS'!$H$6:$H$500 &amp; "x " &amp; 'SAÍDA DE VENDAS'!$G$6:$G$500, MATCH(B1379, 'SAÍDA DE VENDAS'!$B$6:$B$500, 0)+4), ""), "")&amp; IF(COUNTIF('SAÍDA DE VENDAS'!$B$6:$B$500, B1379)&gt;5, " + " &amp; IFERROR(INDEX('SAÍDA DE VENDAS'!$H$6:$H$500 &amp; "x " &amp; 'SAÍDA DE VENDAS'!$G$6:$G$500, MATCH(B1379, 'SAÍDA DE VENDAS'!$B$6:$B$500, 0)+5), ""), ""))</f>
        <v/>
      </c>
      <c r="G1379" s="34">
        <f>IFERROR(VLOOKUP(B1379,'SAÍDA DE VENDAS'!$B$6:$P$500,10,FALSE),"")</f>
        <v>0</v>
      </c>
      <c r="H1379" s="34" t="str">
        <f>IF(OR(ISBLANK(B1379),B1379=""), "", IF(B1379=B1378, (VALUE(LEFT(H1378,FIND("/",H1378)-1))+1)&amp;"/"&amp;RIGHT(H1378,LEN(H1378)-FIND("/",H1378)), "1/"&amp;IFERROR(VLOOKUP(B1379,'SAÍDA DE VENDAS'!$B$6:$P$500,13,FALSE),"1")))</f>
        <v/>
      </c>
      <c r="I1379" s="35" t="str">
        <f t="shared" si="42"/>
        <v/>
      </c>
      <c r="J1379" s="39" t="str">
        <f>IFERROR(VLOOKUP(B1379,'SAÍDA DE VENDAS'!$B$6:$P$500,15,FALSE),"")</f>
        <v/>
      </c>
      <c r="K1379" s="34" t="str">
        <f t="shared" ca="1" si="43"/>
        <v/>
      </c>
      <c r="L1379" s="34"/>
      <c r="M1379" s="34"/>
    </row>
    <row r="1380" spans="2:13" ht="15" customHeight="1" x14ac:dyDescent="0.3">
      <c r="B1380" s="28" t="str">
        <f>IF(B1379="","", IF(VALUE(LEFT(H1379,FIND("/",H1379)-1)) &lt; VALUE(RIGHT(H1379,LEN(H1379)-FIND("/",H1379))), B1379, IFERROR(INDEX('SAÍDA DE VENDAS'!$B$6:$B$500, MATCH(B1379,'SAÍDA DE VENDAS'!$B$6:$B$500,0)+COUNTIF('SAÍDA DE VENDAS'!$B$6:$B$500, B1379)),"")))</f>
        <v/>
      </c>
      <c r="C1380" s="29">
        <f>IFERROR(VLOOKUP(B1380,'SAÍDA DE VENDAS'!$B$6:$P$500,3,FALSE),"")</f>
        <v>0</v>
      </c>
      <c r="D1380" s="28">
        <f>IFERROR(VLOOKUP(B1380,'SAÍDA DE VENDAS'!$B$6:$P$500,4,FALSE),"")</f>
        <v>0</v>
      </c>
      <c r="E1380" s="28" t="str">
        <f>IFERROR(VLOOKUP(B1380,'SAÍDA DE VENDAS'!$B$6:$P$500,5,FALSE),"")</f>
        <v/>
      </c>
      <c r="F1380" s="28" t="str">
        <f>IF(OR(ISBLANK(B1380),B1380=""), "", IFERROR(INDEX('SAÍDA DE VENDAS'!$H$6:$H$500 &amp; "x " &amp; 'SAÍDA DE VENDAS'!$G$6:$G$500, MATCH(B1380, 'SAÍDA DE VENDAS'!$B$6:$B$500, 0)), "")&amp; IF(COUNTIF('SAÍDA DE VENDAS'!$B$6:$B$500, B1380)&gt;1, " + " &amp; IFERROR(INDEX('SAÍDA DE VENDAS'!$H$6:$H$500 &amp; "x " &amp; 'SAÍDA DE VENDAS'!$G$6:$G$500, MATCH(B1380, 'SAÍDA DE VENDAS'!$B$6:$B$500, 0)+1), ""), "")&amp; IF(COUNTIF('SAÍDA DE VENDAS'!$B$6:$B$500, B1380)&gt;2, " + " &amp; IFERROR(INDEX('SAÍDA DE VENDAS'!$H$6:$H$500 &amp; "x " &amp; 'SAÍDA DE VENDAS'!$G$6:$G$500, MATCH(B1380, 'SAÍDA DE VENDAS'!$B$6:$B$500, 0)+2), ""), "")&amp; IF(COUNTIF('SAÍDA DE VENDAS'!$B$6:$B$500, B1380)&gt;3, " + " &amp; IFERROR(INDEX('SAÍDA DE VENDAS'!$H$6:$H$500 &amp; "x " &amp; 'SAÍDA DE VENDAS'!$G$6:$G$500, MATCH(B1380, 'SAÍDA DE VENDAS'!$B$6:$B$500, 0)+3), ""), "")&amp; IF(COUNTIF('SAÍDA DE VENDAS'!$B$6:$B$500, B1380)&gt;4, " + " &amp; IFERROR(INDEX('SAÍDA DE VENDAS'!$H$6:$H$500 &amp; "x " &amp; 'SAÍDA DE VENDAS'!$G$6:$G$500, MATCH(B1380, 'SAÍDA DE VENDAS'!$B$6:$B$500, 0)+4), ""), "")&amp; IF(COUNTIF('SAÍDA DE VENDAS'!$B$6:$B$500, B1380)&gt;5, " + " &amp; IFERROR(INDEX('SAÍDA DE VENDAS'!$H$6:$H$500 &amp; "x " &amp; 'SAÍDA DE VENDAS'!$G$6:$G$500, MATCH(B1380, 'SAÍDA DE VENDAS'!$B$6:$B$500, 0)+5), ""), ""))</f>
        <v/>
      </c>
      <c r="G1380" s="28">
        <f>IFERROR(VLOOKUP(B1380,'SAÍDA DE VENDAS'!$B$6:$P$500,10,FALSE),"")</f>
        <v>0</v>
      </c>
      <c r="H1380" s="28" t="str">
        <f>IF(OR(ISBLANK(B1380),B1380=""), "", IF(B1380=B1379, (VALUE(LEFT(H1379,FIND("/",H1379)-1))+1)&amp;"/"&amp;RIGHT(H1379,LEN(H1379)-FIND("/",H1379)), "1/"&amp;IFERROR(VLOOKUP(B1380,'SAÍDA DE VENDAS'!$B$6:$P$500,13,FALSE),"1")))</f>
        <v/>
      </c>
      <c r="I1380" s="69" t="str">
        <f t="shared" si="42"/>
        <v/>
      </c>
      <c r="J1380" s="33" t="str">
        <f>IFERROR(VLOOKUP(B1380,'SAÍDA DE VENDAS'!$B$6:$P$500,15,FALSE),"")</f>
        <v/>
      </c>
      <c r="K1380" s="28" t="str">
        <f t="shared" ca="1" si="43"/>
        <v/>
      </c>
      <c r="L1380" s="28"/>
      <c r="M1380" s="28"/>
    </row>
    <row r="1381" spans="2:13" ht="15" customHeight="1" x14ac:dyDescent="0.3">
      <c r="B1381" s="34" t="str">
        <f>IF(B1380="","", IF(VALUE(LEFT(H1380,FIND("/",H1380)-1)) &lt; VALUE(RIGHT(H1380,LEN(H1380)-FIND("/",H1380))), B1380, IFERROR(INDEX('SAÍDA DE VENDAS'!$B$6:$B$500, MATCH(B1380,'SAÍDA DE VENDAS'!$B$6:$B$500,0)+COUNTIF('SAÍDA DE VENDAS'!$B$6:$B$500, B1380)),"")))</f>
        <v/>
      </c>
      <c r="C1381" s="35">
        <f>IFERROR(VLOOKUP(B1381,'SAÍDA DE VENDAS'!$B$6:$P$500,3,FALSE),"")</f>
        <v>0</v>
      </c>
      <c r="D1381" s="34">
        <f>IFERROR(VLOOKUP(B1381,'SAÍDA DE VENDAS'!$B$6:$P$500,4,FALSE),"")</f>
        <v>0</v>
      </c>
      <c r="E1381" s="34" t="str">
        <f>IFERROR(VLOOKUP(B1381,'SAÍDA DE VENDAS'!$B$6:$P$500,5,FALSE),"")</f>
        <v/>
      </c>
      <c r="F1381" s="34" t="str">
        <f>IF(OR(ISBLANK(B1381),B1381=""), "", IFERROR(INDEX('SAÍDA DE VENDAS'!$H$6:$H$500 &amp; "x " &amp; 'SAÍDA DE VENDAS'!$G$6:$G$500, MATCH(B1381, 'SAÍDA DE VENDAS'!$B$6:$B$500, 0)), "")&amp; IF(COUNTIF('SAÍDA DE VENDAS'!$B$6:$B$500, B1381)&gt;1, " + " &amp; IFERROR(INDEX('SAÍDA DE VENDAS'!$H$6:$H$500 &amp; "x " &amp; 'SAÍDA DE VENDAS'!$G$6:$G$500, MATCH(B1381, 'SAÍDA DE VENDAS'!$B$6:$B$500, 0)+1), ""), "")&amp; IF(COUNTIF('SAÍDA DE VENDAS'!$B$6:$B$500, B1381)&gt;2, " + " &amp; IFERROR(INDEX('SAÍDA DE VENDAS'!$H$6:$H$500 &amp; "x " &amp; 'SAÍDA DE VENDAS'!$G$6:$G$500, MATCH(B1381, 'SAÍDA DE VENDAS'!$B$6:$B$500, 0)+2), ""), "")&amp; IF(COUNTIF('SAÍDA DE VENDAS'!$B$6:$B$500, B1381)&gt;3, " + " &amp; IFERROR(INDEX('SAÍDA DE VENDAS'!$H$6:$H$500 &amp; "x " &amp; 'SAÍDA DE VENDAS'!$G$6:$G$500, MATCH(B1381, 'SAÍDA DE VENDAS'!$B$6:$B$500, 0)+3), ""), "")&amp; IF(COUNTIF('SAÍDA DE VENDAS'!$B$6:$B$500, B1381)&gt;4, " + " &amp; IFERROR(INDEX('SAÍDA DE VENDAS'!$H$6:$H$500 &amp; "x " &amp; 'SAÍDA DE VENDAS'!$G$6:$G$500, MATCH(B1381, 'SAÍDA DE VENDAS'!$B$6:$B$500, 0)+4), ""), "")&amp; IF(COUNTIF('SAÍDA DE VENDAS'!$B$6:$B$500, B1381)&gt;5, " + " &amp; IFERROR(INDEX('SAÍDA DE VENDAS'!$H$6:$H$500 &amp; "x " &amp; 'SAÍDA DE VENDAS'!$G$6:$G$500, MATCH(B1381, 'SAÍDA DE VENDAS'!$B$6:$B$500, 0)+5), ""), ""))</f>
        <v/>
      </c>
      <c r="G1381" s="34">
        <f>IFERROR(VLOOKUP(B1381,'SAÍDA DE VENDAS'!$B$6:$P$500,10,FALSE),"")</f>
        <v>0</v>
      </c>
      <c r="H1381" s="34" t="str">
        <f>IF(OR(ISBLANK(B1381),B1381=""), "", IF(B1381=B1380, (VALUE(LEFT(H1380,FIND("/",H1380)-1))+1)&amp;"/"&amp;RIGHT(H1380,LEN(H1380)-FIND("/",H1380)), "1/"&amp;IFERROR(VLOOKUP(B1381,'SAÍDA DE VENDAS'!$B$6:$P$500,13,FALSE),"1")))</f>
        <v/>
      </c>
      <c r="I1381" s="35" t="str">
        <f t="shared" si="42"/>
        <v/>
      </c>
      <c r="J1381" s="39" t="str">
        <f>IFERROR(VLOOKUP(B1381,'SAÍDA DE VENDAS'!$B$6:$P$500,15,FALSE),"")</f>
        <v/>
      </c>
      <c r="K1381" s="34" t="str">
        <f t="shared" ca="1" si="43"/>
        <v/>
      </c>
      <c r="L1381" s="34"/>
      <c r="M1381" s="34"/>
    </row>
    <row r="1382" spans="2:13" ht="15" customHeight="1" x14ac:dyDescent="0.3">
      <c r="B1382" s="28" t="str">
        <f>IF(B1381="","", IF(VALUE(LEFT(H1381,FIND("/",H1381)-1)) &lt; VALUE(RIGHT(H1381,LEN(H1381)-FIND("/",H1381))), B1381, IFERROR(INDEX('SAÍDA DE VENDAS'!$B$6:$B$500, MATCH(B1381,'SAÍDA DE VENDAS'!$B$6:$B$500,0)+COUNTIF('SAÍDA DE VENDAS'!$B$6:$B$500, B1381)),"")))</f>
        <v/>
      </c>
      <c r="C1382" s="29">
        <f>IFERROR(VLOOKUP(B1382,'SAÍDA DE VENDAS'!$B$6:$P$500,3,FALSE),"")</f>
        <v>0</v>
      </c>
      <c r="D1382" s="28">
        <f>IFERROR(VLOOKUP(B1382,'SAÍDA DE VENDAS'!$B$6:$P$500,4,FALSE),"")</f>
        <v>0</v>
      </c>
      <c r="E1382" s="28" t="str">
        <f>IFERROR(VLOOKUP(B1382,'SAÍDA DE VENDAS'!$B$6:$P$500,5,FALSE),"")</f>
        <v/>
      </c>
      <c r="F1382" s="28" t="str">
        <f>IF(OR(ISBLANK(B1382),B1382=""), "", IFERROR(INDEX('SAÍDA DE VENDAS'!$H$6:$H$500 &amp; "x " &amp; 'SAÍDA DE VENDAS'!$G$6:$G$500, MATCH(B1382, 'SAÍDA DE VENDAS'!$B$6:$B$500, 0)), "")&amp; IF(COUNTIF('SAÍDA DE VENDAS'!$B$6:$B$500, B1382)&gt;1, " + " &amp; IFERROR(INDEX('SAÍDA DE VENDAS'!$H$6:$H$500 &amp; "x " &amp; 'SAÍDA DE VENDAS'!$G$6:$G$500, MATCH(B1382, 'SAÍDA DE VENDAS'!$B$6:$B$500, 0)+1), ""), "")&amp; IF(COUNTIF('SAÍDA DE VENDAS'!$B$6:$B$500, B1382)&gt;2, " + " &amp; IFERROR(INDEX('SAÍDA DE VENDAS'!$H$6:$H$500 &amp; "x " &amp; 'SAÍDA DE VENDAS'!$G$6:$G$500, MATCH(B1382, 'SAÍDA DE VENDAS'!$B$6:$B$500, 0)+2), ""), "")&amp; IF(COUNTIF('SAÍDA DE VENDAS'!$B$6:$B$500, B1382)&gt;3, " + " &amp; IFERROR(INDEX('SAÍDA DE VENDAS'!$H$6:$H$500 &amp; "x " &amp; 'SAÍDA DE VENDAS'!$G$6:$G$500, MATCH(B1382, 'SAÍDA DE VENDAS'!$B$6:$B$500, 0)+3), ""), "")&amp; IF(COUNTIF('SAÍDA DE VENDAS'!$B$6:$B$500, B1382)&gt;4, " + " &amp; IFERROR(INDEX('SAÍDA DE VENDAS'!$H$6:$H$500 &amp; "x " &amp; 'SAÍDA DE VENDAS'!$G$6:$G$500, MATCH(B1382, 'SAÍDA DE VENDAS'!$B$6:$B$500, 0)+4), ""), "")&amp; IF(COUNTIF('SAÍDA DE VENDAS'!$B$6:$B$500, B1382)&gt;5, " + " &amp; IFERROR(INDEX('SAÍDA DE VENDAS'!$H$6:$H$500 &amp; "x " &amp; 'SAÍDA DE VENDAS'!$G$6:$G$500, MATCH(B1382, 'SAÍDA DE VENDAS'!$B$6:$B$500, 0)+5), ""), ""))</f>
        <v/>
      </c>
      <c r="G1382" s="28">
        <f>IFERROR(VLOOKUP(B1382,'SAÍDA DE VENDAS'!$B$6:$P$500,10,FALSE),"")</f>
        <v>0</v>
      </c>
      <c r="H1382" s="28" t="str">
        <f>IF(OR(ISBLANK(B1382),B1382=""), "", IF(B1382=B1381, (VALUE(LEFT(H1381,FIND("/",H1381)-1))+1)&amp;"/"&amp;RIGHT(H1381,LEN(H1381)-FIND("/",H1381)), "1/"&amp;IFERROR(VLOOKUP(B1382,'SAÍDA DE VENDAS'!$B$6:$P$500,13,FALSE),"1")))</f>
        <v/>
      </c>
      <c r="I1382" s="69" t="str">
        <f t="shared" si="42"/>
        <v/>
      </c>
      <c r="J1382" s="33" t="str">
        <f>IFERROR(VLOOKUP(B1382,'SAÍDA DE VENDAS'!$B$6:$P$500,15,FALSE),"")</f>
        <v/>
      </c>
      <c r="K1382" s="28" t="str">
        <f t="shared" ca="1" si="43"/>
        <v/>
      </c>
      <c r="L1382" s="28"/>
      <c r="M1382" s="28"/>
    </row>
    <row r="1383" spans="2:13" ht="15" customHeight="1" x14ac:dyDescent="0.3">
      <c r="B1383" s="34" t="str">
        <f>IF(B1382="","", IF(VALUE(LEFT(H1382,FIND("/",H1382)-1)) &lt; VALUE(RIGHT(H1382,LEN(H1382)-FIND("/",H1382))), B1382, IFERROR(INDEX('SAÍDA DE VENDAS'!$B$6:$B$500, MATCH(B1382,'SAÍDA DE VENDAS'!$B$6:$B$500,0)+COUNTIF('SAÍDA DE VENDAS'!$B$6:$B$500, B1382)),"")))</f>
        <v/>
      </c>
      <c r="C1383" s="35">
        <f>IFERROR(VLOOKUP(B1383,'SAÍDA DE VENDAS'!$B$6:$P$500,3,FALSE),"")</f>
        <v>0</v>
      </c>
      <c r="D1383" s="34">
        <f>IFERROR(VLOOKUP(B1383,'SAÍDA DE VENDAS'!$B$6:$P$500,4,FALSE),"")</f>
        <v>0</v>
      </c>
      <c r="E1383" s="34" t="str">
        <f>IFERROR(VLOOKUP(B1383,'SAÍDA DE VENDAS'!$B$6:$P$500,5,FALSE),"")</f>
        <v/>
      </c>
      <c r="F1383" s="34" t="str">
        <f>IF(OR(ISBLANK(B1383),B1383=""), "", IFERROR(INDEX('SAÍDA DE VENDAS'!$H$6:$H$500 &amp; "x " &amp; 'SAÍDA DE VENDAS'!$G$6:$G$500, MATCH(B1383, 'SAÍDA DE VENDAS'!$B$6:$B$500, 0)), "")&amp; IF(COUNTIF('SAÍDA DE VENDAS'!$B$6:$B$500, B1383)&gt;1, " + " &amp; IFERROR(INDEX('SAÍDA DE VENDAS'!$H$6:$H$500 &amp; "x " &amp; 'SAÍDA DE VENDAS'!$G$6:$G$500, MATCH(B1383, 'SAÍDA DE VENDAS'!$B$6:$B$500, 0)+1), ""), "")&amp; IF(COUNTIF('SAÍDA DE VENDAS'!$B$6:$B$500, B1383)&gt;2, " + " &amp; IFERROR(INDEX('SAÍDA DE VENDAS'!$H$6:$H$500 &amp; "x " &amp; 'SAÍDA DE VENDAS'!$G$6:$G$500, MATCH(B1383, 'SAÍDA DE VENDAS'!$B$6:$B$500, 0)+2), ""), "")&amp; IF(COUNTIF('SAÍDA DE VENDAS'!$B$6:$B$500, B1383)&gt;3, " + " &amp; IFERROR(INDEX('SAÍDA DE VENDAS'!$H$6:$H$500 &amp; "x " &amp; 'SAÍDA DE VENDAS'!$G$6:$G$500, MATCH(B1383, 'SAÍDA DE VENDAS'!$B$6:$B$500, 0)+3), ""), "")&amp; IF(COUNTIF('SAÍDA DE VENDAS'!$B$6:$B$500, B1383)&gt;4, " + " &amp; IFERROR(INDEX('SAÍDA DE VENDAS'!$H$6:$H$500 &amp; "x " &amp; 'SAÍDA DE VENDAS'!$G$6:$G$500, MATCH(B1383, 'SAÍDA DE VENDAS'!$B$6:$B$500, 0)+4), ""), "")&amp; IF(COUNTIF('SAÍDA DE VENDAS'!$B$6:$B$500, B1383)&gt;5, " + " &amp; IFERROR(INDEX('SAÍDA DE VENDAS'!$H$6:$H$500 &amp; "x " &amp; 'SAÍDA DE VENDAS'!$G$6:$G$500, MATCH(B1383, 'SAÍDA DE VENDAS'!$B$6:$B$500, 0)+5), ""), ""))</f>
        <v/>
      </c>
      <c r="G1383" s="34">
        <f>IFERROR(VLOOKUP(B1383,'SAÍDA DE VENDAS'!$B$6:$P$500,10,FALSE),"")</f>
        <v>0</v>
      </c>
      <c r="H1383" s="34" t="str">
        <f>IF(OR(ISBLANK(B1383),B1383=""), "", IF(B1383=B1382, (VALUE(LEFT(H1382,FIND("/",H1382)-1))+1)&amp;"/"&amp;RIGHT(H1382,LEN(H1382)-FIND("/",H1382)), "1/"&amp;IFERROR(VLOOKUP(B1383,'SAÍDA DE VENDAS'!$B$6:$P$500,13,FALSE),"1")))</f>
        <v/>
      </c>
      <c r="I1383" s="35" t="str">
        <f t="shared" si="42"/>
        <v/>
      </c>
      <c r="J1383" s="39" t="str">
        <f>IFERROR(VLOOKUP(B1383,'SAÍDA DE VENDAS'!$B$6:$P$500,15,FALSE),"")</f>
        <v/>
      </c>
      <c r="K1383" s="34" t="str">
        <f t="shared" ca="1" si="43"/>
        <v/>
      </c>
      <c r="L1383" s="34"/>
      <c r="M1383" s="34"/>
    </row>
    <row r="1384" spans="2:13" ht="15" customHeight="1" x14ac:dyDescent="0.3">
      <c r="B1384" s="28" t="str">
        <f>IF(B1383="","", IF(VALUE(LEFT(H1383,FIND("/",H1383)-1)) &lt; VALUE(RIGHT(H1383,LEN(H1383)-FIND("/",H1383))), B1383, IFERROR(INDEX('SAÍDA DE VENDAS'!$B$6:$B$500, MATCH(B1383,'SAÍDA DE VENDAS'!$B$6:$B$500,0)+COUNTIF('SAÍDA DE VENDAS'!$B$6:$B$500, B1383)),"")))</f>
        <v/>
      </c>
      <c r="C1384" s="29">
        <f>IFERROR(VLOOKUP(B1384,'SAÍDA DE VENDAS'!$B$6:$P$500,3,FALSE),"")</f>
        <v>0</v>
      </c>
      <c r="D1384" s="28">
        <f>IFERROR(VLOOKUP(B1384,'SAÍDA DE VENDAS'!$B$6:$P$500,4,FALSE),"")</f>
        <v>0</v>
      </c>
      <c r="E1384" s="28" t="str">
        <f>IFERROR(VLOOKUP(B1384,'SAÍDA DE VENDAS'!$B$6:$P$500,5,FALSE),"")</f>
        <v/>
      </c>
      <c r="F1384" s="28" t="str">
        <f>IF(OR(ISBLANK(B1384),B1384=""), "", IFERROR(INDEX('SAÍDA DE VENDAS'!$H$6:$H$500 &amp; "x " &amp; 'SAÍDA DE VENDAS'!$G$6:$G$500, MATCH(B1384, 'SAÍDA DE VENDAS'!$B$6:$B$500, 0)), "")&amp; IF(COUNTIF('SAÍDA DE VENDAS'!$B$6:$B$500, B1384)&gt;1, " + " &amp; IFERROR(INDEX('SAÍDA DE VENDAS'!$H$6:$H$500 &amp; "x " &amp; 'SAÍDA DE VENDAS'!$G$6:$G$500, MATCH(B1384, 'SAÍDA DE VENDAS'!$B$6:$B$500, 0)+1), ""), "")&amp; IF(COUNTIF('SAÍDA DE VENDAS'!$B$6:$B$500, B1384)&gt;2, " + " &amp; IFERROR(INDEX('SAÍDA DE VENDAS'!$H$6:$H$500 &amp; "x " &amp; 'SAÍDA DE VENDAS'!$G$6:$G$500, MATCH(B1384, 'SAÍDA DE VENDAS'!$B$6:$B$500, 0)+2), ""), "")&amp; IF(COUNTIF('SAÍDA DE VENDAS'!$B$6:$B$500, B1384)&gt;3, " + " &amp; IFERROR(INDEX('SAÍDA DE VENDAS'!$H$6:$H$500 &amp; "x " &amp; 'SAÍDA DE VENDAS'!$G$6:$G$500, MATCH(B1384, 'SAÍDA DE VENDAS'!$B$6:$B$500, 0)+3), ""), "")&amp; IF(COUNTIF('SAÍDA DE VENDAS'!$B$6:$B$500, B1384)&gt;4, " + " &amp; IFERROR(INDEX('SAÍDA DE VENDAS'!$H$6:$H$500 &amp; "x " &amp; 'SAÍDA DE VENDAS'!$G$6:$G$500, MATCH(B1384, 'SAÍDA DE VENDAS'!$B$6:$B$500, 0)+4), ""), "")&amp; IF(COUNTIF('SAÍDA DE VENDAS'!$B$6:$B$500, B1384)&gt;5, " + " &amp; IFERROR(INDEX('SAÍDA DE VENDAS'!$H$6:$H$500 &amp; "x " &amp; 'SAÍDA DE VENDAS'!$G$6:$G$500, MATCH(B1384, 'SAÍDA DE VENDAS'!$B$6:$B$500, 0)+5), ""), ""))</f>
        <v/>
      </c>
      <c r="G1384" s="28">
        <f>IFERROR(VLOOKUP(B1384,'SAÍDA DE VENDAS'!$B$6:$P$500,10,FALSE),"")</f>
        <v>0</v>
      </c>
      <c r="H1384" s="28" t="str">
        <f>IF(OR(ISBLANK(B1384),B1384=""), "", IF(B1384=B1383, (VALUE(LEFT(H1383,FIND("/",H1383)-1))+1)&amp;"/"&amp;RIGHT(H1383,LEN(H1383)-FIND("/",H1383)), "1/"&amp;IFERROR(VLOOKUP(B1384,'SAÍDA DE VENDAS'!$B$6:$P$500,13,FALSE),"1")))</f>
        <v/>
      </c>
      <c r="I1384" s="69" t="str">
        <f t="shared" si="42"/>
        <v/>
      </c>
      <c r="J1384" s="33" t="str">
        <f>IFERROR(VLOOKUP(B1384,'SAÍDA DE VENDAS'!$B$6:$P$500,15,FALSE),"")</f>
        <v/>
      </c>
      <c r="K1384" s="28" t="str">
        <f t="shared" ca="1" si="43"/>
        <v/>
      </c>
      <c r="L1384" s="28"/>
      <c r="M1384" s="28"/>
    </row>
    <row r="1385" spans="2:13" ht="15" customHeight="1" x14ac:dyDescent="0.3">
      <c r="B1385" s="34" t="str">
        <f>IF(B1384="","", IF(VALUE(LEFT(H1384,FIND("/",H1384)-1)) &lt; VALUE(RIGHT(H1384,LEN(H1384)-FIND("/",H1384))), B1384, IFERROR(INDEX('SAÍDA DE VENDAS'!$B$6:$B$500, MATCH(B1384,'SAÍDA DE VENDAS'!$B$6:$B$500,0)+COUNTIF('SAÍDA DE VENDAS'!$B$6:$B$500, B1384)),"")))</f>
        <v/>
      </c>
      <c r="C1385" s="35">
        <f>IFERROR(VLOOKUP(B1385,'SAÍDA DE VENDAS'!$B$6:$P$500,3,FALSE),"")</f>
        <v>0</v>
      </c>
      <c r="D1385" s="34">
        <f>IFERROR(VLOOKUP(B1385,'SAÍDA DE VENDAS'!$B$6:$P$500,4,FALSE),"")</f>
        <v>0</v>
      </c>
      <c r="E1385" s="34" t="str">
        <f>IFERROR(VLOOKUP(B1385,'SAÍDA DE VENDAS'!$B$6:$P$500,5,FALSE),"")</f>
        <v/>
      </c>
      <c r="F1385" s="34" t="str">
        <f>IF(OR(ISBLANK(B1385),B1385=""), "", IFERROR(INDEX('SAÍDA DE VENDAS'!$H$6:$H$500 &amp; "x " &amp; 'SAÍDA DE VENDAS'!$G$6:$G$500, MATCH(B1385, 'SAÍDA DE VENDAS'!$B$6:$B$500, 0)), "")&amp; IF(COUNTIF('SAÍDA DE VENDAS'!$B$6:$B$500, B1385)&gt;1, " + " &amp; IFERROR(INDEX('SAÍDA DE VENDAS'!$H$6:$H$500 &amp; "x " &amp; 'SAÍDA DE VENDAS'!$G$6:$G$500, MATCH(B1385, 'SAÍDA DE VENDAS'!$B$6:$B$500, 0)+1), ""), "")&amp; IF(COUNTIF('SAÍDA DE VENDAS'!$B$6:$B$500, B1385)&gt;2, " + " &amp; IFERROR(INDEX('SAÍDA DE VENDAS'!$H$6:$H$500 &amp; "x " &amp; 'SAÍDA DE VENDAS'!$G$6:$G$500, MATCH(B1385, 'SAÍDA DE VENDAS'!$B$6:$B$500, 0)+2), ""), "")&amp; IF(COUNTIF('SAÍDA DE VENDAS'!$B$6:$B$500, B1385)&gt;3, " + " &amp; IFERROR(INDEX('SAÍDA DE VENDAS'!$H$6:$H$500 &amp; "x " &amp; 'SAÍDA DE VENDAS'!$G$6:$G$500, MATCH(B1385, 'SAÍDA DE VENDAS'!$B$6:$B$500, 0)+3), ""), "")&amp; IF(COUNTIF('SAÍDA DE VENDAS'!$B$6:$B$500, B1385)&gt;4, " + " &amp; IFERROR(INDEX('SAÍDA DE VENDAS'!$H$6:$H$500 &amp; "x " &amp; 'SAÍDA DE VENDAS'!$G$6:$G$500, MATCH(B1385, 'SAÍDA DE VENDAS'!$B$6:$B$500, 0)+4), ""), "")&amp; IF(COUNTIF('SAÍDA DE VENDAS'!$B$6:$B$500, B1385)&gt;5, " + " &amp; IFERROR(INDEX('SAÍDA DE VENDAS'!$H$6:$H$500 &amp; "x " &amp; 'SAÍDA DE VENDAS'!$G$6:$G$500, MATCH(B1385, 'SAÍDA DE VENDAS'!$B$6:$B$500, 0)+5), ""), ""))</f>
        <v/>
      </c>
      <c r="G1385" s="34">
        <f>IFERROR(VLOOKUP(B1385,'SAÍDA DE VENDAS'!$B$6:$P$500,10,FALSE),"")</f>
        <v>0</v>
      </c>
      <c r="H1385" s="34" t="str">
        <f>IF(OR(ISBLANK(B1385),B1385=""), "", IF(B1385=B1384, (VALUE(LEFT(H1384,FIND("/",H1384)-1))+1)&amp;"/"&amp;RIGHT(H1384,LEN(H1384)-FIND("/",H1384)), "1/"&amp;IFERROR(VLOOKUP(B1385,'SAÍDA DE VENDAS'!$B$6:$P$500,13,FALSE),"1")))</f>
        <v/>
      </c>
      <c r="I1385" s="35" t="str">
        <f t="shared" si="42"/>
        <v/>
      </c>
      <c r="J1385" s="39" t="str">
        <f>IFERROR(VLOOKUP(B1385,'SAÍDA DE VENDAS'!$B$6:$P$500,15,FALSE),"")</f>
        <v/>
      </c>
      <c r="K1385" s="34" t="str">
        <f t="shared" ca="1" si="43"/>
        <v/>
      </c>
      <c r="L1385" s="34"/>
      <c r="M1385" s="34"/>
    </row>
    <row r="1386" spans="2:13" ht="15" customHeight="1" x14ac:dyDescent="0.3">
      <c r="B1386" s="28" t="str">
        <f>IF(B1385="","", IF(VALUE(LEFT(H1385,FIND("/",H1385)-1)) &lt; VALUE(RIGHT(H1385,LEN(H1385)-FIND("/",H1385))), B1385, IFERROR(INDEX('SAÍDA DE VENDAS'!$B$6:$B$500, MATCH(B1385,'SAÍDA DE VENDAS'!$B$6:$B$500,0)+COUNTIF('SAÍDA DE VENDAS'!$B$6:$B$500, B1385)),"")))</f>
        <v/>
      </c>
      <c r="C1386" s="29">
        <f>IFERROR(VLOOKUP(B1386,'SAÍDA DE VENDAS'!$B$6:$P$500,3,FALSE),"")</f>
        <v>0</v>
      </c>
      <c r="D1386" s="28">
        <f>IFERROR(VLOOKUP(B1386,'SAÍDA DE VENDAS'!$B$6:$P$500,4,FALSE),"")</f>
        <v>0</v>
      </c>
      <c r="E1386" s="28" t="str">
        <f>IFERROR(VLOOKUP(B1386,'SAÍDA DE VENDAS'!$B$6:$P$500,5,FALSE),"")</f>
        <v/>
      </c>
      <c r="F1386" s="28" t="str">
        <f>IF(OR(ISBLANK(B1386),B1386=""), "", IFERROR(INDEX('SAÍDA DE VENDAS'!$H$6:$H$500 &amp; "x " &amp; 'SAÍDA DE VENDAS'!$G$6:$G$500, MATCH(B1386, 'SAÍDA DE VENDAS'!$B$6:$B$500, 0)), "")&amp; IF(COUNTIF('SAÍDA DE VENDAS'!$B$6:$B$500, B1386)&gt;1, " + " &amp; IFERROR(INDEX('SAÍDA DE VENDAS'!$H$6:$H$500 &amp; "x " &amp; 'SAÍDA DE VENDAS'!$G$6:$G$500, MATCH(B1386, 'SAÍDA DE VENDAS'!$B$6:$B$500, 0)+1), ""), "")&amp; IF(COUNTIF('SAÍDA DE VENDAS'!$B$6:$B$500, B1386)&gt;2, " + " &amp; IFERROR(INDEX('SAÍDA DE VENDAS'!$H$6:$H$500 &amp; "x " &amp; 'SAÍDA DE VENDAS'!$G$6:$G$500, MATCH(B1386, 'SAÍDA DE VENDAS'!$B$6:$B$500, 0)+2), ""), "")&amp; IF(COUNTIF('SAÍDA DE VENDAS'!$B$6:$B$500, B1386)&gt;3, " + " &amp; IFERROR(INDEX('SAÍDA DE VENDAS'!$H$6:$H$500 &amp; "x " &amp; 'SAÍDA DE VENDAS'!$G$6:$G$500, MATCH(B1386, 'SAÍDA DE VENDAS'!$B$6:$B$500, 0)+3), ""), "")&amp; IF(COUNTIF('SAÍDA DE VENDAS'!$B$6:$B$500, B1386)&gt;4, " + " &amp; IFERROR(INDEX('SAÍDA DE VENDAS'!$H$6:$H$500 &amp; "x " &amp; 'SAÍDA DE VENDAS'!$G$6:$G$500, MATCH(B1386, 'SAÍDA DE VENDAS'!$B$6:$B$500, 0)+4), ""), "")&amp; IF(COUNTIF('SAÍDA DE VENDAS'!$B$6:$B$500, B1386)&gt;5, " + " &amp; IFERROR(INDEX('SAÍDA DE VENDAS'!$H$6:$H$500 &amp; "x " &amp; 'SAÍDA DE VENDAS'!$G$6:$G$500, MATCH(B1386, 'SAÍDA DE VENDAS'!$B$6:$B$500, 0)+5), ""), ""))</f>
        <v/>
      </c>
      <c r="G1386" s="28">
        <f>IFERROR(VLOOKUP(B1386,'SAÍDA DE VENDAS'!$B$6:$P$500,10,FALSE),"")</f>
        <v>0</v>
      </c>
      <c r="H1386" s="28" t="str">
        <f>IF(OR(ISBLANK(B1386),B1386=""), "", IF(B1386=B1385, (VALUE(LEFT(H1385,FIND("/",H1385)-1))+1)&amp;"/"&amp;RIGHT(H1385,LEN(H1385)-FIND("/",H1385)), "1/"&amp;IFERROR(VLOOKUP(B1386,'SAÍDA DE VENDAS'!$B$6:$P$500,13,FALSE),"1")))</f>
        <v/>
      </c>
      <c r="I1386" s="69" t="str">
        <f t="shared" si="42"/>
        <v/>
      </c>
      <c r="J1386" s="33" t="str">
        <f>IFERROR(VLOOKUP(B1386,'SAÍDA DE VENDAS'!$B$6:$P$500,15,FALSE),"")</f>
        <v/>
      </c>
      <c r="K1386" s="28" t="str">
        <f t="shared" ca="1" si="43"/>
        <v/>
      </c>
      <c r="L1386" s="28"/>
      <c r="M1386" s="28"/>
    </row>
    <row r="1387" spans="2:13" ht="15" customHeight="1" x14ac:dyDescent="0.3">
      <c r="B1387" s="34" t="str">
        <f>IF(B1386="","", IF(VALUE(LEFT(H1386,FIND("/",H1386)-1)) &lt; VALUE(RIGHT(H1386,LEN(H1386)-FIND("/",H1386))), B1386, IFERROR(INDEX('SAÍDA DE VENDAS'!$B$6:$B$500, MATCH(B1386,'SAÍDA DE VENDAS'!$B$6:$B$500,0)+COUNTIF('SAÍDA DE VENDAS'!$B$6:$B$500, B1386)),"")))</f>
        <v/>
      </c>
      <c r="C1387" s="35">
        <f>IFERROR(VLOOKUP(B1387,'SAÍDA DE VENDAS'!$B$6:$P$500,3,FALSE),"")</f>
        <v>0</v>
      </c>
      <c r="D1387" s="34">
        <f>IFERROR(VLOOKUP(B1387,'SAÍDA DE VENDAS'!$B$6:$P$500,4,FALSE),"")</f>
        <v>0</v>
      </c>
      <c r="E1387" s="34" t="str">
        <f>IFERROR(VLOOKUP(B1387,'SAÍDA DE VENDAS'!$B$6:$P$500,5,FALSE),"")</f>
        <v/>
      </c>
      <c r="F1387" s="34" t="str">
        <f>IF(OR(ISBLANK(B1387),B1387=""), "", IFERROR(INDEX('SAÍDA DE VENDAS'!$H$6:$H$500 &amp; "x " &amp; 'SAÍDA DE VENDAS'!$G$6:$G$500, MATCH(B1387, 'SAÍDA DE VENDAS'!$B$6:$B$500, 0)), "")&amp; IF(COUNTIF('SAÍDA DE VENDAS'!$B$6:$B$500, B1387)&gt;1, " + " &amp; IFERROR(INDEX('SAÍDA DE VENDAS'!$H$6:$H$500 &amp; "x " &amp; 'SAÍDA DE VENDAS'!$G$6:$G$500, MATCH(B1387, 'SAÍDA DE VENDAS'!$B$6:$B$500, 0)+1), ""), "")&amp; IF(COUNTIF('SAÍDA DE VENDAS'!$B$6:$B$500, B1387)&gt;2, " + " &amp; IFERROR(INDEX('SAÍDA DE VENDAS'!$H$6:$H$500 &amp; "x " &amp; 'SAÍDA DE VENDAS'!$G$6:$G$500, MATCH(B1387, 'SAÍDA DE VENDAS'!$B$6:$B$500, 0)+2), ""), "")&amp; IF(COUNTIF('SAÍDA DE VENDAS'!$B$6:$B$500, B1387)&gt;3, " + " &amp; IFERROR(INDEX('SAÍDA DE VENDAS'!$H$6:$H$500 &amp; "x " &amp; 'SAÍDA DE VENDAS'!$G$6:$G$500, MATCH(B1387, 'SAÍDA DE VENDAS'!$B$6:$B$500, 0)+3), ""), "")&amp; IF(COUNTIF('SAÍDA DE VENDAS'!$B$6:$B$500, B1387)&gt;4, " + " &amp; IFERROR(INDEX('SAÍDA DE VENDAS'!$H$6:$H$500 &amp; "x " &amp; 'SAÍDA DE VENDAS'!$G$6:$G$500, MATCH(B1387, 'SAÍDA DE VENDAS'!$B$6:$B$500, 0)+4), ""), "")&amp; IF(COUNTIF('SAÍDA DE VENDAS'!$B$6:$B$500, B1387)&gt;5, " + " &amp; IFERROR(INDEX('SAÍDA DE VENDAS'!$H$6:$H$500 &amp; "x " &amp; 'SAÍDA DE VENDAS'!$G$6:$G$500, MATCH(B1387, 'SAÍDA DE VENDAS'!$B$6:$B$500, 0)+5), ""), ""))</f>
        <v/>
      </c>
      <c r="G1387" s="34">
        <f>IFERROR(VLOOKUP(B1387,'SAÍDA DE VENDAS'!$B$6:$P$500,10,FALSE),"")</f>
        <v>0</v>
      </c>
      <c r="H1387" s="34" t="str">
        <f>IF(OR(ISBLANK(B1387),B1387=""), "", IF(B1387=B1386, (VALUE(LEFT(H1386,FIND("/",H1386)-1))+1)&amp;"/"&amp;RIGHT(H1386,LEN(H1386)-FIND("/",H1386)), "1/"&amp;IFERROR(VLOOKUP(B1387,'SAÍDA DE VENDAS'!$B$6:$P$500,13,FALSE),"1")))</f>
        <v/>
      </c>
      <c r="I1387" s="35" t="str">
        <f t="shared" si="42"/>
        <v/>
      </c>
      <c r="J1387" s="39" t="str">
        <f>IFERROR(VLOOKUP(B1387,'SAÍDA DE VENDAS'!$B$6:$P$500,15,FALSE),"")</f>
        <v/>
      </c>
      <c r="K1387" s="34" t="str">
        <f t="shared" ca="1" si="43"/>
        <v/>
      </c>
      <c r="L1387" s="34"/>
      <c r="M1387" s="34"/>
    </row>
    <row r="1388" spans="2:13" ht="15" customHeight="1" x14ac:dyDescent="0.3">
      <c r="B1388" s="28" t="str">
        <f>IF(B1387="","", IF(VALUE(LEFT(H1387,FIND("/",H1387)-1)) &lt; VALUE(RIGHT(H1387,LEN(H1387)-FIND("/",H1387))), B1387, IFERROR(INDEX('SAÍDA DE VENDAS'!$B$6:$B$500, MATCH(B1387,'SAÍDA DE VENDAS'!$B$6:$B$500,0)+COUNTIF('SAÍDA DE VENDAS'!$B$6:$B$500, B1387)),"")))</f>
        <v/>
      </c>
      <c r="C1388" s="29">
        <f>IFERROR(VLOOKUP(B1388,'SAÍDA DE VENDAS'!$B$6:$P$500,3,FALSE),"")</f>
        <v>0</v>
      </c>
      <c r="D1388" s="28">
        <f>IFERROR(VLOOKUP(B1388,'SAÍDA DE VENDAS'!$B$6:$P$500,4,FALSE),"")</f>
        <v>0</v>
      </c>
      <c r="E1388" s="28" t="str">
        <f>IFERROR(VLOOKUP(B1388,'SAÍDA DE VENDAS'!$B$6:$P$500,5,FALSE),"")</f>
        <v/>
      </c>
      <c r="F1388" s="28" t="str">
        <f>IF(OR(ISBLANK(B1388),B1388=""), "", IFERROR(INDEX('SAÍDA DE VENDAS'!$H$6:$H$500 &amp; "x " &amp; 'SAÍDA DE VENDAS'!$G$6:$G$500, MATCH(B1388, 'SAÍDA DE VENDAS'!$B$6:$B$500, 0)), "")&amp; IF(COUNTIF('SAÍDA DE VENDAS'!$B$6:$B$500, B1388)&gt;1, " + " &amp; IFERROR(INDEX('SAÍDA DE VENDAS'!$H$6:$H$500 &amp; "x " &amp; 'SAÍDA DE VENDAS'!$G$6:$G$500, MATCH(B1388, 'SAÍDA DE VENDAS'!$B$6:$B$500, 0)+1), ""), "")&amp; IF(COUNTIF('SAÍDA DE VENDAS'!$B$6:$B$500, B1388)&gt;2, " + " &amp; IFERROR(INDEX('SAÍDA DE VENDAS'!$H$6:$H$500 &amp; "x " &amp; 'SAÍDA DE VENDAS'!$G$6:$G$500, MATCH(B1388, 'SAÍDA DE VENDAS'!$B$6:$B$500, 0)+2), ""), "")&amp; IF(COUNTIF('SAÍDA DE VENDAS'!$B$6:$B$500, B1388)&gt;3, " + " &amp; IFERROR(INDEX('SAÍDA DE VENDAS'!$H$6:$H$500 &amp; "x " &amp; 'SAÍDA DE VENDAS'!$G$6:$G$500, MATCH(B1388, 'SAÍDA DE VENDAS'!$B$6:$B$500, 0)+3), ""), "")&amp; IF(COUNTIF('SAÍDA DE VENDAS'!$B$6:$B$500, B1388)&gt;4, " + " &amp; IFERROR(INDEX('SAÍDA DE VENDAS'!$H$6:$H$500 &amp; "x " &amp; 'SAÍDA DE VENDAS'!$G$6:$G$500, MATCH(B1388, 'SAÍDA DE VENDAS'!$B$6:$B$500, 0)+4), ""), "")&amp; IF(COUNTIF('SAÍDA DE VENDAS'!$B$6:$B$500, B1388)&gt;5, " + " &amp; IFERROR(INDEX('SAÍDA DE VENDAS'!$H$6:$H$500 &amp; "x " &amp; 'SAÍDA DE VENDAS'!$G$6:$G$500, MATCH(B1388, 'SAÍDA DE VENDAS'!$B$6:$B$500, 0)+5), ""), ""))</f>
        <v/>
      </c>
      <c r="G1388" s="28">
        <f>IFERROR(VLOOKUP(B1388,'SAÍDA DE VENDAS'!$B$6:$P$500,10,FALSE),"")</f>
        <v>0</v>
      </c>
      <c r="H1388" s="28" t="str">
        <f>IF(OR(ISBLANK(B1388),B1388=""), "", IF(B1388=B1387, (VALUE(LEFT(H1387,FIND("/",H1387)-1))+1)&amp;"/"&amp;RIGHT(H1387,LEN(H1387)-FIND("/",H1387)), "1/"&amp;IFERROR(VLOOKUP(B1388,'SAÍDA DE VENDAS'!$B$6:$P$500,13,FALSE),"1")))</f>
        <v/>
      </c>
      <c r="I1388" s="69" t="str">
        <f t="shared" si="42"/>
        <v/>
      </c>
      <c r="J1388" s="33" t="str">
        <f>IFERROR(VLOOKUP(B1388,'SAÍDA DE VENDAS'!$B$6:$P$500,15,FALSE),"")</f>
        <v/>
      </c>
      <c r="K1388" s="28" t="str">
        <f t="shared" ca="1" si="43"/>
        <v/>
      </c>
      <c r="L1388" s="28"/>
      <c r="M1388" s="28"/>
    </row>
    <row r="1389" spans="2:13" ht="15" customHeight="1" x14ac:dyDescent="0.3">
      <c r="B1389" s="34" t="str">
        <f>IF(B1388="","", IF(VALUE(LEFT(H1388,FIND("/",H1388)-1)) &lt; VALUE(RIGHT(H1388,LEN(H1388)-FIND("/",H1388))), B1388, IFERROR(INDEX('SAÍDA DE VENDAS'!$B$6:$B$500, MATCH(B1388,'SAÍDA DE VENDAS'!$B$6:$B$500,0)+COUNTIF('SAÍDA DE VENDAS'!$B$6:$B$500, B1388)),"")))</f>
        <v/>
      </c>
      <c r="C1389" s="35">
        <f>IFERROR(VLOOKUP(B1389,'SAÍDA DE VENDAS'!$B$6:$P$500,3,FALSE),"")</f>
        <v>0</v>
      </c>
      <c r="D1389" s="34">
        <f>IFERROR(VLOOKUP(B1389,'SAÍDA DE VENDAS'!$B$6:$P$500,4,FALSE),"")</f>
        <v>0</v>
      </c>
      <c r="E1389" s="34" t="str">
        <f>IFERROR(VLOOKUP(B1389,'SAÍDA DE VENDAS'!$B$6:$P$500,5,FALSE),"")</f>
        <v/>
      </c>
      <c r="F1389" s="34" t="str">
        <f>IF(OR(ISBLANK(B1389),B1389=""), "", IFERROR(INDEX('SAÍDA DE VENDAS'!$H$6:$H$500 &amp; "x " &amp; 'SAÍDA DE VENDAS'!$G$6:$G$500, MATCH(B1389, 'SAÍDA DE VENDAS'!$B$6:$B$500, 0)), "")&amp; IF(COUNTIF('SAÍDA DE VENDAS'!$B$6:$B$500, B1389)&gt;1, " + " &amp; IFERROR(INDEX('SAÍDA DE VENDAS'!$H$6:$H$500 &amp; "x " &amp; 'SAÍDA DE VENDAS'!$G$6:$G$500, MATCH(B1389, 'SAÍDA DE VENDAS'!$B$6:$B$500, 0)+1), ""), "")&amp; IF(COUNTIF('SAÍDA DE VENDAS'!$B$6:$B$500, B1389)&gt;2, " + " &amp; IFERROR(INDEX('SAÍDA DE VENDAS'!$H$6:$H$500 &amp; "x " &amp; 'SAÍDA DE VENDAS'!$G$6:$G$500, MATCH(B1389, 'SAÍDA DE VENDAS'!$B$6:$B$500, 0)+2), ""), "")&amp; IF(COUNTIF('SAÍDA DE VENDAS'!$B$6:$B$500, B1389)&gt;3, " + " &amp; IFERROR(INDEX('SAÍDA DE VENDAS'!$H$6:$H$500 &amp; "x " &amp; 'SAÍDA DE VENDAS'!$G$6:$G$500, MATCH(B1389, 'SAÍDA DE VENDAS'!$B$6:$B$500, 0)+3), ""), "")&amp; IF(COUNTIF('SAÍDA DE VENDAS'!$B$6:$B$500, B1389)&gt;4, " + " &amp; IFERROR(INDEX('SAÍDA DE VENDAS'!$H$6:$H$500 &amp; "x " &amp; 'SAÍDA DE VENDAS'!$G$6:$G$500, MATCH(B1389, 'SAÍDA DE VENDAS'!$B$6:$B$500, 0)+4), ""), "")&amp; IF(COUNTIF('SAÍDA DE VENDAS'!$B$6:$B$500, B1389)&gt;5, " + " &amp; IFERROR(INDEX('SAÍDA DE VENDAS'!$H$6:$H$500 &amp; "x " &amp; 'SAÍDA DE VENDAS'!$G$6:$G$500, MATCH(B1389, 'SAÍDA DE VENDAS'!$B$6:$B$500, 0)+5), ""), ""))</f>
        <v/>
      </c>
      <c r="G1389" s="34">
        <f>IFERROR(VLOOKUP(B1389,'SAÍDA DE VENDAS'!$B$6:$P$500,10,FALSE),"")</f>
        <v>0</v>
      </c>
      <c r="H1389" s="34" t="str">
        <f>IF(OR(ISBLANK(B1389),B1389=""), "", IF(B1389=B1388, (VALUE(LEFT(H1388,FIND("/",H1388)-1))+1)&amp;"/"&amp;RIGHT(H1388,LEN(H1388)-FIND("/",H1388)), "1/"&amp;IFERROR(VLOOKUP(B1389,'SAÍDA DE VENDAS'!$B$6:$P$500,13,FALSE),"1")))</f>
        <v/>
      </c>
      <c r="I1389" s="35" t="str">
        <f t="shared" si="42"/>
        <v/>
      </c>
      <c r="J1389" s="39" t="str">
        <f>IFERROR(VLOOKUP(B1389,'SAÍDA DE VENDAS'!$B$6:$P$500,15,FALSE),"")</f>
        <v/>
      </c>
      <c r="K1389" s="34" t="str">
        <f t="shared" ca="1" si="43"/>
        <v/>
      </c>
      <c r="L1389" s="34"/>
      <c r="M1389" s="34"/>
    </row>
    <row r="1390" spans="2:13" ht="15" customHeight="1" x14ac:dyDescent="0.3">
      <c r="B1390" s="28" t="str">
        <f>IF(B1389="","", IF(VALUE(LEFT(H1389,FIND("/",H1389)-1)) &lt; VALUE(RIGHT(H1389,LEN(H1389)-FIND("/",H1389))), B1389, IFERROR(INDEX('SAÍDA DE VENDAS'!$B$6:$B$500, MATCH(B1389,'SAÍDA DE VENDAS'!$B$6:$B$500,0)+COUNTIF('SAÍDA DE VENDAS'!$B$6:$B$500, B1389)),"")))</f>
        <v/>
      </c>
      <c r="C1390" s="29">
        <f>IFERROR(VLOOKUP(B1390,'SAÍDA DE VENDAS'!$B$6:$P$500,3,FALSE),"")</f>
        <v>0</v>
      </c>
      <c r="D1390" s="28">
        <f>IFERROR(VLOOKUP(B1390,'SAÍDA DE VENDAS'!$B$6:$P$500,4,FALSE),"")</f>
        <v>0</v>
      </c>
      <c r="E1390" s="28" t="str">
        <f>IFERROR(VLOOKUP(B1390,'SAÍDA DE VENDAS'!$B$6:$P$500,5,FALSE),"")</f>
        <v/>
      </c>
      <c r="F1390" s="28" t="str">
        <f>IF(OR(ISBLANK(B1390),B1390=""), "", IFERROR(INDEX('SAÍDA DE VENDAS'!$H$6:$H$500 &amp; "x " &amp; 'SAÍDA DE VENDAS'!$G$6:$G$500, MATCH(B1390, 'SAÍDA DE VENDAS'!$B$6:$B$500, 0)), "")&amp; IF(COUNTIF('SAÍDA DE VENDAS'!$B$6:$B$500, B1390)&gt;1, " + " &amp; IFERROR(INDEX('SAÍDA DE VENDAS'!$H$6:$H$500 &amp; "x " &amp; 'SAÍDA DE VENDAS'!$G$6:$G$500, MATCH(B1390, 'SAÍDA DE VENDAS'!$B$6:$B$500, 0)+1), ""), "")&amp; IF(COUNTIF('SAÍDA DE VENDAS'!$B$6:$B$500, B1390)&gt;2, " + " &amp; IFERROR(INDEX('SAÍDA DE VENDAS'!$H$6:$H$500 &amp; "x " &amp; 'SAÍDA DE VENDAS'!$G$6:$G$500, MATCH(B1390, 'SAÍDA DE VENDAS'!$B$6:$B$500, 0)+2), ""), "")&amp; IF(COUNTIF('SAÍDA DE VENDAS'!$B$6:$B$500, B1390)&gt;3, " + " &amp; IFERROR(INDEX('SAÍDA DE VENDAS'!$H$6:$H$500 &amp; "x " &amp; 'SAÍDA DE VENDAS'!$G$6:$G$500, MATCH(B1390, 'SAÍDA DE VENDAS'!$B$6:$B$500, 0)+3), ""), "")&amp; IF(COUNTIF('SAÍDA DE VENDAS'!$B$6:$B$500, B1390)&gt;4, " + " &amp; IFERROR(INDEX('SAÍDA DE VENDAS'!$H$6:$H$500 &amp; "x " &amp; 'SAÍDA DE VENDAS'!$G$6:$G$500, MATCH(B1390, 'SAÍDA DE VENDAS'!$B$6:$B$500, 0)+4), ""), "")&amp; IF(COUNTIF('SAÍDA DE VENDAS'!$B$6:$B$500, B1390)&gt;5, " + " &amp; IFERROR(INDEX('SAÍDA DE VENDAS'!$H$6:$H$500 &amp; "x " &amp; 'SAÍDA DE VENDAS'!$G$6:$G$500, MATCH(B1390, 'SAÍDA DE VENDAS'!$B$6:$B$500, 0)+5), ""), ""))</f>
        <v/>
      </c>
      <c r="G1390" s="28">
        <f>IFERROR(VLOOKUP(B1390,'SAÍDA DE VENDAS'!$B$6:$P$500,10,FALSE),"")</f>
        <v>0</v>
      </c>
      <c r="H1390" s="28" t="str">
        <f>IF(OR(ISBLANK(B1390),B1390=""), "", IF(B1390=B1389, (VALUE(LEFT(H1389,FIND("/",H1389)-1))+1)&amp;"/"&amp;RIGHT(H1389,LEN(H1389)-FIND("/",H1389)), "1/"&amp;IFERROR(VLOOKUP(B1390,'SAÍDA DE VENDAS'!$B$6:$P$500,13,FALSE),"1")))</f>
        <v/>
      </c>
      <c r="I1390" s="69" t="str">
        <f t="shared" si="42"/>
        <v/>
      </c>
      <c r="J1390" s="33" t="str">
        <f>IFERROR(VLOOKUP(B1390,'SAÍDA DE VENDAS'!$B$6:$P$500,15,FALSE),"")</f>
        <v/>
      </c>
      <c r="K1390" s="28" t="str">
        <f t="shared" ca="1" si="43"/>
        <v/>
      </c>
      <c r="L1390" s="28"/>
      <c r="M1390" s="28"/>
    </row>
    <row r="1391" spans="2:13" ht="15" customHeight="1" x14ac:dyDescent="0.3">
      <c r="B1391" s="34" t="str">
        <f>IF(B1390="","", IF(VALUE(LEFT(H1390,FIND("/",H1390)-1)) &lt; VALUE(RIGHT(H1390,LEN(H1390)-FIND("/",H1390))), B1390, IFERROR(INDEX('SAÍDA DE VENDAS'!$B$6:$B$500, MATCH(B1390,'SAÍDA DE VENDAS'!$B$6:$B$500,0)+COUNTIF('SAÍDA DE VENDAS'!$B$6:$B$500, B1390)),"")))</f>
        <v/>
      </c>
      <c r="C1391" s="35">
        <f>IFERROR(VLOOKUP(B1391,'SAÍDA DE VENDAS'!$B$6:$P$500,3,FALSE),"")</f>
        <v>0</v>
      </c>
      <c r="D1391" s="34">
        <f>IFERROR(VLOOKUP(B1391,'SAÍDA DE VENDAS'!$B$6:$P$500,4,FALSE),"")</f>
        <v>0</v>
      </c>
      <c r="E1391" s="34" t="str">
        <f>IFERROR(VLOOKUP(B1391,'SAÍDA DE VENDAS'!$B$6:$P$500,5,FALSE),"")</f>
        <v/>
      </c>
      <c r="F1391" s="34" t="str">
        <f>IF(OR(ISBLANK(B1391),B1391=""), "", IFERROR(INDEX('SAÍDA DE VENDAS'!$H$6:$H$500 &amp; "x " &amp; 'SAÍDA DE VENDAS'!$G$6:$G$500, MATCH(B1391, 'SAÍDA DE VENDAS'!$B$6:$B$500, 0)), "")&amp; IF(COUNTIF('SAÍDA DE VENDAS'!$B$6:$B$500, B1391)&gt;1, " + " &amp; IFERROR(INDEX('SAÍDA DE VENDAS'!$H$6:$H$500 &amp; "x " &amp; 'SAÍDA DE VENDAS'!$G$6:$G$500, MATCH(B1391, 'SAÍDA DE VENDAS'!$B$6:$B$500, 0)+1), ""), "")&amp; IF(COUNTIF('SAÍDA DE VENDAS'!$B$6:$B$500, B1391)&gt;2, " + " &amp; IFERROR(INDEX('SAÍDA DE VENDAS'!$H$6:$H$500 &amp; "x " &amp; 'SAÍDA DE VENDAS'!$G$6:$G$500, MATCH(B1391, 'SAÍDA DE VENDAS'!$B$6:$B$500, 0)+2), ""), "")&amp; IF(COUNTIF('SAÍDA DE VENDAS'!$B$6:$B$500, B1391)&gt;3, " + " &amp; IFERROR(INDEX('SAÍDA DE VENDAS'!$H$6:$H$500 &amp; "x " &amp; 'SAÍDA DE VENDAS'!$G$6:$G$500, MATCH(B1391, 'SAÍDA DE VENDAS'!$B$6:$B$500, 0)+3), ""), "")&amp; IF(COUNTIF('SAÍDA DE VENDAS'!$B$6:$B$500, B1391)&gt;4, " + " &amp; IFERROR(INDEX('SAÍDA DE VENDAS'!$H$6:$H$500 &amp; "x " &amp; 'SAÍDA DE VENDAS'!$G$6:$G$500, MATCH(B1391, 'SAÍDA DE VENDAS'!$B$6:$B$500, 0)+4), ""), "")&amp; IF(COUNTIF('SAÍDA DE VENDAS'!$B$6:$B$500, B1391)&gt;5, " + " &amp; IFERROR(INDEX('SAÍDA DE VENDAS'!$H$6:$H$500 &amp; "x " &amp; 'SAÍDA DE VENDAS'!$G$6:$G$500, MATCH(B1391, 'SAÍDA DE VENDAS'!$B$6:$B$500, 0)+5), ""), ""))</f>
        <v/>
      </c>
      <c r="G1391" s="34">
        <f>IFERROR(VLOOKUP(B1391,'SAÍDA DE VENDAS'!$B$6:$P$500,10,FALSE),"")</f>
        <v>0</v>
      </c>
      <c r="H1391" s="34" t="str">
        <f>IF(OR(ISBLANK(B1391),B1391=""), "", IF(B1391=B1390, (VALUE(LEFT(H1390,FIND("/",H1390)-1))+1)&amp;"/"&amp;RIGHT(H1390,LEN(H1390)-FIND("/",H1390)), "1/"&amp;IFERROR(VLOOKUP(B1391,'SAÍDA DE VENDAS'!$B$6:$P$500,13,FALSE),"1")))</f>
        <v/>
      </c>
      <c r="I1391" s="35" t="str">
        <f t="shared" si="42"/>
        <v/>
      </c>
      <c r="J1391" s="39" t="str">
        <f>IFERROR(VLOOKUP(B1391,'SAÍDA DE VENDAS'!$B$6:$P$500,15,FALSE),"")</f>
        <v/>
      </c>
      <c r="K1391" s="34" t="str">
        <f t="shared" ca="1" si="43"/>
        <v/>
      </c>
      <c r="L1391" s="34"/>
      <c r="M1391" s="34"/>
    </row>
    <row r="1392" spans="2:13" ht="15" customHeight="1" x14ac:dyDescent="0.3">
      <c r="B1392" s="28" t="str">
        <f>IF(B1391="","", IF(VALUE(LEFT(H1391,FIND("/",H1391)-1)) &lt; VALUE(RIGHT(H1391,LEN(H1391)-FIND("/",H1391))), B1391, IFERROR(INDEX('SAÍDA DE VENDAS'!$B$6:$B$500, MATCH(B1391,'SAÍDA DE VENDAS'!$B$6:$B$500,0)+COUNTIF('SAÍDA DE VENDAS'!$B$6:$B$500, B1391)),"")))</f>
        <v/>
      </c>
      <c r="C1392" s="29">
        <f>IFERROR(VLOOKUP(B1392,'SAÍDA DE VENDAS'!$B$6:$P$500,3,FALSE),"")</f>
        <v>0</v>
      </c>
      <c r="D1392" s="28">
        <f>IFERROR(VLOOKUP(B1392,'SAÍDA DE VENDAS'!$B$6:$P$500,4,FALSE),"")</f>
        <v>0</v>
      </c>
      <c r="E1392" s="28" t="str">
        <f>IFERROR(VLOOKUP(B1392,'SAÍDA DE VENDAS'!$B$6:$P$500,5,FALSE),"")</f>
        <v/>
      </c>
      <c r="F1392" s="28" t="str">
        <f>IF(OR(ISBLANK(B1392),B1392=""), "", IFERROR(INDEX('SAÍDA DE VENDAS'!$H$6:$H$500 &amp; "x " &amp; 'SAÍDA DE VENDAS'!$G$6:$G$500, MATCH(B1392, 'SAÍDA DE VENDAS'!$B$6:$B$500, 0)), "")&amp; IF(COUNTIF('SAÍDA DE VENDAS'!$B$6:$B$500, B1392)&gt;1, " + " &amp; IFERROR(INDEX('SAÍDA DE VENDAS'!$H$6:$H$500 &amp; "x " &amp; 'SAÍDA DE VENDAS'!$G$6:$G$500, MATCH(B1392, 'SAÍDA DE VENDAS'!$B$6:$B$500, 0)+1), ""), "")&amp; IF(COUNTIF('SAÍDA DE VENDAS'!$B$6:$B$500, B1392)&gt;2, " + " &amp; IFERROR(INDEX('SAÍDA DE VENDAS'!$H$6:$H$500 &amp; "x " &amp; 'SAÍDA DE VENDAS'!$G$6:$G$500, MATCH(B1392, 'SAÍDA DE VENDAS'!$B$6:$B$500, 0)+2), ""), "")&amp; IF(COUNTIF('SAÍDA DE VENDAS'!$B$6:$B$500, B1392)&gt;3, " + " &amp; IFERROR(INDEX('SAÍDA DE VENDAS'!$H$6:$H$500 &amp; "x " &amp; 'SAÍDA DE VENDAS'!$G$6:$G$500, MATCH(B1392, 'SAÍDA DE VENDAS'!$B$6:$B$500, 0)+3), ""), "")&amp; IF(COUNTIF('SAÍDA DE VENDAS'!$B$6:$B$500, B1392)&gt;4, " + " &amp; IFERROR(INDEX('SAÍDA DE VENDAS'!$H$6:$H$500 &amp; "x " &amp; 'SAÍDA DE VENDAS'!$G$6:$G$500, MATCH(B1392, 'SAÍDA DE VENDAS'!$B$6:$B$500, 0)+4), ""), "")&amp; IF(COUNTIF('SAÍDA DE VENDAS'!$B$6:$B$500, B1392)&gt;5, " + " &amp; IFERROR(INDEX('SAÍDA DE VENDAS'!$H$6:$H$500 &amp; "x " &amp; 'SAÍDA DE VENDAS'!$G$6:$G$500, MATCH(B1392, 'SAÍDA DE VENDAS'!$B$6:$B$500, 0)+5), ""), ""))</f>
        <v/>
      </c>
      <c r="G1392" s="28">
        <f>IFERROR(VLOOKUP(B1392,'SAÍDA DE VENDAS'!$B$6:$P$500,10,FALSE),"")</f>
        <v>0</v>
      </c>
      <c r="H1392" s="28" t="str">
        <f>IF(OR(ISBLANK(B1392),B1392=""), "", IF(B1392=B1391, (VALUE(LEFT(H1391,FIND("/",H1391)-1))+1)&amp;"/"&amp;RIGHT(H1391,LEN(H1391)-FIND("/",H1391)), "1/"&amp;IFERROR(VLOOKUP(B1392,'SAÍDA DE VENDAS'!$B$6:$P$500,13,FALSE),"1")))</f>
        <v/>
      </c>
      <c r="I1392" s="69" t="str">
        <f t="shared" si="42"/>
        <v/>
      </c>
      <c r="J1392" s="33" t="str">
        <f>IFERROR(VLOOKUP(B1392,'SAÍDA DE VENDAS'!$B$6:$P$500,15,FALSE),"")</f>
        <v/>
      </c>
      <c r="K1392" s="28" t="str">
        <f t="shared" ca="1" si="43"/>
        <v/>
      </c>
      <c r="L1392" s="28"/>
      <c r="M1392" s="28"/>
    </row>
    <row r="1393" spans="2:13" ht="15" customHeight="1" x14ac:dyDescent="0.3">
      <c r="B1393" s="34" t="str">
        <f>IF(B1392="","", IF(VALUE(LEFT(H1392,FIND("/",H1392)-1)) &lt; VALUE(RIGHT(H1392,LEN(H1392)-FIND("/",H1392))), B1392, IFERROR(INDEX('SAÍDA DE VENDAS'!$B$6:$B$500, MATCH(B1392,'SAÍDA DE VENDAS'!$B$6:$B$500,0)+COUNTIF('SAÍDA DE VENDAS'!$B$6:$B$500, B1392)),"")))</f>
        <v/>
      </c>
      <c r="C1393" s="35">
        <f>IFERROR(VLOOKUP(B1393,'SAÍDA DE VENDAS'!$B$6:$P$500,3,FALSE),"")</f>
        <v>0</v>
      </c>
      <c r="D1393" s="34">
        <f>IFERROR(VLOOKUP(B1393,'SAÍDA DE VENDAS'!$B$6:$P$500,4,FALSE),"")</f>
        <v>0</v>
      </c>
      <c r="E1393" s="34" t="str">
        <f>IFERROR(VLOOKUP(B1393,'SAÍDA DE VENDAS'!$B$6:$P$500,5,FALSE),"")</f>
        <v/>
      </c>
      <c r="F1393" s="34" t="str">
        <f>IF(OR(ISBLANK(B1393),B1393=""), "", IFERROR(INDEX('SAÍDA DE VENDAS'!$H$6:$H$500 &amp; "x " &amp; 'SAÍDA DE VENDAS'!$G$6:$G$500, MATCH(B1393, 'SAÍDA DE VENDAS'!$B$6:$B$500, 0)), "")&amp; IF(COUNTIF('SAÍDA DE VENDAS'!$B$6:$B$500, B1393)&gt;1, " + " &amp; IFERROR(INDEX('SAÍDA DE VENDAS'!$H$6:$H$500 &amp; "x " &amp; 'SAÍDA DE VENDAS'!$G$6:$G$500, MATCH(B1393, 'SAÍDA DE VENDAS'!$B$6:$B$500, 0)+1), ""), "")&amp; IF(COUNTIF('SAÍDA DE VENDAS'!$B$6:$B$500, B1393)&gt;2, " + " &amp; IFERROR(INDEX('SAÍDA DE VENDAS'!$H$6:$H$500 &amp; "x " &amp; 'SAÍDA DE VENDAS'!$G$6:$G$500, MATCH(B1393, 'SAÍDA DE VENDAS'!$B$6:$B$500, 0)+2), ""), "")&amp; IF(COUNTIF('SAÍDA DE VENDAS'!$B$6:$B$500, B1393)&gt;3, " + " &amp; IFERROR(INDEX('SAÍDA DE VENDAS'!$H$6:$H$500 &amp; "x " &amp; 'SAÍDA DE VENDAS'!$G$6:$G$500, MATCH(B1393, 'SAÍDA DE VENDAS'!$B$6:$B$500, 0)+3), ""), "")&amp; IF(COUNTIF('SAÍDA DE VENDAS'!$B$6:$B$500, B1393)&gt;4, " + " &amp; IFERROR(INDEX('SAÍDA DE VENDAS'!$H$6:$H$500 &amp; "x " &amp; 'SAÍDA DE VENDAS'!$G$6:$G$500, MATCH(B1393, 'SAÍDA DE VENDAS'!$B$6:$B$500, 0)+4), ""), "")&amp; IF(COUNTIF('SAÍDA DE VENDAS'!$B$6:$B$500, B1393)&gt;5, " + " &amp; IFERROR(INDEX('SAÍDA DE VENDAS'!$H$6:$H$500 &amp; "x " &amp; 'SAÍDA DE VENDAS'!$G$6:$G$500, MATCH(B1393, 'SAÍDA DE VENDAS'!$B$6:$B$500, 0)+5), ""), ""))</f>
        <v/>
      </c>
      <c r="G1393" s="34">
        <f>IFERROR(VLOOKUP(B1393,'SAÍDA DE VENDAS'!$B$6:$P$500,10,FALSE),"")</f>
        <v>0</v>
      </c>
      <c r="H1393" s="34" t="str">
        <f>IF(OR(ISBLANK(B1393),B1393=""), "", IF(B1393=B1392, (VALUE(LEFT(H1392,FIND("/",H1392)-1))+1)&amp;"/"&amp;RIGHT(H1392,LEN(H1392)-FIND("/",H1392)), "1/"&amp;IFERROR(VLOOKUP(B1393,'SAÍDA DE VENDAS'!$B$6:$P$500,13,FALSE),"1")))</f>
        <v/>
      </c>
      <c r="I1393" s="35" t="str">
        <f t="shared" si="42"/>
        <v/>
      </c>
      <c r="J1393" s="39" t="str">
        <f>IFERROR(VLOOKUP(B1393,'SAÍDA DE VENDAS'!$B$6:$P$500,15,FALSE),"")</f>
        <v/>
      </c>
      <c r="K1393" s="34" t="str">
        <f t="shared" ca="1" si="43"/>
        <v/>
      </c>
      <c r="L1393" s="34"/>
      <c r="M1393" s="34"/>
    </row>
    <row r="1394" spans="2:13" ht="15" customHeight="1" x14ac:dyDescent="0.3">
      <c r="B1394" s="28" t="str">
        <f>IF(B1393="","", IF(VALUE(LEFT(H1393,FIND("/",H1393)-1)) &lt; VALUE(RIGHT(H1393,LEN(H1393)-FIND("/",H1393))), B1393, IFERROR(INDEX('SAÍDA DE VENDAS'!$B$6:$B$500, MATCH(B1393,'SAÍDA DE VENDAS'!$B$6:$B$500,0)+COUNTIF('SAÍDA DE VENDAS'!$B$6:$B$500, B1393)),"")))</f>
        <v/>
      </c>
      <c r="C1394" s="29">
        <f>IFERROR(VLOOKUP(B1394,'SAÍDA DE VENDAS'!$B$6:$P$500,3,FALSE),"")</f>
        <v>0</v>
      </c>
      <c r="D1394" s="28">
        <f>IFERROR(VLOOKUP(B1394,'SAÍDA DE VENDAS'!$B$6:$P$500,4,FALSE),"")</f>
        <v>0</v>
      </c>
      <c r="E1394" s="28" t="str">
        <f>IFERROR(VLOOKUP(B1394,'SAÍDA DE VENDAS'!$B$6:$P$500,5,FALSE),"")</f>
        <v/>
      </c>
      <c r="F1394" s="28" t="str">
        <f>IF(OR(ISBLANK(B1394),B1394=""), "", IFERROR(INDEX('SAÍDA DE VENDAS'!$H$6:$H$500 &amp; "x " &amp; 'SAÍDA DE VENDAS'!$G$6:$G$500, MATCH(B1394, 'SAÍDA DE VENDAS'!$B$6:$B$500, 0)), "")&amp; IF(COUNTIF('SAÍDA DE VENDAS'!$B$6:$B$500, B1394)&gt;1, " + " &amp; IFERROR(INDEX('SAÍDA DE VENDAS'!$H$6:$H$500 &amp; "x " &amp; 'SAÍDA DE VENDAS'!$G$6:$G$500, MATCH(B1394, 'SAÍDA DE VENDAS'!$B$6:$B$500, 0)+1), ""), "")&amp; IF(COUNTIF('SAÍDA DE VENDAS'!$B$6:$B$500, B1394)&gt;2, " + " &amp; IFERROR(INDEX('SAÍDA DE VENDAS'!$H$6:$H$500 &amp; "x " &amp; 'SAÍDA DE VENDAS'!$G$6:$G$500, MATCH(B1394, 'SAÍDA DE VENDAS'!$B$6:$B$500, 0)+2), ""), "")&amp; IF(COUNTIF('SAÍDA DE VENDAS'!$B$6:$B$500, B1394)&gt;3, " + " &amp; IFERROR(INDEX('SAÍDA DE VENDAS'!$H$6:$H$500 &amp; "x " &amp; 'SAÍDA DE VENDAS'!$G$6:$G$500, MATCH(B1394, 'SAÍDA DE VENDAS'!$B$6:$B$500, 0)+3), ""), "")&amp; IF(COUNTIF('SAÍDA DE VENDAS'!$B$6:$B$500, B1394)&gt;4, " + " &amp; IFERROR(INDEX('SAÍDA DE VENDAS'!$H$6:$H$500 &amp; "x " &amp; 'SAÍDA DE VENDAS'!$G$6:$G$500, MATCH(B1394, 'SAÍDA DE VENDAS'!$B$6:$B$500, 0)+4), ""), "")&amp; IF(COUNTIF('SAÍDA DE VENDAS'!$B$6:$B$500, B1394)&gt;5, " + " &amp; IFERROR(INDEX('SAÍDA DE VENDAS'!$H$6:$H$500 &amp; "x " &amp; 'SAÍDA DE VENDAS'!$G$6:$G$500, MATCH(B1394, 'SAÍDA DE VENDAS'!$B$6:$B$500, 0)+5), ""), ""))</f>
        <v/>
      </c>
      <c r="G1394" s="28">
        <f>IFERROR(VLOOKUP(B1394,'SAÍDA DE VENDAS'!$B$6:$P$500,10,FALSE),"")</f>
        <v>0</v>
      </c>
      <c r="H1394" s="28" t="str">
        <f>IF(OR(ISBLANK(B1394),B1394=""), "", IF(B1394=B1393, (VALUE(LEFT(H1393,FIND("/",H1393)-1))+1)&amp;"/"&amp;RIGHT(H1393,LEN(H1393)-FIND("/",H1393)), "1/"&amp;IFERROR(VLOOKUP(B1394,'SAÍDA DE VENDAS'!$B$6:$P$500,13,FALSE),"1")))</f>
        <v/>
      </c>
      <c r="I1394" s="69" t="str">
        <f t="shared" si="42"/>
        <v/>
      </c>
      <c r="J1394" s="33" t="str">
        <f>IFERROR(VLOOKUP(B1394,'SAÍDA DE VENDAS'!$B$6:$P$500,15,FALSE),"")</f>
        <v/>
      </c>
      <c r="K1394" s="28" t="str">
        <f t="shared" ca="1" si="43"/>
        <v/>
      </c>
      <c r="L1394" s="28"/>
      <c r="M1394" s="28"/>
    </row>
    <row r="1395" spans="2:13" ht="15" customHeight="1" x14ac:dyDescent="0.3">
      <c r="B1395" s="34" t="str">
        <f>IF(B1394="","", IF(VALUE(LEFT(H1394,FIND("/",H1394)-1)) &lt; VALUE(RIGHT(H1394,LEN(H1394)-FIND("/",H1394))), B1394, IFERROR(INDEX('SAÍDA DE VENDAS'!$B$6:$B$500, MATCH(B1394,'SAÍDA DE VENDAS'!$B$6:$B$500,0)+COUNTIF('SAÍDA DE VENDAS'!$B$6:$B$500, B1394)),"")))</f>
        <v/>
      </c>
      <c r="C1395" s="35">
        <f>IFERROR(VLOOKUP(B1395,'SAÍDA DE VENDAS'!$B$6:$P$500,3,FALSE),"")</f>
        <v>0</v>
      </c>
      <c r="D1395" s="34">
        <f>IFERROR(VLOOKUP(B1395,'SAÍDA DE VENDAS'!$B$6:$P$500,4,FALSE),"")</f>
        <v>0</v>
      </c>
      <c r="E1395" s="34" t="str">
        <f>IFERROR(VLOOKUP(B1395,'SAÍDA DE VENDAS'!$B$6:$P$500,5,FALSE),"")</f>
        <v/>
      </c>
      <c r="F1395" s="34" t="str">
        <f>IF(OR(ISBLANK(B1395),B1395=""), "", IFERROR(INDEX('SAÍDA DE VENDAS'!$H$6:$H$500 &amp; "x " &amp; 'SAÍDA DE VENDAS'!$G$6:$G$500, MATCH(B1395, 'SAÍDA DE VENDAS'!$B$6:$B$500, 0)), "")&amp; IF(COUNTIF('SAÍDA DE VENDAS'!$B$6:$B$500, B1395)&gt;1, " + " &amp; IFERROR(INDEX('SAÍDA DE VENDAS'!$H$6:$H$500 &amp; "x " &amp; 'SAÍDA DE VENDAS'!$G$6:$G$500, MATCH(B1395, 'SAÍDA DE VENDAS'!$B$6:$B$500, 0)+1), ""), "")&amp; IF(COUNTIF('SAÍDA DE VENDAS'!$B$6:$B$500, B1395)&gt;2, " + " &amp; IFERROR(INDEX('SAÍDA DE VENDAS'!$H$6:$H$500 &amp; "x " &amp; 'SAÍDA DE VENDAS'!$G$6:$G$500, MATCH(B1395, 'SAÍDA DE VENDAS'!$B$6:$B$500, 0)+2), ""), "")&amp; IF(COUNTIF('SAÍDA DE VENDAS'!$B$6:$B$500, B1395)&gt;3, " + " &amp; IFERROR(INDEX('SAÍDA DE VENDAS'!$H$6:$H$500 &amp; "x " &amp; 'SAÍDA DE VENDAS'!$G$6:$G$500, MATCH(B1395, 'SAÍDA DE VENDAS'!$B$6:$B$500, 0)+3), ""), "")&amp; IF(COUNTIF('SAÍDA DE VENDAS'!$B$6:$B$500, B1395)&gt;4, " + " &amp; IFERROR(INDEX('SAÍDA DE VENDAS'!$H$6:$H$500 &amp; "x " &amp; 'SAÍDA DE VENDAS'!$G$6:$G$500, MATCH(B1395, 'SAÍDA DE VENDAS'!$B$6:$B$500, 0)+4), ""), "")&amp; IF(COUNTIF('SAÍDA DE VENDAS'!$B$6:$B$500, B1395)&gt;5, " + " &amp; IFERROR(INDEX('SAÍDA DE VENDAS'!$H$6:$H$500 &amp; "x " &amp; 'SAÍDA DE VENDAS'!$G$6:$G$500, MATCH(B1395, 'SAÍDA DE VENDAS'!$B$6:$B$500, 0)+5), ""), ""))</f>
        <v/>
      </c>
      <c r="G1395" s="34">
        <f>IFERROR(VLOOKUP(B1395,'SAÍDA DE VENDAS'!$B$6:$P$500,10,FALSE),"")</f>
        <v>0</v>
      </c>
      <c r="H1395" s="34" t="str">
        <f>IF(OR(ISBLANK(B1395),B1395=""), "", IF(B1395=B1394, (VALUE(LEFT(H1394,FIND("/",H1394)-1))+1)&amp;"/"&amp;RIGHT(H1394,LEN(H1394)-FIND("/",H1394)), "1/"&amp;IFERROR(VLOOKUP(B1395,'SAÍDA DE VENDAS'!$B$6:$P$500,13,FALSE),"1")))</f>
        <v/>
      </c>
      <c r="I1395" s="35" t="str">
        <f t="shared" si="42"/>
        <v/>
      </c>
      <c r="J1395" s="39" t="str">
        <f>IFERROR(VLOOKUP(B1395,'SAÍDA DE VENDAS'!$B$6:$P$500,15,FALSE),"")</f>
        <v/>
      </c>
      <c r="K1395" s="34" t="str">
        <f t="shared" ca="1" si="43"/>
        <v/>
      </c>
      <c r="L1395" s="34"/>
      <c r="M1395" s="34"/>
    </row>
    <row r="1396" spans="2:13" ht="15" customHeight="1" x14ac:dyDescent="0.3">
      <c r="B1396" s="28" t="str">
        <f>IF(B1395="","", IF(VALUE(LEFT(H1395,FIND("/",H1395)-1)) &lt; VALUE(RIGHT(H1395,LEN(H1395)-FIND("/",H1395))), B1395, IFERROR(INDEX('SAÍDA DE VENDAS'!$B$6:$B$500, MATCH(B1395,'SAÍDA DE VENDAS'!$B$6:$B$500,0)+COUNTIF('SAÍDA DE VENDAS'!$B$6:$B$500, B1395)),"")))</f>
        <v/>
      </c>
      <c r="C1396" s="29">
        <f>IFERROR(VLOOKUP(B1396,'SAÍDA DE VENDAS'!$B$6:$P$500,3,FALSE),"")</f>
        <v>0</v>
      </c>
      <c r="D1396" s="28">
        <f>IFERROR(VLOOKUP(B1396,'SAÍDA DE VENDAS'!$B$6:$P$500,4,FALSE),"")</f>
        <v>0</v>
      </c>
      <c r="E1396" s="28" t="str">
        <f>IFERROR(VLOOKUP(B1396,'SAÍDA DE VENDAS'!$B$6:$P$500,5,FALSE),"")</f>
        <v/>
      </c>
      <c r="F1396" s="28" t="str">
        <f>IF(OR(ISBLANK(B1396),B1396=""), "", IFERROR(INDEX('SAÍDA DE VENDAS'!$H$6:$H$500 &amp; "x " &amp; 'SAÍDA DE VENDAS'!$G$6:$G$500, MATCH(B1396, 'SAÍDA DE VENDAS'!$B$6:$B$500, 0)), "")&amp; IF(COUNTIF('SAÍDA DE VENDAS'!$B$6:$B$500, B1396)&gt;1, " + " &amp; IFERROR(INDEX('SAÍDA DE VENDAS'!$H$6:$H$500 &amp; "x " &amp; 'SAÍDA DE VENDAS'!$G$6:$G$500, MATCH(B1396, 'SAÍDA DE VENDAS'!$B$6:$B$500, 0)+1), ""), "")&amp; IF(COUNTIF('SAÍDA DE VENDAS'!$B$6:$B$500, B1396)&gt;2, " + " &amp; IFERROR(INDEX('SAÍDA DE VENDAS'!$H$6:$H$500 &amp; "x " &amp; 'SAÍDA DE VENDAS'!$G$6:$G$500, MATCH(B1396, 'SAÍDA DE VENDAS'!$B$6:$B$500, 0)+2), ""), "")&amp; IF(COUNTIF('SAÍDA DE VENDAS'!$B$6:$B$500, B1396)&gt;3, " + " &amp; IFERROR(INDEX('SAÍDA DE VENDAS'!$H$6:$H$500 &amp; "x " &amp; 'SAÍDA DE VENDAS'!$G$6:$G$500, MATCH(B1396, 'SAÍDA DE VENDAS'!$B$6:$B$500, 0)+3), ""), "")&amp; IF(COUNTIF('SAÍDA DE VENDAS'!$B$6:$B$500, B1396)&gt;4, " + " &amp; IFERROR(INDEX('SAÍDA DE VENDAS'!$H$6:$H$500 &amp; "x " &amp; 'SAÍDA DE VENDAS'!$G$6:$G$500, MATCH(B1396, 'SAÍDA DE VENDAS'!$B$6:$B$500, 0)+4), ""), "")&amp; IF(COUNTIF('SAÍDA DE VENDAS'!$B$6:$B$500, B1396)&gt;5, " + " &amp; IFERROR(INDEX('SAÍDA DE VENDAS'!$H$6:$H$500 &amp; "x " &amp; 'SAÍDA DE VENDAS'!$G$6:$G$500, MATCH(B1396, 'SAÍDA DE VENDAS'!$B$6:$B$500, 0)+5), ""), ""))</f>
        <v/>
      </c>
      <c r="G1396" s="28">
        <f>IFERROR(VLOOKUP(B1396,'SAÍDA DE VENDAS'!$B$6:$P$500,10,FALSE),"")</f>
        <v>0</v>
      </c>
      <c r="H1396" s="28" t="str">
        <f>IF(OR(ISBLANK(B1396),B1396=""), "", IF(B1396=B1395, (VALUE(LEFT(H1395,FIND("/",H1395)-1))+1)&amp;"/"&amp;RIGHT(H1395,LEN(H1395)-FIND("/",H1395)), "1/"&amp;IFERROR(VLOOKUP(B1396,'SAÍDA DE VENDAS'!$B$6:$P$500,13,FALSE),"1")))</f>
        <v/>
      </c>
      <c r="I1396" s="69" t="str">
        <f t="shared" si="42"/>
        <v/>
      </c>
      <c r="J1396" s="33" t="str">
        <f>IFERROR(VLOOKUP(B1396,'SAÍDA DE VENDAS'!$B$6:$P$500,15,FALSE),"")</f>
        <v/>
      </c>
      <c r="K1396" s="28" t="str">
        <f t="shared" ca="1" si="43"/>
        <v/>
      </c>
      <c r="L1396" s="28"/>
      <c r="M1396" s="28"/>
    </row>
    <row r="1397" spans="2:13" ht="15" customHeight="1" x14ac:dyDescent="0.3">
      <c r="B1397" s="34" t="str">
        <f>IF(B1396="","", IF(VALUE(LEFT(H1396,FIND("/",H1396)-1)) &lt; VALUE(RIGHT(H1396,LEN(H1396)-FIND("/",H1396))), B1396, IFERROR(INDEX('SAÍDA DE VENDAS'!$B$6:$B$500, MATCH(B1396,'SAÍDA DE VENDAS'!$B$6:$B$500,0)+COUNTIF('SAÍDA DE VENDAS'!$B$6:$B$500, B1396)),"")))</f>
        <v/>
      </c>
      <c r="C1397" s="35">
        <f>IFERROR(VLOOKUP(B1397,'SAÍDA DE VENDAS'!$B$6:$P$500,3,FALSE),"")</f>
        <v>0</v>
      </c>
      <c r="D1397" s="34">
        <f>IFERROR(VLOOKUP(B1397,'SAÍDA DE VENDAS'!$B$6:$P$500,4,FALSE),"")</f>
        <v>0</v>
      </c>
      <c r="E1397" s="34" t="str">
        <f>IFERROR(VLOOKUP(B1397,'SAÍDA DE VENDAS'!$B$6:$P$500,5,FALSE),"")</f>
        <v/>
      </c>
      <c r="F1397" s="34" t="str">
        <f>IF(OR(ISBLANK(B1397),B1397=""), "", IFERROR(INDEX('SAÍDA DE VENDAS'!$H$6:$H$500 &amp; "x " &amp; 'SAÍDA DE VENDAS'!$G$6:$G$500, MATCH(B1397, 'SAÍDA DE VENDAS'!$B$6:$B$500, 0)), "")&amp; IF(COUNTIF('SAÍDA DE VENDAS'!$B$6:$B$500, B1397)&gt;1, " + " &amp; IFERROR(INDEX('SAÍDA DE VENDAS'!$H$6:$H$500 &amp; "x " &amp; 'SAÍDA DE VENDAS'!$G$6:$G$500, MATCH(B1397, 'SAÍDA DE VENDAS'!$B$6:$B$500, 0)+1), ""), "")&amp; IF(COUNTIF('SAÍDA DE VENDAS'!$B$6:$B$500, B1397)&gt;2, " + " &amp; IFERROR(INDEX('SAÍDA DE VENDAS'!$H$6:$H$500 &amp; "x " &amp; 'SAÍDA DE VENDAS'!$G$6:$G$500, MATCH(B1397, 'SAÍDA DE VENDAS'!$B$6:$B$500, 0)+2), ""), "")&amp; IF(COUNTIF('SAÍDA DE VENDAS'!$B$6:$B$500, B1397)&gt;3, " + " &amp; IFERROR(INDEX('SAÍDA DE VENDAS'!$H$6:$H$500 &amp; "x " &amp; 'SAÍDA DE VENDAS'!$G$6:$G$500, MATCH(B1397, 'SAÍDA DE VENDAS'!$B$6:$B$500, 0)+3), ""), "")&amp; IF(COUNTIF('SAÍDA DE VENDAS'!$B$6:$B$500, B1397)&gt;4, " + " &amp; IFERROR(INDEX('SAÍDA DE VENDAS'!$H$6:$H$500 &amp; "x " &amp; 'SAÍDA DE VENDAS'!$G$6:$G$500, MATCH(B1397, 'SAÍDA DE VENDAS'!$B$6:$B$500, 0)+4), ""), "")&amp; IF(COUNTIF('SAÍDA DE VENDAS'!$B$6:$B$500, B1397)&gt;5, " + " &amp; IFERROR(INDEX('SAÍDA DE VENDAS'!$H$6:$H$500 &amp; "x " &amp; 'SAÍDA DE VENDAS'!$G$6:$G$500, MATCH(B1397, 'SAÍDA DE VENDAS'!$B$6:$B$500, 0)+5), ""), ""))</f>
        <v/>
      </c>
      <c r="G1397" s="34">
        <f>IFERROR(VLOOKUP(B1397,'SAÍDA DE VENDAS'!$B$6:$P$500,10,FALSE),"")</f>
        <v>0</v>
      </c>
      <c r="H1397" s="34" t="str">
        <f>IF(OR(ISBLANK(B1397),B1397=""), "", IF(B1397=B1396, (VALUE(LEFT(H1396,FIND("/",H1396)-1))+1)&amp;"/"&amp;RIGHT(H1396,LEN(H1396)-FIND("/",H1396)), "1/"&amp;IFERROR(VLOOKUP(B1397,'SAÍDA DE VENDAS'!$B$6:$P$500,13,FALSE),"1")))</f>
        <v/>
      </c>
      <c r="I1397" s="35" t="str">
        <f t="shared" si="42"/>
        <v/>
      </c>
      <c r="J1397" s="39" t="str">
        <f>IFERROR(VLOOKUP(B1397,'SAÍDA DE VENDAS'!$B$6:$P$500,15,FALSE),"")</f>
        <v/>
      </c>
      <c r="K1397" s="34" t="str">
        <f t="shared" ca="1" si="43"/>
        <v/>
      </c>
      <c r="L1397" s="34"/>
      <c r="M1397" s="34"/>
    </row>
    <row r="1398" spans="2:13" ht="15" customHeight="1" x14ac:dyDescent="0.3">
      <c r="B1398" s="28" t="str">
        <f>IF(B1397="","", IF(VALUE(LEFT(H1397,FIND("/",H1397)-1)) &lt; VALUE(RIGHT(H1397,LEN(H1397)-FIND("/",H1397))), B1397, IFERROR(INDEX('SAÍDA DE VENDAS'!$B$6:$B$500, MATCH(B1397,'SAÍDA DE VENDAS'!$B$6:$B$500,0)+COUNTIF('SAÍDA DE VENDAS'!$B$6:$B$500, B1397)),"")))</f>
        <v/>
      </c>
      <c r="C1398" s="29">
        <f>IFERROR(VLOOKUP(B1398,'SAÍDA DE VENDAS'!$B$6:$P$500,3,FALSE),"")</f>
        <v>0</v>
      </c>
      <c r="D1398" s="28">
        <f>IFERROR(VLOOKUP(B1398,'SAÍDA DE VENDAS'!$B$6:$P$500,4,FALSE),"")</f>
        <v>0</v>
      </c>
      <c r="E1398" s="28" t="str">
        <f>IFERROR(VLOOKUP(B1398,'SAÍDA DE VENDAS'!$B$6:$P$500,5,FALSE),"")</f>
        <v/>
      </c>
      <c r="F1398" s="28" t="str">
        <f>IF(OR(ISBLANK(B1398),B1398=""), "", IFERROR(INDEX('SAÍDA DE VENDAS'!$H$6:$H$500 &amp; "x " &amp; 'SAÍDA DE VENDAS'!$G$6:$G$500, MATCH(B1398, 'SAÍDA DE VENDAS'!$B$6:$B$500, 0)), "")&amp; IF(COUNTIF('SAÍDA DE VENDAS'!$B$6:$B$500, B1398)&gt;1, " + " &amp; IFERROR(INDEX('SAÍDA DE VENDAS'!$H$6:$H$500 &amp; "x " &amp; 'SAÍDA DE VENDAS'!$G$6:$G$500, MATCH(B1398, 'SAÍDA DE VENDAS'!$B$6:$B$500, 0)+1), ""), "")&amp; IF(COUNTIF('SAÍDA DE VENDAS'!$B$6:$B$500, B1398)&gt;2, " + " &amp; IFERROR(INDEX('SAÍDA DE VENDAS'!$H$6:$H$500 &amp; "x " &amp; 'SAÍDA DE VENDAS'!$G$6:$G$500, MATCH(B1398, 'SAÍDA DE VENDAS'!$B$6:$B$500, 0)+2), ""), "")&amp; IF(COUNTIF('SAÍDA DE VENDAS'!$B$6:$B$500, B1398)&gt;3, " + " &amp; IFERROR(INDEX('SAÍDA DE VENDAS'!$H$6:$H$500 &amp; "x " &amp; 'SAÍDA DE VENDAS'!$G$6:$G$500, MATCH(B1398, 'SAÍDA DE VENDAS'!$B$6:$B$500, 0)+3), ""), "")&amp; IF(COUNTIF('SAÍDA DE VENDAS'!$B$6:$B$500, B1398)&gt;4, " + " &amp; IFERROR(INDEX('SAÍDA DE VENDAS'!$H$6:$H$500 &amp; "x " &amp; 'SAÍDA DE VENDAS'!$G$6:$G$500, MATCH(B1398, 'SAÍDA DE VENDAS'!$B$6:$B$500, 0)+4), ""), "")&amp; IF(COUNTIF('SAÍDA DE VENDAS'!$B$6:$B$500, B1398)&gt;5, " + " &amp; IFERROR(INDEX('SAÍDA DE VENDAS'!$H$6:$H$500 &amp; "x " &amp; 'SAÍDA DE VENDAS'!$G$6:$G$500, MATCH(B1398, 'SAÍDA DE VENDAS'!$B$6:$B$500, 0)+5), ""), ""))</f>
        <v/>
      </c>
      <c r="G1398" s="28">
        <f>IFERROR(VLOOKUP(B1398,'SAÍDA DE VENDAS'!$B$6:$P$500,10,FALSE),"")</f>
        <v>0</v>
      </c>
      <c r="H1398" s="28" t="str">
        <f>IF(OR(ISBLANK(B1398),B1398=""), "", IF(B1398=B1397, (VALUE(LEFT(H1397,FIND("/",H1397)-1))+1)&amp;"/"&amp;RIGHT(H1397,LEN(H1397)-FIND("/",H1397)), "1/"&amp;IFERROR(VLOOKUP(B1398,'SAÍDA DE VENDAS'!$B$6:$P$500,13,FALSE),"1")))</f>
        <v/>
      </c>
      <c r="I1398" s="69" t="str">
        <f t="shared" si="42"/>
        <v/>
      </c>
      <c r="J1398" s="33" t="str">
        <f>IFERROR(VLOOKUP(B1398,'SAÍDA DE VENDAS'!$B$6:$P$500,15,FALSE),"")</f>
        <v/>
      </c>
      <c r="K1398" s="28" t="str">
        <f t="shared" ca="1" si="43"/>
        <v/>
      </c>
      <c r="L1398" s="28"/>
      <c r="M1398" s="28"/>
    </row>
    <row r="1399" spans="2:13" ht="15" customHeight="1" x14ac:dyDescent="0.3">
      <c r="B1399" s="34" t="str">
        <f>IF(B1398="","", IF(VALUE(LEFT(H1398,FIND("/",H1398)-1)) &lt; VALUE(RIGHT(H1398,LEN(H1398)-FIND("/",H1398))), B1398, IFERROR(INDEX('SAÍDA DE VENDAS'!$B$6:$B$500, MATCH(B1398,'SAÍDA DE VENDAS'!$B$6:$B$500,0)+COUNTIF('SAÍDA DE VENDAS'!$B$6:$B$500, B1398)),"")))</f>
        <v/>
      </c>
      <c r="C1399" s="35">
        <f>IFERROR(VLOOKUP(B1399,'SAÍDA DE VENDAS'!$B$6:$P$500,3,FALSE),"")</f>
        <v>0</v>
      </c>
      <c r="D1399" s="34">
        <f>IFERROR(VLOOKUP(B1399,'SAÍDA DE VENDAS'!$B$6:$P$500,4,FALSE),"")</f>
        <v>0</v>
      </c>
      <c r="E1399" s="34" t="str">
        <f>IFERROR(VLOOKUP(B1399,'SAÍDA DE VENDAS'!$B$6:$P$500,5,FALSE),"")</f>
        <v/>
      </c>
      <c r="F1399" s="34" t="str">
        <f>IF(OR(ISBLANK(B1399),B1399=""), "", IFERROR(INDEX('SAÍDA DE VENDAS'!$H$6:$H$500 &amp; "x " &amp; 'SAÍDA DE VENDAS'!$G$6:$G$500, MATCH(B1399, 'SAÍDA DE VENDAS'!$B$6:$B$500, 0)), "")&amp; IF(COUNTIF('SAÍDA DE VENDAS'!$B$6:$B$500, B1399)&gt;1, " + " &amp; IFERROR(INDEX('SAÍDA DE VENDAS'!$H$6:$H$500 &amp; "x " &amp; 'SAÍDA DE VENDAS'!$G$6:$G$500, MATCH(B1399, 'SAÍDA DE VENDAS'!$B$6:$B$500, 0)+1), ""), "")&amp; IF(COUNTIF('SAÍDA DE VENDAS'!$B$6:$B$500, B1399)&gt;2, " + " &amp; IFERROR(INDEX('SAÍDA DE VENDAS'!$H$6:$H$500 &amp; "x " &amp; 'SAÍDA DE VENDAS'!$G$6:$G$500, MATCH(B1399, 'SAÍDA DE VENDAS'!$B$6:$B$500, 0)+2), ""), "")&amp; IF(COUNTIF('SAÍDA DE VENDAS'!$B$6:$B$500, B1399)&gt;3, " + " &amp; IFERROR(INDEX('SAÍDA DE VENDAS'!$H$6:$H$500 &amp; "x " &amp; 'SAÍDA DE VENDAS'!$G$6:$G$500, MATCH(B1399, 'SAÍDA DE VENDAS'!$B$6:$B$500, 0)+3), ""), "")&amp; IF(COUNTIF('SAÍDA DE VENDAS'!$B$6:$B$500, B1399)&gt;4, " + " &amp; IFERROR(INDEX('SAÍDA DE VENDAS'!$H$6:$H$500 &amp; "x " &amp; 'SAÍDA DE VENDAS'!$G$6:$G$500, MATCH(B1399, 'SAÍDA DE VENDAS'!$B$6:$B$500, 0)+4), ""), "")&amp; IF(COUNTIF('SAÍDA DE VENDAS'!$B$6:$B$500, B1399)&gt;5, " + " &amp; IFERROR(INDEX('SAÍDA DE VENDAS'!$H$6:$H$500 &amp; "x " &amp; 'SAÍDA DE VENDAS'!$G$6:$G$500, MATCH(B1399, 'SAÍDA DE VENDAS'!$B$6:$B$500, 0)+5), ""), ""))</f>
        <v/>
      </c>
      <c r="G1399" s="34">
        <f>IFERROR(VLOOKUP(B1399,'SAÍDA DE VENDAS'!$B$6:$P$500,10,FALSE),"")</f>
        <v>0</v>
      </c>
      <c r="H1399" s="34" t="str">
        <f>IF(OR(ISBLANK(B1399),B1399=""), "", IF(B1399=B1398, (VALUE(LEFT(H1398,FIND("/",H1398)-1))+1)&amp;"/"&amp;RIGHT(H1398,LEN(H1398)-FIND("/",H1398)), "1/"&amp;IFERROR(VLOOKUP(B1399,'SAÍDA DE VENDAS'!$B$6:$P$500,13,FALSE),"1")))</f>
        <v/>
      </c>
      <c r="I1399" s="35" t="str">
        <f t="shared" si="42"/>
        <v/>
      </c>
      <c r="J1399" s="39" t="str">
        <f>IFERROR(VLOOKUP(B1399,'SAÍDA DE VENDAS'!$B$6:$P$500,15,FALSE),"")</f>
        <v/>
      </c>
      <c r="K1399" s="34" t="str">
        <f t="shared" ca="1" si="43"/>
        <v/>
      </c>
      <c r="L1399" s="34"/>
      <c r="M1399" s="34"/>
    </row>
    <row r="1400" spans="2:13" ht="15" customHeight="1" x14ac:dyDescent="0.3">
      <c r="B1400" s="28" t="str">
        <f>IF(B1399="","", IF(VALUE(LEFT(H1399,FIND("/",H1399)-1)) &lt; VALUE(RIGHT(H1399,LEN(H1399)-FIND("/",H1399))), B1399, IFERROR(INDEX('SAÍDA DE VENDAS'!$B$6:$B$500, MATCH(B1399,'SAÍDA DE VENDAS'!$B$6:$B$500,0)+COUNTIF('SAÍDA DE VENDAS'!$B$6:$B$500, B1399)),"")))</f>
        <v/>
      </c>
      <c r="C1400" s="29">
        <f>IFERROR(VLOOKUP(B1400,'SAÍDA DE VENDAS'!$B$6:$P$500,3,FALSE),"")</f>
        <v>0</v>
      </c>
      <c r="D1400" s="28">
        <f>IFERROR(VLOOKUP(B1400,'SAÍDA DE VENDAS'!$B$6:$P$500,4,FALSE),"")</f>
        <v>0</v>
      </c>
      <c r="E1400" s="28" t="str">
        <f>IFERROR(VLOOKUP(B1400,'SAÍDA DE VENDAS'!$B$6:$P$500,5,FALSE),"")</f>
        <v/>
      </c>
      <c r="F1400" s="28" t="str">
        <f>IF(OR(ISBLANK(B1400),B1400=""), "", IFERROR(INDEX('SAÍDA DE VENDAS'!$H$6:$H$500 &amp; "x " &amp; 'SAÍDA DE VENDAS'!$G$6:$G$500, MATCH(B1400, 'SAÍDA DE VENDAS'!$B$6:$B$500, 0)), "")&amp; IF(COUNTIF('SAÍDA DE VENDAS'!$B$6:$B$500, B1400)&gt;1, " + " &amp; IFERROR(INDEX('SAÍDA DE VENDAS'!$H$6:$H$500 &amp; "x " &amp; 'SAÍDA DE VENDAS'!$G$6:$G$500, MATCH(B1400, 'SAÍDA DE VENDAS'!$B$6:$B$500, 0)+1), ""), "")&amp; IF(COUNTIF('SAÍDA DE VENDAS'!$B$6:$B$500, B1400)&gt;2, " + " &amp; IFERROR(INDEX('SAÍDA DE VENDAS'!$H$6:$H$500 &amp; "x " &amp; 'SAÍDA DE VENDAS'!$G$6:$G$500, MATCH(B1400, 'SAÍDA DE VENDAS'!$B$6:$B$500, 0)+2), ""), "")&amp; IF(COUNTIF('SAÍDA DE VENDAS'!$B$6:$B$500, B1400)&gt;3, " + " &amp; IFERROR(INDEX('SAÍDA DE VENDAS'!$H$6:$H$500 &amp; "x " &amp; 'SAÍDA DE VENDAS'!$G$6:$G$500, MATCH(B1400, 'SAÍDA DE VENDAS'!$B$6:$B$500, 0)+3), ""), "")&amp; IF(COUNTIF('SAÍDA DE VENDAS'!$B$6:$B$500, B1400)&gt;4, " + " &amp; IFERROR(INDEX('SAÍDA DE VENDAS'!$H$6:$H$500 &amp; "x " &amp; 'SAÍDA DE VENDAS'!$G$6:$G$500, MATCH(B1400, 'SAÍDA DE VENDAS'!$B$6:$B$500, 0)+4), ""), "")&amp; IF(COUNTIF('SAÍDA DE VENDAS'!$B$6:$B$500, B1400)&gt;5, " + " &amp; IFERROR(INDEX('SAÍDA DE VENDAS'!$H$6:$H$500 &amp; "x " &amp; 'SAÍDA DE VENDAS'!$G$6:$G$500, MATCH(B1400, 'SAÍDA DE VENDAS'!$B$6:$B$500, 0)+5), ""), ""))</f>
        <v/>
      </c>
      <c r="G1400" s="28">
        <f>IFERROR(VLOOKUP(B1400,'SAÍDA DE VENDAS'!$B$6:$P$500,10,FALSE),"")</f>
        <v>0</v>
      </c>
      <c r="H1400" s="28" t="str">
        <f>IF(OR(ISBLANK(B1400),B1400=""), "", IF(B1400=B1399, (VALUE(LEFT(H1399,FIND("/",H1399)-1))+1)&amp;"/"&amp;RIGHT(H1399,LEN(H1399)-FIND("/",H1399)), "1/"&amp;IFERROR(VLOOKUP(B1400,'SAÍDA DE VENDAS'!$B$6:$P$500,13,FALSE),"1")))</f>
        <v/>
      </c>
      <c r="I1400" s="69" t="str">
        <f t="shared" si="42"/>
        <v/>
      </c>
      <c r="J1400" s="33" t="str">
        <f>IFERROR(VLOOKUP(B1400,'SAÍDA DE VENDAS'!$B$6:$P$500,15,FALSE),"")</f>
        <v/>
      </c>
      <c r="K1400" s="28" t="str">
        <f t="shared" ca="1" si="43"/>
        <v/>
      </c>
      <c r="L1400" s="28"/>
      <c r="M1400" s="28"/>
    </row>
    <row r="1401" spans="2:13" ht="15" customHeight="1" x14ac:dyDescent="0.3">
      <c r="B1401" s="34" t="str">
        <f>IF(B1400="","", IF(VALUE(LEFT(H1400,FIND("/",H1400)-1)) &lt; VALUE(RIGHT(H1400,LEN(H1400)-FIND("/",H1400))), B1400, IFERROR(INDEX('SAÍDA DE VENDAS'!$B$6:$B$500, MATCH(B1400,'SAÍDA DE VENDAS'!$B$6:$B$500,0)+COUNTIF('SAÍDA DE VENDAS'!$B$6:$B$500, B1400)),"")))</f>
        <v/>
      </c>
      <c r="C1401" s="35">
        <f>IFERROR(VLOOKUP(B1401,'SAÍDA DE VENDAS'!$B$6:$P$500,3,FALSE),"")</f>
        <v>0</v>
      </c>
      <c r="D1401" s="34">
        <f>IFERROR(VLOOKUP(B1401,'SAÍDA DE VENDAS'!$B$6:$P$500,4,FALSE),"")</f>
        <v>0</v>
      </c>
      <c r="E1401" s="34" t="str">
        <f>IFERROR(VLOOKUP(B1401,'SAÍDA DE VENDAS'!$B$6:$P$500,5,FALSE),"")</f>
        <v/>
      </c>
      <c r="F1401" s="34" t="str">
        <f>IF(OR(ISBLANK(B1401),B1401=""), "", IFERROR(INDEX('SAÍDA DE VENDAS'!$H$6:$H$500 &amp; "x " &amp; 'SAÍDA DE VENDAS'!$G$6:$G$500, MATCH(B1401, 'SAÍDA DE VENDAS'!$B$6:$B$500, 0)), "")&amp; IF(COUNTIF('SAÍDA DE VENDAS'!$B$6:$B$500, B1401)&gt;1, " + " &amp; IFERROR(INDEX('SAÍDA DE VENDAS'!$H$6:$H$500 &amp; "x " &amp; 'SAÍDA DE VENDAS'!$G$6:$G$500, MATCH(B1401, 'SAÍDA DE VENDAS'!$B$6:$B$500, 0)+1), ""), "")&amp; IF(COUNTIF('SAÍDA DE VENDAS'!$B$6:$B$500, B1401)&gt;2, " + " &amp; IFERROR(INDEX('SAÍDA DE VENDAS'!$H$6:$H$500 &amp; "x " &amp; 'SAÍDA DE VENDAS'!$G$6:$G$500, MATCH(B1401, 'SAÍDA DE VENDAS'!$B$6:$B$500, 0)+2), ""), "")&amp; IF(COUNTIF('SAÍDA DE VENDAS'!$B$6:$B$500, B1401)&gt;3, " + " &amp; IFERROR(INDEX('SAÍDA DE VENDAS'!$H$6:$H$500 &amp; "x " &amp; 'SAÍDA DE VENDAS'!$G$6:$G$500, MATCH(B1401, 'SAÍDA DE VENDAS'!$B$6:$B$500, 0)+3), ""), "")&amp; IF(COUNTIF('SAÍDA DE VENDAS'!$B$6:$B$500, B1401)&gt;4, " + " &amp; IFERROR(INDEX('SAÍDA DE VENDAS'!$H$6:$H$500 &amp; "x " &amp; 'SAÍDA DE VENDAS'!$G$6:$G$500, MATCH(B1401, 'SAÍDA DE VENDAS'!$B$6:$B$500, 0)+4), ""), "")&amp; IF(COUNTIF('SAÍDA DE VENDAS'!$B$6:$B$500, B1401)&gt;5, " + " &amp; IFERROR(INDEX('SAÍDA DE VENDAS'!$H$6:$H$500 &amp; "x " &amp; 'SAÍDA DE VENDAS'!$G$6:$G$500, MATCH(B1401, 'SAÍDA DE VENDAS'!$B$6:$B$500, 0)+5), ""), ""))</f>
        <v/>
      </c>
      <c r="G1401" s="34">
        <f>IFERROR(VLOOKUP(B1401,'SAÍDA DE VENDAS'!$B$6:$P$500,10,FALSE),"")</f>
        <v>0</v>
      </c>
      <c r="H1401" s="34" t="str">
        <f>IF(OR(ISBLANK(B1401),B1401=""), "", IF(B1401=B1400, (VALUE(LEFT(H1400,FIND("/",H1400)-1))+1)&amp;"/"&amp;RIGHT(H1400,LEN(H1400)-FIND("/",H1400)), "1/"&amp;IFERROR(VLOOKUP(B1401,'SAÍDA DE VENDAS'!$B$6:$P$500,13,FALSE),"1")))</f>
        <v/>
      </c>
      <c r="I1401" s="35" t="str">
        <f t="shared" si="42"/>
        <v/>
      </c>
      <c r="J1401" s="39" t="str">
        <f>IFERROR(VLOOKUP(B1401,'SAÍDA DE VENDAS'!$B$6:$P$500,15,FALSE),"")</f>
        <v/>
      </c>
      <c r="K1401" s="34" t="str">
        <f t="shared" ca="1" si="43"/>
        <v/>
      </c>
      <c r="L1401" s="34"/>
      <c r="M1401" s="34"/>
    </row>
    <row r="1402" spans="2:13" ht="15" customHeight="1" x14ac:dyDescent="0.3">
      <c r="B1402" s="28" t="str">
        <f>IF(B1401="","", IF(VALUE(LEFT(H1401,FIND("/",H1401)-1)) &lt; VALUE(RIGHT(H1401,LEN(H1401)-FIND("/",H1401))), B1401, IFERROR(INDEX('SAÍDA DE VENDAS'!$B$6:$B$500, MATCH(B1401,'SAÍDA DE VENDAS'!$B$6:$B$500,0)+COUNTIF('SAÍDA DE VENDAS'!$B$6:$B$500, B1401)),"")))</f>
        <v/>
      </c>
      <c r="C1402" s="29">
        <f>IFERROR(VLOOKUP(B1402,'SAÍDA DE VENDAS'!$B$6:$P$500,3,FALSE),"")</f>
        <v>0</v>
      </c>
      <c r="D1402" s="28">
        <f>IFERROR(VLOOKUP(B1402,'SAÍDA DE VENDAS'!$B$6:$P$500,4,FALSE),"")</f>
        <v>0</v>
      </c>
      <c r="E1402" s="28" t="str">
        <f>IFERROR(VLOOKUP(B1402,'SAÍDA DE VENDAS'!$B$6:$P$500,5,FALSE),"")</f>
        <v/>
      </c>
      <c r="F1402" s="28" t="str">
        <f>IF(OR(ISBLANK(B1402),B1402=""), "", IFERROR(INDEX('SAÍDA DE VENDAS'!$H$6:$H$500 &amp; "x " &amp; 'SAÍDA DE VENDAS'!$G$6:$G$500, MATCH(B1402, 'SAÍDA DE VENDAS'!$B$6:$B$500, 0)), "")&amp; IF(COUNTIF('SAÍDA DE VENDAS'!$B$6:$B$500, B1402)&gt;1, " + " &amp; IFERROR(INDEX('SAÍDA DE VENDAS'!$H$6:$H$500 &amp; "x " &amp; 'SAÍDA DE VENDAS'!$G$6:$G$500, MATCH(B1402, 'SAÍDA DE VENDAS'!$B$6:$B$500, 0)+1), ""), "")&amp; IF(COUNTIF('SAÍDA DE VENDAS'!$B$6:$B$500, B1402)&gt;2, " + " &amp; IFERROR(INDEX('SAÍDA DE VENDAS'!$H$6:$H$500 &amp; "x " &amp; 'SAÍDA DE VENDAS'!$G$6:$G$500, MATCH(B1402, 'SAÍDA DE VENDAS'!$B$6:$B$500, 0)+2), ""), "")&amp; IF(COUNTIF('SAÍDA DE VENDAS'!$B$6:$B$500, B1402)&gt;3, " + " &amp; IFERROR(INDEX('SAÍDA DE VENDAS'!$H$6:$H$500 &amp; "x " &amp; 'SAÍDA DE VENDAS'!$G$6:$G$500, MATCH(B1402, 'SAÍDA DE VENDAS'!$B$6:$B$500, 0)+3), ""), "")&amp; IF(COUNTIF('SAÍDA DE VENDAS'!$B$6:$B$500, B1402)&gt;4, " + " &amp; IFERROR(INDEX('SAÍDA DE VENDAS'!$H$6:$H$500 &amp; "x " &amp; 'SAÍDA DE VENDAS'!$G$6:$G$500, MATCH(B1402, 'SAÍDA DE VENDAS'!$B$6:$B$500, 0)+4), ""), "")&amp; IF(COUNTIF('SAÍDA DE VENDAS'!$B$6:$B$500, B1402)&gt;5, " + " &amp; IFERROR(INDEX('SAÍDA DE VENDAS'!$H$6:$H$500 &amp; "x " &amp; 'SAÍDA DE VENDAS'!$G$6:$G$500, MATCH(B1402, 'SAÍDA DE VENDAS'!$B$6:$B$500, 0)+5), ""), ""))</f>
        <v/>
      </c>
      <c r="G1402" s="28">
        <f>IFERROR(VLOOKUP(B1402,'SAÍDA DE VENDAS'!$B$6:$P$500,10,FALSE),"")</f>
        <v>0</v>
      </c>
      <c r="H1402" s="28" t="str">
        <f>IF(OR(ISBLANK(B1402),B1402=""), "", IF(B1402=B1401, (VALUE(LEFT(H1401,FIND("/",H1401)-1))+1)&amp;"/"&amp;RIGHT(H1401,LEN(H1401)-FIND("/",H1401)), "1/"&amp;IFERROR(VLOOKUP(B1402,'SAÍDA DE VENDAS'!$B$6:$P$500,13,FALSE),"1")))</f>
        <v/>
      </c>
      <c r="I1402" s="69" t="str">
        <f t="shared" si="42"/>
        <v/>
      </c>
      <c r="J1402" s="33" t="str">
        <f>IFERROR(VLOOKUP(B1402,'SAÍDA DE VENDAS'!$B$6:$P$500,15,FALSE),"")</f>
        <v/>
      </c>
      <c r="K1402" s="28" t="str">
        <f t="shared" ca="1" si="43"/>
        <v/>
      </c>
      <c r="L1402" s="28"/>
      <c r="M1402" s="28"/>
    </row>
    <row r="1403" spans="2:13" ht="15" customHeight="1" x14ac:dyDescent="0.3">
      <c r="B1403" s="34" t="str">
        <f>IF(B1402="","", IF(VALUE(LEFT(H1402,FIND("/",H1402)-1)) &lt; VALUE(RIGHT(H1402,LEN(H1402)-FIND("/",H1402))), B1402, IFERROR(INDEX('SAÍDA DE VENDAS'!$B$6:$B$500, MATCH(B1402,'SAÍDA DE VENDAS'!$B$6:$B$500,0)+COUNTIF('SAÍDA DE VENDAS'!$B$6:$B$500, B1402)),"")))</f>
        <v/>
      </c>
      <c r="C1403" s="35">
        <f>IFERROR(VLOOKUP(B1403,'SAÍDA DE VENDAS'!$B$6:$P$500,3,FALSE),"")</f>
        <v>0</v>
      </c>
      <c r="D1403" s="34">
        <f>IFERROR(VLOOKUP(B1403,'SAÍDA DE VENDAS'!$B$6:$P$500,4,FALSE),"")</f>
        <v>0</v>
      </c>
      <c r="E1403" s="34" t="str">
        <f>IFERROR(VLOOKUP(B1403,'SAÍDA DE VENDAS'!$B$6:$P$500,5,FALSE),"")</f>
        <v/>
      </c>
      <c r="F1403" s="34" t="str">
        <f>IF(OR(ISBLANK(B1403),B1403=""), "", IFERROR(INDEX('SAÍDA DE VENDAS'!$H$6:$H$500 &amp; "x " &amp; 'SAÍDA DE VENDAS'!$G$6:$G$500, MATCH(B1403, 'SAÍDA DE VENDAS'!$B$6:$B$500, 0)), "")&amp; IF(COUNTIF('SAÍDA DE VENDAS'!$B$6:$B$500, B1403)&gt;1, " + " &amp; IFERROR(INDEX('SAÍDA DE VENDAS'!$H$6:$H$500 &amp; "x " &amp; 'SAÍDA DE VENDAS'!$G$6:$G$500, MATCH(B1403, 'SAÍDA DE VENDAS'!$B$6:$B$500, 0)+1), ""), "")&amp; IF(COUNTIF('SAÍDA DE VENDAS'!$B$6:$B$500, B1403)&gt;2, " + " &amp; IFERROR(INDEX('SAÍDA DE VENDAS'!$H$6:$H$500 &amp; "x " &amp; 'SAÍDA DE VENDAS'!$G$6:$G$500, MATCH(B1403, 'SAÍDA DE VENDAS'!$B$6:$B$500, 0)+2), ""), "")&amp; IF(COUNTIF('SAÍDA DE VENDAS'!$B$6:$B$500, B1403)&gt;3, " + " &amp; IFERROR(INDEX('SAÍDA DE VENDAS'!$H$6:$H$500 &amp; "x " &amp; 'SAÍDA DE VENDAS'!$G$6:$G$500, MATCH(B1403, 'SAÍDA DE VENDAS'!$B$6:$B$500, 0)+3), ""), "")&amp; IF(COUNTIF('SAÍDA DE VENDAS'!$B$6:$B$500, B1403)&gt;4, " + " &amp; IFERROR(INDEX('SAÍDA DE VENDAS'!$H$6:$H$500 &amp; "x " &amp; 'SAÍDA DE VENDAS'!$G$6:$G$500, MATCH(B1403, 'SAÍDA DE VENDAS'!$B$6:$B$500, 0)+4), ""), "")&amp; IF(COUNTIF('SAÍDA DE VENDAS'!$B$6:$B$500, B1403)&gt;5, " + " &amp; IFERROR(INDEX('SAÍDA DE VENDAS'!$H$6:$H$500 &amp; "x " &amp; 'SAÍDA DE VENDAS'!$G$6:$G$500, MATCH(B1403, 'SAÍDA DE VENDAS'!$B$6:$B$500, 0)+5), ""), ""))</f>
        <v/>
      </c>
      <c r="G1403" s="34">
        <f>IFERROR(VLOOKUP(B1403,'SAÍDA DE VENDAS'!$B$6:$P$500,10,FALSE),"")</f>
        <v>0</v>
      </c>
      <c r="H1403" s="34" t="str">
        <f>IF(OR(ISBLANK(B1403),B1403=""), "", IF(B1403=B1402, (VALUE(LEFT(H1402,FIND("/",H1402)-1))+1)&amp;"/"&amp;RIGHT(H1402,LEN(H1402)-FIND("/",H1402)), "1/"&amp;IFERROR(VLOOKUP(B1403,'SAÍDA DE VENDAS'!$B$6:$P$500,13,FALSE),"1")))</f>
        <v/>
      </c>
      <c r="I1403" s="35" t="str">
        <f t="shared" si="42"/>
        <v/>
      </c>
      <c r="J1403" s="39" t="str">
        <f>IFERROR(VLOOKUP(B1403,'SAÍDA DE VENDAS'!$B$6:$P$500,15,FALSE),"")</f>
        <v/>
      </c>
      <c r="K1403" s="34" t="str">
        <f t="shared" ca="1" si="43"/>
        <v/>
      </c>
      <c r="L1403" s="34"/>
      <c r="M1403" s="34"/>
    </row>
    <row r="1404" spans="2:13" ht="15" customHeight="1" x14ac:dyDescent="0.3">
      <c r="B1404" s="28" t="str">
        <f>IF(B1403="","", IF(VALUE(LEFT(H1403,FIND("/",H1403)-1)) &lt; VALUE(RIGHT(H1403,LEN(H1403)-FIND("/",H1403))), B1403, IFERROR(INDEX('SAÍDA DE VENDAS'!$B$6:$B$500, MATCH(B1403,'SAÍDA DE VENDAS'!$B$6:$B$500,0)+COUNTIF('SAÍDA DE VENDAS'!$B$6:$B$500, B1403)),"")))</f>
        <v/>
      </c>
      <c r="C1404" s="29">
        <f>IFERROR(VLOOKUP(B1404,'SAÍDA DE VENDAS'!$B$6:$P$500,3,FALSE),"")</f>
        <v>0</v>
      </c>
      <c r="D1404" s="28">
        <f>IFERROR(VLOOKUP(B1404,'SAÍDA DE VENDAS'!$B$6:$P$500,4,FALSE),"")</f>
        <v>0</v>
      </c>
      <c r="E1404" s="28" t="str">
        <f>IFERROR(VLOOKUP(B1404,'SAÍDA DE VENDAS'!$B$6:$P$500,5,FALSE),"")</f>
        <v/>
      </c>
      <c r="F1404" s="28" t="str">
        <f>IF(OR(ISBLANK(B1404),B1404=""), "", IFERROR(INDEX('SAÍDA DE VENDAS'!$H$6:$H$500 &amp; "x " &amp; 'SAÍDA DE VENDAS'!$G$6:$G$500, MATCH(B1404, 'SAÍDA DE VENDAS'!$B$6:$B$500, 0)), "")&amp; IF(COUNTIF('SAÍDA DE VENDAS'!$B$6:$B$500, B1404)&gt;1, " + " &amp; IFERROR(INDEX('SAÍDA DE VENDAS'!$H$6:$H$500 &amp; "x " &amp; 'SAÍDA DE VENDAS'!$G$6:$G$500, MATCH(B1404, 'SAÍDA DE VENDAS'!$B$6:$B$500, 0)+1), ""), "")&amp; IF(COUNTIF('SAÍDA DE VENDAS'!$B$6:$B$500, B1404)&gt;2, " + " &amp; IFERROR(INDEX('SAÍDA DE VENDAS'!$H$6:$H$500 &amp; "x " &amp; 'SAÍDA DE VENDAS'!$G$6:$G$500, MATCH(B1404, 'SAÍDA DE VENDAS'!$B$6:$B$500, 0)+2), ""), "")&amp; IF(COUNTIF('SAÍDA DE VENDAS'!$B$6:$B$500, B1404)&gt;3, " + " &amp; IFERROR(INDEX('SAÍDA DE VENDAS'!$H$6:$H$500 &amp; "x " &amp; 'SAÍDA DE VENDAS'!$G$6:$G$500, MATCH(B1404, 'SAÍDA DE VENDAS'!$B$6:$B$500, 0)+3), ""), "")&amp; IF(COUNTIF('SAÍDA DE VENDAS'!$B$6:$B$500, B1404)&gt;4, " + " &amp; IFERROR(INDEX('SAÍDA DE VENDAS'!$H$6:$H$500 &amp; "x " &amp; 'SAÍDA DE VENDAS'!$G$6:$G$500, MATCH(B1404, 'SAÍDA DE VENDAS'!$B$6:$B$500, 0)+4), ""), "")&amp; IF(COUNTIF('SAÍDA DE VENDAS'!$B$6:$B$500, B1404)&gt;5, " + " &amp; IFERROR(INDEX('SAÍDA DE VENDAS'!$H$6:$H$500 &amp; "x " &amp; 'SAÍDA DE VENDAS'!$G$6:$G$500, MATCH(B1404, 'SAÍDA DE VENDAS'!$B$6:$B$500, 0)+5), ""), ""))</f>
        <v/>
      </c>
      <c r="G1404" s="28">
        <f>IFERROR(VLOOKUP(B1404,'SAÍDA DE VENDAS'!$B$6:$P$500,10,FALSE),"")</f>
        <v>0</v>
      </c>
      <c r="H1404" s="28" t="str">
        <f>IF(OR(ISBLANK(B1404),B1404=""), "", IF(B1404=B1403, (VALUE(LEFT(H1403,FIND("/",H1403)-1))+1)&amp;"/"&amp;RIGHT(H1403,LEN(H1403)-FIND("/",H1403)), "1/"&amp;IFERROR(VLOOKUP(B1404,'SAÍDA DE VENDAS'!$B$6:$P$500,13,FALSE),"1")))</f>
        <v/>
      </c>
      <c r="I1404" s="69" t="str">
        <f t="shared" si="42"/>
        <v/>
      </c>
      <c r="J1404" s="33" t="str">
        <f>IFERROR(VLOOKUP(B1404,'SAÍDA DE VENDAS'!$B$6:$P$500,15,FALSE),"")</f>
        <v/>
      </c>
      <c r="K1404" s="28" t="str">
        <f t="shared" ca="1" si="43"/>
        <v/>
      </c>
      <c r="L1404" s="28"/>
      <c r="M1404" s="28"/>
    </row>
    <row r="1405" spans="2:13" ht="15" customHeight="1" x14ac:dyDescent="0.3">
      <c r="B1405" s="34" t="str">
        <f>IF(B1404="","", IF(VALUE(LEFT(H1404,FIND("/",H1404)-1)) &lt; VALUE(RIGHT(H1404,LEN(H1404)-FIND("/",H1404))), B1404, IFERROR(INDEX('SAÍDA DE VENDAS'!$B$6:$B$500, MATCH(B1404,'SAÍDA DE VENDAS'!$B$6:$B$500,0)+COUNTIF('SAÍDA DE VENDAS'!$B$6:$B$500, B1404)),"")))</f>
        <v/>
      </c>
      <c r="C1405" s="35">
        <f>IFERROR(VLOOKUP(B1405,'SAÍDA DE VENDAS'!$B$6:$P$500,3,FALSE),"")</f>
        <v>0</v>
      </c>
      <c r="D1405" s="34">
        <f>IFERROR(VLOOKUP(B1405,'SAÍDA DE VENDAS'!$B$6:$P$500,4,FALSE),"")</f>
        <v>0</v>
      </c>
      <c r="E1405" s="34" t="str">
        <f>IFERROR(VLOOKUP(B1405,'SAÍDA DE VENDAS'!$B$6:$P$500,5,FALSE),"")</f>
        <v/>
      </c>
      <c r="F1405" s="34" t="str">
        <f>IF(OR(ISBLANK(B1405),B1405=""), "", IFERROR(INDEX('SAÍDA DE VENDAS'!$H$6:$H$500 &amp; "x " &amp; 'SAÍDA DE VENDAS'!$G$6:$G$500, MATCH(B1405, 'SAÍDA DE VENDAS'!$B$6:$B$500, 0)), "")&amp; IF(COUNTIF('SAÍDA DE VENDAS'!$B$6:$B$500, B1405)&gt;1, " + " &amp; IFERROR(INDEX('SAÍDA DE VENDAS'!$H$6:$H$500 &amp; "x " &amp; 'SAÍDA DE VENDAS'!$G$6:$G$500, MATCH(B1405, 'SAÍDA DE VENDAS'!$B$6:$B$500, 0)+1), ""), "")&amp; IF(COUNTIF('SAÍDA DE VENDAS'!$B$6:$B$500, B1405)&gt;2, " + " &amp; IFERROR(INDEX('SAÍDA DE VENDAS'!$H$6:$H$500 &amp; "x " &amp; 'SAÍDA DE VENDAS'!$G$6:$G$500, MATCH(B1405, 'SAÍDA DE VENDAS'!$B$6:$B$500, 0)+2), ""), "")&amp; IF(COUNTIF('SAÍDA DE VENDAS'!$B$6:$B$500, B1405)&gt;3, " + " &amp; IFERROR(INDEX('SAÍDA DE VENDAS'!$H$6:$H$500 &amp; "x " &amp; 'SAÍDA DE VENDAS'!$G$6:$G$500, MATCH(B1405, 'SAÍDA DE VENDAS'!$B$6:$B$500, 0)+3), ""), "")&amp; IF(COUNTIF('SAÍDA DE VENDAS'!$B$6:$B$500, B1405)&gt;4, " + " &amp; IFERROR(INDEX('SAÍDA DE VENDAS'!$H$6:$H$500 &amp; "x " &amp; 'SAÍDA DE VENDAS'!$G$6:$G$500, MATCH(B1405, 'SAÍDA DE VENDAS'!$B$6:$B$500, 0)+4), ""), "")&amp; IF(COUNTIF('SAÍDA DE VENDAS'!$B$6:$B$500, B1405)&gt;5, " + " &amp; IFERROR(INDEX('SAÍDA DE VENDAS'!$H$6:$H$500 &amp; "x " &amp; 'SAÍDA DE VENDAS'!$G$6:$G$500, MATCH(B1405, 'SAÍDA DE VENDAS'!$B$6:$B$500, 0)+5), ""), ""))</f>
        <v/>
      </c>
      <c r="G1405" s="34">
        <f>IFERROR(VLOOKUP(B1405,'SAÍDA DE VENDAS'!$B$6:$P$500,10,FALSE),"")</f>
        <v>0</v>
      </c>
      <c r="H1405" s="34" t="str">
        <f>IF(OR(ISBLANK(B1405),B1405=""), "", IF(B1405=B1404, (VALUE(LEFT(H1404,FIND("/",H1404)-1))+1)&amp;"/"&amp;RIGHT(H1404,LEN(H1404)-FIND("/",H1404)), "1/"&amp;IFERROR(VLOOKUP(B1405,'SAÍDA DE VENDAS'!$B$6:$P$500,13,FALSE),"1")))</f>
        <v/>
      </c>
      <c r="I1405" s="35" t="str">
        <f t="shared" si="42"/>
        <v/>
      </c>
      <c r="J1405" s="39" t="str">
        <f>IFERROR(VLOOKUP(B1405,'SAÍDA DE VENDAS'!$B$6:$P$500,15,FALSE),"")</f>
        <v/>
      </c>
      <c r="K1405" s="34" t="str">
        <f t="shared" ca="1" si="43"/>
        <v/>
      </c>
      <c r="L1405" s="34"/>
      <c r="M1405" s="34"/>
    </row>
    <row r="1406" spans="2:13" ht="15" customHeight="1" x14ac:dyDescent="0.3">
      <c r="B1406" s="28" t="str">
        <f>IF(B1405="","", IF(VALUE(LEFT(H1405,FIND("/",H1405)-1)) &lt; VALUE(RIGHT(H1405,LEN(H1405)-FIND("/",H1405))), B1405, IFERROR(INDEX('SAÍDA DE VENDAS'!$B$6:$B$500, MATCH(B1405,'SAÍDA DE VENDAS'!$B$6:$B$500,0)+COUNTIF('SAÍDA DE VENDAS'!$B$6:$B$500, B1405)),"")))</f>
        <v/>
      </c>
      <c r="C1406" s="29">
        <f>IFERROR(VLOOKUP(B1406,'SAÍDA DE VENDAS'!$B$6:$P$500,3,FALSE),"")</f>
        <v>0</v>
      </c>
      <c r="D1406" s="28">
        <f>IFERROR(VLOOKUP(B1406,'SAÍDA DE VENDAS'!$B$6:$P$500,4,FALSE),"")</f>
        <v>0</v>
      </c>
      <c r="E1406" s="28" t="str">
        <f>IFERROR(VLOOKUP(B1406,'SAÍDA DE VENDAS'!$B$6:$P$500,5,FALSE),"")</f>
        <v/>
      </c>
      <c r="F1406" s="28" t="str">
        <f>IF(OR(ISBLANK(B1406),B1406=""), "", IFERROR(INDEX('SAÍDA DE VENDAS'!$H$6:$H$500 &amp; "x " &amp; 'SAÍDA DE VENDAS'!$G$6:$G$500, MATCH(B1406, 'SAÍDA DE VENDAS'!$B$6:$B$500, 0)), "")&amp; IF(COUNTIF('SAÍDA DE VENDAS'!$B$6:$B$500, B1406)&gt;1, " + " &amp; IFERROR(INDEX('SAÍDA DE VENDAS'!$H$6:$H$500 &amp; "x " &amp; 'SAÍDA DE VENDAS'!$G$6:$G$500, MATCH(B1406, 'SAÍDA DE VENDAS'!$B$6:$B$500, 0)+1), ""), "")&amp; IF(COUNTIF('SAÍDA DE VENDAS'!$B$6:$B$500, B1406)&gt;2, " + " &amp; IFERROR(INDEX('SAÍDA DE VENDAS'!$H$6:$H$500 &amp; "x " &amp; 'SAÍDA DE VENDAS'!$G$6:$G$500, MATCH(B1406, 'SAÍDA DE VENDAS'!$B$6:$B$500, 0)+2), ""), "")&amp; IF(COUNTIF('SAÍDA DE VENDAS'!$B$6:$B$500, B1406)&gt;3, " + " &amp; IFERROR(INDEX('SAÍDA DE VENDAS'!$H$6:$H$500 &amp; "x " &amp; 'SAÍDA DE VENDAS'!$G$6:$G$500, MATCH(B1406, 'SAÍDA DE VENDAS'!$B$6:$B$500, 0)+3), ""), "")&amp; IF(COUNTIF('SAÍDA DE VENDAS'!$B$6:$B$500, B1406)&gt;4, " + " &amp; IFERROR(INDEX('SAÍDA DE VENDAS'!$H$6:$H$500 &amp; "x " &amp; 'SAÍDA DE VENDAS'!$G$6:$G$500, MATCH(B1406, 'SAÍDA DE VENDAS'!$B$6:$B$500, 0)+4), ""), "")&amp; IF(COUNTIF('SAÍDA DE VENDAS'!$B$6:$B$500, B1406)&gt;5, " + " &amp; IFERROR(INDEX('SAÍDA DE VENDAS'!$H$6:$H$500 &amp; "x " &amp; 'SAÍDA DE VENDAS'!$G$6:$G$500, MATCH(B1406, 'SAÍDA DE VENDAS'!$B$6:$B$500, 0)+5), ""), ""))</f>
        <v/>
      </c>
      <c r="G1406" s="28">
        <f>IFERROR(VLOOKUP(B1406,'SAÍDA DE VENDAS'!$B$6:$P$500,10,FALSE),"")</f>
        <v>0</v>
      </c>
      <c r="H1406" s="28" t="str">
        <f>IF(OR(ISBLANK(B1406),B1406=""), "", IF(B1406=B1405, (VALUE(LEFT(H1405,FIND("/",H1405)-1))+1)&amp;"/"&amp;RIGHT(H1405,LEN(H1405)-FIND("/",H1405)), "1/"&amp;IFERROR(VLOOKUP(B1406,'SAÍDA DE VENDAS'!$B$6:$P$500,13,FALSE),"1")))</f>
        <v/>
      </c>
      <c r="I1406" s="69" t="str">
        <f t="shared" si="42"/>
        <v/>
      </c>
      <c r="J1406" s="33" t="str">
        <f>IFERROR(VLOOKUP(B1406,'SAÍDA DE VENDAS'!$B$6:$P$500,15,FALSE),"")</f>
        <v/>
      </c>
      <c r="K1406" s="28" t="str">
        <f t="shared" ca="1" si="43"/>
        <v/>
      </c>
      <c r="L1406" s="28"/>
      <c r="M1406" s="28"/>
    </row>
    <row r="1407" spans="2:13" ht="15" customHeight="1" x14ac:dyDescent="0.3">
      <c r="B1407" s="34" t="str">
        <f>IF(B1406="","", IF(VALUE(LEFT(H1406,FIND("/",H1406)-1)) &lt; VALUE(RIGHT(H1406,LEN(H1406)-FIND("/",H1406))), B1406, IFERROR(INDEX('SAÍDA DE VENDAS'!$B$6:$B$500, MATCH(B1406,'SAÍDA DE VENDAS'!$B$6:$B$500,0)+COUNTIF('SAÍDA DE VENDAS'!$B$6:$B$500, B1406)),"")))</f>
        <v/>
      </c>
      <c r="C1407" s="35">
        <f>IFERROR(VLOOKUP(B1407,'SAÍDA DE VENDAS'!$B$6:$P$500,3,FALSE),"")</f>
        <v>0</v>
      </c>
      <c r="D1407" s="34">
        <f>IFERROR(VLOOKUP(B1407,'SAÍDA DE VENDAS'!$B$6:$P$500,4,FALSE),"")</f>
        <v>0</v>
      </c>
      <c r="E1407" s="34" t="str">
        <f>IFERROR(VLOOKUP(B1407,'SAÍDA DE VENDAS'!$B$6:$P$500,5,FALSE),"")</f>
        <v/>
      </c>
      <c r="F1407" s="34" t="str">
        <f>IF(OR(ISBLANK(B1407),B1407=""), "", IFERROR(INDEX('SAÍDA DE VENDAS'!$H$6:$H$500 &amp; "x " &amp; 'SAÍDA DE VENDAS'!$G$6:$G$500, MATCH(B1407, 'SAÍDA DE VENDAS'!$B$6:$B$500, 0)), "")&amp; IF(COUNTIF('SAÍDA DE VENDAS'!$B$6:$B$500, B1407)&gt;1, " + " &amp; IFERROR(INDEX('SAÍDA DE VENDAS'!$H$6:$H$500 &amp; "x " &amp; 'SAÍDA DE VENDAS'!$G$6:$G$500, MATCH(B1407, 'SAÍDA DE VENDAS'!$B$6:$B$500, 0)+1), ""), "")&amp; IF(COUNTIF('SAÍDA DE VENDAS'!$B$6:$B$500, B1407)&gt;2, " + " &amp; IFERROR(INDEX('SAÍDA DE VENDAS'!$H$6:$H$500 &amp; "x " &amp; 'SAÍDA DE VENDAS'!$G$6:$G$500, MATCH(B1407, 'SAÍDA DE VENDAS'!$B$6:$B$500, 0)+2), ""), "")&amp; IF(COUNTIF('SAÍDA DE VENDAS'!$B$6:$B$500, B1407)&gt;3, " + " &amp; IFERROR(INDEX('SAÍDA DE VENDAS'!$H$6:$H$500 &amp; "x " &amp; 'SAÍDA DE VENDAS'!$G$6:$G$500, MATCH(B1407, 'SAÍDA DE VENDAS'!$B$6:$B$500, 0)+3), ""), "")&amp; IF(COUNTIF('SAÍDA DE VENDAS'!$B$6:$B$500, B1407)&gt;4, " + " &amp; IFERROR(INDEX('SAÍDA DE VENDAS'!$H$6:$H$500 &amp; "x " &amp; 'SAÍDA DE VENDAS'!$G$6:$G$500, MATCH(B1407, 'SAÍDA DE VENDAS'!$B$6:$B$500, 0)+4), ""), "")&amp; IF(COUNTIF('SAÍDA DE VENDAS'!$B$6:$B$500, B1407)&gt;5, " + " &amp; IFERROR(INDEX('SAÍDA DE VENDAS'!$H$6:$H$500 &amp; "x " &amp; 'SAÍDA DE VENDAS'!$G$6:$G$500, MATCH(B1407, 'SAÍDA DE VENDAS'!$B$6:$B$500, 0)+5), ""), ""))</f>
        <v/>
      </c>
      <c r="G1407" s="34">
        <f>IFERROR(VLOOKUP(B1407,'SAÍDA DE VENDAS'!$B$6:$P$500,10,FALSE),"")</f>
        <v>0</v>
      </c>
      <c r="H1407" s="34" t="str">
        <f>IF(OR(ISBLANK(B1407),B1407=""), "", IF(B1407=B1406, (VALUE(LEFT(H1406,FIND("/",H1406)-1))+1)&amp;"/"&amp;RIGHT(H1406,LEN(H1406)-FIND("/",H1406)), "1/"&amp;IFERROR(VLOOKUP(B1407,'SAÍDA DE VENDAS'!$B$6:$P$500,13,FALSE),"1")))</f>
        <v/>
      </c>
      <c r="I1407" s="35" t="str">
        <f t="shared" si="42"/>
        <v/>
      </c>
      <c r="J1407" s="39" t="str">
        <f>IFERROR(VLOOKUP(B1407,'SAÍDA DE VENDAS'!$B$6:$P$500,15,FALSE),"")</f>
        <v/>
      </c>
      <c r="K1407" s="34" t="str">
        <f t="shared" ca="1" si="43"/>
        <v/>
      </c>
      <c r="L1407" s="34"/>
      <c r="M1407" s="34"/>
    </row>
    <row r="1408" spans="2:13" ht="15" customHeight="1" x14ac:dyDescent="0.3">
      <c r="B1408" s="28" t="str">
        <f>IF(B1407="","", IF(VALUE(LEFT(H1407,FIND("/",H1407)-1)) &lt; VALUE(RIGHT(H1407,LEN(H1407)-FIND("/",H1407))), B1407, IFERROR(INDEX('SAÍDA DE VENDAS'!$B$6:$B$500, MATCH(B1407,'SAÍDA DE VENDAS'!$B$6:$B$500,0)+COUNTIF('SAÍDA DE VENDAS'!$B$6:$B$500, B1407)),"")))</f>
        <v/>
      </c>
      <c r="C1408" s="29">
        <f>IFERROR(VLOOKUP(B1408,'SAÍDA DE VENDAS'!$B$6:$P$500,3,FALSE),"")</f>
        <v>0</v>
      </c>
      <c r="D1408" s="28">
        <f>IFERROR(VLOOKUP(B1408,'SAÍDA DE VENDAS'!$B$6:$P$500,4,FALSE),"")</f>
        <v>0</v>
      </c>
      <c r="E1408" s="28" t="str">
        <f>IFERROR(VLOOKUP(B1408,'SAÍDA DE VENDAS'!$B$6:$P$500,5,FALSE),"")</f>
        <v/>
      </c>
      <c r="F1408" s="28" t="str">
        <f>IF(OR(ISBLANK(B1408),B1408=""), "", IFERROR(INDEX('SAÍDA DE VENDAS'!$H$6:$H$500 &amp; "x " &amp; 'SAÍDA DE VENDAS'!$G$6:$G$500, MATCH(B1408, 'SAÍDA DE VENDAS'!$B$6:$B$500, 0)), "")&amp; IF(COUNTIF('SAÍDA DE VENDAS'!$B$6:$B$500, B1408)&gt;1, " + " &amp; IFERROR(INDEX('SAÍDA DE VENDAS'!$H$6:$H$500 &amp; "x " &amp; 'SAÍDA DE VENDAS'!$G$6:$G$500, MATCH(B1408, 'SAÍDA DE VENDAS'!$B$6:$B$500, 0)+1), ""), "")&amp; IF(COUNTIF('SAÍDA DE VENDAS'!$B$6:$B$500, B1408)&gt;2, " + " &amp; IFERROR(INDEX('SAÍDA DE VENDAS'!$H$6:$H$500 &amp; "x " &amp; 'SAÍDA DE VENDAS'!$G$6:$G$500, MATCH(B1408, 'SAÍDA DE VENDAS'!$B$6:$B$500, 0)+2), ""), "")&amp; IF(COUNTIF('SAÍDA DE VENDAS'!$B$6:$B$500, B1408)&gt;3, " + " &amp; IFERROR(INDEX('SAÍDA DE VENDAS'!$H$6:$H$500 &amp; "x " &amp; 'SAÍDA DE VENDAS'!$G$6:$G$500, MATCH(B1408, 'SAÍDA DE VENDAS'!$B$6:$B$500, 0)+3), ""), "")&amp; IF(COUNTIF('SAÍDA DE VENDAS'!$B$6:$B$500, B1408)&gt;4, " + " &amp; IFERROR(INDEX('SAÍDA DE VENDAS'!$H$6:$H$500 &amp; "x " &amp; 'SAÍDA DE VENDAS'!$G$6:$G$500, MATCH(B1408, 'SAÍDA DE VENDAS'!$B$6:$B$500, 0)+4), ""), "")&amp; IF(COUNTIF('SAÍDA DE VENDAS'!$B$6:$B$500, B1408)&gt;5, " + " &amp; IFERROR(INDEX('SAÍDA DE VENDAS'!$H$6:$H$500 &amp; "x " &amp; 'SAÍDA DE VENDAS'!$G$6:$G$500, MATCH(B1408, 'SAÍDA DE VENDAS'!$B$6:$B$500, 0)+5), ""), ""))</f>
        <v/>
      </c>
      <c r="G1408" s="28">
        <f>IFERROR(VLOOKUP(B1408,'SAÍDA DE VENDAS'!$B$6:$P$500,10,FALSE),"")</f>
        <v>0</v>
      </c>
      <c r="H1408" s="28" t="str">
        <f>IF(OR(ISBLANK(B1408),B1408=""), "", IF(B1408=B1407, (VALUE(LEFT(H1407,FIND("/",H1407)-1))+1)&amp;"/"&amp;RIGHT(H1407,LEN(H1407)-FIND("/",H1407)), "1/"&amp;IFERROR(VLOOKUP(B1408,'SAÍDA DE VENDAS'!$B$6:$P$500,13,FALSE),"1")))</f>
        <v/>
      </c>
      <c r="I1408" s="69" t="str">
        <f t="shared" si="42"/>
        <v/>
      </c>
      <c r="J1408" s="33" t="str">
        <f>IFERROR(VLOOKUP(B1408,'SAÍDA DE VENDAS'!$B$6:$P$500,15,FALSE),"")</f>
        <v/>
      </c>
      <c r="K1408" s="28" t="str">
        <f t="shared" ca="1" si="43"/>
        <v/>
      </c>
      <c r="L1408" s="28"/>
      <c r="M1408" s="28"/>
    </row>
    <row r="1409" spans="2:13" ht="15" customHeight="1" x14ac:dyDescent="0.3">
      <c r="B1409" s="34" t="str">
        <f>IF(B1408="","", IF(VALUE(LEFT(H1408,FIND("/",H1408)-1)) &lt; VALUE(RIGHT(H1408,LEN(H1408)-FIND("/",H1408))), B1408, IFERROR(INDEX('SAÍDA DE VENDAS'!$B$6:$B$500, MATCH(B1408,'SAÍDA DE VENDAS'!$B$6:$B$500,0)+COUNTIF('SAÍDA DE VENDAS'!$B$6:$B$500, B1408)),"")))</f>
        <v/>
      </c>
      <c r="C1409" s="35">
        <f>IFERROR(VLOOKUP(B1409,'SAÍDA DE VENDAS'!$B$6:$P$500,3,FALSE),"")</f>
        <v>0</v>
      </c>
      <c r="D1409" s="34">
        <f>IFERROR(VLOOKUP(B1409,'SAÍDA DE VENDAS'!$B$6:$P$500,4,FALSE),"")</f>
        <v>0</v>
      </c>
      <c r="E1409" s="34" t="str">
        <f>IFERROR(VLOOKUP(B1409,'SAÍDA DE VENDAS'!$B$6:$P$500,5,FALSE),"")</f>
        <v/>
      </c>
      <c r="F1409" s="34" t="str">
        <f>IF(OR(ISBLANK(B1409),B1409=""), "", IFERROR(INDEX('SAÍDA DE VENDAS'!$H$6:$H$500 &amp; "x " &amp; 'SAÍDA DE VENDAS'!$G$6:$G$500, MATCH(B1409, 'SAÍDA DE VENDAS'!$B$6:$B$500, 0)), "")&amp; IF(COUNTIF('SAÍDA DE VENDAS'!$B$6:$B$500, B1409)&gt;1, " + " &amp; IFERROR(INDEX('SAÍDA DE VENDAS'!$H$6:$H$500 &amp; "x " &amp; 'SAÍDA DE VENDAS'!$G$6:$G$500, MATCH(B1409, 'SAÍDA DE VENDAS'!$B$6:$B$500, 0)+1), ""), "")&amp; IF(COUNTIF('SAÍDA DE VENDAS'!$B$6:$B$500, B1409)&gt;2, " + " &amp; IFERROR(INDEX('SAÍDA DE VENDAS'!$H$6:$H$500 &amp; "x " &amp; 'SAÍDA DE VENDAS'!$G$6:$G$500, MATCH(B1409, 'SAÍDA DE VENDAS'!$B$6:$B$500, 0)+2), ""), "")&amp; IF(COUNTIF('SAÍDA DE VENDAS'!$B$6:$B$500, B1409)&gt;3, " + " &amp; IFERROR(INDEX('SAÍDA DE VENDAS'!$H$6:$H$500 &amp; "x " &amp; 'SAÍDA DE VENDAS'!$G$6:$G$500, MATCH(B1409, 'SAÍDA DE VENDAS'!$B$6:$B$500, 0)+3), ""), "")&amp; IF(COUNTIF('SAÍDA DE VENDAS'!$B$6:$B$500, B1409)&gt;4, " + " &amp; IFERROR(INDEX('SAÍDA DE VENDAS'!$H$6:$H$500 &amp; "x " &amp; 'SAÍDA DE VENDAS'!$G$6:$G$500, MATCH(B1409, 'SAÍDA DE VENDAS'!$B$6:$B$500, 0)+4), ""), "")&amp; IF(COUNTIF('SAÍDA DE VENDAS'!$B$6:$B$500, B1409)&gt;5, " + " &amp; IFERROR(INDEX('SAÍDA DE VENDAS'!$H$6:$H$500 &amp; "x " &amp; 'SAÍDA DE VENDAS'!$G$6:$G$500, MATCH(B1409, 'SAÍDA DE VENDAS'!$B$6:$B$500, 0)+5), ""), ""))</f>
        <v/>
      </c>
      <c r="G1409" s="34">
        <f>IFERROR(VLOOKUP(B1409,'SAÍDA DE VENDAS'!$B$6:$P$500,10,FALSE),"")</f>
        <v>0</v>
      </c>
      <c r="H1409" s="34" t="str">
        <f>IF(OR(ISBLANK(B1409),B1409=""), "", IF(B1409=B1408, (VALUE(LEFT(H1408,FIND("/",H1408)-1))+1)&amp;"/"&amp;RIGHT(H1408,LEN(H1408)-FIND("/",H1408)), "1/"&amp;IFERROR(VLOOKUP(B1409,'SAÍDA DE VENDAS'!$B$6:$P$500,13,FALSE),"1")))</f>
        <v/>
      </c>
      <c r="I1409" s="35" t="str">
        <f t="shared" si="42"/>
        <v/>
      </c>
      <c r="J1409" s="39" t="str">
        <f>IFERROR(VLOOKUP(B1409,'SAÍDA DE VENDAS'!$B$6:$P$500,15,FALSE),"")</f>
        <v/>
      </c>
      <c r="K1409" s="34" t="str">
        <f t="shared" ca="1" si="43"/>
        <v/>
      </c>
      <c r="L1409" s="34"/>
      <c r="M1409" s="34"/>
    </row>
    <row r="1410" spans="2:13" ht="15" customHeight="1" x14ac:dyDescent="0.3">
      <c r="B1410" s="28" t="str">
        <f>IF(B1409="","", IF(VALUE(LEFT(H1409,FIND("/",H1409)-1)) &lt; VALUE(RIGHT(H1409,LEN(H1409)-FIND("/",H1409))), B1409, IFERROR(INDEX('SAÍDA DE VENDAS'!$B$6:$B$500, MATCH(B1409,'SAÍDA DE VENDAS'!$B$6:$B$500,0)+COUNTIF('SAÍDA DE VENDAS'!$B$6:$B$500, B1409)),"")))</f>
        <v/>
      </c>
      <c r="C1410" s="29">
        <f>IFERROR(VLOOKUP(B1410,'SAÍDA DE VENDAS'!$B$6:$P$500,3,FALSE),"")</f>
        <v>0</v>
      </c>
      <c r="D1410" s="28">
        <f>IFERROR(VLOOKUP(B1410,'SAÍDA DE VENDAS'!$B$6:$P$500,4,FALSE),"")</f>
        <v>0</v>
      </c>
      <c r="E1410" s="28" t="str">
        <f>IFERROR(VLOOKUP(B1410,'SAÍDA DE VENDAS'!$B$6:$P$500,5,FALSE),"")</f>
        <v/>
      </c>
      <c r="F1410" s="28" t="str">
        <f>IF(OR(ISBLANK(B1410),B1410=""), "", IFERROR(INDEX('SAÍDA DE VENDAS'!$H$6:$H$500 &amp; "x " &amp; 'SAÍDA DE VENDAS'!$G$6:$G$500, MATCH(B1410, 'SAÍDA DE VENDAS'!$B$6:$B$500, 0)), "")&amp; IF(COUNTIF('SAÍDA DE VENDAS'!$B$6:$B$500, B1410)&gt;1, " + " &amp; IFERROR(INDEX('SAÍDA DE VENDAS'!$H$6:$H$500 &amp; "x " &amp; 'SAÍDA DE VENDAS'!$G$6:$G$500, MATCH(B1410, 'SAÍDA DE VENDAS'!$B$6:$B$500, 0)+1), ""), "")&amp; IF(COUNTIF('SAÍDA DE VENDAS'!$B$6:$B$500, B1410)&gt;2, " + " &amp; IFERROR(INDEX('SAÍDA DE VENDAS'!$H$6:$H$500 &amp; "x " &amp; 'SAÍDA DE VENDAS'!$G$6:$G$500, MATCH(B1410, 'SAÍDA DE VENDAS'!$B$6:$B$500, 0)+2), ""), "")&amp; IF(COUNTIF('SAÍDA DE VENDAS'!$B$6:$B$500, B1410)&gt;3, " + " &amp; IFERROR(INDEX('SAÍDA DE VENDAS'!$H$6:$H$500 &amp; "x " &amp; 'SAÍDA DE VENDAS'!$G$6:$G$500, MATCH(B1410, 'SAÍDA DE VENDAS'!$B$6:$B$500, 0)+3), ""), "")&amp; IF(COUNTIF('SAÍDA DE VENDAS'!$B$6:$B$500, B1410)&gt;4, " + " &amp; IFERROR(INDEX('SAÍDA DE VENDAS'!$H$6:$H$500 &amp; "x " &amp; 'SAÍDA DE VENDAS'!$G$6:$G$500, MATCH(B1410, 'SAÍDA DE VENDAS'!$B$6:$B$500, 0)+4), ""), "")&amp; IF(COUNTIF('SAÍDA DE VENDAS'!$B$6:$B$500, B1410)&gt;5, " + " &amp; IFERROR(INDEX('SAÍDA DE VENDAS'!$H$6:$H$500 &amp; "x " &amp; 'SAÍDA DE VENDAS'!$G$6:$G$500, MATCH(B1410, 'SAÍDA DE VENDAS'!$B$6:$B$500, 0)+5), ""), ""))</f>
        <v/>
      </c>
      <c r="G1410" s="28">
        <f>IFERROR(VLOOKUP(B1410,'SAÍDA DE VENDAS'!$B$6:$P$500,10,FALSE),"")</f>
        <v>0</v>
      </c>
      <c r="H1410" s="28" t="str">
        <f>IF(OR(ISBLANK(B1410),B1410=""), "", IF(B1410=B1409, (VALUE(LEFT(H1409,FIND("/",H1409)-1))+1)&amp;"/"&amp;RIGHT(H1409,LEN(H1409)-FIND("/",H1409)), "1/"&amp;IFERROR(VLOOKUP(B1410,'SAÍDA DE VENDAS'!$B$6:$P$500,13,FALSE),"1")))</f>
        <v/>
      </c>
      <c r="I1410" s="69" t="str">
        <f t="shared" si="42"/>
        <v/>
      </c>
      <c r="J1410" s="33" t="str">
        <f>IFERROR(VLOOKUP(B1410,'SAÍDA DE VENDAS'!$B$6:$P$500,15,FALSE),"")</f>
        <v/>
      </c>
      <c r="K1410" s="28" t="str">
        <f t="shared" ca="1" si="43"/>
        <v/>
      </c>
      <c r="L1410" s="28"/>
      <c r="M1410" s="28"/>
    </row>
    <row r="1411" spans="2:13" ht="15" customHeight="1" x14ac:dyDescent="0.3">
      <c r="B1411" s="34" t="str">
        <f>IF(B1410="","", IF(VALUE(LEFT(H1410,FIND("/",H1410)-1)) &lt; VALUE(RIGHT(H1410,LEN(H1410)-FIND("/",H1410))), B1410, IFERROR(INDEX('SAÍDA DE VENDAS'!$B$6:$B$500, MATCH(B1410,'SAÍDA DE VENDAS'!$B$6:$B$500,0)+COUNTIF('SAÍDA DE VENDAS'!$B$6:$B$500, B1410)),"")))</f>
        <v/>
      </c>
      <c r="C1411" s="35">
        <f>IFERROR(VLOOKUP(B1411,'SAÍDA DE VENDAS'!$B$6:$P$500,3,FALSE),"")</f>
        <v>0</v>
      </c>
      <c r="D1411" s="34">
        <f>IFERROR(VLOOKUP(B1411,'SAÍDA DE VENDAS'!$B$6:$P$500,4,FALSE),"")</f>
        <v>0</v>
      </c>
      <c r="E1411" s="34" t="str">
        <f>IFERROR(VLOOKUP(B1411,'SAÍDA DE VENDAS'!$B$6:$P$500,5,FALSE),"")</f>
        <v/>
      </c>
      <c r="F1411" s="34" t="str">
        <f>IF(OR(ISBLANK(B1411),B1411=""), "", IFERROR(INDEX('SAÍDA DE VENDAS'!$H$6:$H$500 &amp; "x " &amp; 'SAÍDA DE VENDAS'!$G$6:$G$500, MATCH(B1411, 'SAÍDA DE VENDAS'!$B$6:$B$500, 0)), "")&amp; IF(COUNTIF('SAÍDA DE VENDAS'!$B$6:$B$500, B1411)&gt;1, " + " &amp; IFERROR(INDEX('SAÍDA DE VENDAS'!$H$6:$H$500 &amp; "x " &amp; 'SAÍDA DE VENDAS'!$G$6:$G$500, MATCH(B1411, 'SAÍDA DE VENDAS'!$B$6:$B$500, 0)+1), ""), "")&amp; IF(COUNTIF('SAÍDA DE VENDAS'!$B$6:$B$500, B1411)&gt;2, " + " &amp; IFERROR(INDEX('SAÍDA DE VENDAS'!$H$6:$H$500 &amp; "x " &amp; 'SAÍDA DE VENDAS'!$G$6:$G$500, MATCH(B1411, 'SAÍDA DE VENDAS'!$B$6:$B$500, 0)+2), ""), "")&amp; IF(COUNTIF('SAÍDA DE VENDAS'!$B$6:$B$500, B1411)&gt;3, " + " &amp; IFERROR(INDEX('SAÍDA DE VENDAS'!$H$6:$H$500 &amp; "x " &amp; 'SAÍDA DE VENDAS'!$G$6:$G$500, MATCH(B1411, 'SAÍDA DE VENDAS'!$B$6:$B$500, 0)+3), ""), "")&amp; IF(COUNTIF('SAÍDA DE VENDAS'!$B$6:$B$500, B1411)&gt;4, " + " &amp; IFERROR(INDEX('SAÍDA DE VENDAS'!$H$6:$H$500 &amp; "x " &amp; 'SAÍDA DE VENDAS'!$G$6:$G$500, MATCH(B1411, 'SAÍDA DE VENDAS'!$B$6:$B$500, 0)+4), ""), "")&amp; IF(COUNTIF('SAÍDA DE VENDAS'!$B$6:$B$500, B1411)&gt;5, " + " &amp; IFERROR(INDEX('SAÍDA DE VENDAS'!$H$6:$H$500 &amp; "x " &amp; 'SAÍDA DE VENDAS'!$G$6:$G$500, MATCH(B1411, 'SAÍDA DE VENDAS'!$B$6:$B$500, 0)+5), ""), ""))</f>
        <v/>
      </c>
      <c r="G1411" s="34">
        <f>IFERROR(VLOOKUP(B1411,'SAÍDA DE VENDAS'!$B$6:$P$500,10,FALSE),"")</f>
        <v>0</v>
      </c>
      <c r="H1411" s="34" t="str">
        <f>IF(OR(ISBLANK(B1411),B1411=""), "", IF(B1411=B1410, (VALUE(LEFT(H1410,FIND("/",H1410)-1))+1)&amp;"/"&amp;RIGHT(H1410,LEN(H1410)-FIND("/",H1410)), "1/"&amp;IFERROR(VLOOKUP(B1411,'SAÍDA DE VENDAS'!$B$6:$P$500,13,FALSE),"1")))</f>
        <v/>
      </c>
      <c r="I1411" s="35" t="str">
        <f t="shared" si="42"/>
        <v/>
      </c>
      <c r="J1411" s="39" t="str">
        <f>IFERROR(VLOOKUP(B1411,'SAÍDA DE VENDAS'!$B$6:$P$500,15,FALSE),"")</f>
        <v/>
      </c>
      <c r="K1411" s="34" t="str">
        <f t="shared" ca="1" si="43"/>
        <v/>
      </c>
      <c r="L1411" s="34"/>
      <c r="M1411" s="34"/>
    </row>
    <row r="1412" spans="2:13" ht="15" customHeight="1" x14ac:dyDescent="0.3">
      <c r="B1412" s="28" t="str">
        <f>IF(B1411="","", IF(VALUE(LEFT(H1411,FIND("/",H1411)-1)) &lt; VALUE(RIGHT(H1411,LEN(H1411)-FIND("/",H1411))), B1411, IFERROR(INDEX('SAÍDA DE VENDAS'!$B$6:$B$500, MATCH(B1411,'SAÍDA DE VENDAS'!$B$6:$B$500,0)+COUNTIF('SAÍDA DE VENDAS'!$B$6:$B$500, B1411)),"")))</f>
        <v/>
      </c>
      <c r="C1412" s="29">
        <f>IFERROR(VLOOKUP(B1412,'SAÍDA DE VENDAS'!$B$6:$P$500,3,FALSE),"")</f>
        <v>0</v>
      </c>
      <c r="D1412" s="28">
        <f>IFERROR(VLOOKUP(B1412,'SAÍDA DE VENDAS'!$B$6:$P$500,4,FALSE),"")</f>
        <v>0</v>
      </c>
      <c r="E1412" s="28" t="str">
        <f>IFERROR(VLOOKUP(B1412,'SAÍDA DE VENDAS'!$B$6:$P$500,5,FALSE),"")</f>
        <v/>
      </c>
      <c r="F1412" s="28" t="str">
        <f>IF(OR(ISBLANK(B1412),B1412=""), "", IFERROR(INDEX('SAÍDA DE VENDAS'!$H$6:$H$500 &amp; "x " &amp; 'SAÍDA DE VENDAS'!$G$6:$G$500, MATCH(B1412, 'SAÍDA DE VENDAS'!$B$6:$B$500, 0)), "")&amp; IF(COUNTIF('SAÍDA DE VENDAS'!$B$6:$B$500, B1412)&gt;1, " + " &amp; IFERROR(INDEX('SAÍDA DE VENDAS'!$H$6:$H$500 &amp; "x " &amp; 'SAÍDA DE VENDAS'!$G$6:$G$500, MATCH(B1412, 'SAÍDA DE VENDAS'!$B$6:$B$500, 0)+1), ""), "")&amp; IF(COUNTIF('SAÍDA DE VENDAS'!$B$6:$B$500, B1412)&gt;2, " + " &amp; IFERROR(INDEX('SAÍDA DE VENDAS'!$H$6:$H$500 &amp; "x " &amp; 'SAÍDA DE VENDAS'!$G$6:$G$500, MATCH(B1412, 'SAÍDA DE VENDAS'!$B$6:$B$500, 0)+2), ""), "")&amp; IF(COUNTIF('SAÍDA DE VENDAS'!$B$6:$B$500, B1412)&gt;3, " + " &amp; IFERROR(INDEX('SAÍDA DE VENDAS'!$H$6:$H$500 &amp; "x " &amp; 'SAÍDA DE VENDAS'!$G$6:$G$500, MATCH(B1412, 'SAÍDA DE VENDAS'!$B$6:$B$500, 0)+3), ""), "")&amp; IF(COUNTIF('SAÍDA DE VENDAS'!$B$6:$B$500, B1412)&gt;4, " + " &amp; IFERROR(INDEX('SAÍDA DE VENDAS'!$H$6:$H$500 &amp; "x " &amp; 'SAÍDA DE VENDAS'!$G$6:$G$500, MATCH(B1412, 'SAÍDA DE VENDAS'!$B$6:$B$500, 0)+4), ""), "")&amp; IF(COUNTIF('SAÍDA DE VENDAS'!$B$6:$B$500, B1412)&gt;5, " + " &amp; IFERROR(INDEX('SAÍDA DE VENDAS'!$H$6:$H$500 &amp; "x " &amp; 'SAÍDA DE VENDAS'!$G$6:$G$500, MATCH(B1412, 'SAÍDA DE VENDAS'!$B$6:$B$500, 0)+5), ""), ""))</f>
        <v/>
      </c>
      <c r="G1412" s="28">
        <f>IFERROR(VLOOKUP(B1412,'SAÍDA DE VENDAS'!$B$6:$P$500,10,FALSE),"")</f>
        <v>0</v>
      </c>
      <c r="H1412" s="28" t="str">
        <f>IF(OR(ISBLANK(B1412),B1412=""), "", IF(B1412=B1411, (VALUE(LEFT(H1411,FIND("/",H1411)-1))+1)&amp;"/"&amp;RIGHT(H1411,LEN(H1411)-FIND("/",H1411)), "1/"&amp;IFERROR(VLOOKUP(B1412,'SAÍDA DE VENDAS'!$B$6:$P$500,13,FALSE),"1")))</f>
        <v/>
      </c>
      <c r="I1412" s="69" t="str">
        <f t="shared" si="42"/>
        <v/>
      </c>
      <c r="J1412" s="33" t="str">
        <f>IFERROR(VLOOKUP(B1412,'SAÍDA DE VENDAS'!$B$6:$P$500,15,FALSE),"")</f>
        <v/>
      </c>
      <c r="K1412" s="28" t="str">
        <f t="shared" ca="1" si="43"/>
        <v/>
      </c>
      <c r="L1412" s="28"/>
      <c r="M1412" s="28"/>
    </row>
    <row r="1413" spans="2:13" ht="15" customHeight="1" x14ac:dyDescent="0.3">
      <c r="B1413" s="34" t="str">
        <f>IF(B1412="","", IF(VALUE(LEFT(H1412,FIND("/",H1412)-1)) &lt; VALUE(RIGHT(H1412,LEN(H1412)-FIND("/",H1412))), B1412, IFERROR(INDEX('SAÍDA DE VENDAS'!$B$6:$B$500, MATCH(B1412,'SAÍDA DE VENDAS'!$B$6:$B$500,0)+COUNTIF('SAÍDA DE VENDAS'!$B$6:$B$500, B1412)),"")))</f>
        <v/>
      </c>
      <c r="C1413" s="35">
        <f>IFERROR(VLOOKUP(B1413,'SAÍDA DE VENDAS'!$B$6:$P$500,3,FALSE),"")</f>
        <v>0</v>
      </c>
      <c r="D1413" s="34">
        <f>IFERROR(VLOOKUP(B1413,'SAÍDA DE VENDAS'!$B$6:$P$500,4,FALSE),"")</f>
        <v>0</v>
      </c>
      <c r="E1413" s="34" t="str">
        <f>IFERROR(VLOOKUP(B1413,'SAÍDA DE VENDAS'!$B$6:$P$500,5,FALSE),"")</f>
        <v/>
      </c>
      <c r="F1413" s="34" t="str">
        <f>IF(OR(ISBLANK(B1413),B1413=""), "", IFERROR(INDEX('SAÍDA DE VENDAS'!$H$6:$H$500 &amp; "x " &amp; 'SAÍDA DE VENDAS'!$G$6:$G$500, MATCH(B1413, 'SAÍDA DE VENDAS'!$B$6:$B$500, 0)), "")&amp; IF(COUNTIF('SAÍDA DE VENDAS'!$B$6:$B$500, B1413)&gt;1, " + " &amp; IFERROR(INDEX('SAÍDA DE VENDAS'!$H$6:$H$500 &amp; "x " &amp; 'SAÍDA DE VENDAS'!$G$6:$G$500, MATCH(B1413, 'SAÍDA DE VENDAS'!$B$6:$B$500, 0)+1), ""), "")&amp; IF(COUNTIF('SAÍDA DE VENDAS'!$B$6:$B$500, B1413)&gt;2, " + " &amp; IFERROR(INDEX('SAÍDA DE VENDAS'!$H$6:$H$500 &amp; "x " &amp; 'SAÍDA DE VENDAS'!$G$6:$G$500, MATCH(B1413, 'SAÍDA DE VENDAS'!$B$6:$B$500, 0)+2), ""), "")&amp; IF(COUNTIF('SAÍDA DE VENDAS'!$B$6:$B$500, B1413)&gt;3, " + " &amp; IFERROR(INDEX('SAÍDA DE VENDAS'!$H$6:$H$500 &amp; "x " &amp; 'SAÍDA DE VENDAS'!$G$6:$G$500, MATCH(B1413, 'SAÍDA DE VENDAS'!$B$6:$B$500, 0)+3), ""), "")&amp; IF(COUNTIF('SAÍDA DE VENDAS'!$B$6:$B$500, B1413)&gt;4, " + " &amp; IFERROR(INDEX('SAÍDA DE VENDAS'!$H$6:$H$500 &amp; "x " &amp; 'SAÍDA DE VENDAS'!$G$6:$G$500, MATCH(B1413, 'SAÍDA DE VENDAS'!$B$6:$B$500, 0)+4), ""), "")&amp; IF(COUNTIF('SAÍDA DE VENDAS'!$B$6:$B$500, B1413)&gt;5, " + " &amp; IFERROR(INDEX('SAÍDA DE VENDAS'!$H$6:$H$500 &amp; "x " &amp; 'SAÍDA DE VENDAS'!$G$6:$G$500, MATCH(B1413, 'SAÍDA DE VENDAS'!$B$6:$B$500, 0)+5), ""), ""))</f>
        <v/>
      </c>
      <c r="G1413" s="34">
        <f>IFERROR(VLOOKUP(B1413,'SAÍDA DE VENDAS'!$B$6:$P$500,10,FALSE),"")</f>
        <v>0</v>
      </c>
      <c r="H1413" s="34" t="str">
        <f>IF(OR(ISBLANK(B1413),B1413=""), "", IF(B1413=B1412, (VALUE(LEFT(H1412,FIND("/",H1412)-1))+1)&amp;"/"&amp;RIGHT(H1412,LEN(H1412)-FIND("/",H1412)), "1/"&amp;IFERROR(VLOOKUP(B1413,'SAÍDA DE VENDAS'!$B$6:$P$500,13,FALSE),"1")))</f>
        <v/>
      </c>
      <c r="I1413" s="35" t="str">
        <f t="shared" si="42"/>
        <v/>
      </c>
      <c r="J1413" s="39" t="str">
        <f>IFERROR(VLOOKUP(B1413,'SAÍDA DE VENDAS'!$B$6:$P$500,15,FALSE),"")</f>
        <v/>
      </c>
      <c r="K1413" s="34" t="str">
        <f t="shared" ca="1" si="43"/>
        <v/>
      </c>
      <c r="L1413" s="34"/>
      <c r="M1413" s="34"/>
    </row>
    <row r="1414" spans="2:13" ht="15" customHeight="1" x14ac:dyDescent="0.3">
      <c r="B1414" s="28" t="str">
        <f>IF(B1413="","", IF(VALUE(LEFT(H1413,FIND("/",H1413)-1)) &lt; VALUE(RIGHT(H1413,LEN(H1413)-FIND("/",H1413))), B1413, IFERROR(INDEX('SAÍDA DE VENDAS'!$B$6:$B$500, MATCH(B1413,'SAÍDA DE VENDAS'!$B$6:$B$500,0)+COUNTIF('SAÍDA DE VENDAS'!$B$6:$B$500, B1413)),"")))</f>
        <v/>
      </c>
      <c r="C1414" s="29">
        <f>IFERROR(VLOOKUP(B1414,'SAÍDA DE VENDAS'!$B$6:$P$500,3,FALSE),"")</f>
        <v>0</v>
      </c>
      <c r="D1414" s="28">
        <f>IFERROR(VLOOKUP(B1414,'SAÍDA DE VENDAS'!$B$6:$P$500,4,FALSE),"")</f>
        <v>0</v>
      </c>
      <c r="E1414" s="28" t="str">
        <f>IFERROR(VLOOKUP(B1414,'SAÍDA DE VENDAS'!$B$6:$P$500,5,FALSE),"")</f>
        <v/>
      </c>
      <c r="F1414" s="28" t="str">
        <f>IF(OR(ISBLANK(B1414),B1414=""), "", IFERROR(INDEX('SAÍDA DE VENDAS'!$H$6:$H$500 &amp; "x " &amp; 'SAÍDA DE VENDAS'!$G$6:$G$500, MATCH(B1414, 'SAÍDA DE VENDAS'!$B$6:$B$500, 0)), "")&amp; IF(COUNTIF('SAÍDA DE VENDAS'!$B$6:$B$500, B1414)&gt;1, " + " &amp; IFERROR(INDEX('SAÍDA DE VENDAS'!$H$6:$H$500 &amp; "x " &amp; 'SAÍDA DE VENDAS'!$G$6:$G$500, MATCH(B1414, 'SAÍDA DE VENDAS'!$B$6:$B$500, 0)+1), ""), "")&amp; IF(COUNTIF('SAÍDA DE VENDAS'!$B$6:$B$500, B1414)&gt;2, " + " &amp; IFERROR(INDEX('SAÍDA DE VENDAS'!$H$6:$H$500 &amp; "x " &amp; 'SAÍDA DE VENDAS'!$G$6:$G$500, MATCH(B1414, 'SAÍDA DE VENDAS'!$B$6:$B$500, 0)+2), ""), "")&amp; IF(COUNTIF('SAÍDA DE VENDAS'!$B$6:$B$500, B1414)&gt;3, " + " &amp; IFERROR(INDEX('SAÍDA DE VENDAS'!$H$6:$H$500 &amp; "x " &amp; 'SAÍDA DE VENDAS'!$G$6:$G$500, MATCH(B1414, 'SAÍDA DE VENDAS'!$B$6:$B$500, 0)+3), ""), "")&amp; IF(COUNTIF('SAÍDA DE VENDAS'!$B$6:$B$500, B1414)&gt;4, " + " &amp; IFERROR(INDEX('SAÍDA DE VENDAS'!$H$6:$H$500 &amp; "x " &amp; 'SAÍDA DE VENDAS'!$G$6:$G$500, MATCH(B1414, 'SAÍDA DE VENDAS'!$B$6:$B$500, 0)+4), ""), "")&amp; IF(COUNTIF('SAÍDA DE VENDAS'!$B$6:$B$500, B1414)&gt;5, " + " &amp; IFERROR(INDEX('SAÍDA DE VENDAS'!$H$6:$H$500 &amp; "x " &amp; 'SAÍDA DE VENDAS'!$G$6:$G$500, MATCH(B1414, 'SAÍDA DE VENDAS'!$B$6:$B$500, 0)+5), ""), ""))</f>
        <v/>
      </c>
      <c r="G1414" s="28">
        <f>IFERROR(VLOOKUP(B1414,'SAÍDA DE VENDAS'!$B$6:$P$500,10,FALSE),"")</f>
        <v>0</v>
      </c>
      <c r="H1414" s="28" t="str">
        <f>IF(OR(ISBLANK(B1414),B1414=""), "", IF(B1414=B1413, (VALUE(LEFT(H1413,FIND("/",H1413)-1))+1)&amp;"/"&amp;RIGHT(H1413,LEN(H1413)-FIND("/",H1413)), "1/"&amp;IFERROR(VLOOKUP(B1414,'SAÍDA DE VENDAS'!$B$6:$P$500,13,FALSE),"1")))</f>
        <v/>
      </c>
      <c r="I1414" s="69" t="str">
        <f t="shared" ref="I1414:I1477" si="44">IF(OR(ISBLANK(B1414), B1414="", C1414=""), "", C1414 + (IFERROR(VALUE(LEFT(H1414, FIND("/", H1414)-1)), 1) * 30))</f>
        <v/>
      </c>
      <c r="J1414" s="33" t="str">
        <f>IFERROR(VLOOKUP(B1414,'SAÍDA DE VENDAS'!$B$6:$P$500,15,FALSE),"")</f>
        <v/>
      </c>
      <c r="K1414" s="28" t="str">
        <f t="shared" ref="K1414:K1477" ca="1" si="45">IF(B1414="","", IF(OR(G1414="À Vista", L1414&lt;&gt;""), "Pago", IF(AND(I1414&lt;&gt;"", I1414&lt;TODAY()), "Atrasado", "Pendente")))</f>
        <v/>
      </c>
      <c r="L1414" s="28"/>
      <c r="M1414" s="28"/>
    </row>
    <row r="1415" spans="2:13" ht="15" customHeight="1" x14ac:dyDescent="0.3">
      <c r="B1415" s="34" t="str">
        <f>IF(B1414="","", IF(VALUE(LEFT(H1414,FIND("/",H1414)-1)) &lt; VALUE(RIGHT(H1414,LEN(H1414)-FIND("/",H1414))), B1414, IFERROR(INDEX('SAÍDA DE VENDAS'!$B$6:$B$500, MATCH(B1414,'SAÍDA DE VENDAS'!$B$6:$B$500,0)+COUNTIF('SAÍDA DE VENDAS'!$B$6:$B$500, B1414)),"")))</f>
        <v/>
      </c>
      <c r="C1415" s="35">
        <f>IFERROR(VLOOKUP(B1415,'SAÍDA DE VENDAS'!$B$6:$P$500,3,FALSE),"")</f>
        <v>0</v>
      </c>
      <c r="D1415" s="34">
        <f>IFERROR(VLOOKUP(B1415,'SAÍDA DE VENDAS'!$B$6:$P$500,4,FALSE),"")</f>
        <v>0</v>
      </c>
      <c r="E1415" s="34" t="str">
        <f>IFERROR(VLOOKUP(B1415,'SAÍDA DE VENDAS'!$B$6:$P$500,5,FALSE),"")</f>
        <v/>
      </c>
      <c r="F1415" s="34" t="str">
        <f>IF(OR(ISBLANK(B1415),B1415=""), "", IFERROR(INDEX('SAÍDA DE VENDAS'!$H$6:$H$500 &amp; "x " &amp; 'SAÍDA DE VENDAS'!$G$6:$G$500, MATCH(B1415, 'SAÍDA DE VENDAS'!$B$6:$B$500, 0)), "")&amp; IF(COUNTIF('SAÍDA DE VENDAS'!$B$6:$B$500, B1415)&gt;1, " + " &amp; IFERROR(INDEX('SAÍDA DE VENDAS'!$H$6:$H$500 &amp; "x " &amp; 'SAÍDA DE VENDAS'!$G$6:$G$500, MATCH(B1415, 'SAÍDA DE VENDAS'!$B$6:$B$500, 0)+1), ""), "")&amp; IF(COUNTIF('SAÍDA DE VENDAS'!$B$6:$B$500, B1415)&gt;2, " + " &amp; IFERROR(INDEX('SAÍDA DE VENDAS'!$H$6:$H$500 &amp; "x " &amp; 'SAÍDA DE VENDAS'!$G$6:$G$500, MATCH(B1415, 'SAÍDA DE VENDAS'!$B$6:$B$500, 0)+2), ""), "")&amp; IF(COUNTIF('SAÍDA DE VENDAS'!$B$6:$B$500, B1415)&gt;3, " + " &amp; IFERROR(INDEX('SAÍDA DE VENDAS'!$H$6:$H$500 &amp; "x " &amp; 'SAÍDA DE VENDAS'!$G$6:$G$500, MATCH(B1415, 'SAÍDA DE VENDAS'!$B$6:$B$500, 0)+3), ""), "")&amp; IF(COUNTIF('SAÍDA DE VENDAS'!$B$6:$B$500, B1415)&gt;4, " + " &amp; IFERROR(INDEX('SAÍDA DE VENDAS'!$H$6:$H$500 &amp; "x " &amp; 'SAÍDA DE VENDAS'!$G$6:$G$500, MATCH(B1415, 'SAÍDA DE VENDAS'!$B$6:$B$500, 0)+4), ""), "")&amp; IF(COUNTIF('SAÍDA DE VENDAS'!$B$6:$B$500, B1415)&gt;5, " + " &amp; IFERROR(INDEX('SAÍDA DE VENDAS'!$H$6:$H$500 &amp; "x " &amp; 'SAÍDA DE VENDAS'!$G$6:$G$500, MATCH(B1415, 'SAÍDA DE VENDAS'!$B$6:$B$500, 0)+5), ""), ""))</f>
        <v/>
      </c>
      <c r="G1415" s="34">
        <f>IFERROR(VLOOKUP(B1415,'SAÍDA DE VENDAS'!$B$6:$P$500,10,FALSE),"")</f>
        <v>0</v>
      </c>
      <c r="H1415" s="34" t="str">
        <f>IF(OR(ISBLANK(B1415),B1415=""), "", IF(B1415=B1414, (VALUE(LEFT(H1414,FIND("/",H1414)-1))+1)&amp;"/"&amp;RIGHT(H1414,LEN(H1414)-FIND("/",H1414)), "1/"&amp;IFERROR(VLOOKUP(B1415,'SAÍDA DE VENDAS'!$B$6:$P$500,13,FALSE),"1")))</f>
        <v/>
      </c>
      <c r="I1415" s="35" t="str">
        <f t="shared" si="44"/>
        <v/>
      </c>
      <c r="J1415" s="39" t="str">
        <f>IFERROR(VLOOKUP(B1415,'SAÍDA DE VENDAS'!$B$6:$P$500,15,FALSE),"")</f>
        <v/>
      </c>
      <c r="K1415" s="34" t="str">
        <f t="shared" ca="1" si="45"/>
        <v/>
      </c>
      <c r="L1415" s="34"/>
      <c r="M1415" s="34"/>
    </row>
    <row r="1416" spans="2:13" ht="15" customHeight="1" x14ac:dyDescent="0.3">
      <c r="B1416" s="28" t="str">
        <f>IF(B1415="","", IF(VALUE(LEFT(H1415,FIND("/",H1415)-1)) &lt; VALUE(RIGHT(H1415,LEN(H1415)-FIND("/",H1415))), B1415, IFERROR(INDEX('SAÍDA DE VENDAS'!$B$6:$B$500, MATCH(B1415,'SAÍDA DE VENDAS'!$B$6:$B$500,0)+COUNTIF('SAÍDA DE VENDAS'!$B$6:$B$500, B1415)),"")))</f>
        <v/>
      </c>
      <c r="C1416" s="29">
        <f>IFERROR(VLOOKUP(B1416,'SAÍDA DE VENDAS'!$B$6:$P$500,3,FALSE),"")</f>
        <v>0</v>
      </c>
      <c r="D1416" s="28">
        <f>IFERROR(VLOOKUP(B1416,'SAÍDA DE VENDAS'!$B$6:$P$500,4,FALSE),"")</f>
        <v>0</v>
      </c>
      <c r="E1416" s="28" t="str">
        <f>IFERROR(VLOOKUP(B1416,'SAÍDA DE VENDAS'!$B$6:$P$500,5,FALSE),"")</f>
        <v/>
      </c>
      <c r="F1416" s="28" t="str">
        <f>IF(OR(ISBLANK(B1416),B1416=""), "", IFERROR(INDEX('SAÍDA DE VENDAS'!$H$6:$H$500 &amp; "x " &amp; 'SAÍDA DE VENDAS'!$G$6:$G$500, MATCH(B1416, 'SAÍDA DE VENDAS'!$B$6:$B$500, 0)), "")&amp; IF(COUNTIF('SAÍDA DE VENDAS'!$B$6:$B$500, B1416)&gt;1, " + " &amp; IFERROR(INDEX('SAÍDA DE VENDAS'!$H$6:$H$500 &amp; "x " &amp; 'SAÍDA DE VENDAS'!$G$6:$G$500, MATCH(B1416, 'SAÍDA DE VENDAS'!$B$6:$B$500, 0)+1), ""), "")&amp; IF(COUNTIF('SAÍDA DE VENDAS'!$B$6:$B$500, B1416)&gt;2, " + " &amp; IFERROR(INDEX('SAÍDA DE VENDAS'!$H$6:$H$500 &amp; "x " &amp; 'SAÍDA DE VENDAS'!$G$6:$G$500, MATCH(B1416, 'SAÍDA DE VENDAS'!$B$6:$B$500, 0)+2), ""), "")&amp; IF(COUNTIF('SAÍDA DE VENDAS'!$B$6:$B$500, B1416)&gt;3, " + " &amp; IFERROR(INDEX('SAÍDA DE VENDAS'!$H$6:$H$500 &amp; "x " &amp; 'SAÍDA DE VENDAS'!$G$6:$G$500, MATCH(B1416, 'SAÍDA DE VENDAS'!$B$6:$B$500, 0)+3), ""), "")&amp; IF(COUNTIF('SAÍDA DE VENDAS'!$B$6:$B$500, B1416)&gt;4, " + " &amp; IFERROR(INDEX('SAÍDA DE VENDAS'!$H$6:$H$500 &amp; "x " &amp; 'SAÍDA DE VENDAS'!$G$6:$G$500, MATCH(B1416, 'SAÍDA DE VENDAS'!$B$6:$B$500, 0)+4), ""), "")&amp; IF(COUNTIF('SAÍDA DE VENDAS'!$B$6:$B$500, B1416)&gt;5, " + " &amp; IFERROR(INDEX('SAÍDA DE VENDAS'!$H$6:$H$500 &amp; "x " &amp; 'SAÍDA DE VENDAS'!$G$6:$G$500, MATCH(B1416, 'SAÍDA DE VENDAS'!$B$6:$B$500, 0)+5), ""), ""))</f>
        <v/>
      </c>
      <c r="G1416" s="28">
        <f>IFERROR(VLOOKUP(B1416,'SAÍDA DE VENDAS'!$B$6:$P$500,10,FALSE),"")</f>
        <v>0</v>
      </c>
      <c r="H1416" s="28" t="str">
        <f>IF(OR(ISBLANK(B1416),B1416=""), "", IF(B1416=B1415, (VALUE(LEFT(H1415,FIND("/",H1415)-1))+1)&amp;"/"&amp;RIGHT(H1415,LEN(H1415)-FIND("/",H1415)), "1/"&amp;IFERROR(VLOOKUP(B1416,'SAÍDA DE VENDAS'!$B$6:$P$500,13,FALSE),"1")))</f>
        <v/>
      </c>
      <c r="I1416" s="69" t="str">
        <f t="shared" si="44"/>
        <v/>
      </c>
      <c r="J1416" s="33" t="str">
        <f>IFERROR(VLOOKUP(B1416,'SAÍDA DE VENDAS'!$B$6:$P$500,15,FALSE),"")</f>
        <v/>
      </c>
      <c r="K1416" s="28" t="str">
        <f t="shared" ca="1" si="45"/>
        <v/>
      </c>
      <c r="L1416" s="28"/>
      <c r="M1416" s="28"/>
    </row>
    <row r="1417" spans="2:13" ht="15" customHeight="1" x14ac:dyDescent="0.3">
      <c r="B1417" s="34" t="str">
        <f>IF(B1416="","", IF(VALUE(LEFT(H1416,FIND("/",H1416)-1)) &lt; VALUE(RIGHT(H1416,LEN(H1416)-FIND("/",H1416))), B1416, IFERROR(INDEX('SAÍDA DE VENDAS'!$B$6:$B$500, MATCH(B1416,'SAÍDA DE VENDAS'!$B$6:$B$500,0)+COUNTIF('SAÍDA DE VENDAS'!$B$6:$B$500, B1416)),"")))</f>
        <v/>
      </c>
      <c r="C1417" s="35">
        <f>IFERROR(VLOOKUP(B1417,'SAÍDA DE VENDAS'!$B$6:$P$500,3,FALSE),"")</f>
        <v>0</v>
      </c>
      <c r="D1417" s="34">
        <f>IFERROR(VLOOKUP(B1417,'SAÍDA DE VENDAS'!$B$6:$P$500,4,FALSE),"")</f>
        <v>0</v>
      </c>
      <c r="E1417" s="34" t="str">
        <f>IFERROR(VLOOKUP(B1417,'SAÍDA DE VENDAS'!$B$6:$P$500,5,FALSE),"")</f>
        <v/>
      </c>
      <c r="F1417" s="34" t="str">
        <f>IF(OR(ISBLANK(B1417),B1417=""), "", IFERROR(INDEX('SAÍDA DE VENDAS'!$H$6:$H$500 &amp; "x " &amp; 'SAÍDA DE VENDAS'!$G$6:$G$500, MATCH(B1417, 'SAÍDA DE VENDAS'!$B$6:$B$500, 0)), "")&amp; IF(COUNTIF('SAÍDA DE VENDAS'!$B$6:$B$500, B1417)&gt;1, " + " &amp; IFERROR(INDEX('SAÍDA DE VENDAS'!$H$6:$H$500 &amp; "x " &amp; 'SAÍDA DE VENDAS'!$G$6:$G$500, MATCH(B1417, 'SAÍDA DE VENDAS'!$B$6:$B$500, 0)+1), ""), "")&amp; IF(COUNTIF('SAÍDA DE VENDAS'!$B$6:$B$500, B1417)&gt;2, " + " &amp; IFERROR(INDEX('SAÍDA DE VENDAS'!$H$6:$H$500 &amp; "x " &amp; 'SAÍDA DE VENDAS'!$G$6:$G$500, MATCH(B1417, 'SAÍDA DE VENDAS'!$B$6:$B$500, 0)+2), ""), "")&amp; IF(COUNTIF('SAÍDA DE VENDAS'!$B$6:$B$500, B1417)&gt;3, " + " &amp; IFERROR(INDEX('SAÍDA DE VENDAS'!$H$6:$H$500 &amp; "x " &amp; 'SAÍDA DE VENDAS'!$G$6:$G$500, MATCH(B1417, 'SAÍDA DE VENDAS'!$B$6:$B$500, 0)+3), ""), "")&amp; IF(COUNTIF('SAÍDA DE VENDAS'!$B$6:$B$500, B1417)&gt;4, " + " &amp; IFERROR(INDEX('SAÍDA DE VENDAS'!$H$6:$H$500 &amp; "x " &amp; 'SAÍDA DE VENDAS'!$G$6:$G$500, MATCH(B1417, 'SAÍDA DE VENDAS'!$B$6:$B$500, 0)+4), ""), "")&amp; IF(COUNTIF('SAÍDA DE VENDAS'!$B$6:$B$500, B1417)&gt;5, " + " &amp; IFERROR(INDEX('SAÍDA DE VENDAS'!$H$6:$H$500 &amp; "x " &amp; 'SAÍDA DE VENDAS'!$G$6:$G$500, MATCH(B1417, 'SAÍDA DE VENDAS'!$B$6:$B$500, 0)+5), ""), ""))</f>
        <v/>
      </c>
      <c r="G1417" s="34">
        <f>IFERROR(VLOOKUP(B1417,'SAÍDA DE VENDAS'!$B$6:$P$500,10,FALSE),"")</f>
        <v>0</v>
      </c>
      <c r="H1417" s="34" t="str">
        <f>IF(OR(ISBLANK(B1417),B1417=""), "", IF(B1417=B1416, (VALUE(LEFT(H1416,FIND("/",H1416)-1))+1)&amp;"/"&amp;RIGHT(H1416,LEN(H1416)-FIND("/",H1416)), "1/"&amp;IFERROR(VLOOKUP(B1417,'SAÍDA DE VENDAS'!$B$6:$P$500,13,FALSE),"1")))</f>
        <v/>
      </c>
      <c r="I1417" s="35" t="str">
        <f t="shared" si="44"/>
        <v/>
      </c>
      <c r="J1417" s="39" t="str">
        <f>IFERROR(VLOOKUP(B1417,'SAÍDA DE VENDAS'!$B$6:$P$500,15,FALSE),"")</f>
        <v/>
      </c>
      <c r="K1417" s="34" t="str">
        <f t="shared" ca="1" si="45"/>
        <v/>
      </c>
      <c r="L1417" s="34"/>
      <c r="M1417" s="34"/>
    </row>
    <row r="1418" spans="2:13" ht="15" customHeight="1" x14ac:dyDescent="0.3">
      <c r="B1418" s="28" t="str">
        <f>IF(B1417="","", IF(VALUE(LEFT(H1417,FIND("/",H1417)-1)) &lt; VALUE(RIGHT(H1417,LEN(H1417)-FIND("/",H1417))), B1417, IFERROR(INDEX('SAÍDA DE VENDAS'!$B$6:$B$500, MATCH(B1417,'SAÍDA DE VENDAS'!$B$6:$B$500,0)+COUNTIF('SAÍDA DE VENDAS'!$B$6:$B$500, B1417)),"")))</f>
        <v/>
      </c>
      <c r="C1418" s="29">
        <f>IFERROR(VLOOKUP(B1418,'SAÍDA DE VENDAS'!$B$6:$P$500,3,FALSE),"")</f>
        <v>0</v>
      </c>
      <c r="D1418" s="28">
        <f>IFERROR(VLOOKUP(B1418,'SAÍDA DE VENDAS'!$B$6:$P$500,4,FALSE),"")</f>
        <v>0</v>
      </c>
      <c r="E1418" s="28" t="str">
        <f>IFERROR(VLOOKUP(B1418,'SAÍDA DE VENDAS'!$B$6:$P$500,5,FALSE),"")</f>
        <v/>
      </c>
      <c r="F1418" s="28" t="str">
        <f>IF(OR(ISBLANK(B1418),B1418=""), "", IFERROR(INDEX('SAÍDA DE VENDAS'!$H$6:$H$500 &amp; "x " &amp; 'SAÍDA DE VENDAS'!$G$6:$G$500, MATCH(B1418, 'SAÍDA DE VENDAS'!$B$6:$B$500, 0)), "")&amp; IF(COUNTIF('SAÍDA DE VENDAS'!$B$6:$B$500, B1418)&gt;1, " + " &amp; IFERROR(INDEX('SAÍDA DE VENDAS'!$H$6:$H$500 &amp; "x " &amp; 'SAÍDA DE VENDAS'!$G$6:$G$500, MATCH(B1418, 'SAÍDA DE VENDAS'!$B$6:$B$500, 0)+1), ""), "")&amp; IF(COUNTIF('SAÍDA DE VENDAS'!$B$6:$B$500, B1418)&gt;2, " + " &amp; IFERROR(INDEX('SAÍDA DE VENDAS'!$H$6:$H$500 &amp; "x " &amp; 'SAÍDA DE VENDAS'!$G$6:$G$500, MATCH(B1418, 'SAÍDA DE VENDAS'!$B$6:$B$500, 0)+2), ""), "")&amp; IF(COUNTIF('SAÍDA DE VENDAS'!$B$6:$B$500, B1418)&gt;3, " + " &amp; IFERROR(INDEX('SAÍDA DE VENDAS'!$H$6:$H$500 &amp; "x " &amp; 'SAÍDA DE VENDAS'!$G$6:$G$500, MATCH(B1418, 'SAÍDA DE VENDAS'!$B$6:$B$500, 0)+3), ""), "")&amp; IF(COUNTIF('SAÍDA DE VENDAS'!$B$6:$B$500, B1418)&gt;4, " + " &amp; IFERROR(INDEX('SAÍDA DE VENDAS'!$H$6:$H$500 &amp; "x " &amp; 'SAÍDA DE VENDAS'!$G$6:$G$500, MATCH(B1418, 'SAÍDA DE VENDAS'!$B$6:$B$500, 0)+4), ""), "")&amp; IF(COUNTIF('SAÍDA DE VENDAS'!$B$6:$B$500, B1418)&gt;5, " + " &amp; IFERROR(INDEX('SAÍDA DE VENDAS'!$H$6:$H$500 &amp; "x " &amp; 'SAÍDA DE VENDAS'!$G$6:$G$500, MATCH(B1418, 'SAÍDA DE VENDAS'!$B$6:$B$500, 0)+5), ""), ""))</f>
        <v/>
      </c>
      <c r="G1418" s="28">
        <f>IFERROR(VLOOKUP(B1418,'SAÍDA DE VENDAS'!$B$6:$P$500,10,FALSE),"")</f>
        <v>0</v>
      </c>
      <c r="H1418" s="28" t="str">
        <f>IF(OR(ISBLANK(B1418),B1418=""), "", IF(B1418=B1417, (VALUE(LEFT(H1417,FIND("/",H1417)-1))+1)&amp;"/"&amp;RIGHT(H1417,LEN(H1417)-FIND("/",H1417)), "1/"&amp;IFERROR(VLOOKUP(B1418,'SAÍDA DE VENDAS'!$B$6:$P$500,13,FALSE),"1")))</f>
        <v/>
      </c>
      <c r="I1418" s="69" t="str">
        <f t="shared" si="44"/>
        <v/>
      </c>
      <c r="J1418" s="33" t="str">
        <f>IFERROR(VLOOKUP(B1418,'SAÍDA DE VENDAS'!$B$6:$P$500,15,FALSE),"")</f>
        <v/>
      </c>
      <c r="K1418" s="28" t="str">
        <f t="shared" ca="1" si="45"/>
        <v/>
      </c>
      <c r="L1418" s="28"/>
      <c r="M1418" s="28"/>
    </row>
    <row r="1419" spans="2:13" ht="15" customHeight="1" x14ac:dyDescent="0.3">
      <c r="B1419" s="34" t="str">
        <f>IF(B1418="","", IF(VALUE(LEFT(H1418,FIND("/",H1418)-1)) &lt; VALUE(RIGHT(H1418,LEN(H1418)-FIND("/",H1418))), B1418, IFERROR(INDEX('SAÍDA DE VENDAS'!$B$6:$B$500, MATCH(B1418,'SAÍDA DE VENDAS'!$B$6:$B$500,0)+COUNTIF('SAÍDA DE VENDAS'!$B$6:$B$500, B1418)),"")))</f>
        <v/>
      </c>
      <c r="C1419" s="35">
        <f>IFERROR(VLOOKUP(B1419,'SAÍDA DE VENDAS'!$B$6:$P$500,3,FALSE),"")</f>
        <v>0</v>
      </c>
      <c r="D1419" s="34">
        <f>IFERROR(VLOOKUP(B1419,'SAÍDA DE VENDAS'!$B$6:$P$500,4,FALSE),"")</f>
        <v>0</v>
      </c>
      <c r="E1419" s="34" t="str">
        <f>IFERROR(VLOOKUP(B1419,'SAÍDA DE VENDAS'!$B$6:$P$500,5,FALSE),"")</f>
        <v/>
      </c>
      <c r="F1419" s="34" t="str">
        <f>IF(OR(ISBLANK(B1419),B1419=""), "", IFERROR(INDEX('SAÍDA DE VENDAS'!$H$6:$H$500 &amp; "x " &amp; 'SAÍDA DE VENDAS'!$G$6:$G$500, MATCH(B1419, 'SAÍDA DE VENDAS'!$B$6:$B$500, 0)), "")&amp; IF(COUNTIF('SAÍDA DE VENDAS'!$B$6:$B$500, B1419)&gt;1, " + " &amp; IFERROR(INDEX('SAÍDA DE VENDAS'!$H$6:$H$500 &amp; "x " &amp; 'SAÍDA DE VENDAS'!$G$6:$G$500, MATCH(B1419, 'SAÍDA DE VENDAS'!$B$6:$B$500, 0)+1), ""), "")&amp; IF(COUNTIF('SAÍDA DE VENDAS'!$B$6:$B$500, B1419)&gt;2, " + " &amp; IFERROR(INDEX('SAÍDA DE VENDAS'!$H$6:$H$500 &amp; "x " &amp; 'SAÍDA DE VENDAS'!$G$6:$G$500, MATCH(B1419, 'SAÍDA DE VENDAS'!$B$6:$B$500, 0)+2), ""), "")&amp; IF(COUNTIF('SAÍDA DE VENDAS'!$B$6:$B$500, B1419)&gt;3, " + " &amp; IFERROR(INDEX('SAÍDA DE VENDAS'!$H$6:$H$500 &amp; "x " &amp; 'SAÍDA DE VENDAS'!$G$6:$G$500, MATCH(B1419, 'SAÍDA DE VENDAS'!$B$6:$B$500, 0)+3), ""), "")&amp; IF(COUNTIF('SAÍDA DE VENDAS'!$B$6:$B$500, B1419)&gt;4, " + " &amp; IFERROR(INDEX('SAÍDA DE VENDAS'!$H$6:$H$500 &amp; "x " &amp; 'SAÍDA DE VENDAS'!$G$6:$G$500, MATCH(B1419, 'SAÍDA DE VENDAS'!$B$6:$B$500, 0)+4), ""), "")&amp; IF(COUNTIF('SAÍDA DE VENDAS'!$B$6:$B$500, B1419)&gt;5, " + " &amp; IFERROR(INDEX('SAÍDA DE VENDAS'!$H$6:$H$500 &amp; "x " &amp; 'SAÍDA DE VENDAS'!$G$6:$G$500, MATCH(B1419, 'SAÍDA DE VENDAS'!$B$6:$B$500, 0)+5), ""), ""))</f>
        <v/>
      </c>
      <c r="G1419" s="34">
        <f>IFERROR(VLOOKUP(B1419,'SAÍDA DE VENDAS'!$B$6:$P$500,10,FALSE),"")</f>
        <v>0</v>
      </c>
      <c r="H1419" s="34" t="str">
        <f>IF(OR(ISBLANK(B1419),B1419=""), "", IF(B1419=B1418, (VALUE(LEFT(H1418,FIND("/",H1418)-1))+1)&amp;"/"&amp;RIGHT(H1418,LEN(H1418)-FIND("/",H1418)), "1/"&amp;IFERROR(VLOOKUP(B1419,'SAÍDA DE VENDAS'!$B$6:$P$500,13,FALSE),"1")))</f>
        <v/>
      </c>
      <c r="I1419" s="35" t="str">
        <f t="shared" si="44"/>
        <v/>
      </c>
      <c r="J1419" s="39" t="str">
        <f>IFERROR(VLOOKUP(B1419,'SAÍDA DE VENDAS'!$B$6:$P$500,15,FALSE),"")</f>
        <v/>
      </c>
      <c r="K1419" s="34" t="str">
        <f t="shared" ca="1" si="45"/>
        <v/>
      </c>
      <c r="L1419" s="34"/>
      <c r="M1419" s="34"/>
    </row>
    <row r="1420" spans="2:13" ht="15" customHeight="1" x14ac:dyDescent="0.3">
      <c r="B1420" s="28" t="str">
        <f>IF(B1419="","", IF(VALUE(LEFT(H1419,FIND("/",H1419)-1)) &lt; VALUE(RIGHT(H1419,LEN(H1419)-FIND("/",H1419))), B1419, IFERROR(INDEX('SAÍDA DE VENDAS'!$B$6:$B$500, MATCH(B1419,'SAÍDA DE VENDAS'!$B$6:$B$500,0)+COUNTIF('SAÍDA DE VENDAS'!$B$6:$B$500, B1419)),"")))</f>
        <v/>
      </c>
      <c r="C1420" s="29">
        <f>IFERROR(VLOOKUP(B1420,'SAÍDA DE VENDAS'!$B$6:$P$500,3,FALSE),"")</f>
        <v>0</v>
      </c>
      <c r="D1420" s="28">
        <f>IFERROR(VLOOKUP(B1420,'SAÍDA DE VENDAS'!$B$6:$P$500,4,FALSE),"")</f>
        <v>0</v>
      </c>
      <c r="E1420" s="28" t="str">
        <f>IFERROR(VLOOKUP(B1420,'SAÍDA DE VENDAS'!$B$6:$P$500,5,FALSE),"")</f>
        <v/>
      </c>
      <c r="F1420" s="28" t="str">
        <f>IF(OR(ISBLANK(B1420),B1420=""), "", IFERROR(INDEX('SAÍDA DE VENDAS'!$H$6:$H$500 &amp; "x " &amp; 'SAÍDA DE VENDAS'!$G$6:$G$500, MATCH(B1420, 'SAÍDA DE VENDAS'!$B$6:$B$500, 0)), "")&amp; IF(COUNTIF('SAÍDA DE VENDAS'!$B$6:$B$500, B1420)&gt;1, " + " &amp; IFERROR(INDEX('SAÍDA DE VENDAS'!$H$6:$H$500 &amp; "x " &amp; 'SAÍDA DE VENDAS'!$G$6:$G$500, MATCH(B1420, 'SAÍDA DE VENDAS'!$B$6:$B$500, 0)+1), ""), "")&amp; IF(COUNTIF('SAÍDA DE VENDAS'!$B$6:$B$500, B1420)&gt;2, " + " &amp; IFERROR(INDEX('SAÍDA DE VENDAS'!$H$6:$H$500 &amp; "x " &amp; 'SAÍDA DE VENDAS'!$G$6:$G$500, MATCH(B1420, 'SAÍDA DE VENDAS'!$B$6:$B$500, 0)+2), ""), "")&amp; IF(COUNTIF('SAÍDA DE VENDAS'!$B$6:$B$500, B1420)&gt;3, " + " &amp; IFERROR(INDEX('SAÍDA DE VENDAS'!$H$6:$H$500 &amp; "x " &amp; 'SAÍDA DE VENDAS'!$G$6:$G$500, MATCH(B1420, 'SAÍDA DE VENDAS'!$B$6:$B$500, 0)+3), ""), "")&amp; IF(COUNTIF('SAÍDA DE VENDAS'!$B$6:$B$500, B1420)&gt;4, " + " &amp; IFERROR(INDEX('SAÍDA DE VENDAS'!$H$6:$H$500 &amp; "x " &amp; 'SAÍDA DE VENDAS'!$G$6:$G$500, MATCH(B1420, 'SAÍDA DE VENDAS'!$B$6:$B$500, 0)+4), ""), "")&amp; IF(COUNTIF('SAÍDA DE VENDAS'!$B$6:$B$500, B1420)&gt;5, " + " &amp; IFERROR(INDEX('SAÍDA DE VENDAS'!$H$6:$H$500 &amp; "x " &amp; 'SAÍDA DE VENDAS'!$G$6:$G$500, MATCH(B1420, 'SAÍDA DE VENDAS'!$B$6:$B$500, 0)+5), ""), ""))</f>
        <v/>
      </c>
      <c r="G1420" s="28">
        <f>IFERROR(VLOOKUP(B1420,'SAÍDA DE VENDAS'!$B$6:$P$500,10,FALSE),"")</f>
        <v>0</v>
      </c>
      <c r="H1420" s="28" t="str">
        <f>IF(OR(ISBLANK(B1420),B1420=""), "", IF(B1420=B1419, (VALUE(LEFT(H1419,FIND("/",H1419)-1))+1)&amp;"/"&amp;RIGHT(H1419,LEN(H1419)-FIND("/",H1419)), "1/"&amp;IFERROR(VLOOKUP(B1420,'SAÍDA DE VENDAS'!$B$6:$P$500,13,FALSE),"1")))</f>
        <v/>
      </c>
      <c r="I1420" s="69" t="str">
        <f t="shared" si="44"/>
        <v/>
      </c>
      <c r="J1420" s="33" t="str">
        <f>IFERROR(VLOOKUP(B1420,'SAÍDA DE VENDAS'!$B$6:$P$500,15,FALSE),"")</f>
        <v/>
      </c>
      <c r="K1420" s="28" t="str">
        <f t="shared" ca="1" si="45"/>
        <v/>
      </c>
      <c r="L1420" s="28"/>
      <c r="M1420" s="28"/>
    </row>
    <row r="1421" spans="2:13" ht="15" customHeight="1" x14ac:dyDescent="0.3">
      <c r="B1421" s="34" t="str">
        <f>IF(B1420="","", IF(VALUE(LEFT(H1420,FIND("/",H1420)-1)) &lt; VALUE(RIGHT(H1420,LEN(H1420)-FIND("/",H1420))), B1420, IFERROR(INDEX('SAÍDA DE VENDAS'!$B$6:$B$500, MATCH(B1420,'SAÍDA DE VENDAS'!$B$6:$B$500,0)+COUNTIF('SAÍDA DE VENDAS'!$B$6:$B$500, B1420)),"")))</f>
        <v/>
      </c>
      <c r="C1421" s="35">
        <f>IFERROR(VLOOKUP(B1421,'SAÍDA DE VENDAS'!$B$6:$P$500,3,FALSE),"")</f>
        <v>0</v>
      </c>
      <c r="D1421" s="34">
        <f>IFERROR(VLOOKUP(B1421,'SAÍDA DE VENDAS'!$B$6:$P$500,4,FALSE),"")</f>
        <v>0</v>
      </c>
      <c r="E1421" s="34" t="str">
        <f>IFERROR(VLOOKUP(B1421,'SAÍDA DE VENDAS'!$B$6:$P$500,5,FALSE),"")</f>
        <v/>
      </c>
      <c r="F1421" s="34" t="str">
        <f>IF(OR(ISBLANK(B1421),B1421=""), "", IFERROR(INDEX('SAÍDA DE VENDAS'!$H$6:$H$500 &amp; "x " &amp; 'SAÍDA DE VENDAS'!$G$6:$G$500, MATCH(B1421, 'SAÍDA DE VENDAS'!$B$6:$B$500, 0)), "")&amp; IF(COUNTIF('SAÍDA DE VENDAS'!$B$6:$B$500, B1421)&gt;1, " + " &amp; IFERROR(INDEX('SAÍDA DE VENDAS'!$H$6:$H$500 &amp; "x " &amp; 'SAÍDA DE VENDAS'!$G$6:$G$500, MATCH(B1421, 'SAÍDA DE VENDAS'!$B$6:$B$500, 0)+1), ""), "")&amp; IF(COUNTIF('SAÍDA DE VENDAS'!$B$6:$B$500, B1421)&gt;2, " + " &amp; IFERROR(INDEX('SAÍDA DE VENDAS'!$H$6:$H$500 &amp; "x " &amp; 'SAÍDA DE VENDAS'!$G$6:$G$500, MATCH(B1421, 'SAÍDA DE VENDAS'!$B$6:$B$500, 0)+2), ""), "")&amp; IF(COUNTIF('SAÍDA DE VENDAS'!$B$6:$B$500, B1421)&gt;3, " + " &amp; IFERROR(INDEX('SAÍDA DE VENDAS'!$H$6:$H$500 &amp; "x " &amp; 'SAÍDA DE VENDAS'!$G$6:$G$500, MATCH(B1421, 'SAÍDA DE VENDAS'!$B$6:$B$500, 0)+3), ""), "")&amp; IF(COUNTIF('SAÍDA DE VENDAS'!$B$6:$B$500, B1421)&gt;4, " + " &amp; IFERROR(INDEX('SAÍDA DE VENDAS'!$H$6:$H$500 &amp; "x " &amp; 'SAÍDA DE VENDAS'!$G$6:$G$500, MATCH(B1421, 'SAÍDA DE VENDAS'!$B$6:$B$500, 0)+4), ""), "")&amp; IF(COUNTIF('SAÍDA DE VENDAS'!$B$6:$B$500, B1421)&gt;5, " + " &amp; IFERROR(INDEX('SAÍDA DE VENDAS'!$H$6:$H$500 &amp; "x " &amp; 'SAÍDA DE VENDAS'!$G$6:$G$500, MATCH(B1421, 'SAÍDA DE VENDAS'!$B$6:$B$500, 0)+5), ""), ""))</f>
        <v/>
      </c>
      <c r="G1421" s="34">
        <f>IFERROR(VLOOKUP(B1421,'SAÍDA DE VENDAS'!$B$6:$P$500,10,FALSE),"")</f>
        <v>0</v>
      </c>
      <c r="H1421" s="34" t="str">
        <f>IF(OR(ISBLANK(B1421),B1421=""), "", IF(B1421=B1420, (VALUE(LEFT(H1420,FIND("/",H1420)-1))+1)&amp;"/"&amp;RIGHT(H1420,LEN(H1420)-FIND("/",H1420)), "1/"&amp;IFERROR(VLOOKUP(B1421,'SAÍDA DE VENDAS'!$B$6:$P$500,13,FALSE),"1")))</f>
        <v/>
      </c>
      <c r="I1421" s="35" t="str">
        <f t="shared" si="44"/>
        <v/>
      </c>
      <c r="J1421" s="39" t="str">
        <f>IFERROR(VLOOKUP(B1421,'SAÍDA DE VENDAS'!$B$6:$P$500,15,FALSE),"")</f>
        <v/>
      </c>
      <c r="K1421" s="34" t="str">
        <f t="shared" ca="1" si="45"/>
        <v/>
      </c>
      <c r="L1421" s="34"/>
      <c r="M1421" s="34"/>
    </row>
    <row r="1422" spans="2:13" ht="15" customHeight="1" x14ac:dyDescent="0.3">
      <c r="B1422" s="28" t="str">
        <f>IF(B1421="","", IF(VALUE(LEFT(H1421,FIND("/",H1421)-1)) &lt; VALUE(RIGHT(H1421,LEN(H1421)-FIND("/",H1421))), B1421, IFERROR(INDEX('SAÍDA DE VENDAS'!$B$6:$B$500, MATCH(B1421,'SAÍDA DE VENDAS'!$B$6:$B$500,0)+COUNTIF('SAÍDA DE VENDAS'!$B$6:$B$500, B1421)),"")))</f>
        <v/>
      </c>
      <c r="C1422" s="29">
        <f>IFERROR(VLOOKUP(B1422,'SAÍDA DE VENDAS'!$B$6:$P$500,3,FALSE),"")</f>
        <v>0</v>
      </c>
      <c r="D1422" s="28">
        <f>IFERROR(VLOOKUP(B1422,'SAÍDA DE VENDAS'!$B$6:$P$500,4,FALSE),"")</f>
        <v>0</v>
      </c>
      <c r="E1422" s="28" t="str">
        <f>IFERROR(VLOOKUP(B1422,'SAÍDA DE VENDAS'!$B$6:$P$500,5,FALSE),"")</f>
        <v/>
      </c>
      <c r="F1422" s="28" t="str">
        <f>IF(OR(ISBLANK(B1422),B1422=""), "", IFERROR(INDEX('SAÍDA DE VENDAS'!$H$6:$H$500 &amp; "x " &amp; 'SAÍDA DE VENDAS'!$G$6:$G$500, MATCH(B1422, 'SAÍDA DE VENDAS'!$B$6:$B$500, 0)), "")&amp; IF(COUNTIF('SAÍDA DE VENDAS'!$B$6:$B$500, B1422)&gt;1, " + " &amp; IFERROR(INDEX('SAÍDA DE VENDAS'!$H$6:$H$500 &amp; "x " &amp; 'SAÍDA DE VENDAS'!$G$6:$G$500, MATCH(B1422, 'SAÍDA DE VENDAS'!$B$6:$B$500, 0)+1), ""), "")&amp; IF(COUNTIF('SAÍDA DE VENDAS'!$B$6:$B$500, B1422)&gt;2, " + " &amp; IFERROR(INDEX('SAÍDA DE VENDAS'!$H$6:$H$500 &amp; "x " &amp; 'SAÍDA DE VENDAS'!$G$6:$G$500, MATCH(B1422, 'SAÍDA DE VENDAS'!$B$6:$B$500, 0)+2), ""), "")&amp; IF(COUNTIF('SAÍDA DE VENDAS'!$B$6:$B$500, B1422)&gt;3, " + " &amp; IFERROR(INDEX('SAÍDA DE VENDAS'!$H$6:$H$500 &amp; "x " &amp; 'SAÍDA DE VENDAS'!$G$6:$G$500, MATCH(B1422, 'SAÍDA DE VENDAS'!$B$6:$B$500, 0)+3), ""), "")&amp; IF(COUNTIF('SAÍDA DE VENDAS'!$B$6:$B$500, B1422)&gt;4, " + " &amp; IFERROR(INDEX('SAÍDA DE VENDAS'!$H$6:$H$500 &amp; "x " &amp; 'SAÍDA DE VENDAS'!$G$6:$G$500, MATCH(B1422, 'SAÍDA DE VENDAS'!$B$6:$B$500, 0)+4), ""), "")&amp; IF(COUNTIF('SAÍDA DE VENDAS'!$B$6:$B$500, B1422)&gt;5, " + " &amp; IFERROR(INDEX('SAÍDA DE VENDAS'!$H$6:$H$500 &amp; "x " &amp; 'SAÍDA DE VENDAS'!$G$6:$G$500, MATCH(B1422, 'SAÍDA DE VENDAS'!$B$6:$B$500, 0)+5), ""), ""))</f>
        <v/>
      </c>
      <c r="G1422" s="28">
        <f>IFERROR(VLOOKUP(B1422,'SAÍDA DE VENDAS'!$B$6:$P$500,10,FALSE),"")</f>
        <v>0</v>
      </c>
      <c r="H1422" s="28" t="str">
        <f>IF(OR(ISBLANK(B1422),B1422=""), "", IF(B1422=B1421, (VALUE(LEFT(H1421,FIND("/",H1421)-1))+1)&amp;"/"&amp;RIGHT(H1421,LEN(H1421)-FIND("/",H1421)), "1/"&amp;IFERROR(VLOOKUP(B1422,'SAÍDA DE VENDAS'!$B$6:$P$500,13,FALSE),"1")))</f>
        <v/>
      </c>
      <c r="I1422" s="69" t="str">
        <f t="shared" si="44"/>
        <v/>
      </c>
      <c r="J1422" s="33" t="str">
        <f>IFERROR(VLOOKUP(B1422,'SAÍDA DE VENDAS'!$B$6:$P$500,15,FALSE),"")</f>
        <v/>
      </c>
      <c r="K1422" s="28" t="str">
        <f t="shared" ca="1" si="45"/>
        <v/>
      </c>
      <c r="L1422" s="28"/>
      <c r="M1422" s="28"/>
    </row>
    <row r="1423" spans="2:13" ht="15" customHeight="1" x14ac:dyDescent="0.3">
      <c r="B1423" s="34" t="str">
        <f>IF(B1422="","", IF(VALUE(LEFT(H1422,FIND("/",H1422)-1)) &lt; VALUE(RIGHT(H1422,LEN(H1422)-FIND("/",H1422))), B1422, IFERROR(INDEX('SAÍDA DE VENDAS'!$B$6:$B$500, MATCH(B1422,'SAÍDA DE VENDAS'!$B$6:$B$500,0)+COUNTIF('SAÍDA DE VENDAS'!$B$6:$B$500, B1422)),"")))</f>
        <v/>
      </c>
      <c r="C1423" s="35">
        <f>IFERROR(VLOOKUP(B1423,'SAÍDA DE VENDAS'!$B$6:$P$500,3,FALSE),"")</f>
        <v>0</v>
      </c>
      <c r="D1423" s="34">
        <f>IFERROR(VLOOKUP(B1423,'SAÍDA DE VENDAS'!$B$6:$P$500,4,FALSE),"")</f>
        <v>0</v>
      </c>
      <c r="E1423" s="34" t="str">
        <f>IFERROR(VLOOKUP(B1423,'SAÍDA DE VENDAS'!$B$6:$P$500,5,FALSE),"")</f>
        <v/>
      </c>
      <c r="F1423" s="34" t="str">
        <f>IF(OR(ISBLANK(B1423),B1423=""), "", IFERROR(INDEX('SAÍDA DE VENDAS'!$H$6:$H$500 &amp; "x " &amp; 'SAÍDA DE VENDAS'!$G$6:$G$500, MATCH(B1423, 'SAÍDA DE VENDAS'!$B$6:$B$500, 0)), "")&amp; IF(COUNTIF('SAÍDA DE VENDAS'!$B$6:$B$500, B1423)&gt;1, " + " &amp; IFERROR(INDEX('SAÍDA DE VENDAS'!$H$6:$H$500 &amp; "x " &amp; 'SAÍDA DE VENDAS'!$G$6:$G$500, MATCH(B1423, 'SAÍDA DE VENDAS'!$B$6:$B$500, 0)+1), ""), "")&amp; IF(COUNTIF('SAÍDA DE VENDAS'!$B$6:$B$500, B1423)&gt;2, " + " &amp; IFERROR(INDEX('SAÍDA DE VENDAS'!$H$6:$H$500 &amp; "x " &amp; 'SAÍDA DE VENDAS'!$G$6:$G$500, MATCH(B1423, 'SAÍDA DE VENDAS'!$B$6:$B$500, 0)+2), ""), "")&amp; IF(COUNTIF('SAÍDA DE VENDAS'!$B$6:$B$500, B1423)&gt;3, " + " &amp; IFERROR(INDEX('SAÍDA DE VENDAS'!$H$6:$H$500 &amp; "x " &amp; 'SAÍDA DE VENDAS'!$G$6:$G$500, MATCH(B1423, 'SAÍDA DE VENDAS'!$B$6:$B$500, 0)+3), ""), "")&amp; IF(COUNTIF('SAÍDA DE VENDAS'!$B$6:$B$500, B1423)&gt;4, " + " &amp; IFERROR(INDEX('SAÍDA DE VENDAS'!$H$6:$H$500 &amp; "x " &amp; 'SAÍDA DE VENDAS'!$G$6:$G$500, MATCH(B1423, 'SAÍDA DE VENDAS'!$B$6:$B$500, 0)+4), ""), "")&amp; IF(COUNTIF('SAÍDA DE VENDAS'!$B$6:$B$500, B1423)&gt;5, " + " &amp; IFERROR(INDEX('SAÍDA DE VENDAS'!$H$6:$H$500 &amp; "x " &amp; 'SAÍDA DE VENDAS'!$G$6:$G$500, MATCH(B1423, 'SAÍDA DE VENDAS'!$B$6:$B$500, 0)+5), ""), ""))</f>
        <v/>
      </c>
      <c r="G1423" s="34">
        <f>IFERROR(VLOOKUP(B1423,'SAÍDA DE VENDAS'!$B$6:$P$500,10,FALSE),"")</f>
        <v>0</v>
      </c>
      <c r="H1423" s="34" t="str">
        <f>IF(OR(ISBLANK(B1423),B1423=""), "", IF(B1423=B1422, (VALUE(LEFT(H1422,FIND("/",H1422)-1))+1)&amp;"/"&amp;RIGHT(H1422,LEN(H1422)-FIND("/",H1422)), "1/"&amp;IFERROR(VLOOKUP(B1423,'SAÍDA DE VENDAS'!$B$6:$P$500,13,FALSE),"1")))</f>
        <v/>
      </c>
      <c r="I1423" s="35" t="str">
        <f t="shared" si="44"/>
        <v/>
      </c>
      <c r="J1423" s="39" t="str">
        <f>IFERROR(VLOOKUP(B1423,'SAÍDA DE VENDAS'!$B$6:$P$500,15,FALSE),"")</f>
        <v/>
      </c>
      <c r="K1423" s="34" t="str">
        <f t="shared" ca="1" si="45"/>
        <v/>
      </c>
      <c r="L1423" s="34"/>
      <c r="M1423" s="34"/>
    </row>
    <row r="1424" spans="2:13" ht="15" customHeight="1" x14ac:dyDescent="0.3">
      <c r="B1424" s="28" t="str">
        <f>IF(B1423="","", IF(VALUE(LEFT(H1423,FIND("/",H1423)-1)) &lt; VALUE(RIGHT(H1423,LEN(H1423)-FIND("/",H1423))), B1423, IFERROR(INDEX('SAÍDA DE VENDAS'!$B$6:$B$500, MATCH(B1423,'SAÍDA DE VENDAS'!$B$6:$B$500,0)+COUNTIF('SAÍDA DE VENDAS'!$B$6:$B$500, B1423)),"")))</f>
        <v/>
      </c>
      <c r="C1424" s="29">
        <f>IFERROR(VLOOKUP(B1424,'SAÍDA DE VENDAS'!$B$6:$P$500,3,FALSE),"")</f>
        <v>0</v>
      </c>
      <c r="D1424" s="28">
        <f>IFERROR(VLOOKUP(B1424,'SAÍDA DE VENDAS'!$B$6:$P$500,4,FALSE),"")</f>
        <v>0</v>
      </c>
      <c r="E1424" s="28" t="str">
        <f>IFERROR(VLOOKUP(B1424,'SAÍDA DE VENDAS'!$B$6:$P$500,5,FALSE),"")</f>
        <v/>
      </c>
      <c r="F1424" s="28" t="str">
        <f>IF(OR(ISBLANK(B1424),B1424=""), "", IFERROR(INDEX('SAÍDA DE VENDAS'!$H$6:$H$500 &amp; "x " &amp; 'SAÍDA DE VENDAS'!$G$6:$G$500, MATCH(B1424, 'SAÍDA DE VENDAS'!$B$6:$B$500, 0)), "")&amp; IF(COUNTIF('SAÍDA DE VENDAS'!$B$6:$B$500, B1424)&gt;1, " + " &amp; IFERROR(INDEX('SAÍDA DE VENDAS'!$H$6:$H$500 &amp; "x " &amp; 'SAÍDA DE VENDAS'!$G$6:$G$500, MATCH(B1424, 'SAÍDA DE VENDAS'!$B$6:$B$500, 0)+1), ""), "")&amp; IF(COUNTIF('SAÍDA DE VENDAS'!$B$6:$B$500, B1424)&gt;2, " + " &amp; IFERROR(INDEX('SAÍDA DE VENDAS'!$H$6:$H$500 &amp; "x " &amp; 'SAÍDA DE VENDAS'!$G$6:$G$500, MATCH(B1424, 'SAÍDA DE VENDAS'!$B$6:$B$500, 0)+2), ""), "")&amp; IF(COUNTIF('SAÍDA DE VENDAS'!$B$6:$B$500, B1424)&gt;3, " + " &amp; IFERROR(INDEX('SAÍDA DE VENDAS'!$H$6:$H$500 &amp; "x " &amp; 'SAÍDA DE VENDAS'!$G$6:$G$500, MATCH(B1424, 'SAÍDA DE VENDAS'!$B$6:$B$500, 0)+3), ""), "")&amp; IF(COUNTIF('SAÍDA DE VENDAS'!$B$6:$B$500, B1424)&gt;4, " + " &amp; IFERROR(INDEX('SAÍDA DE VENDAS'!$H$6:$H$500 &amp; "x " &amp; 'SAÍDA DE VENDAS'!$G$6:$G$500, MATCH(B1424, 'SAÍDA DE VENDAS'!$B$6:$B$500, 0)+4), ""), "")&amp; IF(COUNTIF('SAÍDA DE VENDAS'!$B$6:$B$500, B1424)&gt;5, " + " &amp; IFERROR(INDEX('SAÍDA DE VENDAS'!$H$6:$H$500 &amp; "x " &amp; 'SAÍDA DE VENDAS'!$G$6:$G$500, MATCH(B1424, 'SAÍDA DE VENDAS'!$B$6:$B$500, 0)+5), ""), ""))</f>
        <v/>
      </c>
      <c r="G1424" s="28">
        <f>IFERROR(VLOOKUP(B1424,'SAÍDA DE VENDAS'!$B$6:$P$500,10,FALSE),"")</f>
        <v>0</v>
      </c>
      <c r="H1424" s="28" t="str">
        <f>IF(OR(ISBLANK(B1424),B1424=""), "", IF(B1424=B1423, (VALUE(LEFT(H1423,FIND("/",H1423)-1))+1)&amp;"/"&amp;RIGHT(H1423,LEN(H1423)-FIND("/",H1423)), "1/"&amp;IFERROR(VLOOKUP(B1424,'SAÍDA DE VENDAS'!$B$6:$P$500,13,FALSE),"1")))</f>
        <v/>
      </c>
      <c r="I1424" s="69" t="str">
        <f t="shared" si="44"/>
        <v/>
      </c>
      <c r="J1424" s="33" t="str">
        <f>IFERROR(VLOOKUP(B1424,'SAÍDA DE VENDAS'!$B$6:$P$500,15,FALSE),"")</f>
        <v/>
      </c>
      <c r="K1424" s="28" t="str">
        <f t="shared" ca="1" si="45"/>
        <v/>
      </c>
      <c r="L1424" s="28"/>
      <c r="M1424" s="28"/>
    </row>
    <row r="1425" spans="2:13" ht="15" customHeight="1" x14ac:dyDescent="0.3">
      <c r="B1425" s="34" t="str">
        <f>IF(B1424="","", IF(VALUE(LEFT(H1424,FIND("/",H1424)-1)) &lt; VALUE(RIGHT(H1424,LEN(H1424)-FIND("/",H1424))), B1424, IFERROR(INDEX('SAÍDA DE VENDAS'!$B$6:$B$500, MATCH(B1424,'SAÍDA DE VENDAS'!$B$6:$B$500,0)+COUNTIF('SAÍDA DE VENDAS'!$B$6:$B$500, B1424)),"")))</f>
        <v/>
      </c>
      <c r="C1425" s="35">
        <f>IFERROR(VLOOKUP(B1425,'SAÍDA DE VENDAS'!$B$6:$P$500,3,FALSE),"")</f>
        <v>0</v>
      </c>
      <c r="D1425" s="34">
        <f>IFERROR(VLOOKUP(B1425,'SAÍDA DE VENDAS'!$B$6:$P$500,4,FALSE),"")</f>
        <v>0</v>
      </c>
      <c r="E1425" s="34" t="str">
        <f>IFERROR(VLOOKUP(B1425,'SAÍDA DE VENDAS'!$B$6:$P$500,5,FALSE),"")</f>
        <v/>
      </c>
      <c r="F1425" s="34" t="str">
        <f>IF(OR(ISBLANK(B1425),B1425=""), "", IFERROR(INDEX('SAÍDA DE VENDAS'!$H$6:$H$500 &amp; "x " &amp; 'SAÍDA DE VENDAS'!$G$6:$G$500, MATCH(B1425, 'SAÍDA DE VENDAS'!$B$6:$B$500, 0)), "")&amp; IF(COUNTIF('SAÍDA DE VENDAS'!$B$6:$B$500, B1425)&gt;1, " + " &amp; IFERROR(INDEX('SAÍDA DE VENDAS'!$H$6:$H$500 &amp; "x " &amp; 'SAÍDA DE VENDAS'!$G$6:$G$500, MATCH(B1425, 'SAÍDA DE VENDAS'!$B$6:$B$500, 0)+1), ""), "")&amp; IF(COUNTIF('SAÍDA DE VENDAS'!$B$6:$B$500, B1425)&gt;2, " + " &amp; IFERROR(INDEX('SAÍDA DE VENDAS'!$H$6:$H$500 &amp; "x " &amp; 'SAÍDA DE VENDAS'!$G$6:$G$500, MATCH(B1425, 'SAÍDA DE VENDAS'!$B$6:$B$500, 0)+2), ""), "")&amp; IF(COUNTIF('SAÍDA DE VENDAS'!$B$6:$B$500, B1425)&gt;3, " + " &amp; IFERROR(INDEX('SAÍDA DE VENDAS'!$H$6:$H$500 &amp; "x " &amp; 'SAÍDA DE VENDAS'!$G$6:$G$500, MATCH(B1425, 'SAÍDA DE VENDAS'!$B$6:$B$500, 0)+3), ""), "")&amp; IF(COUNTIF('SAÍDA DE VENDAS'!$B$6:$B$500, B1425)&gt;4, " + " &amp; IFERROR(INDEX('SAÍDA DE VENDAS'!$H$6:$H$500 &amp; "x " &amp; 'SAÍDA DE VENDAS'!$G$6:$G$500, MATCH(B1425, 'SAÍDA DE VENDAS'!$B$6:$B$500, 0)+4), ""), "")&amp; IF(COUNTIF('SAÍDA DE VENDAS'!$B$6:$B$500, B1425)&gt;5, " + " &amp; IFERROR(INDEX('SAÍDA DE VENDAS'!$H$6:$H$500 &amp; "x " &amp; 'SAÍDA DE VENDAS'!$G$6:$G$500, MATCH(B1425, 'SAÍDA DE VENDAS'!$B$6:$B$500, 0)+5), ""), ""))</f>
        <v/>
      </c>
      <c r="G1425" s="34">
        <f>IFERROR(VLOOKUP(B1425,'SAÍDA DE VENDAS'!$B$6:$P$500,10,FALSE),"")</f>
        <v>0</v>
      </c>
      <c r="H1425" s="34" t="str">
        <f>IF(OR(ISBLANK(B1425),B1425=""), "", IF(B1425=B1424, (VALUE(LEFT(H1424,FIND("/",H1424)-1))+1)&amp;"/"&amp;RIGHT(H1424,LEN(H1424)-FIND("/",H1424)), "1/"&amp;IFERROR(VLOOKUP(B1425,'SAÍDA DE VENDAS'!$B$6:$P$500,13,FALSE),"1")))</f>
        <v/>
      </c>
      <c r="I1425" s="35" t="str">
        <f t="shared" si="44"/>
        <v/>
      </c>
      <c r="J1425" s="39" t="str">
        <f>IFERROR(VLOOKUP(B1425,'SAÍDA DE VENDAS'!$B$6:$P$500,15,FALSE),"")</f>
        <v/>
      </c>
      <c r="K1425" s="34" t="str">
        <f t="shared" ca="1" si="45"/>
        <v/>
      </c>
      <c r="L1425" s="34"/>
      <c r="M1425" s="34"/>
    </row>
    <row r="1426" spans="2:13" ht="15" customHeight="1" x14ac:dyDescent="0.3">
      <c r="B1426" s="28" t="str">
        <f>IF(B1425="","", IF(VALUE(LEFT(H1425,FIND("/",H1425)-1)) &lt; VALUE(RIGHT(H1425,LEN(H1425)-FIND("/",H1425))), B1425, IFERROR(INDEX('SAÍDA DE VENDAS'!$B$6:$B$500, MATCH(B1425,'SAÍDA DE VENDAS'!$B$6:$B$500,0)+COUNTIF('SAÍDA DE VENDAS'!$B$6:$B$500, B1425)),"")))</f>
        <v/>
      </c>
      <c r="C1426" s="29">
        <f>IFERROR(VLOOKUP(B1426,'SAÍDA DE VENDAS'!$B$6:$P$500,3,FALSE),"")</f>
        <v>0</v>
      </c>
      <c r="D1426" s="28">
        <f>IFERROR(VLOOKUP(B1426,'SAÍDA DE VENDAS'!$B$6:$P$500,4,FALSE),"")</f>
        <v>0</v>
      </c>
      <c r="E1426" s="28" t="str">
        <f>IFERROR(VLOOKUP(B1426,'SAÍDA DE VENDAS'!$B$6:$P$500,5,FALSE),"")</f>
        <v/>
      </c>
      <c r="F1426" s="28" t="str">
        <f>IF(OR(ISBLANK(B1426),B1426=""), "", IFERROR(INDEX('SAÍDA DE VENDAS'!$H$6:$H$500 &amp; "x " &amp; 'SAÍDA DE VENDAS'!$G$6:$G$500, MATCH(B1426, 'SAÍDA DE VENDAS'!$B$6:$B$500, 0)), "")&amp; IF(COUNTIF('SAÍDA DE VENDAS'!$B$6:$B$500, B1426)&gt;1, " + " &amp; IFERROR(INDEX('SAÍDA DE VENDAS'!$H$6:$H$500 &amp; "x " &amp; 'SAÍDA DE VENDAS'!$G$6:$G$500, MATCH(B1426, 'SAÍDA DE VENDAS'!$B$6:$B$500, 0)+1), ""), "")&amp; IF(COUNTIF('SAÍDA DE VENDAS'!$B$6:$B$500, B1426)&gt;2, " + " &amp; IFERROR(INDEX('SAÍDA DE VENDAS'!$H$6:$H$500 &amp; "x " &amp; 'SAÍDA DE VENDAS'!$G$6:$G$500, MATCH(B1426, 'SAÍDA DE VENDAS'!$B$6:$B$500, 0)+2), ""), "")&amp; IF(COUNTIF('SAÍDA DE VENDAS'!$B$6:$B$500, B1426)&gt;3, " + " &amp; IFERROR(INDEX('SAÍDA DE VENDAS'!$H$6:$H$500 &amp; "x " &amp; 'SAÍDA DE VENDAS'!$G$6:$G$500, MATCH(B1426, 'SAÍDA DE VENDAS'!$B$6:$B$500, 0)+3), ""), "")&amp; IF(COUNTIF('SAÍDA DE VENDAS'!$B$6:$B$500, B1426)&gt;4, " + " &amp; IFERROR(INDEX('SAÍDA DE VENDAS'!$H$6:$H$500 &amp; "x " &amp; 'SAÍDA DE VENDAS'!$G$6:$G$500, MATCH(B1426, 'SAÍDA DE VENDAS'!$B$6:$B$500, 0)+4), ""), "")&amp; IF(COUNTIF('SAÍDA DE VENDAS'!$B$6:$B$500, B1426)&gt;5, " + " &amp; IFERROR(INDEX('SAÍDA DE VENDAS'!$H$6:$H$500 &amp; "x " &amp; 'SAÍDA DE VENDAS'!$G$6:$G$500, MATCH(B1426, 'SAÍDA DE VENDAS'!$B$6:$B$500, 0)+5), ""), ""))</f>
        <v/>
      </c>
      <c r="G1426" s="28">
        <f>IFERROR(VLOOKUP(B1426,'SAÍDA DE VENDAS'!$B$6:$P$500,10,FALSE),"")</f>
        <v>0</v>
      </c>
      <c r="H1426" s="28" t="str">
        <f>IF(OR(ISBLANK(B1426),B1426=""), "", IF(B1426=B1425, (VALUE(LEFT(H1425,FIND("/",H1425)-1))+1)&amp;"/"&amp;RIGHT(H1425,LEN(H1425)-FIND("/",H1425)), "1/"&amp;IFERROR(VLOOKUP(B1426,'SAÍDA DE VENDAS'!$B$6:$P$500,13,FALSE),"1")))</f>
        <v/>
      </c>
      <c r="I1426" s="69" t="str">
        <f t="shared" si="44"/>
        <v/>
      </c>
      <c r="J1426" s="33" t="str">
        <f>IFERROR(VLOOKUP(B1426,'SAÍDA DE VENDAS'!$B$6:$P$500,15,FALSE),"")</f>
        <v/>
      </c>
      <c r="K1426" s="28" t="str">
        <f t="shared" ca="1" si="45"/>
        <v/>
      </c>
      <c r="L1426" s="28"/>
      <c r="M1426" s="28"/>
    </row>
    <row r="1427" spans="2:13" ht="15" customHeight="1" x14ac:dyDescent="0.3">
      <c r="B1427" s="34" t="str">
        <f>IF(B1426="","", IF(VALUE(LEFT(H1426,FIND("/",H1426)-1)) &lt; VALUE(RIGHT(H1426,LEN(H1426)-FIND("/",H1426))), B1426, IFERROR(INDEX('SAÍDA DE VENDAS'!$B$6:$B$500, MATCH(B1426,'SAÍDA DE VENDAS'!$B$6:$B$500,0)+COUNTIF('SAÍDA DE VENDAS'!$B$6:$B$500, B1426)),"")))</f>
        <v/>
      </c>
      <c r="C1427" s="35">
        <f>IFERROR(VLOOKUP(B1427,'SAÍDA DE VENDAS'!$B$6:$P$500,3,FALSE),"")</f>
        <v>0</v>
      </c>
      <c r="D1427" s="34">
        <f>IFERROR(VLOOKUP(B1427,'SAÍDA DE VENDAS'!$B$6:$P$500,4,FALSE),"")</f>
        <v>0</v>
      </c>
      <c r="E1427" s="34" t="str">
        <f>IFERROR(VLOOKUP(B1427,'SAÍDA DE VENDAS'!$B$6:$P$500,5,FALSE),"")</f>
        <v/>
      </c>
      <c r="F1427" s="34" t="str">
        <f>IF(OR(ISBLANK(B1427),B1427=""), "", IFERROR(INDEX('SAÍDA DE VENDAS'!$H$6:$H$500 &amp; "x " &amp; 'SAÍDA DE VENDAS'!$G$6:$G$500, MATCH(B1427, 'SAÍDA DE VENDAS'!$B$6:$B$500, 0)), "")&amp; IF(COUNTIF('SAÍDA DE VENDAS'!$B$6:$B$500, B1427)&gt;1, " + " &amp; IFERROR(INDEX('SAÍDA DE VENDAS'!$H$6:$H$500 &amp; "x " &amp; 'SAÍDA DE VENDAS'!$G$6:$G$500, MATCH(B1427, 'SAÍDA DE VENDAS'!$B$6:$B$500, 0)+1), ""), "")&amp; IF(COUNTIF('SAÍDA DE VENDAS'!$B$6:$B$500, B1427)&gt;2, " + " &amp; IFERROR(INDEX('SAÍDA DE VENDAS'!$H$6:$H$500 &amp; "x " &amp; 'SAÍDA DE VENDAS'!$G$6:$G$500, MATCH(B1427, 'SAÍDA DE VENDAS'!$B$6:$B$500, 0)+2), ""), "")&amp; IF(COUNTIF('SAÍDA DE VENDAS'!$B$6:$B$500, B1427)&gt;3, " + " &amp; IFERROR(INDEX('SAÍDA DE VENDAS'!$H$6:$H$500 &amp; "x " &amp; 'SAÍDA DE VENDAS'!$G$6:$G$500, MATCH(B1427, 'SAÍDA DE VENDAS'!$B$6:$B$500, 0)+3), ""), "")&amp; IF(COUNTIF('SAÍDA DE VENDAS'!$B$6:$B$500, B1427)&gt;4, " + " &amp; IFERROR(INDEX('SAÍDA DE VENDAS'!$H$6:$H$500 &amp; "x " &amp; 'SAÍDA DE VENDAS'!$G$6:$G$500, MATCH(B1427, 'SAÍDA DE VENDAS'!$B$6:$B$500, 0)+4), ""), "")&amp; IF(COUNTIF('SAÍDA DE VENDAS'!$B$6:$B$500, B1427)&gt;5, " + " &amp; IFERROR(INDEX('SAÍDA DE VENDAS'!$H$6:$H$500 &amp; "x " &amp; 'SAÍDA DE VENDAS'!$G$6:$G$500, MATCH(B1427, 'SAÍDA DE VENDAS'!$B$6:$B$500, 0)+5), ""), ""))</f>
        <v/>
      </c>
      <c r="G1427" s="34">
        <f>IFERROR(VLOOKUP(B1427,'SAÍDA DE VENDAS'!$B$6:$P$500,10,FALSE),"")</f>
        <v>0</v>
      </c>
      <c r="H1427" s="34" t="str">
        <f>IF(OR(ISBLANK(B1427),B1427=""), "", IF(B1427=B1426, (VALUE(LEFT(H1426,FIND("/",H1426)-1))+1)&amp;"/"&amp;RIGHT(H1426,LEN(H1426)-FIND("/",H1426)), "1/"&amp;IFERROR(VLOOKUP(B1427,'SAÍDA DE VENDAS'!$B$6:$P$500,13,FALSE),"1")))</f>
        <v/>
      </c>
      <c r="I1427" s="35" t="str">
        <f t="shared" si="44"/>
        <v/>
      </c>
      <c r="J1427" s="39" t="str">
        <f>IFERROR(VLOOKUP(B1427,'SAÍDA DE VENDAS'!$B$6:$P$500,15,FALSE),"")</f>
        <v/>
      </c>
      <c r="K1427" s="34" t="str">
        <f t="shared" ca="1" si="45"/>
        <v/>
      </c>
      <c r="L1427" s="34"/>
      <c r="M1427" s="34"/>
    </row>
    <row r="1428" spans="2:13" ht="15" customHeight="1" x14ac:dyDescent="0.3">
      <c r="B1428" s="28" t="str">
        <f>IF(B1427="","", IF(VALUE(LEFT(H1427,FIND("/",H1427)-1)) &lt; VALUE(RIGHT(H1427,LEN(H1427)-FIND("/",H1427))), B1427, IFERROR(INDEX('SAÍDA DE VENDAS'!$B$6:$B$500, MATCH(B1427,'SAÍDA DE VENDAS'!$B$6:$B$500,0)+COUNTIF('SAÍDA DE VENDAS'!$B$6:$B$500, B1427)),"")))</f>
        <v/>
      </c>
      <c r="C1428" s="29">
        <f>IFERROR(VLOOKUP(B1428,'SAÍDA DE VENDAS'!$B$6:$P$500,3,FALSE),"")</f>
        <v>0</v>
      </c>
      <c r="D1428" s="28">
        <f>IFERROR(VLOOKUP(B1428,'SAÍDA DE VENDAS'!$B$6:$P$500,4,FALSE),"")</f>
        <v>0</v>
      </c>
      <c r="E1428" s="28" t="str">
        <f>IFERROR(VLOOKUP(B1428,'SAÍDA DE VENDAS'!$B$6:$P$500,5,FALSE),"")</f>
        <v/>
      </c>
      <c r="F1428" s="28" t="str">
        <f>IF(OR(ISBLANK(B1428),B1428=""), "", IFERROR(INDEX('SAÍDA DE VENDAS'!$H$6:$H$500 &amp; "x " &amp; 'SAÍDA DE VENDAS'!$G$6:$G$500, MATCH(B1428, 'SAÍDA DE VENDAS'!$B$6:$B$500, 0)), "")&amp; IF(COUNTIF('SAÍDA DE VENDAS'!$B$6:$B$500, B1428)&gt;1, " + " &amp; IFERROR(INDEX('SAÍDA DE VENDAS'!$H$6:$H$500 &amp; "x " &amp; 'SAÍDA DE VENDAS'!$G$6:$G$500, MATCH(B1428, 'SAÍDA DE VENDAS'!$B$6:$B$500, 0)+1), ""), "")&amp; IF(COUNTIF('SAÍDA DE VENDAS'!$B$6:$B$500, B1428)&gt;2, " + " &amp; IFERROR(INDEX('SAÍDA DE VENDAS'!$H$6:$H$500 &amp; "x " &amp; 'SAÍDA DE VENDAS'!$G$6:$G$500, MATCH(B1428, 'SAÍDA DE VENDAS'!$B$6:$B$500, 0)+2), ""), "")&amp; IF(COUNTIF('SAÍDA DE VENDAS'!$B$6:$B$500, B1428)&gt;3, " + " &amp; IFERROR(INDEX('SAÍDA DE VENDAS'!$H$6:$H$500 &amp; "x " &amp; 'SAÍDA DE VENDAS'!$G$6:$G$500, MATCH(B1428, 'SAÍDA DE VENDAS'!$B$6:$B$500, 0)+3), ""), "")&amp; IF(COUNTIF('SAÍDA DE VENDAS'!$B$6:$B$500, B1428)&gt;4, " + " &amp; IFERROR(INDEX('SAÍDA DE VENDAS'!$H$6:$H$500 &amp; "x " &amp; 'SAÍDA DE VENDAS'!$G$6:$G$500, MATCH(B1428, 'SAÍDA DE VENDAS'!$B$6:$B$500, 0)+4), ""), "")&amp; IF(COUNTIF('SAÍDA DE VENDAS'!$B$6:$B$500, B1428)&gt;5, " + " &amp; IFERROR(INDEX('SAÍDA DE VENDAS'!$H$6:$H$500 &amp; "x " &amp; 'SAÍDA DE VENDAS'!$G$6:$G$500, MATCH(B1428, 'SAÍDA DE VENDAS'!$B$6:$B$500, 0)+5), ""), ""))</f>
        <v/>
      </c>
      <c r="G1428" s="28">
        <f>IFERROR(VLOOKUP(B1428,'SAÍDA DE VENDAS'!$B$6:$P$500,10,FALSE),"")</f>
        <v>0</v>
      </c>
      <c r="H1428" s="28" t="str">
        <f>IF(OR(ISBLANK(B1428),B1428=""), "", IF(B1428=B1427, (VALUE(LEFT(H1427,FIND("/",H1427)-1))+1)&amp;"/"&amp;RIGHT(H1427,LEN(H1427)-FIND("/",H1427)), "1/"&amp;IFERROR(VLOOKUP(B1428,'SAÍDA DE VENDAS'!$B$6:$P$500,13,FALSE),"1")))</f>
        <v/>
      </c>
      <c r="I1428" s="69" t="str">
        <f t="shared" si="44"/>
        <v/>
      </c>
      <c r="J1428" s="33" t="str">
        <f>IFERROR(VLOOKUP(B1428,'SAÍDA DE VENDAS'!$B$6:$P$500,15,FALSE),"")</f>
        <v/>
      </c>
      <c r="K1428" s="28" t="str">
        <f t="shared" ca="1" si="45"/>
        <v/>
      </c>
      <c r="L1428" s="28"/>
      <c r="M1428" s="28"/>
    </row>
    <row r="1429" spans="2:13" ht="15" customHeight="1" x14ac:dyDescent="0.3">
      <c r="B1429" s="34" t="str">
        <f>IF(B1428="","", IF(VALUE(LEFT(H1428,FIND("/",H1428)-1)) &lt; VALUE(RIGHT(H1428,LEN(H1428)-FIND("/",H1428))), B1428, IFERROR(INDEX('SAÍDA DE VENDAS'!$B$6:$B$500, MATCH(B1428,'SAÍDA DE VENDAS'!$B$6:$B$500,0)+COUNTIF('SAÍDA DE VENDAS'!$B$6:$B$500, B1428)),"")))</f>
        <v/>
      </c>
      <c r="C1429" s="35">
        <f>IFERROR(VLOOKUP(B1429,'SAÍDA DE VENDAS'!$B$6:$P$500,3,FALSE),"")</f>
        <v>0</v>
      </c>
      <c r="D1429" s="34">
        <f>IFERROR(VLOOKUP(B1429,'SAÍDA DE VENDAS'!$B$6:$P$500,4,FALSE),"")</f>
        <v>0</v>
      </c>
      <c r="E1429" s="34" t="str">
        <f>IFERROR(VLOOKUP(B1429,'SAÍDA DE VENDAS'!$B$6:$P$500,5,FALSE),"")</f>
        <v/>
      </c>
      <c r="F1429" s="34" t="str">
        <f>IF(OR(ISBLANK(B1429),B1429=""), "", IFERROR(INDEX('SAÍDA DE VENDAS'!$H$6:$H$500 &amp; "x " &amp; 'SAÍDA DE VENDAS'!$G$6:$G$500, MATCH(B1429, 'SAÍDA DE VENDAS'!$B$6:$B$500, 0)), "")&amp; IF(COUNTIF('SAÍDA DE VENDAS'!$B$6:$B$500, B1429)&gt;1, " + " &amp; IFERROR(INDEX('SAÍDA DE VENDAS'!$H$6:$H$500 &amp; "x " &amp; 'SAÍDA DE VENDAS'!$G$6:$G$500, MATCH(B1429, 'SAÍDA DE VENDAS'!$B$6:$B$500, 0)+1), ""), "")&amp; IF(COUNTIF('SAÍDA DE VENDAS'!$B$6:$B$500, B1429)&gt;2, " + " &amp; IFERROR(INDEX('SAÍDA DE VENDAS'!$H$6:$H$500 &amp; "x " &amp; 'SAÍDA DE VENDAS'!$G$6:$G$500, MATCH(B1429, 'SAÍDA DE VENDAS'!$B$6:$B$500, 0)+2), ""), "")&amp; IF(COUNTIF('SAÍDA DE VENDAS'!$B$6:$B$500, B1429)&gt;3, " + " &amp; IFERROR(INDEX('SAÍDA DE VENDAS'!$H$6:$H$500 &amp; "x " &amp; 'SAÍDA DE VENDAS'!$G$6:$G$500, MATCH(B1429, 'SAÍDA DE VENDAS'!$B$6:$B$500, 0)+3), ""), "")&amp; IF(COUNTIF('SAÍDA DE VENDAS'!$B$6:$B$500, B1429)&gt;4, " + " &amp; IFERROR(INDEX('SAÍDA DE VENDAS'!$H$6:$H$500 &amp; "x " &amp; 'SAÍDA DE VENDAS'!$G$6:$G$500, MATCH(B1429, 'SAÍDA DE VENDAS'!$B$6:$B$500, 0)+4), ""), "")&amp; IF(COUNTIF('SAÍDA DE VENDAS'!$B$6:$B$500, B1429)&gt;5, " + " &amp; IFERROR(INDEX('SAÍDA DE VENDAS'!$H$6:$H$500 &amp; "x " &amp; 'SAÍDA DE VENDAS'!$G$6:$G$500, MATCH(B1429, 'SAÍDA DE VENDAS'!$B$6:$B$500, 0)+5), ""), ""))</f>
        <v/>
      </c>
      <c r="G1429" s="34">
        <f>IFERROR(VLOOKUP(B1429,'SAÍDA DE VENDAS'!$B$6:$P$500,10,FALSE),"")</f>
        <v>0</v>
      </c>
      <c r="H1429" s="34" t="str">
        <f>IF(OR(ISBLANK(B1429),B1429=""), "", IF(B1429=B1428, (VALUE(LEFT(H1428,FIND("/",H1428)-1))+1)&amp;"/"&amp;RIGHT(H1428,LEN(H1428)-FIND("/",H1428)), "1/"&amp;IFERROR(VLOOKUP(B1429,'SAÍDA DE VENDAS'!$B$6:$P$500,13,FALSE),"1")))</f>
        <v/>
      </c>
      <c r="I1429" s="35" t="str">
        <f t="shared" si="44"/>
        <v/>
      </c>
      <c r="J1429" s="39" t="str">
        <f>IFERROR(VLOOKUP(B1429,'SAÍDA DE VENDAS'!$B$6:$P$500,15,FALSE),"")</f>
        <v/>
      </c>
      <c r="K1429" s="34" t="str">
        <f t="shared" ca="1" si="45"/>
        <v/>
      </c>
      <c r="L1429" s="34"/>
      <c r="M1429" s="34"/>
    </row>
    <row r="1430" spans="2:13" ht="15" customHeight="1" x14ac:dyDescent="0.3">
      <c r="B1430" s="28" t="str">
        <f>IF(B1429="","", IF(VALUE(LEFT(H1429,FIND("/",H1429)-1)) &lt; VALUE(RIGHT(H1429,LEN(H1429)-FIND("/",H1429))), B1429, IFERROR(INDEX('SAÍDA DE VENDAS'!$B$6:$B$500, MATCH(B1429,'SAÍDA DE VENDAS'!$B$6:$B$500,0)+COUNTIF('SAÍDA DE VENDAS'!$B$6:$B$500, B1429)),"")))</f>
        <v/>
      </c>
      <c r="C1430" s="29">
        <f>IFERROR(VLOOKUP(B1430,'SAÍDA DE VENDAS'!$B$6:$P$500,3,FALSE),"")</f>
        <v>0</v>
      </c>
      <c r="D1430" s="28">
        <f>IFERROR(VLOOKUP(B1430,'SAÍDA DE VENDAS'!$B$6:$P$500,4,FALSE),"")</f>
        <v>0</v>
      </c>
      <c r="E1430" s="28" t="str">
        <f>IFERROR(VLOOKUP(B1430,'SAÍDA DE VENDAS'!$B$6:$P$500,5,FALSE),"")</f>
        <v/>
      </c>
      <c r="F1430" s="28" t="str">
        <f>IF(OR(ISBLANK(B1430),B1430=""), "", IFERROR(INDEX('SAÍDA DE VENDAS'!$H$6:$H$500 &amp; "x " &amp; 'SAÍDA DE VENDAS'!$G$6:$G$500, MATCH(B1430, 'SAÍDA DE VENDAS'!$B$6:$B$500, 0)), "")&amp; IF(COUNTIF('SAÍDA DE VENDAS'!$B$6:$B$500, B1430)&gt;1, " + " &amp; IFERROR(INDEX('SAÍDA DE VENDAS'!$H$6:$H$500 &amp; "x " &amp; 'SAÍDA DE VENDAS'!$G$6:$G$500, MATCH(B1430, 'SAÍDA DE VENDAS'!$B$6:$B$500, 0)+1), ""), "")&amp; IF(COUNTIF('SAÍDA DE VENDAS'!$B$6:$B$500, B1430)&gt;2, " + " &amp; IFERROR(INDEX('SAÍDA DE VENDAS'!$H$6:$H$500 &amp; "x " &amp; 'SAÍDA DE VENDAS'!$G$6:$G$500, MATCH(B1430, 'SAÍDA DE VENDAS'!$B$6:$B$500, 0)+2), ""), "")&amp; IF(COUNTIF('SAÍDA DE VENDAS'!$B$6:$B$500, B1430)&gt;3, " + " &amp; IFERROR(INDEX('SAÍDA DE VENDAS'!$H$6:$H$500 &amp; "x " &amp; 'SAÍDA DE VENDAS'!$G$6:$G$500, MATCH(B1430, 'SAÍDA DE VENDAS'!$B$6:$B$500, 0)+3), ""), "")&amp; IF(COUNTIF('SAÍDA DE VENDAS'!$B$6:$B$500, B1430)&gt;4, " + " &amp; IFERROR(INDEX('SAÍDA DE VENDAS'!$H$6:$H$500 &amp; "x " &amp; 'SAÍDA DE VENDAS'!$G$6:$G$500, MATCH(B1430, 'SAÍDA DE VENDAS'!$B$6:$B$500, 0)+4), ""), "")&amp; IF(COUNTIF('SAÍDA DE VENDAS'!$B$6:$B$500, B1430)&gt;5, " + " &amp; IFERROR(INDEX('SAÍDA DE VENDAS'!$H$6:$H$500 &amp; "x " &amp; 'SAÍDA DE VENDAS'!$G$6:$G$500, MATCH(B1430, 'SAÍDA DE VENDAS'!$B$6:$B$500, 0)+5), ""), ""))</f>
        <v/>
      </c>
      <c r="G1430" s="28">
        <f>IFERROR(VLOOKUP(B1430,'SAÍDA DE VENDAS'!$B$6:$P$500,10,FALSE),"")</f>
        <v>0</v>
      </c>
      <c r="H1430" s="28" t="str">
        <f>IF(OR(ISBLANK(B1430),B1430=""), "", IF(B1430=B1429, (VALUE(LEFT(H1429,FIND("/",H1429)-1))+1)&amp;"/"&amp;RIGHT(H1429,LEN(H1429)-FIND("/",H1429)), "1/"&amp;IFERROR(VLOOKUP(B1430,'SAÍDA DE VENDAS'!$B$6:$P$500,13,FALSE),"1")))</f>
        <v/>
      </c>
      <c r="I1430" s="69" t="str">
        <f t="shared" si="44"/>
        <v/>
      </c>
      <c r="J1430" s="33" t="str">
        <f>IFERROR(VLOOKUP(B1430,'SAÍDA DE VENDAS'!$B$6:$P$500,15,FALSE),"")</f>
        <v/>
      </c>
      <c r="K1430" s="28" t="str">
        <f t="shared" ca="1" si="45"/>
        <v/>
      </c>
      <c r="L1430" s="28"/>
      <c r="M1430" s="28"/>
    </row>
    <row r="1431" spans="2:13" ht="15" customHeight="1" x14ac:dyDescent="0.3">
      <c r="B1431" s="34" t="str">
        <f>IF(B1430="","", IF(VALUE(LEFT(H1430,FIND("/",H1430)-1)) &lt; VALUE(RIGHT(H1430,LEN(H1430)-FIND("/",H1430))), B1430, IFERROR(INDEX('SAÍDA DE VENDAS'!$B$6:$B$500, MATCH(B1430,'SAÍDA DE VENDAS'!$B$6:$B$500,0)+COUNTIF('SAÍDA DE VENDAS'!$B$6:$B$500, B1430)),"")))</f>
        <v/>
      </c>
      <c r="C1431" s="35">
        <f>IFERROR(VLOOKUP(B1431,'SAÍDA DE VENDAS'!$B$6:$P$500,3,FALSE),"")</f>
        <v>0</v>
      </c>
      <c r="D1431" s="34">
        <f>IFERROR(VLOOKUP(B1431,'SAÍDA DE VENDAS'!$B$6:$P$500,4,FALSE),"")</f>
        <v>0</v>
      </c>
      <c r="E1431" s="34" t="str">
        <f>IFERROR(VLOOKUP(B1431,'SAÍDA DE VENDAS'!$B$6:$P$500,5,FALSE),"")</f>
        <v/>
      </c>
      <c r="F1431" s="34" t="str">
        <f>IF(OR(ISBLANK(B1431),B1431=""), "", IFERROR(INDEX('SAÍDA DE VENDAS'!$H$6:$H$500 &amp; "x " &amp; 'SAÍDA DE VENDAS'!$G$6:$G$500, MATCH(B1431, 'SAÍDA DE VENDAS'!$B$6:$B$500, 0)), "")&amp; IF(COUNTIF('SAÍDA DE VENDAS'!$B$6:$B$500, B1431)&gt;1, " + " &amp; IFERROR(INDEX('SAÍDA DE VENDAS'!$H$6:$H$500 &amp; "x " &amp; 'SAÍDA DE VENDAS'!$G$6:$G$500, MATCH(B1431, 'SAÍDA DE VENDAS'!$B$6:$B$500, 0)+1), ""), "")&amp; IF(COUNTIF('SAÍDA DE VENDAS'!$B$6:$B$500, B1431)&gt;2, " + " &amp; IFERROR(INDEX('SAÍDA DE VENDAS'!$H$6:$H$500 &amp; "x " &amp; 'SAÍDA DE VENDAS'!$G$6:$G$500, MATCH(B1431, 'SAÍDA DE VENDAS'!$B$6:$B$500, 0)+2), ""), "")&amp; IF(COUNTIF('SAÍDA DE VENDAS'!$B$6:$B$500, B1431)&gt;3, " + " &amp; IFERROR(INDEX('SAÍDA DE VENDAS'!$H$6:$H$500 &amp; "x " &amp; 'SAÍDA DE VENDAS'!$G$6:$G$500, MATCH(B1431, 'SAÍDA DE VENDAS'!$B$6:$B$500, 0)+3), ""), "")&amp; IF(COUNTIF('SAÍDA DE VENDAS'!$B$6:$B$500, B1431)&gt;4, " + " &amp; IFERROR(INDEX('SAÍDA DE VENDAS'!$H$6:$H$500 &amp; "x " &amp; 'SAÍDA DE VENDAS'!$G$6:$G$500, MATCH(B1431, 'SAÍDA DE VENDAS'!$B$6:$B$500, 0)+4), ""), "")&amp; IF(COUNTIF('SAÍDA DE VENDAS'!$B$6:$B$500, B1431)&gt;5, " + " &amp; IFERROR(INDEX('SAÍDA DE VENDAS'!$H$6:$H$500 &amp; "x " &amp; 'SAÍDA DE VENDAS'!$G$6:$G$500, MATCH(B1431, 'SAÍDA DE VENDAS'!$B$6:$B$500, 0)+5), ""), ""))</f>
        <v/>
      </c>
      <c r="G1431" s="34">
        <f>IFERROR(VLOOKUP(B1431,'SAÍDA DE VENDAS'!$B$6:$P$500,10,FALSE),"")</f>
        <v>0</v>
      </c>
      <c r="H1431" s="34" t="str">
        <f>IF(OR(ISBLANK(B1431),B1431=""), "", IF(B1431=B1430, (VALUE(LEFT(H1430,FIND("/",H1430)-1))+1)&amp;"/"&amp;RIGHT(H1430,LEN(H1430)-FIND("/",H1430)), "1/"&amp;IFERROR(VLOOKUP(B1431,'SAÍDA DE VENDAS'!$B$6:$P$500,13,FALSE),"1")))</f>
        <v/>
      </c>
      <c r="I1431" s="35" t="str">
        <f t="shared" si="44"/>
        <v/>
      </c>
      <c r="J1431" s="39" t="str">
        <f>IFERROR(VLOOKUP(B1431,'SAÍDA DE VENDAS'!$B$6:$P$500,15,FALSE),"")</f>
        <v/>
      </c>
      <c r="K1431" s="34" t="str">
        <f t="shared" ca="1" si="45"/>
        <v/>
      </c>
      <c r="L1431" s="34"/>
      <c r="M1431" s="34"/>
    </row>
    <row r="1432" spans="2:13" ht="15" customHeight="1" x14ac:dyDescent="0.3">
      <c r="B1432" s="28" t="str">
        <f>IF(B1431="","", IF(VALUE(LEFT(H1431,FIND("/",H1431)-1)) &lt; VALUE(RIGHT(H1431,LEN(H1431)-FIND("/",H1431))), B1431, IFERROR(INDEX('SAÍDA DE VENDAS'!$B$6:$B$500, MATCH(B1431,'SAÍDA DE VENDAS'!$B$6:$B$500,0)+COUNTIF('SAÍDA DE VENDAS'!$B$6:$B$500, B1431)),"")))</f>
        <v/>
      </c>
      <c r="C1432" s="29">
        <f>IFERROR(VLOOKUP(B1432,'SAÍDA DE VENDAS'!$B$6:$P$500,3,FALSE),"")</f>
        <v>0</v>
      </c>
      <c r="D1432" s="28">
        <f>IFERROR(VLOOKUP(B1432,'SAÍDA DE VENDAS'!$B$6:$P$500,4,FALSE),"")</f>
        <v>0</v>
      </c>
      <c r="E1432" s="28" t="str">
        <f>IFERROR(VLOOKUP(B1432,'SAÍDA DE VENDAS'!$B$6:$P$500,5,FALSE),"")</f>
        <v/>
      </c>
      <c r="F1432" s="28" t="str">
        <f>IF(OR(ISBLANK(B1432),B1432=""), "", IFERROR(INDEX('SAÍDA DE VENDAS'!$H$6:$H$500 &amp; "x " &amp; 'SAÍDA DE VENDAS'!$G$6:$G$500, MATCH(B1432, 'SAÍDA DE VENDAS'!$B$6:$B$500, 0)), "")&amp; IF(COUNTIF('SAÍDA DE VENDAS'!$B$6:$B$500, B1432)&gt;1, " + " &amp; IFERROR(INDEX('SAÍDA DE VENDAS'!$H$6:$H$500 &amp; "x " &amp; 'SAÍDA DE VENDAS'!$G$6:$G$500, MATCH(B1432, 'SAÍDA DE VENDAS'!$B$6:$B$500, 0)+1), ""), "")&amp; IF(COUNTIF('SAÍDA DE VENDAS'!$B$6:$B$500, B1432)&gt;2, " + " &amp; IFERROR(INDEX('SAÍDA DE VENDAS'!$H$6:$H$500 &amp; "x " &amp; 'SAÍDA DE VENDAS'!$G$6:$G$500, MATCH(B1432, 'SAÍDA DE VENDAS'!$B$6:$B$500, 0)+2), ""), "")&amp; IF(COUNTIF('SAÍDA DE VENDAS'!$B$6:$B$500, B1432)&gt;3, " + " &amp; IFERROR(INDEX('SAÍDA DE VENDAS'!$H$6:$H$500 &amp; "x " &amp; 'SAÍDA DE VENDAS'!$G$6:$G$500, MATCH(B1432, 'SAÍDA DE VENDAS'!$B$6:$B$500, 0)+3), ""), "")&amp; IF(COUNTIF('SAÍDA DE VENDAS'!$B$6:$B$500, B1432)&gt;4, " + " &amp; IFERROR(INDEX('SAÍDA DE VENDAS'!$H$6:$H$500 &amp; "x " &amp; 'SAÍDA DE VENDAS'!$G$6:$G$500, MATCH(B1432, 'SAÍDA DE VENDAS'!$B$6:$B$500, 0)+4), ""), "")&amp; IF(COUNTIF('SAÍDA DE VENDAS'!$B$6:$B$500, B1432)&gt;5, " + " &amp; IFERROR(INDEX('SAÍDA DE VENDAS'!$H$6:$H$500 &amp; "x " &amp; 'SAÍDA DE VENDAS'!$G$6:$G$500, MATCH(B1432, 'SAÍDA DE VENDAS'!$B$6:$B$500, 0)+5), ""), ""))</f>
        <v/>
      </c>
      <c r="G1432" s="28">
        <f>IFERROR(VLOOKUP(B1432,'SAÍDA DE VENDAS'!$B$6:$P$500,10,FALSE),"")</f>
        <v>0</v>
      </c>
      <c r="H1432" s="28" t="str">
        <f>IF(OR(ISBLANK(B1432),B1432=""), "", IF(B1432=B1431, (VALUE(LEFT(H1431,FIND("/",H1431)-1))+1)&amp;"/"&amp;RIGHT(H1431,LEN(H1431)-FIND("/",H1431)), "1/"&amp;IFERROR(VLOOKUP(B1432,'SAÍDA DE VENDAS'!$B$6:$P$500,13,FALSE),"1")))</f>
        <v/>
      </c>
      <c r="I1432" s="69" t="str">
        <f t="shared" si="44"/>
        <v/>
      </c>
      <c r="J1432" s="33" t="str">
        <f>IFERROR(VLOOKUP(B1432,'SAÍDA DE VENDAS'!$B$6:$P$500,15,FALSE),"")</f>
        <v/>
      </c>
      <c r="K1432" s="28" t="str">
        <f t="shared" ca="1" si="45"/>
        <v/>
      </c>
      <c r="L1432" s="28"/>
      <c r="M1432" s="28"/>
    </row>
    <row r="1433" spans="2:13" ht="15" customHeight="1" x14ac:dyDescent="0.3">
      <c r="B1433" s="34" t="str">
        <f>IF(B1432="","", IF(VALUE(LEFT(H1432,FIND("/",H1432)-1)) &lt; VALUE(RIGHT(H1432,LEN(H1432)-FIND("/",H1432))), B1432, IFERROR(INDEX('SAÍDA DE VENDAS'!$B$6:$B$500, MATCH(B1432,'SAÍDA DE VENDAS'!$B$6:$B$500,0)+COUNTIF('SAÍDA DE VENDAS'!$B$6:$B$500, B1432)),"")))</f>
        <v/>
      </c>
      <c r="C1433" s="35">
        <f>IFERROR(VLOOKUP(B1433,'SAÍDA DE VENDAS'!$B$6:$P$500,3,FALSE),"")</f>
        <v>0</v>
      </c>
      <c r="D1433" s="34">
        <f>IFERROR(VLOOKUP(B1433,'SAÍDA DE VENDAS'!$B$6:$P$500,4,FALSE),"")</f>
        <v>0</v>
      </c>
      <c r="E1433" s="34" t="str">
        <f>IFERROR(VLOOKUP(B1433,'SAÍDA DE VENDAS'!$B$6:$P$500,5,FALSE),"")</f>
        <v/>
      </c>
      <c r="F1433" s="34" t="str">
        <f>IF(OR(ISBLANK(B1433),B1433=""), "", IFERROR(INDEX('SAÍDA DE VENDAS'!$H$6:$H$500 &amp; "x " &amp; 'SAÍDA DE VENDAS'!$G$6:$G$500, MATCH(B1433, 'SAÍDA DE VENDAS'!$B$6:$B$500, 0)), "")&amp; IF(COUNTIF('SAÍDA DE VENDAS'!$B$6:$B$500, B1433)&gt;1, " + " &amp; IFERROR(INDEX('SAÍDA DE VENDAS'!$H$6:$H$500 &amp; "x " &amp; 'SAÍDA DE VENDAS'!$G$6:$G$500, MATCH(B1433, 'SAÍDA DE VENDAS'!$B$6:$B$500, 0)+1), ""), "")&amp; IF(COUNTIF('SAÍDA DE VENDAS'!$B$6:$B$500, B1433)&gt;2, " + " &amp; IFERROR(INDEX('SAÍDA DE VENDAS'!$H$6:$H$500 &amp; "x " &amp; 'SAÍDA DE VENDAS'!$G$6:$G$500, MATCH(B1433, 'SAÍDA DE VENDAS'!$B$6:$B$500, 0)+2), ""), "")&amp; IF(COUNTIF('SAÍDA DE VENDAS'!$B$6:$B$500, B1433)&gt;3, " + " &amp; IFERROR(INDEX('SAÍDA DE VENDAS'!$H$6:$H$500 &amp; "x " &amp; 'SAÍDA DE VENDAS'!$G$6:$G$500, MATCH(B1433, 'SAÍDA DE VENDAS'!$B$6:$B$500, 0)+3), ""), "")&amp; IF(COUNTIF('SAÍDA DE VENDAS'!$B$6:$B$500, B1433)&gt;4, " + " &amp; IFERROR(INDEX('SAÍDA DE VENDAS'!$H$6:$H$500 &amp; "x " &amp; 'SAÍDA DE VENDAS'!$G$6:$G$500, MATCH(B1433, 'SAÍDA DE VENDAS'!$B$6:$B$500, 0)+4), ""), "")&amp; IF(COUNTIF('SAÍDA DE VENDAS'!$B$6:$B$500, B1433)&gt;5, " + " &amp; IFERROR(INDEX('SAÍDA DE VENDAS'!$H$6:$H$500 &amp; "x " &amp; 'SAÍDA DE VENDAS'!$G$6:$G$500, MATCH(B1433, 'SAÍDA DE VENDAS'!$B$6:$B$500, 0)+5), ""), ""))</f>
        <v/>
      </c>
      <c r="G1433" s="34">
        <f>IFERROR(VLOOKUP(B1433,'SAÍDA DE VENDAS'!$B$6:$P$500,10,FALSE),"")</f>
        <v>0</v>
      </c>
      <c r="H1433" s="34" t="str">
        <f>IF(OR(ISBLANK(B1433),B1433=""), "", IF(B1433=B1432, (VALUE(LEFT(H1432,FIND("/",H1432)-1))+1)&amp;"/"&amp;RIGHT(H1432,LEN(H1432)-FIND("/",H1432)), "1/"&amp;IFERROR(VLOOKUP(B1433,'SAÍDA DE VENDAS'!$B$6:$P$500,13,FALSE),"1")))</f>
        <v/>
      </c>
      <c r="I1433" s="35" t="str">
        <f t="shared" si="44"/>
        <v/>
      </c>
      <c r="J1433" s="39" t="str">
        <f>IFERROR(VLOOKUP(B1433,'SAÍDA DE VENDAS'!$B$6:$P$500,15,FALSE),"")</f>
        <v/>
      </c>
      <c r="K1433" s="34" t="str">
        <f t="shared" ca="1" si="45"/>
        <v/>
      </c>
      <c r="L1433" s="34"/>
      <c r="M1433" s="34"/>
    </row>
    <row r="1434" spans="2:13" ht="15" customHeight="1" x14ac:dyDescent="0.3">
      <c r="B1434" s="28" t="str">
        <f>IF(B1433="","", IF(VALUE(LEFT(H1433,FIND("/",H1433)-1)) &lt; VALUE(RIGHT(H1433,LEN(H1433)-FIND("/",H1433))), B1433, IFERROR(INDEX('SAÍDA DE VENDAS'!$B$6:$B$500, MATCH(B1433,'SAÍDA DE VENDAS'!$B$6:$B$500,0)+COUNTIF('SAÍDA DE VENDAS'!$B$6:$B$500, B1433)),"")))</f>
        <v/>
      </c>
      <c r="C1434" s="29">
        <f>IFERROR(VLOOKUP(B1434,'SAÍDA DE VENDAS'!$B$6:$P$500,3,FALSE),"")</f>
        <v>0</v>
      </c>
      <c r="D1434" s="28">
        <f>IFERROR(VLOOKUP(B1434,'SAÍDA DE VENDAS'!$B$6:$P$500,4,FALSE),"")</f>
        <v>0</v>
      </c>
      <c r="E1434" s="28" t="str">
        <f>IFERROR(VLOOKUP(B1434,'SAÍDA DE VENDAS'!$B$6:$P$500,5,FALSE),"")</f>
        <v/>
      </c>
      <c r="F1434" s="28" t="str">
        <f>IF(OR(ISBLANK(B1434),B1434=""), "", IFERROR(INDEX('SAÍDA DE VENDAS'!$H$6:$H$500 &amp; "x " &amp; 'SAÍDA DE VENDAS'!$G$6:$G$500, MATCH(B1434, 'SAÍDA DE VENDAS'!$B$6:$B$500, 0)), "")&amp; IF(COUNTIF('SAÍDA DE VENDAS'!$B$6:$B$500, B1434)&gt;1, " + " &amp; IFERROR(INDEX('SAÍDA DE VENDAS'!$H$6:$H$500 &amp; "x " &amp; 'SAÍDA DE VENDAS'!$G$6:$G$500, MATCH(B1434, 'SAÍDA DE VENDAS'!$B$6:$B$500, 0)+1), ""), "")&amp; IF(COUNTIF('SAÍDA DE VENDAS'!$B$6:$B$500, B1434)&gt;2, " + " &amp; IFERROR(INDEX('SAÍDA DE VENDAS'!$H$6:$H$500 &amp; "x " &amp; 'SAÍDA DE VENDAS'!$G$6:$G$500, MATCH(B1434, 'SAÍDA DE VENDAS'!$B$6:$B$500, 0)+2), ""), "")&amp; IF(COUNTIF('SAÍDA DE VENDAS'!$B$6:$B$500, B1434)&gt;3, " + " &amp; IFERROR(INDEX('SAÍDA DE VENDAS'!$H$6:$H$500 &amp; "x " &amp; 'SAÍDA DE VENDAS'!$G$6:$G$500, MATCH(B1434, 'SAÍDA DE VENDAS'!$B$6:$B$500, 0)+3), ""), "")&amp; IF(COUNTIF('SAÍDA DE VENDAS'!$B$6:$B$500, B1434)&gt;4, " + " &amp; IFERROR(INDEX('SAÍDA DE VENDAS'!$H$6:$H$500 &amp; "x " &amp; 'SAÍDA DE VENDAS'!$G$6:$G$500, MATCH(B1434, 'SAÍDA DE VENDAS'!$B$6:$B$500, 0)+4), ""), "")&amp; IF(COUNTIF('SAÍDA DE VENDAS'!$B$6:$B$500, B1434)&gt;5, " + " &amp; IFERROR(INDEX('SAÍDA DE VENDAS'!$H$6:$H$500 &amp; "x " &amp; 'SAÍDA DE VENDAS'!$G$6:$G$500, MATCH(B1434, 'SAÍDA DE VENDAS'!$B$6:$B$500, 0)+5), ""), ""))</f>
        <v/>
      </c>
      <c r="G1434" s="28">
        <f>IFERROR(VLOOKUP(B1434,'SAÍDA DE VENDAS'!$B$6:$P$500,10,FALSE),"")</f>
        <v>0</v>
      </c>
      <c r="H1434" s="28" t="str">
        <f>IF(OR(ISBLANK(B1434),B1434=""), "", IF(B1434=B1433, (VALUE(LEFT(H1433,FIND("/",H1433)-1))+1)&amp;"/"&amp;RIGHT(H1433,LEN(H1433)-FIND("/",H1433)), "1/"&amp;IFERROR(VLOOKUP(B1434,'SAÍDA DE VENDAS'!$B$6:$P$500,13,FALSE),"1")))</f>
        <v/>
      </c>
      <c r="I1434" s="69" t="str">
        <f t="shared" si="44"/>
        <v/>
      </c>
      <c r="J1434" s="33" t="str">
        <f>IFERROR(VLOOKUP(B1434,'SAÍDA DE VENDAS'!$B$6:$P$500,15,FALSE),"")</f>
        <v/>
      </c>
      <c r="K1434" s="28" t="str">
        <f t="shared" ca="1" si="45"/>
        <v/>
      </c>
      <c r="L1434" s="28"/>
      <c r="M1434" s="28"/>
    </row>
    <row r="1435" spans="2:13" ht="15" customHeight="1" x14ac:dyDescent="0.3">
      <c r="B1435" s="34" t="str">
        <f>IF(B1434="","", IF(VALUE(LEFT(H1434,FIND("/",H1434)-1)) &lt; VALUE(RIGHT(H1434,LEN(H1434)-FIND("/",H1434))), B1434, IFERROR(INDEX('SAÍDA DE VENDAS'!$B$6:$B$500, MATCH(B1434,'SAÍDA DE VENDAS'!$B$6:$B$500,0)+COUNTIF('SAÍDA DE VENDAS'!$B$6:$B$500, B1434)),"")))</f>
        <v/>
      </c>
      <c r="C1435" s="35">
        <f>IFERROR(VLOOKUP(B1435,'SAÍDA DE VENDAS'!$B$6:$P$500,3,FALSE),"")</f>
        <v>0</v>
      </c>
      <c r="D1435" s="34">
        <f>IFERROR(VLOOKUP(B1435,'SAÍDA DE VENDAS'!$B$6:$P$500,4,FALSE),"")</f>
        <v>0</v>
      </c>
      <c r="E1435" s="34" t="str">
        <f>IFERROR(VLOOKUP(B1435,'SAÍDA DE VENDAS'!$B$6:$P$500,5,FALSE),"")</f>
        <v/>
      </c>
      <c r="F1435" s="34" t="str">
        <f>IF(OR(ISBLANK(B1435),B1435=""), "", IFERROR(INDEX('SAÍDA DE VENDAS'!$H$6:$H$500 &amp; "x " &amp; 'SAÍDA DE VENDAS'!$G$6:$G$500, MATCH(B1435, 'SAÍDA DE VENDAS'!$B$6:$B$500, 0)), "")&amp; IF(COUNTIF('SAÍDA DE VENDAS'!$B$6:$B$500, B1435)&gt;1, " + " &amp; IFERROR(INDEX('SAÍDA DE VENDAS'!$H$6:$H$500 &amp; "x " &amp; 'SAÍDA DE VENDAS'!$G$6:$G$500, MATCH(B1435, 'SAÍDA DE VENDAS'!$B$6:$B$500, 0)+1), ""), "")&amp; IF(COUNTIF('SAÍDA DE VENDAS'!$B$6:$B$500, B1435)&gt;2, " + " &amp; IFERROR(INDEX('SAÍDA DE VENDAS'!$H$6:$H$500 &amp; "x " &amp; 'SAÍDA DE VENDAS'!$G$6:$G$500, MATCH(B1435, 'SAÍDA DE VENDAS'!$B$6:$B$500, 0)+2), ""), "")&amp; IF(COUNTIF('SAÍDA DE VENDAS'!$B$6:$B$500, B1435)&gt;3, " + " &amp; IFERROR(INDEX('SAÍDA DE VENDAS'!$H$6:$H$500 &amp; "x " &amp; 'SAÍDA DE VENDAS'!$G$6:$G$500, MATCH(B1435, 'SAÍDA DE VENDAS'!$B$6:$B$500, 0)+3), ""), "")&amp; IF(COUNTIF('SAÍDA DE VENDAS'!$B$6:$B$500, B1435)&gt;4, " + " &amp; IFERROR(INDEX('SAÍDA DE VENDAS'!$H$6:$H$500 &amp; "x " &amp; 'SAÍDA DE VENDAS'!$G$6:$G$500, MATCH(B1435, 'SAÍDA DE VENDAS'!$B$6:$B$500, 0)+4), ""), "")&amp; IF(COUNTIF('SAÍDA DE VENDAS'!$B$6:$B$500, B1435)&gt;5, " + " &amp; IFERROR(INDEX('SAÍDA DE VENDAS'!$H$6:$H$500 &amp; "x " &amp; 'SAÍDA DE VENDAS'!$G$6:$G$500, MATCH(B1435, 'SAÍDA DE VENDAS'!$B$6:$B$500, 0)+5), ""), ""))</f>
        <v/>
      </c>
      <c r="G1435" s="34">
        <f>IFERROR(VLOOKUP(B1435,'SAÍDA DE VENDAS'!$B$6:$P$500,10,FALSE),"")</f>
        <v>0</v>
      </c>
      <c r="H1435" s="34" t="str">
        <f>IF(OR(ISBLANK(B1435),B1435=""), "", IF(B1435=B1434, (VALUE(LEFT(H1434,FIND("/",H1434)-1))+1)&amp;"/"&amp;RIGHT(H1434,LEN(H1434)-FIND("/",H1434)), "1/"&amp;IFERROR(VLOOKUP(B1435,'SAÍDA DE VENDAS'!$B$6:$P$500,13,FALSE),"1")))</f>
        <v/>
      </c>
      <c r="I1435" s="35" t="str">
        <f t="shared" si="44"/>
        <v/>
      </c>
      <c r="J1435" s="39" t="str">
        <f>IFERROR(VLOOKUP(B1435,'SAÍDA DE VENDAS'!$B$6:$P$500,15,FALSE),"")</f>
        <v/>
      </c>
      <c r="K1435" s="34" t="str">
        <f t="shared" ca="1" si="45"/>
        <v/>
      </c>
      <c r="L1435" s="34"/>
      <c r="M1435" s="34"/>
    </row>
    <row r="1436" spans="2:13" ht="15" customHeight="1" x14ac:dyDescent="0.3">
      <c r="B1436" s="28" t="str">
        <f>IF(B1435="","", IF(VALUE(LEFT(H1435,FIND("/",H1435)-1)) &lt; VALUE(RIGHT(H1435,LEN(H1435)-FIND("/",H1435))), B1435, IFERROR(INDEX('SAÍDA DE VENDAS'!$B$6:$B$500, MATCH(B1435,'SAÍDA DE VENDAS'!$B$6:$B$500,0)+COUNTIF('SAÍDA DE VENDAS'!$B$6:$B$500, B1435)),"")))</f>
        <v/>
      </c>
      <c r="C1436" s="29">
        <f>IFERROR(VLOOKUP(B1436,'SAÍDA DE VENDAS'!$B$6:$P$500,3,FALSE),"")</f>
        <v>0</v>
      </c>
      <c r="D1436" s="28">
        <f>IFERROR(VLOOKUP(B1436,'SAÍDA DE VENDAS'!$B$6:$P$500,4,FALSE),"")</f>
        <v>0</v>
      </c>
      <c r="E1436" s="28" t="str">
        <f>IFERROR(VLOOKUP(B1436,'SAÍDA DE VENDAS'!$B$6:$P$500,5,FALSE),"")</f>
        <v/>
      </c>
      <c r="F1436" s="28" t="str">
        <f>IF(OR(ISBLANK(B1436),B1436=""), "", IFERROR(INDEX('SAÍDA DE VENDAS'!$H$6:$H$500 &amp; "x " &amp; 'SAÍDA DE VENDAS'!$G$6:$G$500, MATCH(B1436, 'SAÍDA DE VENDAS'!$B$6:$B$500, 0)), "")&amp; IF(COUNTIF('SAÍDA DE VENDAS'!$B$6:$B$500, B1436)&gt;1, " + " &amp; IFERROR(INDEX('SAÍDA DE VENDAS'!$H$6:$H$500 &amp; "x " &amp; 'SAÍDA DE VENDAS'!$G$6:$G$500, MATCH(B1436, 'SAÍDA DE VENDAS'!$B$6:$B$500, 0)+1), ""), "")&amp; IF(COUNTIF('SAÍDA DE VENDAS'!$B$6:$B$500, B1436)&gt;2, " + " &amp; IFERROR(INDEX('SAÍDA DE VENDAS'!$H$6:$H$500 &amp; "x " &amp; 'SAÍDA DE VENDAS'!$G$6:$G$500, MATCH(B1436, 'SAÍDA DE VENDAS'!$B$6:$B$500, 0)+2), ""), "")&amp; IF(COUNTIF('SAÍDA DE VENDAS'!$B$6:$B$500, B1436)&gt;3, " + " &amp; IFERROR(INDEX('SAÍDA DE VENDAS'!$H$6:$H$500 &amp; "x " &amp; 'SAÍDA DE VENDAS'!$G$6:$G$500, MATCH(B1436, 'SAÍDA DE VENDAS'!$B$6:$B$500, 0)+3), ""), "")&amp; IF(COUNTIF('SAÍDA DE VENDAS'!$B$6:$B$500, B1436)&gt;4, " + " &amp; IFERROR(INDEX('SAÍDA DE VENDAS'!$H$6:$H$500 &amp; "x " &amp; 'SAÍDA DE VENDAS'!$G$6:$G$500, MATCH(B1436, 'SAÍDA DE VENDAS'!$B$6:$B$500, 0)+4), ""), "")&amp; IF(COUNTIF('SAÍDA DE VENDAS'!$B$6:$B$500, B1436)&gt;5, " + " &amp; IFERROR(INDEX('SAÍDA DE VENDAS'!$H$6:$H$500 &amp; "x " &amp; 'SAÍDA DE VENDAS'!$G$6:$G$500, MATCH(B1436, 'SAÍDA DE VENDAS'!$B$6:$B$500, 0)+5), ""), ""))</f>
        <v/>
      </c>
      <c r="G1436" s="28">
        <f>IFERROR(VLOOKUP(B1436,'SAÍDA DE VENDAS'!$B$6:$P$500,10,FALSE),"")</f>
        <v>0</v>
      </c>
      <c r="H1436" s="28" t="str">
        <f>IF(OR(ISBLANK(B1436),B1436=""), "", IF(B1436=B1435, (VALUE(LEFT(H1435,FIND("/",H1435)-1))+1)&amp;"/"&amp;RIGHT(H1435,LEN(H1435)-FIND("/",H1435)), "1/"&amp;IFERROR(VLOOKUP(B1436,'SAÍDA DE VENDAS'!$B$6:$P$500,13,FALSE),"1")))</f>
        <v/>
      </c>
      <c r="I1436" s="69" t="str">
        <f t="shared" si="44"/>
        <v/>
      </c>
      <c r="J1436" s="33" t="str">
        <f>IFERROR(VLOOKUP(B1436,'SAÍDA DE VENDAS'!$B$6:$P$500,15,FALSE),"")</f>
        <v/>
      </c>
      <c r="K1436" s="28" t="str">
        <f t="shared" ca="1" si="45"/>
        <v/>
      </c>
      <c r="L1436" s="28"/>
      <c r="M1436" s="28"/>
    </row>
    <row r="1437" spans="2:13" ht="15" customHeight="1" x14ac:dyDescent="0.3">
      <c r="B1437" s="34" t="str">
        <f>IF(B1436="","", IF(VALUE(LEFT(H1436,FIND("/",H1436)-1)) &lt; VALUE(RIGHT(H1436,LEN(H1436)-FIND("/",H1436))), B1436, IFERROR(INDEX('SAÍDA DE VENDAS'!$B$6:$B$500, MATCH(B1436,'SAÍDA DE VENDAS'!$B$6:$B$500,0)+COUNTIF('SAÍDA DE VENDAS'!$B$6:$B$500, B1436)),"")))</f>
        <v/>
      </c>
      <c r="C1437" s="35">
        <f>IFERROR(VLOOKUP(B1437,'SAÍDA DE VENDAS'!$B$6:$P$500,3,FALSE),"")</f>
        <v>0</v>
      </c>
      <c r="D1437" s="34">
        <f>IFERROR(VLOOKUP(B1437,'SAÍDA DE VENDAS'!$B$6:$P$500,4,FALSE),"")</f>
        <v>0</v>
      </c>
      <c r="E1437" s="34" t="str">
        <f>IFERROR(VLOOKUP(B1437,'SAÍDA DE VENDAS'!$B$6:$P$500,5,FALSE),"")</f>
        <v/>
      </c>
      <c r="F1437" s="34" t="str">
        <f>IF(OR(ISBLANK(B1437),B1437=""), "", IFERROR(INDEX('SAÍDA DE VENDAS'!$H$6:$H$500 &amp; "x " &amp; 'SAÍDA DE VENDAS'!$G$6:$G$500, MATCH(B1437, 'SAÍDA DE VENDAS'!$B$6:$B$500, 0)), "")&amp; IF(COUNTIF('SAÍDA DE VENDAS'!$B$6:$B$500, B1437)&gt;1, " + " &amp; IFERROR(INDEX('SAÍDA DE VENDAS'!$H$6:$H$500 &amp; "x " &amp; 'SAÍDA DE VENDAS'!$G$6:$G$500, MATCH(B1437, 'SAÍDA DE VENDAS'!$B$6:$B$500, 0)+1), ""), "")&amp; IF(COUNTIF('SAÍDA DE VENDAS'!$B$6:$B$500, B1437)&gt;2, " + " &amp; IFERROR(INDEX('SAÍDA DE VENDAS'!$H$6:$H$500 &amp; "x " &amp; 'SAÍDA DE VENDAS'!$G$6:$G$500, MATCH(B1437, 'SAÍDA DE VENDAS'!$B$6:$B$500, 0)+2), ""), "")&amp; IF(COUNTIF('SAÍDA DE VENDAS'!$B$6:$B$500, B1437)&gt;3, " + " &amp; IFERROR(INDEX('SAÍDA DE VENDAS'!$H$6:$H$500 &amp; "x " &amp; 'SAÍDA DE VENDAS'!$G$6:$G$500, MATCH(B1437, 'SAÍDA DE VENDAS'!$B$6:$B$500, 0)+3), ""), "")&amp; IF(COUNTIF('SAÍDA DE VENDAS'!$B$6:$B$500, B1437)&gt;4, " + " &amp; IFERROR(INDEX('SAÍDA DE VENDAS'!$H$6:$H$500 &amp; "x " &amp; 'SAÍDA DE VENDAS'!$G$6:$G$500, MATCH(B1437, 'SAÍDA DE VENDAS'!$B$6:$B$500, 0)+4), ""), "")&amp; IF(COUNTIF('SAÍDA DE VENDAS'!$B$6:$B$500, B1437)&gt;5, " + " &amp; IFERROR(INDEX('SAÍDA DE VENDAS'!$H$6:$H$500 &amp; "x " &amp; 'SAÍDA DE VENDAS'!$G$6:$G$500, MATCH(B1437, 'SAÍDA DE VENDAS'!$B$6:$B$500, 0)+5), ""), ""))</f>
        <v/>
      </c>
      <c r="G1437" s="34">
        <f>IFERROR(VLOOKUP(B1437,'SAÍDA DE VENDAS'!$B$6:$P$500,10,FALSE),"")</f>
        <v>0</v>
      </c>
      <c r="H1437" s="34" t="str">
        <f>IF(OR(ISBLANK(B1437),B1437=""), "", IF(B1437=B1436, (VALUE(LEFT(H1436,FIND("/",H1436)-1))+1)&amp;"/"&amp;RIGHT(H1436,LEN(H1436)-FIND("/",H1436)), "1/"&amp;IFERROR(VLOOKUP(B1437,'SAÍDA DE VENDAS'!$B$6:$P$500,13,FALSE),"1")))</f>
        <v/>
      </c>
      <c r="I1437" s="35" t="str">
        <f t="shared" si="44"/>
        <v/>
      </c>
      <c r="J1437" s="39" t="str">
        <f>IFERROR(VLOOKUP(B1437,'SAÍDA DE VENDAS'!$B$6:$P$500,15,FALSE),"")</f>
        <v/>
      </c>
      <c r="K1437" s="34" t="str">
        <f t="shared" ca="1" si="45"/>
        <v/>
      </c>
      <c r="L1437" s="34"/>
      <c r="M1437" s="34"/>
    </row>
    <row r="1438" spans="2:13" ht="15" customHeight="1" x14ac:dyDescent="0.3">
      <c r="B1438" s="28" t="str">
        <f>IF(B1437="","", IF(VALUE(LEFT(H1437,FIND("/",H1437)-1)) &lt; VALUE(RIGHT(H1437,LEN(H1437)-FIND("/",H1437))), B1437, IFERROR(INDEX('SAÍDA DE VENDAS'!$B$6:$B$500, MATCH(B1437,'SAÍDA DE VENDAS'!$B$6:$B$500,0)+COUNTIF('SAÍDA DE VENDAS'!$B$6:$B$500, B1437)),"")))</f>
        <v/>
      </c>
      <c r="C1438" s="29">
        <f>IFERROR(VLOOKUP(B1438,'SAÍDA DE VENDAS'!$B$6:$P$500,3,FALSE),"")</f>
        <v>0</v>
      </c>
      <c r="D1438" s="28">
        <f>IFERROR(VLOOKUP(B1438,'SAÍDA DE VENDAS'!$B$6:$P$500,4,FALSE),"")</f>
        <v>0</v>
      </c>
      <c r="E1438" s="28" t="str">
        <f>IFERROR(VLOOKUP(B1438,'SAÍDA DE VENDAS'!$B$6:$P$500,5,FALSE),"")</f>
        <v/>
      </c>
      <c r="F1438" s="28" t="str">
        <f>IF(OR(ISBLANK(B1438),B1438=""), "", IFERROR(INDEX('SAÍDA DE VENDAS'!$H$6:$H$500 &amp; "x " &amp; 'SAÍDA DE VENDAS'!$G$6:$G$500, MATCH(B1438, 'SAÍDA DE VENDAS'!$B$6:$B$500, 0)), "")&amp; IF(COUNTIF('SAÍDA DE VENDAS'!$B$6:$B$500, B1438)&gt;1, " + " &amp; IFERROR(INDEX('SAÍDA DE VENDAS'!$H$6:$H$500 &amp; "x " &amp; 'SAÍDA DE VENDAS'!$G$6:$G$500, MATCH(B1438, 'SAÍDA DE VENDAS'!$B$6:$B$500, 0)+1), ""), "")&amp; IF(COUNTIF('SAÍDA DE VENDAS'!$B$6:$B$500, B1438)&gt;2, " + " &amp; IFERROR(INDEX('SAÍDA DE VENDAS'!$H$6:$H$500 &amp; "x " &amp; 'SAÍDA DE VENDAS'!$G$6:$G$500, MATCH(B1438, 'SAÍDA DE VENDAS'!$B$6:$B$500, 0)+2), ""), "")&amp; IF(COUNTIF('SAÍDA DE VENDAS'!$B$6:$B$500, B1438)&gt;3, " + " &amp; IFERROR(INDEX('SAÍDA DE VENDAS'!$H$6:$H$500 &amp; "x " &amp; 'SAÍDA DE VENDAS'!$G$6:$G$500, MATCH(B1438, 'SAÍDA DE VENDAS'!$B$6:$B$500, 0)+3), ""), "")&amp; IF(COUNTIF('SAÍDA DE VENDAS'!$B$6:$B$500, B1438)&gt;4, " + " &amp; IFERROR(INDEX('SAÍDA DE VENDAS'!$H$6:$H$500 &amp; "x " &amp; 'SAÍDA DE VENDAS'!$G$6:$G$500, MATCH(B1438, 'SAÍDA DE VENDAS'!$B$6:$B$500, 0)+4), ""), "")&amp; IF(COUNTIF('SAÍDA DE VENDAS'!$B$6:$B$500, B1438)&gt;5, " + " &amp; IFERROR(INDEX('SAÍDA DE VENDAS'!$H$6:$H$500 &amp; "x " &amp; 'SAÍDA DE VENDAS'!$G$6:$G$500, MATCH(B1438, 'SAÍDA DE VENDAS'!$B$6:$B$500, 0)+5), ""), ""))</f>
        <v/>
      </c>
      <c r="G1438" s="28">
        <f>IFERROR(VLOOKUP(B1438,'SAÍDA DE VENDAS'!$B$6:$P$500,10,FALSE),"")</f>
        <v>0</v>
      </c>
      <c r="H1438" s="28" t="str">
        <f>IF(OR(ISBLANK(B1438),B1438=""), "", IF(B1438=B1437, (VALUE(LEFT(H1437,FIND("/",H1437)-1))+1)&amp;"/"&amp;RIGHT(H1437,LEN(H1437)-FIND("/",H1437)), "1/"&amp;IFERROR(VLOOKUP(B1438,'SAÍDA DE VENDAS'!$B$6:$P$500,13,FALSE),"1")))</f>
        <v/>
      </c>
      <c r="I1438" s="69" t="str">
        <f t="shared" si="44"/>
        <v/>
      </c>
      <c r="J1438" s="33" t="str">
        <f>IFERROR(VLOOKUP(B1438,'SAÍDA DE VENDAS'!$B$6:$P$500,15,FALSE),"")</f>
        <v/>
      </c>
      <c r="K1438" s="28" t="str">
        <f t="shared" ca="1" si="45"/>
        <v/>
      </c>
      <c r="L1438" s="28"/>
      <c r="M1438" s="28"/>
    </row>
    <row r="1439" spans="2:13" ht="15" customHeight="1" x14ac:dyDescent="0.3">
      <c r="B1439" s="34" t="str">
        <f>IF(B1438="","", IF(VALUE(LEFT(H1438,FIND("/",H1438)-1)) &lt; VALUE(RIGHT(H1438,LEN(H1438)-FIND("/",H1438))), B1438, IFERROR(INDEX('SAÍDA DE VENDAS'!$B$6:$B$500, MATCH(B1438,'SAÍDA DE VENDAS'!$B$6:$B$500,0)+COUNTIF('SAÍDA DE VENDAS'!$B$6:$B$500, B1438)),"")))</f>
        <v/>
      </c>
      <c r="C1439" s="35">
        <f>IFERROR(VLOOKUP(B1439,'SAÍDA DE VENDAS'!$B$6:$P$500,3,FALSE),"")</f>
        <v>0</v>
      </c>
      <c r="D1439" s="34">
        <f>IFERROR(VLOOKUP(B1439,'SAÍDA DE VENDAS'!$B$6:$P$500,4,FALSE),"")</f>
        <v>0</v>
      </c>
      <c r="E1439" s="34" t="str">
        <f>IFERROR(VLOOKUP(B1439,'SAÍDA DE VENDAS'!$B$6:$P$500,5,FALSE),"")</f>
        <v/>
      </c>
      <c r="F1439" s="34" t="str">
        <f>IF(OR(ISBLANK(B1439),B1439=""), "", IFERROR(INDEX('SAÍDA DE VENDAS'!$H$6:$H$500 &amp; "x " &amp; 'SAÍDA DE VENDAS'!$G$6:$G$500, MATCH(B1439, 'SAÍDA DE VENDAS'!$B$6:$B$500, 0)), "")&amp; IF(COUNTIF('SAÍDA DE VENDAS'!$B$6:$B$500, B1439)&gt;1, " + " &amp; IFERROR(INDEX('SAÍDA DE VENDAS'!$H$6:$H$500 &amp; "x " &amp; 'SAÍDA DE VENDAS'!$G$6:$G$500, MATCH(B1439, 'SAÍDA DE VENDAS'!$B$6:$B$500, 0)+1), ""), "")&amp; IF(COUNTIF('SAÍDA DE VENDAS'!$B$6:$B$500, B1439)&gt;2, " + " &amp; IFERROR(INDEX('SAÍDA DE VENDAS'!$H$6:$H$500 &amp; "x " &amp; 'SAÍDA DE VENDAS'!$G$6:$G$500, MATCH(B1439, 'SAÍDA DE VENDAS'!$B$6:$B$500, 0)+2), ""), "")&amp; IF(COUNTIF('SAÍDA DE VENDAS'!$B$6:$B$500, B1439)&gt;3, " + " &amp; IFERROR(INDEX('SAÍDA DE VENDAS'!$H$6:$H$500 &amp; "x " &amp; 'SAÍDA DE VENDAS'!$G$6:$G$500, MATCH(B1439, 'SAÍDA DE VENDAS'!$B$6:$B$500, 0)+3), ""), "")&amp; IF(COUNTIF('SAÍDA DE VENDAS'!$B$6:$B$500, B1439)&gt;4, " + " &amp; IFERROR(INDEX('SAÍDA DE VENDAS'!$H$6:$H$500 &amp; "x " &amp; 'SAÍDA DE VENDAS'!$G$6:$G$500, MATCH(B1439, 'SAÍDA DE VENDAS'!$B$6:$B$500, 0)+4), ""), "")&amp; IF(COUNTIF('SAÍDA DE VENDAS'!$B$6:$B$500, B1439)&gt;5, " + " &amp; IFERROR(INDEX('SAÍDA DE VENDAS'!$H$6:$H$500 &amp; "x " &amp; 'SAÍDA DE VENDAS'!$G$6:$G$500, MATCH(B1439, 'SAÍDA DE VENDAS'!$B$6:$B$500, 0)+5), ""), ""))</f>
        <v/>
      </c>
      <c r="G1439" s="34">
        <f>IFERROR(VLOOKUP(B1439,'SAÍDA DE VENDAS'!$B$6:$P$500,10,FALSE),"")</f>
        <v>0</v>
      </c>
      <c r="H1439" s="34" t="str">
        <f>IF(OR(ISBLANK(B1439),B1439=""), "", IF(B1439=B1438, (VALUE(LEFT(H1438,FIND("/",H1438)-1))+1)&amp;"/"&amp;RIGHT(H1438,LEN(H1438)-FIND("/",H1438)), "1/"&amp;IFERROR(VLOOKUP(B1439,'SAÍDA DE VENDAS'!$B$6:$P$500,13,FALSE),"1")))</f>
        <v/>
      </c>
      <c r="I1439" s="35" t="str">
        <f t="shared" si="44"/>
        <v/>
      </c>
      <c r="J1439" s="39" t="str">
        <f>IFERROR(VLOOKUP(B1439,'SAÍDA DE VENDAS'!$B$6:$P$500,15,FALSE),"")</f>
        <v/>
      </c>
      <c r="K1439" s="34" t="str">
        <f t="shared" ca="1" si="45"/>
        <v/>
      </c>
      <c r="L1439" s="34"/>
      <c r="M1439" s="34"/>
    </row>
    <row r="1440" spans="2:13" ht="15" customHeight="1" x14ac:dyDescent="0.3">
      <c r="B1440" s="28" t="str">
        <f>IF(B1439="","", IF(VALUE(LEFT(H1439,FIND("/",H1439)-1)) &lt; VALUE(RIGHT(H1439,LEN(H1439)-FIND("/",H1439))), B1439, IFERROR(INDEX('SAÍDA DE VENDAS'!$B$6:$B$500, MATCH(B1439,'SAÍDA DE VENDAS'!$B$6:$B$500,0)+COUNTIF('SAÍDA DE VENDAS'!$B$6:$B$500, B1439)),"")))</f>
        <v/>
      </c>
      <c r="C1440" s="29">
        <f>IFERROR(VLOOKUP(B1440,'SAÍDA DE VENDAS'!$B$6:$P$500,3,FALSE),"")</f>
        <v>0</v>
      </c>
      <c r="D1440" s="28">
        <f>IFERROR(VLOOKUP(B1440,'SAÍDA DE VENDAS'!$B$6:$P$500,4,FALSE),"")</f>
        <v>0</v>
      </c>
      <c r="E1440" s="28" t="str">
        <f>IFERROR(VLOOKUP(B1440,'SAÍDA DE VENDAS'!$B$6:$P$500,5,FALSE),"")</f>
        <v/>
      </c>
      <c r="F1440" s="28" t="str">
        <f>IF(OR(ISBLANK(B1440),B1440=""), "", IFERROR(INDEX('SAÍDA DE VENDAS'!$H$6:$H$500 &amp; "x " &amp; 'SAÍDA DE VENDAS'!$G$6:$G$500, MATCH(B1440, 'SAÍDA DE VENDAS'!$B$6:$B$500, 0)), "")&amp; IF(COUNTIF('SAÍDA DE VENDAS'!$B$6:$B$500, B1440)&gt;1, " + " &amp; IFERROR(INDEX('SAÍDA DE VENDAS'!$H$6:$H$500 &amp; "x " &amp; 'SAÍDA DE VENDAS'!$G$6:$G$500, MATCH(B1440, 'SAÍDA DE VENDAS'!$B$6:$B$500, 0)+1), ""), "")&amp; IF(COUNTIF('SAÍDA DE VENDAS'!$B$6:$B$500, B1440)&gt;2, " + " &amp; IFERROR(INDEX('SAÍDA DE VENDAS'!$H$6:$H$500 &amp; "x " &amp; 'SAÍDA DE VENDAS'!$G$6:$G$500, MATCH(B1440, 'SAÍDA DE VENDAS'!$B$6:$B$500, 0)+2), ""), "")&amp; IF(COUNTIF('SAÍDA DE VENDAS'!$B$6:$B$500, B1440)&gt;3, " + " &amp; IFERROR(INDEX('SAÍDA DE VENDAS'!$H$6:$H$500 &amp; "x " &amp; 'SAÍDA DE VENDAS'!$G$6:$G$500, MATCH(B1440, 'SAÍDA DE VENDAS'!$B$6:$B$500, 0)+3), ""), "")&amp; IF(COUNTIF('SAÍDA DE VENDAS'!$B$6:$B$500, B1440)&gt;4, " + " &amp; IFERROR(INDEX('SAÍDA DE VENDAS'!$H$6:$H$500 &amp; "x " &amp; 'SAÍDA DE VENDAS'!$G$6:$G$500, MATCH(B1440, 'SAÍDA DE VENDAS'!$B$6:$B$500, 0)+4), ""), "")&amp; IF(COUNTIF('SAÍDA DE VENDAS'!$B$6:$B$500, B1440)&gt;5, " + " &amp; IFERROR(INDEX('SAÍDA DE VENDAS'!$H$6:$H$500 &amp; "x " &amp; 'SAÍDA DE VENDAS'!$G$6:$G$500, MATCH(B1440, 'SAÍDA DE VENDAS'!$B$6:$B$500, 0)+5), ""), ""))</f>
        <v/>
      </c>
      <c r="G1440" s="28">
        <f>IFERROR(VLOOKUP(B1440,'SAÍDA DE VENDAS'!$B$6:$P$500,10,FALSE),"")</f>
        <v>0</v>
      </c>
      <c r="H1440" s="28" t="str">
        <f>IF(OR(ISBLANK(B1440),B1440=""), "", IF(B1440=B1439, (VALUE(LEFT(H1439,FIND("/",H1439)-1))+1)&amp;"/"&amp;RIGHT(H1439,LEN(H1439)-FIND("/",H1439)), "1/"&amp;IFERROR(VLOOKUP(B1440,'SAÍDA DE VENDAS'!$B$6:$P$500,13,FALSE),"1")))</f>
        <v/>
      </c>
      <c r="I1440" s="69" t="str">
        <f t="shared" si="44"/>
        <v/>
      </c>
      <c r="J1440" s="33" t="str">
        <f>IFERROR(VLOOKUP(B1440,'SAÍDA DE VENDAS'!$B$6:$P$500,15,FALSE),"")</f>
        <v/>
      </c>
      <c r="K1440" s="28" t="str">
        <f t="shared" ca="1" si="45"/>
        <v/>
      </c>
      <c r="L1440" s="28"/>
      <c r="M1440" s="28"/>
    </row>
    <row r="1441" spans="2:13" ht="15" customHeight="1" x14ac:dyDescent="0.3">
      <c r="B1441" s="34" t="str">
        <f>IF(B1440="","", IF(VALUE(LEFT(H1440,FIND("/",H1440)-1)) &lt; VALUE(RIGHT(H1440,LEN(H1440)-FIND("/",H1440))), B1440, IFERROR(INDEX('SAÍDA DE VENDAS'!$B$6:$B$500, MATCH(B1440,'SAÍDA DE VENDAS'!$B$6:$B$500,0)+COUNTIF('SAÍDA DE VENDAS'!$B$6:$B$500, B1440)),"")))</f>
        <v/>
      </c>
      <c r="C1441" s="35">
        <f>IFERROR(VLOOKUP(B1441,'SAÍDA DE VENDAS'!$B$6:$P$500,3,FALSE),"")</f>
        <v>0</v>
      </c>
      <c r="D1441" s="34">
        <f>IFERROR(VLOOKUP(B1441,'SAÍDA DE VENDAS'!$B$6:$P$500,4,FALSE),"")</f>
        <v>0</v>
      </c>
      <c r="E1441" s="34" t="str">
        <f>IFERROR(VLOOKUP(B1441,'SAÍDA DE VENDAS'!$B$6:$P$500,5,FALSE),"")</f>
        <v/>
      </c>
      <c r="F1441" s="34" t="str">
        <f>IF(OR(ISBLANK(B1441),B1441=""), "", IFERROR(INDEX('SAÍDA DE VENDAS'!$H$6:$H$500 &amp; "x " &amp; 'SAÍDA DE VENDAS'!$G$6:$G$500, MATCH(B1441, 'SAÍDA DE VENDAS'!$B$6:$B$500, 0)), "")&amp; IF(COUNTIF('SAÍDA DE VENDAS'!$B$6:$B$500, B1441)&gt;1, " + " &amp; IFERROR(INDEX('SAÍDA DE VENDAS'!$H$6:$H$500 &amp; "x " &amp; 'SAÍDA DE VENDAS'!$G$6:$G$500, MATCH(B1441, 'SAÍDA DE VENDAS'!$B$6:$B$500, 0)+1), ""), "")&amp; IF(COUNTIF('SAÍDA DE VENDAS'!$B$6:$B$500, B1441)&gt;2, " + " &amp; IFERROR(INDEX('SAÍDA DE VENDAS'!$H$6:$H$500 &amp; "x " &amp; 'SAÍDA DE VENDAS'!$G$6:$G$500, MATCH(B1441, 'SAÍDA DE VENDAS'!$B$6:$B$500, 0)+2), ""), "")&amp; IF(COUNTIF('SAÍDA DE VENDAS'!$B$6:$B$500, B1441)&gt;3, " + " &amp; IFERROR(INDEX('SAÍDA DE VENDAS'!$H$6:$H$500 &amp; "x " &amp; 'SAÍDA DE VENDAS'!$G$6:$G$500, MATCH(B1441, 'SAÍDA DE VENDAS'!$B$6:$B$500, 0)+3), ""), "")&amp; IF(COUNTIF('SAÍDA DE VENDAS'!$B$6:$B$500, B1441)&gt;4, " + " &amp; IFERROR(INDEX('SAÍDA DE VENDAS'!$H$6:$H$500 &amp; "x " &amp; 'SAÍDA DE VENDAS'!$G$6:$G$500, MATCH(B1441, 'SAÍDA DE VENDAS'!$B$6:$B$500, 0)+4), ""), "")&amp; IF(COUNTIF('SAÍDA DE VENDAS'!$B$6:$B$500, B1441)&gt;5, " + " &amp; IFERROR(INDEX('SAÍDA DE VENDAS'!$H$6:$H$500 &amp; "x " &amp; 'SAÍDA DE VENDAS'!$G$6:$G$500, MATCH(B1441, 'SAÍDA DE VENDAS'!$B$6:$B$500, 0)+5), ""), ""))</f>
        <v/>
      </c>
      <c r="G1441" s="34">
        <f>IFERROR(VLOOKUP(B1441,'SAÍDA DE VENDAS'!$B$6:$P$500,10,FALSE),"")</f>
        <v>0</v>
      </c>
      <c r="H1441" s="34" t="str">
        <f>IF(OR(ISBLANK(B1441),B1441=""), "", IF(B1441=B1440, (VALUE(LEFT(H1440,FIND("/",H1440)-1))+1)&amp;"/"&amp;RIGHT(H1440,LEN(H1440)-FIND("/",H1440)), "1/"&amp;IFERROR(VLOOKUP(B1441,'SAÍDA DE VENDAS'!$B$6:$P$500,13,FALSE),"1")))</f>
        <v/>
      </c>
      <c r="I1441" s="35" t="str">
        <f t="shared" si="44"/>
        <v/>
      </c>
      <c r="J1441" s="39" t="str">
        <f>IFERROR(VLOOKUP(B1441,'SAÍDA DE VENDAS'!$B$6:$P$500,15,FALSE),"")</f>
        <v/>
      </c>
      <c r="K1441" s="34" t="str">
        <f t="shared" ca="1" si="45"/>
        <v/>
      </c>
      <c r="L1441" s="34"/>
      <c r="M1441" s="34"/>
    </row>
    <row r="1442" spans="2:13" ht="15" customHeight="1" x14ac:dyDescent="0.3">
      <c r="B1442" s="28" t="str">
        <f>IF(B1441="","", IF(VALUE(LEFT(H1441,FIND("/",H1441)-1)) &lt; VALUE(RIGHT(H1441,LEN(H1441)-FIND("/",H1441))), B1441, IFERROR(INDEX('SAÍDA DE VENDAS'!$B$6:$B$500, MATCH(B1441,'SAÍDA DE VENDAS'!$B$6:$B$500,0)+COUNTIF('SAÍDA DE VENDAS'!$B$6:$B$500, B1441)),"")))</f>
        <v/>
      </c>
      <c r="C1442" s="29">
        <f>IFERROR(VLOOKUP(B1442,'SAÍDA DE VENDAS'!$B$6:$P$500,3,FALSE),"")</f>
        <v>0</v>
      </c>
      <c r="D1442" s="28">
        <f>IFERROR(VLOOKUP(B1442,'SAÍDA DE VENDAS'!$B$6:$P$500,4,FALSE),"")</f>
        <v>0</v>
      </c>
      <c r="E1442" s="28" t="str">
        <f>IFERROR(VLOOKUP(B1442,'SAÍDA DE VENDAS'!$B$6:$P$500,5,FALSE),"")</f>
        <v/>
      </c>
      <c r="F1442" s="28" t="str">
        <f>IF(OR(ISBLANK(B1442),B1442=""), "", IFERROR(INDEX('SAÍDA DE VENDAS'!$H$6:$H$500 &amp; "x " &amp; 'SAÍDA DE VENDAS'!$G$6:$G$500, MATCH(B1442, 'SAÍDA DE VENDAS'!$B$6:$B$500, 0)), "")&amp; IF(COUNTIF('SAÍDA DE VENDAS'!$B$6:$B$500, B1442)&gt;1, " + " &amp; IFERROR(INDEX('SAÍDA DE VENDAS'!$H$6:$H$500 &amp; "x " &amp; 'SAÍDA DE VENDAS'!$G$6:$G$500, MATCH(B1442, 'SAÍDA DE VENDAS'!$B$6:$B$500, 0)+1), ""), "")&amp; IF(COUNTIF('SAÍDA DE VENDAS'!$B$6:$B$500, B1442)&gt;2, " + " &amp; IFERROR(INDEX('SAÍDA DE VENDAS'!$H$6:$H$500 &amp; "x " &amp; 'SAÍDA DE VENDAS'!$G$6:$G$500, MATCH(B1442, 'SAÍDA DE VENDAS'!$B$6:$B$500, 0)+2), ""), "")&amp; IF(COUNTIF('SAÍDA DE VENDAS'!$B$6:$B$500, B1442)&gt;3, " + " &amp; IFERROR(INDEX('SAÍDA DE VENDAS'!$H$6:$H$500 &amp; "x " &amp; 'SAÍDA DE VENDAS'!$G$6:$G$500, MATCH(B1442, 'SAÍDA DE VENDAS'!$B$6:$B$500, 0)+3), ""), "")&amp; IF(COUNTIF('SAÍDA DE VENDAS'!$B$6:$B$500, B1442)&gt;4, " + " &amp; IFERROR(INDEX('SAÍDA DE VENDAS'!$H$6:$H$500 &amp; "x " &amp; 'SAÍDA DE VENDAS'!$G$6:$G$500, MATCH(B1442, 'SAÍDA DE VENDAS'!$B$6:$B$500, 0)+4), ""), "")&amp; IF(COUNTIF('SAÍDA DE VENDAS'!$B$6:$B$500, B1442)&gt;5, " + " &amp; IFERROR(INDEX('SAÍDA DE VENDAS'!$H$6:$H$500 &amp; "x " &amp; 'SAÍDA DE VENDAS'!$G$6:$G$500, MATCH(B1442, 'SAÍDA DE VENDAS'!$B$6:$B$500, 0)+5), ""), ""))</f>
        <v/>
      </c>
      <c r="G1442" s="28">
        <f>IFERROR(VLOOKUP(B1442,'SAÍDA DE VENDAS'!$B$6:$P$500,10,FALSE),"")</f>
        <v>0</v>
      </c>
      <c r="H1442" s="28" t="str">
        <f>IF(OR(ISBLANK(B1442),B1442=""), "", IF(B1442=B1441, (VALUE(LEFT(H1441,FIND("/",H1441)-1))+1)&amp;"/"&amp;RIGHT(H1441,LEN(H1441)-FIND("/",H1441)), "1/"&amp;IFERROR(VLOOKUP(B1442,'SAÍDA DE VENDAS'!$B$6:$P$500,13,FALSE),"1")))</f>
        <v/>
      </c>
      <c r="I1442" s="69" t="str">
        <f t="shared" si="44"/>
        <v/>
      </c>
      <c r="J1442" s="33" t="str">
        <f>IFERROR(VLOOKUP(B1442,'SAÍDA DE VENDAS'!$B$6:$P$500,15,FALSE),"")</f>
        <v/>
      </c>
      <c r="K1442" s="28" t="str">
        <f t="shared" ca="1" si="45"/>
        <v/>
      </c>
      <c r="L1442" s="28"/>
      <c r="M1442" s="28"/>
    </row>
    <row r="1443" spans="2:13" ht="15" customHeight="1" x14ac:dyDescent="0.3">
      <c r="B1443" s="34" t="str">
        <f>IF(B1442="","", IF(VALUE(LEFT(H1442,FIND("/",H1442)-1)) &lt; VALUE(RIGHT(H1442,LEN(H1442)-FIND("/",H1442))), B1442, IFERROR(INDEX('SAÍDA DE VENDAS'!$B$6:$B$500, MATCH(B1442,'SAÍDA DE VENDAS'!$B$6:$B$500,0)+COUNTIF('SAÍDA DE VENDAS'!$B$6:$B$500, B1442)),"")))</f>
        <v/>
      </c>
      <c r="C1443" s="35">
        <f>IFERROR(VLOOKUP(B1443,'SAÍDA DE VENDAS'!$B$6:$P$500,3,FALSE),"")</f>
        <v>0</v>
      </c>
      <c r="D1443" s="34">
        <f>IFERROR(VLOOKUP(B1443,'SAÍDA DE VENDAS'!$B$6:$P$500,4,FALSE),"")</f>
        <v>0</v>
      </c>
      <c r="E1443" s="34" t="str">
        <f>IFERROR(VLOOKUP(B1443,'SAÍDA DE VENDAS'!$B$6:$P$500,5,FALSE),"")</f>
        <v/>
      </c>
      <c r="F1443" s="34" t="str">
        <f>IF(OR(ISBLANK(B1443),B1443=""), "", IFERROR(INDEX('SAÍDA DE VENDAS'!$H$6:$H$500 &amp; "x " &amp; 'SAÍDA DE VENDAS'!$G$6:$G$500, MATCH(B1443, 'SAÍDA DE VENDAS'!$B$6:$B$500, 0)), "")&amp; IF(COUNTIF('SAÍDA DE VENDAS'!$B$6:$B$500, B1443)&gt;1, " + " &amp; IFERROR(INDEX('SAÍDA DE VENDAS'!$H$6:$H$500 &amp; "x " &amp; 'SAÍDA DE VENDAS'!$G$6:$G$500, MATCH(B1443, 'SAÍDA DE VENDAS'!$B$6:$B$500, 0)+1), ""), "")&amp; IF(COUNTIF('SAÍDA DE VENDAS'!$B$6:$B$500, B1443)&gt;2, " + " &amp; IFERROR(INDEX('SAÍDA DE VENDAS'!$H$6:$H$500 &amp; "x " &amp; 'SAÍDA DE VENDAS'!$G$6:$G$500, MATCH(B1443, 'SAÍDA DE VENDAS'!$B$6:$B$500, 0)+2), ""), "")&amp; IF(COUNTIF('SAÍDA DE VENDAS'!$B$6:$B$500, B1443)&gt;3, " + " &amp; IFERROR(INDEX('SAÍDA DE VENDAS'!$H$6:$H$500 &amp; "x " &amp; 'SAÍDA DE VENDAS'!$G$6:$G$500, MATCH(B1443, 'SAÍDA DE VENDAS'!$B$6:$B$500, 0)+3), ""), "")&amp; IF(COUNTIF('SAÍDA DE VENDAS'!$B$6:$B$500, B1443)&gt;4, " + " &amp; IFERROR(INDEX('SAÍDA DE VENDAS'!$H$6:$H$500 &amp; "x " &amp; 'SAÍDA DE VENDAS'!$G$6:$G$500, MATCH(B1443, 'SAÍDA DE VENDAS'!$B$6:$B$500, 0)+4), ""), "")&amp; IF(COUNTIF('SAÍDA DE VENDAS'!$B$6:$B$500, B1443)&gt;5, " + " &amp; IFERROR(INDEX('SAÍDA DE VENDAS'!$H$6:$H$500 &amp; "x " &amp; 'SAÍDA DE VENDAS'!$G$6:$G$500, MATCH(B1443, 'SAÍDA DE VENDAS'!$B$6:$B$500, 0)+5), ""), ""))</f>
        <v/>
      </c>
      <c r="G1443" s="34">
        <f>IFERROR(VLOOKUP(B1443,'SAÍDA DE VENDAS'!$B$6:$P$500,10,FALSE),"")</f>
        <v>0</v>
      </c>
      <c r="H1443" s="34" t="str">
        <f>IF(OR(ISBLANK(B1443),B1443=""), "", IF(B1443=B1442, (VALUE(LEFT(H1442,FIND("/",H1442)-1))+1)&amp;"/"&amp;RIGHT(H1442,LEN(H1442)-FIND("/",H1442)), "1/"&amp;IFERROR(VLOOKUP(B1443,'SAÍDA DE VENDAS'!$B$6:$P$500,13,FALSE),"1")))</f>
        <v/>
      </c>
      <c r="I1443" s="35" t="str">
        <f t="shared" si="44"/>
        <v/>
      </c>
      <c r="J1443" s="39" t="str">
        <f>IFERROR(VLOOKUP(B1443,'SAÍDA DE VENDAS'!$B$6:$P$500,15,FALSE),"")</f>
        <v/>
      </c>
      <c r="K1443" s="34" t="str">
        <f t="shared" ca="1" si="45"/>
        <v/>
      </c>
      <c r="L1443" s="34"/>
      <c r="M1443" s="34"/>
    </row>
    <row r="1444" spans="2:13" ht="15" customHeight="1" x14ac:dyDescent="0.3">
      <c r="B1444" s="28" t="str">
        <f>IF(B1443="","", IF(VALUE(LEFT(H1443,FIND("/",H1443)-1)) &lt; VALUE(RIGHT(H1443,LEN(H1443)-FIND("/",H1443))), B1443, IFERROR(INDEX('SAÍDA DE VENDAS'!$B$6:$B$500, MATCH(B1443,'SAÍDA DE VENDAS'!$B$6:$B$500,0)+COUNTIF('SAÍDA DE VENDAS'!$B$6:$B$500, B1443)),"")))</f>
        <v/>
      </c>
      <c r="C1444" s="29">
        <f>IFERROR(VLOOKUP(B1444,'SAÍDA DE VENDAS'!$B$6:$P$500,3,FALSE),"")</f>
        <v>0</v>
      </c>
      <c r="D1444" s="28">
        <f>IFERROR(VLOOKUP(B1444,'SAÍDA DE VENDAS'!$B$6:$P$500,4,FALSE),"")</f>
        <v>0</v>
      </c>
      <c r="E1444" s="28" t="str">
        <f>IFERROR(VLOOKUP(B1444,'SAÍDA DE VENDAS'!$B$6:$P$500,5,FALSE),"")</f>
        <v/>
      </c>
      <c r="F1444" s="28" t="str">
        <f>IF(OR(ISBLANK(B1444),B1444=""), "", IFERROR(INDEX('SAÍDA DE VENDAS'!$H$6:$H$500 &amp; "x " &amp; 'SAÍDA DE VENDAS'!$G$6:$G$500, MATCH(B1444, 'SAÍDA DE VENDAS'!$B$6:$B$500, 0)), "")&amp; IF(COUNTIF('SAÍDA DE VENDAS'!$B$6:$B$500, B1444)&gt;1, " + " &amp; IFERROR(INDEX('SAÍDA DE VENDAS'!$H$6:$H$500 &amp; "x " &amp; 'SAÍDA DE VENDAS'!$G$6:$G$500, MATCH(B1444, 'SAÍDA DE VENDAS'!$B$6:$B$500, 0)+1), ""), "")&amp; IF(COUNTIF('SAÍDA DE VENDAS'!$B$6:$B$500, B1444)&gt;2, " + " &amp; IFERROR(INDEX('SAÍDA DE VENDAS'!$H$6:$H$500 &amp; "x " &amp; 'SAÍDA DE VENDAS'!$G$6:$G$500, MATCH(B1444, 'SAÍDA DE VENDAS'!$B$6:$B$500, 0)+2), ""), "")&amp; IF(COUNTIF('SAÍDA DE VENDAS'!$B$6:$B$500, B1444)&gt;3, " + " &amp; IFERROR(INDEX('SAÍDA DE VENDAS'!$H$6:$H$500 &amp; "x " &amp; 'SAÍDA DE VENDAS'!$G$6:$G$500, MATCH(B1444, 'SAÍDA DE VENDAS'!$B$6:$B$500, 0)+3), ""), "")&amp; IF(COUNTIF('SAÍDA DE VENDAS'!$B$6:$B$500, B1444)&gt;4, " + " &amp; IFERROR(INDEX('SAÍDA DE VENDAS'!$H$6:$H$500 &amp; "x " &amp; 'SAÍDA DE VENDAS'!$G$6:$G$500, MATCH(B1444, 'SAÍDA DE VENDAS'!$B$6:$B$500, 0)+4), ""), "")&amp; IF(COUNTIF('SAÍDA DE VENDAS'!$B$6:$B$500, B1444)&gt;5, " + " &amp; IFERROR(INDEX('SAÍDA DE VENDAS'!$H$6:$H$500 &amp; "x " &amp; 'SAÍDA DE VENDAS'!$G$6:$G$500, MATCH(B1444, 'SAÍDA DE VENDAS'!$B$6:$B$500, 0)+5), ""), ""))</f>
        <v/>
      </c>
      <c r="G1444" s="28">
        <f>IFERROR(VLOOKUP(B1444,'SAÍDA DE VENDAS'!$B$6:$P$500,10,FALSE),"")</f>
        <v>0</v>
      </c>
      <c r="H1444" s="28" t="str">
        <f>IF(OR(ISBLANK(B1444),B1444=""), "", IF(B1444=B1443, (VALUE(LEFT(H1443,FIND("/",H1443)-1))+1)&amp;"/"&amp;RIGHT(H1443,LEN(H1443)-FIND("/",H1443)), "1/"&amp;IFERROR(VLOOKUP(B1444,'SAÍDA DE VENDAS'!$B$6:$P$500,13,FALSE),"1")))</f>
        <v/>
      </c>
      <c r="I1444" s="69" t="str">
        <f t="shared" si="44"/>
        <v/>
      </c>
      <c r="J1444" s="33" t="str">
        <f>IFERROR(VLOOKUP(B1444,'SAÍDA DE VENDAS'!$B$6:$P$500,15,FALSE),"")</f>
        <v/>
      </c>
      <c r="K1444" s="28" t="str">
        <f t="shared" ca="1" si="45"/>
        <v/>
      </c>
      <c r="L1444" s="28"/>
      <c r="M1444" s="28"/>
    </row>
    <row r="1445" spans="2:13" ht="15" customHeight="1" x14ac:dyDescent="0.3">
      <c r="B1445" s="34" t="str">
        <f>IF(B1444="","", IF(VALUE(LEFT(H1444,FIND("/",H1444)-1)) &lt; VALUE(RIGHT(H1444,LEN(H1444)-FIND("/",H1444))), B1444, IFERROR(INDEX('SAÍDA DE VENDAS'!$B$6:$B$500, MATCH(B1444,'SAÍDA DE VENDAS'!$B$6:$B$500,0)+COUNTIF('SAÍDA DE VENDAS'!$B$6:$B$500, B1444)),"")))</f>
        <v/>
      </c>
      <c r="C1445" s="35">
        <f>IFERROR(VLOOKUP(B1445,'SAÍDA DE VENDAS'!$B$6:$P$500,3,FALSE),"")</f>
        <v>0</v>
      </c>
      <c r="D1445" s="34">
        <f>IFERROR(VLOOKUP(B1445,'SAÍDA DE VENDAS'!$B$6:$P$500,4,FALSE),"")</f>
        <v>0</v>
      </c>
      <c r="E1445" s="34" t="str">
        <f>IFERROR(VLOOKUP(B1445,'SAÍDA DE VENDAS'!$B$6:$P$500,5,FALSE),"")</f>
        <v/>
      </c>
      <c r="F1445" s="34" t="str">
        <f>IF(OR(ISBLANK(B1445),B1445=""), "", IFERROR(INDEX('SAÍDA DE VENDAS'!$H$6:$H$500 &amp; "x " &amp; 'SAÍDA DE VENDAS'!$G$6:$G$500, MATCH(B1445, 'SAÍDA DE VENDAS'!$B$6:$B$500, 0)), "")&amp; IF(COUNTIF('SAÍDA DE VENDAS'!$B$6:$B$500, B1445)&gt;1, " + " &amp; IFERROR(INDEX('SAÍDA DE VENDAS'!$H$6:$H$500 &amp; "x " &amp; 'SAÍDA DE VENDAS'!$G$6:$G$500, MATCH(B1445, 'SAÍDA DE VENDAS'!$B$6:$B$500, 0)+1), ""), "")&amp; IF(COUNTIF('SAÍDA DE VENDAS'!$B$6:$B$500, B1445)&gt;2, " + " &amp; IFERROR(INDEX('SAÍDA DE VENDAS'!$H$6:$H$500 &amp; "x " &amp; 'SAÍDA DE VENDAS'!$G$6:$G$500, MATCH(B1445, 'SAÍDA DE VENDAS'!$B$6:$B$500, 0)+2), ""), "")&amp; IF(COUNTIF('SAÍDA DE VENDAS'!$B$6:$B$500, B1445)&gt;3, " + " &amp; IFERROR(INDEX('SAÍDA DE VENDAS'!$H$6:$H$500 &amp; "x " &amp; 'SAÍDA DE VENDAS'!$G$6:$G$500, MATCH(B1445, 'SAÍDA DE VENDAS'!$B$6:$B$500, 0)+3), ""), "")&amp; IF(COUNTIF('SAÍDA DE VENDAS'!$B$6:$B$500, B1445)&gt;4, " + " &amp; IFERROR(INDEX('SAÍDA DE VENDAS'!$H$6:$H$500 &amp; "x " &amp; 'SAÍDA DE VENDAS'!$G$6:$G$500, MATCH(B1445, 'SAÍDA DE VENDAS'!$B$6:$B$500, 0)+4), ""), "")&amp; IF(COUNTIF('SAÍDA DE VENDAS'!$B$6:$B$500, B1445)&gt;5, " + " &amp; IFERROR(INDEX('SAÍDA DE VENDAS'!$H$6:$H$500 &amp; "x " &amp; 'SAÍDA DE VENDAS'!$G$6:$G$500, MATCH(B1445, 'SAÍDA DE VENDAS'!$B$6:$B$500, 0)+5), ""), ""))</f>
        <v/>
      </c>
      <c r="G1445" s="34">
        <f>IFERROR(VLOOKUP(B1445,'SAÍDA DE VENDAS'!$B$6:$P$500,10,FALSE),"")</f>
        <v>0</v>
      </c>
      <c r="H1445" s="34" t="str">
        <f>IF(OR(ISBLANK(B1445),B1445=""), "", IF(B1445=B1444, (VALUE(LEFT(H1444,FIND("/",H1444)-1))+1)&amp;"/"&amp;RIGHT(H1444,LEN(H1444)-FIND("/",H1444)), "1/"&amp;IFERROR(VLOOKUP(B1445,'SAÍDA DE VENDAS'!$B$6:$P$500,13,FALSE),"1")))</f>
        <v/>
      </c>
      <c r="I1445" s="35" t="str">
        <f t="shared" si="44"/>
        <v/>
      </c>
      <c r="J1445" s="39" t="str">
        <f>IFERROR(VLOOKUP(B1445,'SAÍDA DE VENDAS'!$B$6:$P$500,15,FALSE),"")</f>
        <v/>
      </c>
      <c r="K1445" s="34" t="str">
        <f t="shared" ca="1" si="45"/>
        <v/>
      </c>
      <c r="L1445" s="34"/>
      <c r="M1445" s="34"/>
    </row>
    <row r="1446" spans="2:13" ht="15" customHeight="1" x14ac:dyDescent="0.3">
      <c r="B1446" s="28" t="str">
        <f>IF(B1445="","", IF(VALUE(LEFT(H1445,FIND("/",H1445)-1)) &lt; VALUE(RIGHT(H1445,LEN(H1445)-FIND("/",H1445))), B1445, IFERROR(INDEX('SAÍDA DE VENDAS'!$B$6:$B$500, MATCH(B1445,'SAÍDA DE VENDAS'!$B$6:$B$500,0)+COUNTIF('SAÍDA DE VENDAS'!$B$6:$B$500, B1445)),"")))</f>
        <v/>
      </c>
      <c r="C1446" s="29">
        <f>IFERROR(VLOOKUP(B1446,'SAÍDA DE VENDAS'!$B$6:$P$500,3,FALSE),"")</f>
        <v>0</v>
      </c>
      <c r="D1446" s="28">
        <f>IFERROR(VLOOKUP(B1446,'SAÍDA DE VENDAS'!$B$6:$P$500,4,FALSE),"")</f>
        <v>0</v>
      </c>
      <c r="E1446" s="28" t="str">
        <f>IFERROR(VLOOKUP(B1446,'SAÍDA DE VENDAS'!$B$6:$P$500,5,FALSE),"")</f>
        <v/>
      </c>
      <c r="F1446" s="28" t="str">
        <f>IF(OR(ISBLANK(B1446),B1446=""), "", IFERROR(INDEX('SAÍDA DE VENDAS'!$H$6:$H$500 &amp; "x " &amp; 'SAÍDA DE VENDAS'!$G$6:$G$500, MATCH(B1446, 'SAÍDA DE VENDAS'!$B$6:$B$500, 0)), "")&amp; IF(COUNTIF('SAÍDA DE VENDAS'!$B$6:$B$500, B1446)&gt;1, " + " &amp; IFERROR(INDEX('SAÍDA DE VENDAS'!$H$6:$H$500 &amp; "x " &amp; 'SAÍDA DE VENDAS'!$G$6:$G$500, MATCH(B1446, 'SAÍDA DE VENDAS'!$B$6:$B$500, 0)+1), ""), "")&amp; IF(COUNTIF('SAÍDA DE VENDAS'!$B$6:$B$500, B1446)&gt;2, " + " &amp; IFERROR(INDEX('SAÍDA DE VENDAS'!$H$6:$H$500 &amp; "x " &amp; 'SAÍDA DE VENDAS'!$G$6:$G$500, MATCH(B1446, 'SAÍDA DE VENDAS'!$B$6:$B$500, 0)+2), ""), "")&amp; IF(COUNTIF('SAÍDA DE VENDAS'!$B$6:$B$500, B1446)&gt;3, " + " &amp; IFERROR(INDEX('SAÍDA DE VENDAS'!$H$6:$H$500 &amp; "x " &amp; 'SAÍDA DE VENDAS'!$G$6:$G$500, MATCH(B1446, 'SAÍDA DE VENDAS'!$B$6:$B$500, 0)+3), ""), "")&amp; IF(COUNTIF('SAÍDA DE VENDAS'!$B$6:$B$500, B1446)&gt;4, " + " &amp; IFERROR(INDEX('SAÍDA DE VENDAS'!$H$6:$H$500 &amp; "x " &amp; 'SAÍDA DE VENDAS'!$G$6:$G$500, MATCH(B1446, 'SAÍDA DE VENDAS'!$B$6:$B$500, 0)+4), ""), "")&amp; IF(COUNTIF('SAÍDA DE VENDAS'!$B$6:$B$500, B1446)&gt;5, " + " &amp; IFERROR(INDEX('SAÍDA DE VENDAS'!$H$6:$H$500 &amp; "x " &amp; 'SAÍDA DE VENDAS'!$G$6:$G$500, MATCH(B1446, 'SAÍDA DE VENDAS'!$B$6:$B$500, 0)+5), ""), ""))</f>
        <v/>
      </c>
      <c r="G1446" s="28">
        <f>IFERROR(VLOOKUP(B1446,'SAÍDA DE VENDAS'!$B$6:$P$500,10,FALSE),"")</f>
        <v>0</v>
      </c>
      <c r="H1446" s="28" t="str">
        <f>IF(OR(ISBLANK(B1446),B1446=""), "", IF(B1446=B1445, (VALUE(LEFT(H1445,FIND("/",H1445)-1))+1)&amp;"/"&amp;RIGHT(H1445,LEN(H1445)-FIND("/",H1445)), "1/"&amp;IFERROR(VLOOKUP(B1446,'SAÍDA DE VENDAS'!$B$6:$P$500,13,FALSE),"1")))</f>
        <v/>
      </c>
      <c r="I1446" s="69" t="str">
        <f t="shared" si="44"/>
        <v/>
      </c>
      <c r="J1446" s="33" t="str">
        <f>IFERROR(VLOOKUP(B1446,'SAÍDA DE VENDAS'!$B$6:$P$500,15,FALSE),"")</f>
        <v/>
      </c>
      <c r="K1446" s="28" t="str">
        <f t="shared" ca="1" si="45"/>
        <v/>
      </c>
      <c r="L1446" s="28"/>
      <c r="M1446" s="28"/>
    </row>
    <row r="1447" spans="2:13" ht="15" customHeight="1" x14ac:dyDescent="0.3">
      <c r="B1447" s="34" t="str">
        <f>IF(B1446="","", IF(VALUE(LEFT(H1446,FIND("/",H1446)-1)) &lt; VALUE(RIGHT(H1446,LEN(H1446)-FIND("/",H1446))), B1446, IFERROR(INDEX('SAÍDA DE VENDAS'!$B$6:$B$500, MATCH(B1446,'SAÍDA DE VENDAS'!$B$6:$B$500,0)+COUNTIF('SAÍDA DE VENDAS'!$B$6:$B$500, B1446)),"")))</f>
        <v/>
      </c>
      <c r="C1447" s="35">
        <f>IFERROR(VLOOKUP(B1447,'SAÍDA DE VENDAS'!$B$6:$P$500,3,FALSE),"")</f>
        <v>0</v>
      </c>
      <c r="D1447" s="34">
        <f>IFERROR(VLOOKUP(B1447,'SAÍDA DE VENDAS'!$B$6:$P$500,4,FALSE),"")</f>
        <v>0</v>
      </c>
      <c r="E1447" s="34" t="str">
        <f>IFERROR(VLOOKUP(B1447,'SAÍDA DE VENDAS'!$B$6:$P$500,5,FALSE),"")</f>
        <v/>
      </c>
      <c r="F1447" s="34" t="str">
        <f>IF(OR(ISBLANK(B1447),B1447=""), "", IFERROR(INDEX('SAÍDA DE VENDAS'!$H$6:$H$500 &amp; "x " &amp; 'SAÍDA DE VENDAS'!$G$6:$G$500, MATCH(B1447, 'SAÍDA DE VENDAS'!$B$6:$B$500, 0)), "")&amp; IF(COUNTIF('SAÍDA DE VENDAS'!$B$6:$B$500, B1447)&gt;1, " + " &amp; IFERROR(INDEX('SAÍDA DE VENDAS'!$H$6:$H$500 &amp; "x " &amp; 'SAÍDA DE VENDAS'!$G$6:$G$500, MATCH(B1447, 'SAÍDA DE VENDAS'!$B$6:$B$500, 0)+1), ""), "")&amp; IF(COUNTIF('SAÍDA DE VENDAS'!$B$6:$B$500, B1447)&gt;2, " + " &amp; IFERROR(INDEX('SAÍDA DE VENDAS'!$H$6:$H$500 &amp; "x " &amp; 'SAÍDA DE VENDAS'!$G$6:$G$500, MATCH(B1447, 'SAÍDA DE VENDAS'!$B$6:$B$500, 0)+2), ""), "")&amp; IF(COUNTIF('SAÍDA DE VENDAS'!$B$6:$B$500, B1447)&gt;3, " + " &amp; IFERROR(INDEX('SAÍDA DE VENDAS'!$H$6:$H$500 &amp; "x " &amp; 'SAÍDA DE VENDAS'!$G$6:$G$500, MATCH(B1447, 'SAÍDA DE VENDAS'!$B$6:$B$500, 0)+3), ""), "")&amp; IF(COUNTIF('SAÍDA DE VENDAS'!$B$6:$B$500, B1447)&gt;4, " + " &amp; IFERROR(INDEX('SAÍDA DE VENDAS'!$H$6:$H$500 &amp; "x " &amp; 'SAÍDA DE VENDAS'!$G$6:$G$500, MATCH(B1447, 'SAÍDA DE VENDAS'!$B$6:$B$500, 0)+4), ""), "")&amp; IF(COUNTIF('SAÍDA DE VENDAS'!$B$6:$B$500, B1447)&gt;5, " + " &amp; IFERROR(INDEX('SAÍDA DE VENDAS'!$H$6:$H$500 &amp; "x " &amp; 'SAÍDA DE VENDAS'!$G$6:$G$500, MATCH(B1447, 'SAÍDA DE VENDAS'!$B$6:$B$500, 0)+5), ""), ""))</f>
        <v/>
      </c>
      <c r="G1447" s="34">
        <f>IFERROR(VLOOKUP(B1447,'SAÍDA DE VENDAS'!$B$6:$P$500,10,FALSE),"")</f>
        <v>0</v>
      </c>
      <c r="H1447" s="34" t="str">
        <f>IF(OR(ISBLANK(B1447),B1447=""), "", IF(B1447=B1446, (VALUE(LEFT(H1446,FIND("/",H1446)-1))+1)&amp;"/"&amp;RIGHT(H1446,LEN(H1446)-FIND("/",H1446)), "1/"&amp;IFERROR(VLOOKUP(B1447,'SAÍDA DE VENDAS'!$B$6:$P$500,13,FALSE),"1")))</f>
        <v/>
      </c>
      <c r="I1447" s="35" t="str">
        <f t="shared" si="44"/>
        <v/>
      </c>
      <c r="J1447" s="39" t="str">
        <f>IFERROR(VLOOKUP(B1447,'SAÍDA DE VENDAS'!$B$6:$P$500,15,FALSE),"")</f>
        <v/>
      </c>
      <c r="K1447" s="34" t="str">
        <f t="shared" ca="1" si="45"/>
        <v/>
      </c>
      <c r="L1447" s="34"/>
      <c r="M1447" s="34"/>
    </row>
    <row r="1448" spans="2:13" ht="15" customHeight="1" x14ac:dyDescent="0.3">
      <c r="B1448" s="28" t="str">
        <f>IF(B1447="","", IF(VALUE(LEFT(H1447,FIND("/",H1447)-1)) &lt; VALUE(RIGHT(H1447,LEN(H1447)-FIND("/",H1447))), B1447, IFERROR(INDEX('SAÍDA DE VENDAS'!$B$6:$B$500, MATCH(B1447,'SAÍDA DE VENDAS'!$B$6:$B$500,0)+COUNTIF('SAÍDA DE VENDAS'!$B$6:$B$500, B1447)),"")))</f>
        <v/>
      </c>
      <c r="C1448" s="29">
        <f>IFERROR(VLOOKUP(B1448,'SAÍDA DE VENDAS'!$B$6:$P$500,3,FALSE),"")</f>
        <v>0</v>
      </c>
      <c r="D1448" s="28">
        <f>IFERROR(VLOOKUP(B1448,'SAÍDA DE VENDAS'!$B$6:$P$500,4,FALSE),"")</f>
        <v>0</v>
      </c>
      <c r="E1448" s="28" t="str">
        <f>IFERROR(VLOOKUP(B1448,'SAÍDA DE VENDAS'!$B$6:$P$500,5,FALSE),"")</f>
        <v/>
      </c>
      <c r="F1448" s="28" t="str">
        <f>IF(OR(ISBLANK(B1448),B1448=""), "", IFERROR(INDEX('SAÍDA DE VENDAS'!$H$6:$H$500 &amp; "x " &amp; 'SAÍDA DE VENDAS'!$G$6:$G$500, MATCH(B1448, 'SAÍDA DE VENDAS'!$B$6:$B$500, 0)), "")&amp; IF(COUNTIF('SAÍDA DE VENDAS'!$B$6:$B$500, B1448)&gt;1, " + " &amp; IFERROR(INDEX('SAÍDA DE VENDAS'!$H$6:$H$500 &amp; "x " &amp; 'SAÍDA DE VENDAS'!$G$6:$G$500, MATCH(B1448, 'SAÍDA DE VENDAS'!$B$6:$B$500, 0)+1), ""), "")&amp; IF(COUNTIF('SAÍDA DE VENDAS'!$B$6:$B$500, B1448)&gt;2, " + " &amp; IFERROR(INDEX('SAÍDA DE VENDAS'!$H$6:$H$500 &amp; "x " &amp; 'SAÍDA DE VENDAS'!$G$6:$G$500, MATCH(B1448, 'SAÍDA DE VENDAS'!$B$6:$B$500, 0)+2), ""), "")&amp; IF(COUNTIF('SAÍDA DE VENDAS'!$B$6:$B$500, B1448)&gt;3, " + " &amp; IFERROR(INDEX('SAÍDA DE VENDAS'!$H$6:$H$500 &amp; "x " &amp; 'SAÍDA DE VENDAS'!$G$6:$G$500, MATCH(B1448, 'SAÍDA DE VENDAS'!$B$6:$B$500, 0)+3), ""), "")&amp; IF(COUNTIF('SAÍDA DE VENDAS'!$B$6:$B$500, B1448)&gt;4, " + " &amp; IFERROR(INDEX('SAÍDA DE VENDAS'!$H$6:$H$500 &amp; "x " &amp; 'SAÍDA DE VENDAS'!$G$6:$G$500, MATCH(B1448, 'SAÍDA DE VENDAS'!$B$6:$B$500, 0)+4), ""), "")&amp; IF(COUNTIF('SAÍDA DE VENDAS'!$B$6:$B$500, B1448)&gt;5, " + " &amp; IFERROR(INDEX('SAÍDA DE VENDAS'!$H$6:$H$500 &amp; "x " &amp; 'SAÍDA DE VENDAS'!$G$6:$G$500, MATCH(B1448, 'SAÍDA DE VENDAS'!$B$6:$B$500, 0)+5), ""), ""))</f>
        <v/>
      </c>
      <c r="G1448" s="28">
        <f>IFERROR(VLOOKUP(B1448,'SAÍDA DE VENDAS'!$B$6:$P$500,10,FALSE),"")</f>
        <v>0</v>
      </c>
      <c r="H1448" s="28" t="str">
        <f>IF(OR(ISBLANK(B1448),B1448=""), "", IF(B1448=B1447, (VALUE(LEFT(H1447,FIND("/",H1447)-1))+1)&amp;"/"&amp;RIGHT(H1447,LEN(H1447)-FIND("/",H1447)), "1/"&amp;IFERROR(VLOOKUP(B1448,'SAÍDA DE VENDAS'!$B$6:$P$500,13,FALSE),"1")))</f>
        <v/>
      </c>
      <c r="I1448" s="69" t="str">
        <f t="shared" si="44"/>
        <v/>
      </c>
      <c r="J1448" s="33" t="str">
        <f>IFERROR(VLOOKUP(B1448,'SAÍDA DE VENDAS'!$B$6:$P$500,15,FALSE),"")</f>
        <v/>
      </c>
      <c r="K1448" s="28" t="str">
        <f t="shared" ca="1" si="45"/>
        <v/>
      </c>
      <c r="L1448" s="28"/>
      <c r="M1448" s="28"/>
    </row>
    <row r="1449" spans="2:13" ht="15" customHeight="1" x14ac:dyDescent="0.3">
      <c r="B1449" s="34" t="str">
        <f>IF(B1448="","", IF(VALUE(LEFT(H1448,FIND("/",H1448)-1)) &lt; VALUE(RIGHT(H1448,LEN(H1448)-FIND("/",H1448))), B1448, IFERROR(INDEX('SAÍDA DE VENDAS'!$B$6:$B$500, MATCH(B1448,'SAÍDA DE VENDAS'!$B$6:$B$500,0)+COUNTIF('SAÍDA DE VENDAS'!$B$6:$B$500, B1448)),"")))</f>
        <v/>
      </c>
      <c r="C1449" s="35">
        <f>IFERROR(VLOOKUP(B1449,'SAÍDA DE VENDAS'!$B$6:$P$500,3,FALSE),"")</f>
        <v>0</v>
      </c>
      <c r="D1449" s="34">
        <f>IFERROR(VLOOKUP(B1449,'SAÍDA DE VENDAS'!$B$6:$P$500,4,FALSE),"")</f>
        <v>0</v>
      </c>
      <c r="E1449" s="34" t="str">
        <f>IFERROR(VLOOKUP(B1449,'SAÍDA DE VENDAS'!$B$6:$P$500,5,FALSE),"")</f>
        <v/>
      </c>
      <c r="F1449" s="34" t="str">
        <f>IF(OR(ISBLANK(B1449),B1449=""), "", IFERROR(INDEX('SAÍDA DE VENDAS'!$H$6:$H$500 &amp; "x " &amp; 'SAÍDA DE VENDAS'!$G$6:$G$500, MATCH(B1449, 'SAÍDA DE VENDAS'!$B$6:$B$500, 0)), "")&amp; IF(COUNTIF('SAÍDA DE VENDAS'!$B$6:$B$500, B1449)&gt;1, " + " &amp; IFERROR(INDEX('SAÍDA DE VENDAS'!$H$6:$H$500 &amp; "x " &amp; 'SAÍDA DE VENDAS'!$G$6:$G$500, MATCH(B1449, 'SAÍDA DE VENDAS'!$B$6:$B$500, 0)+1), ""), "")&amp; IF(COUNTIF('SAÍDA DE VENDAS'!$B$6:$B$500, B1449)&gt;2, " + " &amp; IFERROR(INDEX('SAÍDA DE VENDAS'!$H$6:$H$500 &amp; "x " &amp; 'SAÍDA DE VENDAS'!$G$6:$G$500, MATCH(B1449, 'SAÍDA DE VENDAS'!$B$6:$B$500, 0)+2), ""), "")&amp; IF(COUNTIF('SAÍDA DE VENDAS'!$B$6:$B$500, B1449)&gt;3, " + " &amp; IFERROR(INDEX('SAÍDA DE VENDAS'!$H$6:$H$500 &amp; "x " &amp; 'SAÍDA DE VENDAS'!$G$6:$G$500, MATCH(B1449, 'SAÍDA DE VENDAS'!$B$6:$B$500, 0)+3), ""), "")&amp; IF(COUNTIF('SAÍDA DE VENDAS'!$B$6:$B$500, B1449)&gt;4, " + " &amp; IFERROR(INDEX('SAÍDA DE VENDAS'!$H$6:$H$500 &amp; "x " &amp; 'SAÍDA DE VENDAS'!$G$6:$G$500, MATCH(B1449, 'SAÍDA DE VENDAS'!$B$6:$B$500, 0)+4), ""), "")&amp; IF(COUNTIF('SAÍDA DE VENDAS'!$B$6:$B$500, B1449)&gt;5, " + " &amp; IFERROR(INDEX('SAÍDA DE VENDAS'!$H$6:$H$500 &amp; "x " &amp; 'SAÍDA DE VENDAS'!$G$6:$G$500, MATCH(B1449, 'SAÍDA DE VENDAS'!$B$6:$B$500, 0)+5), ""), ""))</f>
        <v/>
      </c>
      <c r="G1449" s="34">
        <f>IFERROR(VLOOKUP(B1449,'SAÍDA DE VENDAS'!$B$6:$P$500,10,FALSE),"")</f>
        <v>0</v>
      </c>
      <c r="H1449" s="34" t="str">
        <f>IF(OR(ISBLANK(B1449),B1449=""), "", IF(B1449=B1448, (VALUE(LEFT(H1448,FIND("/",H1448)-1))+1)&amp;"/"&amp;RIGHT(H1448,LEN(H1448)-FIND("/",H1448)), "1/"&amp;IFERROR(VLOOKUP(B1449,'SAÍDA DE VENDAS'!$B$6:$P$500,13,FALSE),"1")))</f>
        <v/>
      </c>
      <c r="I1449" s="35" t="str">
        <f t="shared" si="44"/>
        <v/>
      </c>
      <c r="J1449" s="39" t="str">
        <f>IFERROR(VLOOKUP(B1449,'SAÍDA DE VENDAS'!$B$6:$P$500,15,FALSE),"")</f>
        <v/>
      </c>
      <c r="K1449" s="34" t="str">
        <f t="shared" ca="1" si="45"/>
        <v/>
      </c>
      <c r="L1449" s="34"/>
      <c r="M1449" s="34"/>
    </row>
    <row r="1450" spans="2:13" ht="15" customHeight="1" x14ac:dyDescent="0.3">
      <c r="B1450" s="28" t="str">
        <f>IF(B1449="","", IF(VALUE(LEFT(H1449,FIND("/",H1449)-1)) &lt; VALUE(RIGHT(H1449,LEN(H1449)-FIND("/",H1449))), B1449, IFERROR(INDEX('SAÍDA DE VENDAS'!$B$6:$B$500, MATCH(B1449,'SAÍDA DE VENDAS'!$B$6:$B$500,0)+COUNTIF('SAÍDA DE VENDAS'!$B$6:$B$500, B1449)),"")))</f>
        <v/>
      </c>
      <c r="C1450" s="29">
        <f>IFERROR(VLOOKUP(B1450,'SAÍDA DE VENDAS'!$B$6:$P$500,3,FALSE),"")</f>
        <v>0</v>
      </c>
      <c r="D1450" s="28">
        <f>IFERROR(VLOOKUP(B1450,'SAÍDA DE VENDAS'!$B$6:$P$500,4,FALSE),"")</f>
        <v>0</v>
      </c>
      <c r="E1450" s="28" t="str">
        <f>IFERROR(VLOOKUP(B1450,'SAÍDA DE VENDAS'!$B$6:$P$500,5,FALSE),"")</f>
        <v/>
      </c>
      <c r="F1450" s="28" t="str">
        <f>IF(OR(ISBLANK(B1450),B1450=""), "", IFERROR(INDEX('SAÍDA DE VENDAS'!$H$6:$H$500 &amp; "x " &amp; 'SAÍDA DE VENDAS'!$G$6:$G$500, MATCH(B1450, 'SAÍDA DE VENDAS'!$B$6:$B$500, 0)), "")&amp; IF(COUNTIF('SAÍDA DE VENDAS'!$B$6:$B$500, B1450)&gt;1, " + " &amp; IFERROR(INDEX('SAÍDA DE VENDAS'!$H$6:$H$500 &amp; "x " &amp; 'SAÍDA DE VENDAS'!$G$6:$G$500, MATCH(B1450, 'SAÍDA DE VENDAS'!$B$6:$B$500, 0)+1), ""), "")&amp; IF(COUNTIF('SAÍDA DE VENDAS'!$B$6:$B$500, B1450)&gt;2, " + " &amp; IFERROR(INDEX('SAÍDA DE VENDAS'!$H$6:$H$500 &amp; "x " &amp; 'SAÍDA DE VENDAS'!$G$6:$G$500, MATCH(B1450, 'SAÍDA DE VENDAS'!$B$6:$B$500, 0)+2), ""), "")&amp; IF(COUNTIF('SAÍDA DE VENDAS'!$B$6:$B$500, B1450)&gt;3, " + " &amp; IFERROR(INDEX('SAÍDA DE VENDAS'!$H$6:$H$500 &amp; "x " &amp; 'SAÍDA DE VENDAS'!$G$6:$G$500, MATCH(B1450, 'SAÍDA DE VENDAS'!$B$6:$B$500, 0)+3), ""), "")&amp; IF(COUNTIF('SAÍDA DE VENDAS'!$B$6:$B$500, B1450)&gt;4, " + " &amp; IFERROR(INDEX('SAÍDA DE VENDAS'!$H$6:$H$500 &amp; "x " &amp; 'SAÍDA DE VENDAS'!$G$6:$G$500, MATCH(B1450, 'SAÍDA DE VENDAS'!$B$6:$B$500, 0)+4), ""), "")&amp; IF(COUNTIF('SAÍDA DE VENDAS'!$B$6:$B$500, B1450)&gt;5, " + " &amp; IFERROR(INDEX('SAÍDA DE VENDAS'!$H$6:$H$500 &amp; "x " &amp; 'SAÍDA DE VENDAS'!$G$6:$G$500, MATCH(B1450, 'SAÍDA DE VENDAS'!$B$6:$B$500, 0)+5), ""), ""))</f>
        <v/>
      </c>
      <c r="G1450" s="28">
        <f>IFERROR(VLOOKUP(B1450,'SAÍDA DE VENDAS'!$B$6:$P$500,10,FALSE),"")</f>
        <v>0</v>
      </c>
      <c r="H1450" s="28" t="str">
        <f>IF(OR(ISBLANK(B1450),B1450=""), "", IF(B1450=B1449, (VALUE(LEFT(H1449,FIND("/",H1449)-1))+1)&amp;"/"&amp;RIGHT(H1449,LEN(H1449)-FIND("/",H1449)), "1/"&amp;IFERROR(VLOOKUP(B1450,'SAÍDA DE VENDAS'!$B$6:$P$500,13,FALSE),"1")))</f>
        <v/>
      </c>
      <c r="I1450" s="69" t="str">
        <f t="shared" si="44"/>
        <v/>
      </c>
      <c r="J1450" s="33" t="str">
        <f>IFERROR(VLOOKUP(B1450,'SAÍDA DE VENDAS'!$B$6:$P$500,15,FALSE),"")</f>
        <v/>
      </c>
      <c r="K1450" s="28" t="str">
        <f t="shared" ca="1" si="45"/>
        <v/>
      </c>
      <c r="L1450" s="28"/>
      <c r="M1450" s="28"/>
    </row>
    <row r="1451" spans="2:13" ht="15" customHeight="1" x14ac:dyDescent="0.3">
      <c r="B1451" s="34" t="str">
        <f>IF(B1450="","", IF(VALUE(LEFT(H1450,FIND("/",H1450)-1)) &lt; VALUE(RIGHT(H1450,LEN(H1450)-FIND("/",H1450))), B1450, IFERROR(INDEX('SAÍDA DE VENDAS'!$B$6:$B$500, MATCH(B1450,'SAÍDA DE VENDAS'!$B$6:$B$500,0)+COUNTIF('SAÍDA DE VENDAS'!$B$6:$B$500, B1450)),"")))</f>
        <v/>
      </c>
      <c r="C1451" s="35">
        <f>IFERROR(VLOOKUP(B1451,'SAÍDA DE VENDAS'!$B$6:$P$500,3,FALSE),"")</f>
        <v>0</v>
      </c>
      <c r="D1451" s="34">
        <f>IFERROR(VLOOKUP(B1451,'SAÍDA DE VENDAS'!$B$6:$P$500,4,FALSE),"")</f>
        <v>0</v>
      </c>
      <c r="E1451" s="34" t="str">
        <f>IFERROR(VLOOKUP(B1451,'SAÍDA DE VENDAS'!$B$6:$P$500,5,FALSE),"")</f>
        <v/>
      </c>
      <c r="F1451" s="34" t="str">
        <f>IF(OR(ISBLANK(B1451),B1451=""), "", IFERROR(INDEX('SAÍDA DE VENDAS'!$H$6:$H$500 &amp; "x " &amp; 'SAÍDA DE VENDAS'!$G$6:$G$500, MATCH(B1451, 'SAÍDA DE VENDAS'!$B$6:$B$500, 0)), "")&amp; IF(COUNTIF('SAÍDA DE VENDAS'!$B$6:$B$500, B1451)&gt;1, " + " &amp; IFERROR(INDEX('SAÍDA DE VENDAS'!$H$6:$H$500 &amp; "x " &amp; 'SAÍDA DE VENDAS'!$G$6:$G$500, MATCH(B1451, 'SAÍDA DE VENDAS'!$B$6:$B$500, 0)+1), ""), "")&amp; IF(COUNTIF('SAÍDA DE VENDAS'!$B$6:$B$500, B1451)&gt;2, " + " &amp; IFERROR(INDEX('SAÍDA DE VENDAS'!$H$6:$H$500 &amp; "x " &amp; 'SAÍDA DE VENDAS'!$G$6:$G$500, MATCH(B1451, 'SAÍDA DE VENDAS'!$B$6:$B$500, 0)+2), ""), "")&amp; IF(COUNTIF('SAÍDA DE VENDAS'!$B$6:$B$500, B1451)&gt;3, " + " &amp; IFERROR(INDEX('SAÍDA DE VENDAS'!$H$6:$H$500 &amp; "x " &amp; 'SAÍDA DE VENDAS'!$G$6:$G$500, MATCH(B1451, 'SAÍDA DE VENDAS'!$B$6:$B$500, 0)+3), ""), "")&amp; IF(COUNTIF('SAÍDA DE VENDAS'!$B$6:$B$500, B1451)&gt;4, " + " &amp; IFERROR(INDEX('SAÍDA DE VENDAS'!$H$6:$H$500 &amp; "x " &amp; 'SAÍDA DE VENDAS'!$G$6:$G$500, MATCH(B1451, 'SAÍDA DE VENDAS'!$B$6:$B$500, 0)+4), ""), "")&amp; IF(COUNTIF('SAÍDA DE VENDAS'!$B$6:$B$500, B1451)&gt;5, " + " &amp; IFERROR(INDEX('SAÍDA DE VENDAS'!$H$6:$H$500 &amp; "x " &amp; 'SAÍDA DE VENDAS'!$G$6:$G$500, MATCH(B1451, 'SAÍDA DE VENDAS'!$B$6:$B$500, 0)+5), ""), ""))</f>
        <v/>
      </c>
      <c r="G1451" s="34">
        <f>IFERROR(VLOOKUP(B1451,'SAÍDA DE VENDAS'!$B$6:$P$500,10,FALSE),"")</f>
        <v>0</v>
      </c>
      <c r="H1451" s="34" t="str">
        <f>IF(OR(ISBLANK(B1451),B1451=""), "", IF(B1451=B1450, (VALUE(LEFT(H1450,FIND("/",H1450)-1))+1)&amp;"/"&amp;RIGHT(H1450,LEN(H1450)-FIND("/",H1450)), "1/"&amp;IFERROR(VLOOKUP(B1451,'SAÍDA DE VENDAS'!$B$6:$P$500,13,FALSE),"1")))</f>
        <v/>
      </c>
      <c r="I1451" s="35" t="str">
        <f t="shared" si="44"/>
        <v/>
      </c>
      <c r="J1451" s="39" t="str">
        <f>IFERROR(VLOOKUP(B1451,'SAÍDA DE VENDAS'!$B$6:$P$500,15,FALSE),"")</f>
        <v/>
      </c>
      <c r="K1451" s="34" t="str">
        <f t="shared" ca="1" si="45"/>
        <v/>
      </c>
      <c r="L1451" s="34"/>
      <c r="M1451" s="34"/>
    </row>
    <row r="1452" spans="2:13" ht="15" customHeight="1" x14ac:dyDescent="0.3">
      <c r="B1452" s="28" t="str">
        <f>IF(B1451="","", IF(VALUE(LEFT(H1451,FIND("/",H1451)-1)) &lt; VALUE(RIGHT(H1451,LEN(H1451)-FIND("/",H1451))), B1451, IFERROR(INDEX('SAÍDA DE VENDAS'!$B$6:$B$500, MATCH(B1451,'SAÍDA DE VENDAS'!$B$6:$B$500,0)+COUNTIF('SAÍDA DE VENDAS'!$B$6:$B$500, B1451)),"")))</f>
        <v/>
      </c>
      <c r="C1452" s="29">
        <f>IFERROR(VLOOKUP(B1452,'SAÍDA DE VENDAS'!$B$6:$P$500,3,FALSE),"")</f>
        <v>0</v>
      </c>
      <c r="D1452" s="28">
        <f>IFERROR(VLOOKUP(B1452,'SAÍDA DE VENDAS'!$B$6:$P$500,4,FALSE),"")</f>
        <v>0</v>
      </c>
      <c r="E1452" s="28" t="str">
        <f>IFERROR(VLOOKUP(B1452,'SAÍDA DE VENDAS'!$B$6:$P$500,5,FALSE),"")</f>
        <v/>
      </c>
      <c r="F1452" s="28" t="str">
        <f>IF(OR(ISBLANK(B1452),B1452=""), "", IFERROR(INDEX('SAÍDA DE VENDAS'!$H$6:$H$500 &amp; "x " &amp; 'SAÍDA DE VENDAS'!$G$6:$G$500, MATCH(B1452, 'SAÍDA DE VENDAS'!$B$6:$B$500, 0)), "")&amp; IF(COUNTIF('SAÍDA DE VENDAS'!$B$6:$B$500, B1452)&gt;1, " + " &amp; IFERROR(INDEX('SAÍDA DE VENDAS'!$H$6:$H$500 &amp; "x " &amp; 'SAÍDA DE VENDAS'!$G$6:$G$500, MATCH(B1452, 'SAÍDA DE VENDAS'!$B$6:$B$500, 0)+1), ""), "")&amp; IF(COUNTIF('SAÍDA DE VENDAS'!$B$6:$B$500, B1452)&gt;2, " + " &amp; IFERROR(INDEX('SAÍDA DE VENDAS'!$H$6:$H$500 &amp; "x " &amp; 'SAÍDA DE VENDAS'!$G$6:$G$500, MATCH(B1452, 'SAÍDA DE VENDAS'!$B$6:$B$500, 0)+2), ""), "")&amp; IF(COUNTIF('SAÍDA DE VENDAS'!$B$6:$B$500, B1452)&gt;3, " + " &amp; IFERROR(INDEX('SAÍDA DE VENDAS'!$H$6:$H$500 &amp; "x " &amp; 'SAÍDA DE VENDAS'!$G$6:$G$500, MATCH(B1452, 'SAÍDA DE VENDAS'!$B$6:$B$500, 0)+3), ""), "")&amp; IF(COUNTIF('SAÍDA DE VENDAS'!$B$6:$B$500, B1452)&gt;4, " + " &amp; IFERROR(INDEX('SAÍDA DE VENDAS'!$H$6:$H$500 &amp; "x " &amp; 'SAÍDA DE VENDAS'!$G$6:$G$500, MATCH(B1452, 'SAÍDA DE VENDAS'!$B$6:$B$500, 0)+4), ""), "")&amp; IF(COUNTIF('SAÍDA DE VENDAS'!$B$6:$B$500, B1452)&gt;5, " + " &amp; IFERROR(INDEX('SAÍDA DE VENDAS'!$H$6:$H$500 &amp; "x " &amp; 'SAÍDA DE VENDAS'!$G$6:$G$500, MATCH(B1452, 'SAÍDA DE VENDAS'!$B$6:$B$500, 0)+5), ""), ""))</f>
        <v/>
      </c>
      <c r="G1452" s="28">
        <f>IFERROR(VLOOKUP(B1452,'SAÍDA DE VENDAS'!$B$6:$P$500,10,FALSE),"")</f>
        <v>0</v>
      </c>
      <c r="H1452" s="28" t="str">
        <f>IF(OR(ISBLANK(B1452),B1452=""), "", IF(B1452=B1451, (VALUE(LEFT(H1451,FIND("/",H1451)-1))+1)&amp;"/"&amp;RIGHT(H1451,LEN(H1451)-FIND("/",H1451)), "1/"&amp;IFERROR(VLOOKUP(B1452,'SAÍDA DE VENDAS'!$B$6:$P$500,13,FALSE),"1")))</f>
        <v/>
      </c>
      <c r="I1452" s="69" t="str">
        <f t="shared" si="44"/>
        <v/>
      </c>
      <c r="J1452" s="33" t="str">
        <f>IFERROR(VLOOKUP(B1452,'SAÍDA DE VENDAS'!$B$6:$P$500,15,FALSE),"")</f>
        <v/>
      </c>
      <c r="K1452" s="28" t="str">
        <f t="shared" ca="1" si="45"/>
        <v/>
      </c>
      <c r="L1452" s="28"/>
      <c r="M1452" s="28"/>
    </row>
    <row r="1453" spans="2:13" ht="15" customHeight="1" x14ac:dyDescent="0.3">
      <c r="B1453" s="34" t="str">
        <f>IF(B1452="","", IF(VALUE(LEFT(H1452,FIND("/",H1452)-1)) &lt; VALUE(RIGHT(H1452,LEN(H1452)-FIND("/",H1452))), B1452, IFERROR(INDEX('SAÍDA DE VENDAS'!$B$6:$B$500, MATCH(B1452,'SAÍDA DE VENDAS'!$B$6:$B$500,0)+COUNTIF('SAÍDA DE VENDAS'!$B$6:$B$500, B1452)),"")))</f>
        <v/>
      </c>
      <c r="C1453" s="35">
        <f>IFERROR(VLOOKUP(B1453,'SAÍDA DE VENDAS'!$B$6:$P$500,3,FALSE),"")</f>
        <v>0</v>
      </c>
      <c r="D1453" s="34">
        <f>IFERROR(VLOOKUP(B1453,'SAÍDA DE VENDAS'!$B$6:$P$500,4,FALSE),"")</f>
        <v>0</v>
      </c>
      <c r="E1453" s="34" t="str">
        <f>IFERROR(VLOOKUP(B1453,'SAÍDA DE VENDAS'!$B$6:$P$500,5,FALSE),"")</f>
        <v/>
      </c>
      <c r="F1453" s="34" t="str">
        <f>IF(OR(ISBLANK(B1453),B1453=""), "", IFERROR(INDEX('SAÍDA DE VENDAS'!$H$6:$H$500 &amp; "x " &amp; 'SAÍDA DE VENDAS'!$G$6:$G$500, MATCH(B1453, 'SAÍDA DE VENDAS'!$B$6:$B$500, 0)), "")&amp; IF(COUNTIF('SAÍDA DE VENDAS'!$B$6:$B$500, B1453)&gt;1, " + " &amp; IFERROR(INDEX('SAÍDA DE VENDAS'!$H$6:$H$500 &amp; "x " &amp; 'SAÍDA DE VENDAS'!$G$6:$G$500, MATCH(B1453, 'SAÍDA DE VENDAS'!$B$6:$B$500, 0)+1), ""), "")&amp; IF(COUNTIF('SAÍDA DE VENDAS'!$B$6:$B$500, B1453)&gt;2, " + " &amp; IFERROR(INDEX('SAÍDA DE VENDAS'!$H$6:$H$500 &amp; "x " &amp; 'SAÍDA DE VENDAS'!$G$6:$G$500, MATCH(B1453, 'SAÍDA DE VENDAS'!$B$6:$B$500, 0)+2), ""), "")&amp; IF(COUNTIF('SAÍDA DE VENDAS'!$B$6:$B$500, B1453)&gt;3, " + " &amp; IFERROR(INDEX('SAÍDA DE VENDAS'!$H$6:$H$500 &amp; "x " &amp; 'SAÍDA DE VENDAS'!$G$6:$G$500, MATCH(B1453, 'SAÍDA DE VENDAS'!$B$6:$B$500, 0)+3), ""), "")&amp; IF(COUNTIF('SAÍDA DE VENDAS'!$B$6:$B$500, B1453)&gt;4, " + " &amp; IFERROR(INDEX('SAÍDA DE VENDAS'!$H$6:$H$500 &amp; "x " &amp; 'SAÍDA DE VENDAS'!$G$6:$G$500, MATCH(B1453, 'SAÍDA DE VENDAS'!$B$6:$B$500, 0)+4), ""), "")&amp; IF(COUNTIF('SAÍDA DE VENDAS'!$B$6:$B$500, B1453)&gt;5, " + " &amp; IFERROR(INDEX('SAÍDA DE VENDAS'!$H$6:$H$500 &amp; "x " &amp; 'SAÍDA DE VENDAS'!$G$6:$G$500, MATCH(B1453, 'SAÍDA DE VENDAS'!$B$6:$B$500, 0)+5), ""), ""))</f>
        <v/>
      </c>
      <c r="G1453" s="34">
        <f>IFERROR(VLOOKUP(B1453,'SAÍDA DE VENDAS'!$B$6:$P$500,10,FALSE),"")</f>
        <v>0</v>
      </c>
      <c r="H1453" s="34" t="str">
        <f>IF(OR(ISBLANK(B1453),B1453=""), "", IF(B1453=B1452, (VALUE(LEFT(H1452,FIND("/",H1452)-1))+1)&amp;"/"&amp;RIGHT(H1452,LEN(H1452)-FIND("/",H1452)), "1/"&amp;IFERROR(VLOOKUP(B1453,'SAÍDA DE VENDAS'!$B$6:$P$500,13,FALSE),"1")))</f>
        <v/>
      </c>
      <c r="I1453" s="35" t="str">
        <f t="shared" si="44"/>
        <v/>
      </c>
      <c r="J1453" s="39" t="str">
        <f>IFERROR(VLOOKUP(B1453,'SAÍDA DE VENDAS'!$B$6:$P$500,15,FALSE),"")</f>
        <v/>
      </c>
      <c r="K1453" s="34" t="str">
        <f t="shared" ca="1" si="45"/>
        <v/>
      </c>
      <c r="L1453" s="34"/>
      <c r="M1453" s="34"/>
    </row>
    <row r="1454" spans="2:13" ht="15" customHeight="1" x14ac:dyDescent="0.3">
      <c r="B1454" s="28" t="str">
        <f>IF(B1453="","", IF(VALUE(LEFT(H1453,FIND("/",H1453)-1)) &lt; VALUE(RIGHT(H1453,LEN(H1453)-FIND("/",H1453))), B1453, IFERROR(INDEX('SAÍDA DE VENDAS'!$B$6:$B$500, MATCH(B1453,'SAÍDA DE VENDAS'!$B$6:$B$500,0)+COUNTIF('SAÍDA DE VENDAS'!$B$6:$B$500, B1453)),"")))</f>
        <v/>
      </c>
      <c r="C1454" s="29">
        <f>IFERROR(VLOOKUP(B1454,'SAÍDA DE VENDAS'!$B$6:$P$500,3,FALSE),"")</f>
        <v>0</v>
      </c>
      <c r="D1454" s="28">
        <f>IFERROR(VLOOKUP(B1454,'SAÍDA DE VENDAS'!$B$6:$P$500,4,FALSE),"")</f>
        <v>0</v>
      </c>
      <c r="E1454" s="28" t="str">
        <f>IFERROR(VLOOKUP(B1454,'SAÍDA DE VENDAS'!$B$6:$P$500,5,FALSE),"")</f>
        <v/>
      </c>
      <c r="F1454" s="28" t="str">
        <f>IF(OR(ISBLANK(B1454),B1454=""), "", IFERROR(INDEX('SAÍDA DE VENDAS'!$H$6:$H$500 &amp; "x " &amp; 'SAÍDA DE VENDAS'!$G$6:$G$500, MATCH(B1454, 'SAÍDA DE VENDAS'!$B$6:$B$500, 0)), "")&amp; IF(COUNTIF('SAÍDA DE VENDAS'!$B$6:$B$500, B1454)&gt;1, " + " &amp; IFERROR(INDEX('SAÍDA DE VENDAS'!$H$6:$H$500 &amp; "x " &amp; 'SAÍDA DE VENDAS'!$G$6:$G$500, MATCH(B1454, 'SAÍDA DE VENDAS'!$B$6:$B$500, 0)+1), ""), "")&amp; IF(COUNTIF('SAÍDA DE VENDAS'!$B$6:$B$500, B1454)&gt;2, " + " &amp; IFERROR(INDEX('SAÍDA DE VENDAS'!$H$6:$H$500 &amp; "x " &amp; 'SAÍDA DE VENDAS'!$G$6:$G$500, MATCH(B1454, 'SAÍDA DE VENDAS'!$B$6:$B$500, 0)+2), ""), "")&amp; IF(COUNTIF('SAÍDA DE VENDAS'!$B$6:$B$500, B1454)&gt;3, " + " &amp; IFERROR(INDEX('SAÍDA DE VENDAS'!$H$6:$H$500 &amp; "x " &amp; 'SAÍDA DE VENDAS'!$G$6:$G$500, MATCH(B1454, 'SAÍDA DE VENDAS'!$B$6:$B$500, 0)+3), ""), "")&amp; IF(COUNTIF('SAÍDA DE VENDAS'!$B$6:$B$500, B1454)&gt;4, " + " &amp; IFERROR(INDEX('SAÍDA DE VENDAS'!$H$6:$H$500 &amp; "x " &amp; 'SAÍDA DE VENDAS'!$G$6:$G$500, MATCH(B1454, 'SAÍDA DE VENDAS'!$B$6:$B$500, 0)+4), ""), "")&amp; IF(COUNTIF('SAÍDA DE VENDAS'!$B$6:$B$500, B1454)&gt;5, " + " &amp; IFERROR(INDEX('SAÍDA DE VENDAS'!$H$6:$H$500 &amp; "x " &amp; 'SAÍDA DE VENDAS'!$G$6:$G$500, MATCH(B1454, 'SAÍDA DE VENDAS'!$B$6:$B$500, 0)+5), ""), ""))</f>
        <v/>
      </c>
      <c r="G1454" s="28">
        <f>IFERROR(VLOOKUP(B1454,'SAÍDA DE VENDAS'!$B$6:$P$500,10,FALSE),"")</f>
        <v>0</v>
      </c>
      <c r="H1454" s="28" t="str">
        <f>IF(OR(ISBLANK(B1454),B1454=""), "", IF(B1454=B1453, (VALUE(LEFT(H1453,FIND("/",H1453)-1))+1)&amp;"/"&amp;RIGHT(H1453,LEN(H1453)-FIND("/",H1453)), "1/"&amp;IFERROR(VLOOKUP(B1454,'SAÍDA DE VENDAS'!$B$6:$P$500,13,FALSE),"1")))</f>
        <v/>
      </c>
      <c r="I1454" s="69" t="str">
        <f t="shared" si="44"/>
        <v/>
      </c>
      <c r="J1454" s="33" t="str">
        <f>IFERROR(VLOOKUP(B1454,'SAÍDA DE VENDAS'!$B$6:$P$500,15,FALSE),"")</f>
        <v/>
      </c>
      <c r="K1454" s="28" t="str">
        <f t="shared" ca="1" si="45"/>
        <v/>
      </c>
      <c r="L1454" s="28"/>
      <c r="M1454" s="28"/>
    </row>
    <row r="1455" spans="2:13" ht="15" customHeight="1" x14ac:dyDescent="0.3">
      <c r="B1455" s="34" t="str">
        <f>IF(B1454="","", IF(VALUE(LEFT(H1454,FIND("/",H1454)-1)) &lt; VALUE(RIGHT(H1454,LEN(H1454)-FIND("/",H1454))), B1454, IFERROR(INDEX('SAÍDA DE VENDAS'!$B$6:$B$500, MATCH(B1454,'SAÍDA DE VENDAS'!$B$6:$B$500,0)+COUNTIF('SAÍDA DE VENDAS'!$B$6:$B$500, B1454)),"")))</f>
        <v/>
      </c>
      <c r="C1455" s="35">
        <f>IFERROR(VLOOKUP(B1455,'SAÍDA DE VENDAS'!$B$6:$P$500,3,FALSE),"")</f>
        <v>0</v>
      </c>
      <c r="D1455" s="34">
        <f>IFERROR(VLOOKUP(B1455,'SAÍDA DE VENDAS'!$B$6:$P$500,4,FALSE),"")</f>
        <v>0</v>
      </c>
      <c r="E1455" s="34" t="str">
        <f>IFERROR(VLOOKUP(B1455,'SAÍDA DE VENDAS'!$B$6:$P$500,5,FALSE),"")</f>
        <v/>
      </c>
      <c r="F1455" s="34" t="str">
        <f>IF(OR(ISBLANK(B1455),B1455=""), "", IFERROR(INDEX('SAÍDA DE VENDAS'!$H$6:$H$500 &amp; "x " &amp; 'SAÍDA DE VENDAS'!$G$6:$G$500, MATCH(B1455, 'SAÍDA DE VENDAS'!$B$6:$B$500, 0)), "")&amp; IF(COUNTIF('SAÍDA DE VENDAS'!$B$6:$B$500, B1455)&gt;1, " + " &amp; IFERROR(INDEX('SAÍDA DE VENDAS'!$H$6:$H$500 &amp; "x " &amp; 'SAÍDA DE VENDAS'!$G$6:$G$500, MATCH(B1455, 'SAÍDA DE VENDAS'!$B$6:$B$500, 0)+1), ""), "")&amp; IF(COUNTIF('SAÍDA DE VENDAS'!$B$6:$B$500, B1455)&gt;2, " + " &amp; IFERROR(INDEX('SAÍDA DE VENDAS'!$H$6:$H$500 &amp; "x " &amp; 'SAÍDA DE VENDAS'!$G$6:$G$500, MATCH(B1455, 'SAÍDA DE VENDAS'!$B$6:$B$500, 0)+2), ""), "")&amp; IF(COUNTIF('SAÍDA DE VENDAS'!$B$6:$B$500, B1455)&gt;3, " + " &amp; IFERROR(INDEX('SAÍDA DE VENDAS'!$H$6:$H$500 &amp; "x " &amp; 'SAÍDA DE VENDAS'!$G$6:$G$500, MATCH(B1455, 'SAÍDA DE VENDAS'!$B$6:$B$500, 0)+3), ""), "")&amp; IF(COUNTIF('SAÍDA DE VENDAS'!$B$6:$B$500, B1455)&gt;4, " + " &amp; IFERROR(INDEX('SAÍDA DE VENDAS'!$H$6:$H$500 &amp; "x " &amp; 'SAÍDA DE VENDAS'!$G$6:$G$500, MATCH(B1455, 'SAÍDA DE VENDAS'!$B$6:$B$500, 0)+4), ""), "")&amp; IF(COUNTIF('SAÍDA DE VENDAS'!$B$6:$B$500, B1455)&gt;5, " + " &amp; IFERROR(INDEX('SAÍDA DE VENDAS'!$H$6:$H$500 &amp; "x " &amp; 'SAÍDA DE VENDAS'!$G$6:$G$500, MATCH(B1455, 'SAÍDA DE VENDAS'!$B$6:$B$500, 0)+5), ""), ""))</f>
        <v/>
      </c>
      <c r="G1455" s="34">
        <f>IFERROR(VLOOKUP(B1455,'SAÍDA DE VENDAS'!$B$6:$P$500,10,FALSE),"")</f>
        <v>0</v>
      </c>
      <c r="H1455" s="34" t="str">
        <f>IF(OR(ISBLANK(B1455),B1455=""), "", IF(B1455=B1454, (VALUE(LEFT(H1454,FIND("/",H1454)-1))+1)&amp;"/"&amp;RIGHT(H1454,LEN(H1454)-FIND("/",H1454)), "1/"&amp;IFERROR(VLOOKUP(B1455,'SAÍDA DE VENDAS'!$B$6:$P$500,13,FALSE),"1")))</f>
        <v/>
      </c>
      <c r="I1455" s="35" t="str">
        <f t="shared" si="44"/>
        <v/>
      </c>
      <c r="J1455" s="39" t="str">
        <f>IFERROR(VLOOKUP(B1455,'SAÍDA DE VENDAS'!$B$6:$P$500,15,FALSE),"")</f>
        <v/>
      </c>
      <c r="K1455" s="34" t="str">
        <f t="shared" ca="1" si="45"/>
        <v/>
      </c>
      <c r="L1455" s="34"/>
      <c r="M1455" s="34"/>
    </row>
    <row r="1456" spans="2:13" ht="15" customHeight="1" x14ac:dyDescent="0.3">
      <c r="B1456" s="28" t="str">
        <f>IF(B1455="","", IF(VALUE(LEFT(H1455,FIND("/",H1455)-1)) &lt; VALUE(RIGHT(H1455,LEN(H1455)-FIND("/",H1455))), B1455, IFERROR(INDEX('SAÍDA DE VENDAS'!$B$6:$B$500, MATCH(B1455,'SAÍDA DE VENDAS'!$B$6:$B$500,0)+COUNTIF('SAÍDA DE VENDAS'!$B$6:$B$500, B1455)),"")))</f>
        <v/>
      </c>
      <c r="C1456" s="29">
        <f>IFERROR(VLOOKUP(B1456,'SAÍDA DE VENDAS'!$B$6:$P$500,3,FALSE),"")</f>
        <v>0</v>
      </c>
      <c r="D1456" s="28">
        <f>IFERROR(VLOOKUP(B1456,'SAÍDA DE VENDAS'!$B$6:$P$500,4,FALSE),"")</f>
        <v>0</v>
      </c>
      <c r="E1456" s="28" t="str">
        <f>IFERROR(VLOOKUP(B1456,'SAÍDA DE VENDAS'!$B$6:$P$500,5,FALSE),"")</f>
        <v/>
      </c>
      <c r="F1456" s="28" t="str">
        <f>IF(OR(ISBLANK(B1456),B1456=""), "", IFERROR(INDEX('SAÍDA DE VENDAS'!$H$6:$H$500 &amp; "x " &amp; 'SAÍDA DE VENDAS'!$G$6:$G$500, MATCH(B1456, 'SAÍDA DE VENDAS'!$B$6:$B$500, 0)), "")&amp; IF(COUNTIF('SAÍDA DE VENDAS'!$B$6:$B$500, B1456)&gt;1, " + " &amp; IFERROR(INDEX('SAÍDA DE VENDAS'!$H$6:$H$500 &amp; "x " &amp; 'SAÍDA DE VENDAS'!$G$6:$G$500, MATCH(B1456, 'SAÍDA DE VENDAS'!$B$6:$B$500, 0)+1), ""), "")&amp; IF(COUNTIF('SAÍDA DE VENDAS'!$B$6:$B$500, B1456)&gt;2, " + " &amp; IFERROR(INDEX('SAÍDA DE VENDAS'!$H$6:$H$500 &amp; "x " &amp; 'SAÍDA DE VENDAS'!$G$6:$G$500, MATCH(B1456, 'SAÍDA DE VENDAS'!$B$6:$B$500, 0)+2), ""), "")&amp; IF(COUNTIF('SAÍDA DE VENDAS'!$B$6:$B$500, B1456)&gt;3, " + " &amp; IFERROR(INDEX('SAÍDA DE VENDAS'!$H$6:$H$500 &amp; "x " &amp; 'SAÍDA DE VENDAS'!$G$6:$G$500, MATCH(B1456, 'SAÍDA DE VENDAS'!$B$6:$B$500, 0)+3), ""), "")&amp; IF(COUNTIF('SAÍDA DE VENDAS'!$B$6:$B$500, B1456)&gt;4, " + " &amp; IFERROR(INDEX('SAÍDA DE VENDAS'!$H$6:$H$500 &amp; "x " &amp; 'SAÍDA DE VENDAS'!$G$6:$G$500, MATCH(B1456, 'SAÍDA DE VENDAS'!$B$6:$B$500, 0)+4), ""), "")&amp; IF(COUNTIF('SAÍDA DE VENDAS'!$B$6:$B$500, B1456)&gt;5, " + " &amp; IFERROR(INDEX('SAÍDA DE VENDAS'!$H$6:$H$500 &amp; "x " &amp; 'SAÍDA DE VENDAS'!$G$6:$G$500, MATCH(B1456, 'SAÍDA DE VENDAS'!$B$6:$B$500, 0)+5), ""), ""))</f>
        <v/>
      </c>
      <c r="G1456" s="28">
        <f>IFERROR(VLOOKUP(B1456,'SAÍDA DE VENDAS'!$B$6:$P$500,10,FALSE),"")</f>
        <v>0</v>
      </c>
      <c r="H1456" s="28" t="str">
        <f>IF(OR(ISBLANK(B1456),B1456=""), "", IF(B1456=B1455, (VALUE(LEFT(H1455,FIND("/",H1455)-1))+1)&amp;"/"&amp;RIGHT(H1455,LEN(H1455)-FIND("/",H1455)), "1/"&amp;IFERROR(VLOOKUP(B1456,'SAÍDA DE VENDAS'!$B$6:$P$500,13,FALSE),"1")))</f>
        <v/>
      </c>
      <c r="I1456" s="69" t="str">
        <f t="shared" si="44"/>
        <v/>
      </c>
      <c r="J1456" s="33" t="str">
        <f>IFERROR(VLOOKUP(B1456,'SAÍDA DE VENDAS'!$B$6:$P$500,15,FALSE),"")</f>
        <v/>
      </c>
      <c r="K1456" s="28" t="str">
        <f t="shared" ca="1" si="45"/>
        <v/>
      </c>
      <c r="L1456" s="28"/>
      <c r="M1456" s="28"/>
    </row>
    <row r="1457" spans="2:13" ht="15" customHeight="1" x14ac:dyDescent="0.3">
      <c r="B1457" s="34" t="str">
        <f>IF(B1456="","", IF(VALUE(LEFT(H1456,FIND("/",H1456)-1)) &lt; VALUE(RIGHT(H1456,LEN(H1456)-FIND("/",H1456))), B1456, IFERROR(INDEX('SAÍDA DE VENDAS'!$B$6:$B$500, MATCH(B1456,'SAÍDA DE VENDAS'!$B$6:$B$500,0)+COUNTIF('SAÍDA DE VENDAS'!$B$6:$B$500, B1456)),"")))</f>
        <v/>
      </c>
      <c r="C1457" s="35">
        <f>IFERROR(VLOOKUP(B1457,'SAÍDA DE VENDAS'!$B$6:$P$500,3,FALSE),"")</f>
        <v>0</v>
      </c>
      <c r="D1457" s="34">
        <f>IFERROR(VLOOKUP(B1457,'SAÍDA DE VENDAS'!$B$6:$P$500,4,FALSE),"")</f>
        <v>0</v>
      </c>
      <c r="E1457" s="34" t="str">
        <f>IFERROR(VLOOKUP(B1457,'SAÍDA DE VENDAS'!$B$6:$P$500,5,FALSE),"")</f>
        <v/>
      </c>
      <c r="F1457" s="34" t="str">
        <f>IF(OR(ISBLANK(B1457),B1457=""), "", IFERROR(INDEX('SAÍDA DE VENDAS'!$H$6:$H$500 &amp; "x " &amp; 'SAÍDA DE VENDAS'!$G$6:$G$500, MATCH(B1457, 'SAÍDA DE VENDAS'!$B$6:$B$500, 0)), "")&amp; IF(COUNTIF('SAÍDA DE VENDAS'!$B$6:$B$500, B1457)&gt;1, " + " &amp; IFERROR(INDEX('SAÍDA DE VENDAS'!$H$6:$H$500 &amp; "x " &amp; 'SAÍDA DE VENDAS'!$G$6:$G$500, MATCH(B1457, 'SAÍDA DE VENDAS'!$B$6:$B$500, 0)+1), ""), "")&amp; IF(COUNTIF('SAÍDA DE VENDAS'!$B$6:$B$500, B1457)&gt;2, " + " &amp; IFERROR(INDEX('SAÍDA DE VENDAS'!$H$6:$H$500 &amp; "x " &amp; 'SAÍDA DE VENDAS'!$G$6:$G$500, MATCH(B1457, 'SAÍDA DE VENDAS'!$B$6:$B$500, 0)+2), ""), "")&amp; IF(COUNTIF('SAÍDA DE VENDAS'!$B$6:$B$500, B1457)&gt;3, " + " &amp; IFERROR(INDEX('SAÍDA DE VENDAS'!$H$6:$H$500 &amp; "x " &amp; 'SAÍDA DE VENDAS'!$G$6:$G$500, MATCH(B1457, 'SAÍDA DE VENDAS'!$B$6:$B$500, 0)+3), ""), "")&amp; IF(COUNTIF('SAÍDA DE VENDAS'!$B$6:$B$500, B1457)&gt;4, " + " &amp; IFERROR(INDEX('SAÍDA DE VENDAS'!$H$6:$H$500 &amp; "x " &amp; 'SAÍDA DE VENDAS'!$G$6:$G$500, MATCH(B1457, 'SAÍDA DE VENDAS'!$B$6:$B$500, 0)+4), ""), "")&amp; IF(COUNTIF('SAÍDA DE VENDAS'!$B$6:$B$500, B1457)&gt;5, " + " &amp; IFERROR(INDEX('SAÍDA DE VENDAS'!$H$6:$H$500 &amp; "x " &amp; 'SAÍDA DE VENDAS'!$G$6:$G$500, MATCH(B1457, 'SAÍDA DE VENDAS'!$B$6:$B$500, 0)+5), ""), ""))</f>
        <v/>
      </c>
      <c r="G1457" s="34">
        <f>IFERROR(VLOOKUP(B1457,'SAÍDA DE VENDAS'!$B$6:$P$500,10,FALSE),"")</f>
        <v>0</v>
      </c>
      <c r="H1457" s="34" t="str">
        <f>IF(OR(ISBLANK(B1457),B1457=""), "", IF(B1457=B1456, (VALUE(LEFT(H1456,FIND("/",H1456)-1))+1)&amp;"/"&amp;RIGHT(H1456,LEN(H1456)-FIND("/",H1456)), "1/"&amp;IFERROR(VLOOKUP(B1457,'SAÍDA DE VENDAS'!$B$6:$P$500,13,FALSE),"1")))</f>
        <v/>
      </c>
      <c r="I1457" s="35" t="str">
        <f t="shared" si="44"/>
        <v/>
      </c>
      <c r="J1457" s="39" t="str">
        <f>IFERROR(VLOOKUP(B1457,'SAÍDA DE VENDAS'!$B$6:$P$500,15,FALSE),"")</f>
        <v/>
      </c>
      <c r="K1457" s="34" t="str">
        <f t="shared" ca="1" si="45"/>
        <v/>
      </c>
      <c r="L1457" s="34"/>
      <c r="M1457" s="34"/>
    </row>
    <row r="1458" spans="2:13" ht="15" customHeight="1" x14ac:dyDescent="0.3">
      <c r="B1458" s="28" t="str">
        <f>IF(B1457="","", IF(VALUE(LEFT(H1457,FIND("/",H1457)-1)) &lt; VALUE(RIGHT(H1457,LEN(H1457)-FIND("/",H1457))), B1457, IFERROR(INDEX('SAÍDA DE VENDAS'!$B$6:$B$500, MATCH(B1457,'SAÍDA DE VENDAS'!$B$6:$B$500,0)+COUNTIF('SAÍDA DE VENDAS'!$B$6:$B$500, B1457)),"")))</f>
        <v/>
      </c>
      <c r="C1458" s="29">
        <f>IFERROR(VLOOKUP(B1458,'SAÍDA DE VENDAS'!$B$6:$P$500,3,FALSE),"")</f>
        <v>0</v>
      </c>
      <c r="D1458" s="28">
        <f>IFERROR(VLOOKUP(B1458,'SAÍDA DE VENDAS'!$B$6:$P$500,4,FALSE),"")</f>
        <v>0</v>
      </c>
      <c r="E1458" s="28" t="str">
        <f>IFERROR(VLOOKUP(B1458,'SAÍDA DE VENDAS'!$B$6:$P$500,5,FALSE),"")</f>
        <v/>
      </c>
      <c r="F1458" s="28" t="str">
        <f>IF(OR(ISBLANK(B1458),B1458=""), "", IFERROR(INDEX('SAÍDA DE VENDAS'!$H$6:$H$500 &amp; "x " &amp; 'SAÍDA DE VENDAS'!$G$6:$G$500, MATCH(B1458, 'SAÍDA DE VENDAS'!$B$6:$B$500, 0)), "")&amp; IF(COUNTIF('SAÍDA DE VENDAS'!$B$6:$B$500, B1458)&gt;1, " + " &amp; IFERROR(INDEX('SAÍDA DE VENDAS'!$H$6:$H$500 &amp; "x " &amp; 'SAÍDA DE VENDAS'!$G$6:$G$500, MATCH(B1458, 'SAÍDA DE VENDAS'!$B$6:$B$500, 0)+1), ""), "")&amp; IF(COUNTIF('SAÍDA DE VENDAS'!$B$6:$B$500, B1458)&gt;2, " + " &amp; IFERROR(INDEX('SAÍDA DE VENDAS'!$H$6:$H$500 &amp; "x " &amp; 'SAÍDA DE VENDAS'!$G$6:$G$500, MATCH(B1458, 'SAÍDA DE VENDAS'!$B$6:$B$500, 0)+2), ""), "")&amp; IF(COUNTIF('SAÍDA DE VENDAS'!$B$6:$B$500, B1458)&gt;3, " + " &amp; IFERROR(INDEX('SAÍDA DE VENDAS'!$H$6:$H$500 &amp; "x " &amp; 'SAÍDA DE VENDAS'!$G$6:$G$500, MATCH(B1458, 'SAÍDA DE VENDAS'!$B$6:$B$500, 0)+3), ""), "")&amp; IF(COUNTIF('SAÍDA DE VENDAS'!$B$6:$B$500, B1458)&gt;4, " + " &amp; IFERROR(INDEX('SAÍDA DE VENDAS'!$H$6:$H$500 &amp; "x " &amp; 'SAÍDA DE VENDAS'!$G$6:$G$500, MATCH(B1458, 'SAÍDA DE VENDAS'!$B$6:$B$500, 0)+4), ""), "")&amp; IF(COUNTIF('SAÍDA DE VENDAS'!$B$6:$B$500, B1458)&gt;5, " + " &amp; IFERROR(INDEX('SAÍDA DE VENDAS'!$H$6:$H$500 &amp; "x " &amp; 'SAÍDA DE VENDAS'!$G$6:$G$500, MATCH(B1458, 'SAÍDA DE VENDAS'!$B$6:$B$500, 0)+5), ""), ""))</f>
        <v/>
      </c>
      <c r="G1458" s="28">
        <f>IFERROR(VLOOKUP(B1458,'SAÍDA DE VENDAS'!$B$6:$P$500,10,FALSE),"")</f>
        <v>0</v>
      </c>
      <c r="H1458" s="28" t="str">
        <f>IF(OR(ISBLANK(B1458),B1458=""), "", IF(B1458=B1457, (VALUE(LEFT(H1457,FIND("/",H1457)-1))+1)&amp;"/"&amp;RIGHT(H1457,LEN(H1457)-FIND("/",H1457)), "1/"&amp;IFERROR(VLOOKUP(B1458,'SAÍDA DE VENDAS'!$B$6:$P$500,13,FALSE),"1")))</f>
        <v/>
      </c>
      <c r="I1458" s="69" t="str">
        <f t="shared" si="44"/>
        <v/>
      </c>
      <c r="J1458" s="33" t="str">
        <f>IFERROR(VLOOKUP(B1458,'SAÍDA DE VENDAS'!$B$6:$P$500,15,FALSE),"")</f>
        <v/>
      </c>
      <c r="K1458" s="28" t="str">
        <f t="shared" ca="1" si="45"/>
        <v/>
      </c>
      <c r="L1458" s="28"/>
      <c r="M1458" s="28"/>
    </row>
    <row r="1459" spans="2:13" ht="15" customHeight="1" x14ac:dyDescent="0.3">
      <c r="B1459" s="34" t="str">
        <f>IF(B1458="","", IF(VALUE(LEFT(H1458,FIND("/",H1458)-1)) &lt; VALUE(RIGHT(H1458,LEN(H1458)-FIND("/",H1458))), B1458, IFERROR(INDEX('SAÍDA DE VENDAS'!$B$6:$B$500, MATCH(B1458,'SAÍDA DE VENDAS'!$B$6:$B$500,0)+COUNTIF('SAÍDA DE VENDAS'!$B$6:$B$500, B1458)),"")))</f>
        <v/>
      </c>
      <c r="C1459" s="35">
        <f>IFERROR(VLOOKUP(B1459,'SAÍDA DE VENDAS'!$B$6:$P$500,3,FALSE),"")</f>
        <v>0</v>
      </c>
      <c r="D1459" s="34">
        <f>IFERROR(VLOOKUP(B1459,'SAÍDA DE VENDAS'!$B$6:$P$500,4,FALSE),"")</f>
        <v>0</v>
      </c>
      <c r="E1459" s="34" t="str">
        <f>IFERROR(VLOOKUP(B1459,'SAÍDA DE VENDAS'!$B$6:$P$500,5,FALSE),"")</f>
        <v/>
      </c>
      <c r="F1459" s="34" t="str">
        <f>IF(OR(ISBLANK(B1459),B1459=""), "", IFERROR(INDEX('SAÍDA DE VENDAS'!$H$6:$H$500 &amp; "x " &amp; 'SAÍDA DE VENDAS'!$G$6:$G$500, MATCH(B1459, 'SAÍDA DE VENDAS'!$B$6:$B$500, 0)), "")&amp; IF(COUNTIF('SAÍDA DE VENDAS'!$B$6:$B$500, B1459)&gt;1, " + " &amp; IFERROR(INDEX('SAÍDA DE VENDAS'!$H$6:$H$500 &amp; "x " &amp; 'SAÍDA DE VENDAS'!$G$6:$G$500, MATCH(B1459, 'SAÍDA DE VENDAS'!$B$6:$B$500, 0)+1), ""), "")&amp; IF(COUNTIF('SAÍDA DE VENDAS'!$B$6:$B$500, B1459)&gt;2, " + " &amp; IFERROR(INDEX('SAÍDA DE VENDAS'!$H$6:$H$500 &amp; "x " &amp; 'SAÍDA DE VENDAS'!$G$6:$G$500, MATCH(B1459, 'SAÍDA DE VENDAS'!$B$6:$B$500, 0)+2), ""), "")&amp; IF(COUNTIF('SAÍDA DE VENDAS'!$B$6:$B$500, B1459)&gt;3, " + " &amp; IFERROR(INDEX('SAÍDA DE VENDAS'!$H$6:$H$500 &amp; "x " &amp; 'SAÍDA DE VENDAS'!$G$6:$G$500, MATCH(B1459, 'SAÍDA DE VENDAS'!$B$6:$B$500, 0)+3), ""), "")&amp; IF(COUNTIF('SAÍDA DE VENDAS'!$B$6:$B$500, B1459)&gt;4, " + " &amp; IFERROR(INDEX('SAÍDA DE VENDAS'!$H$6:$H$500 &amp; "x " &amp; 'SAÍDA DE VENDAS'!$G$6:$G$500, MATCH(B1459, 'SAÍDA DE VENDAS'!$B$6:$B$500, 0)+4), ""), "")&amp; IF(COUNTIF('SAÍDA DE VENDAS'!$B$6:$B$500, B1459)&gt;5, " + " &amp; IFERROR(INDEX('SAÍDA DE VENDAS'!$H$6:$H$500 &amp; "x " &amp; 'SAÍDA DE VENDAS'!$G$6:$G$500, MATCH(B1459, 'SAÍDA DE VENDAS'!$B$6:$B$500, 0)+5), ""), ""))</f>
        <v/>
      </c>
      <c r="G1459" s="34">
        <f>IFERROR(VLOOKUP(B1459,'SAÍDA DE VENDAS'!$B$6:$P$500,10,FALSE),"")</f>
        <v>0</v>
      </c>
      <c r="H1459" s="34" t="str">
        <f>IF(OR(ISBLANK(B1459),B1459=""), "", IF(B1459=B1458, (VALUE(LEFT(H1458,FIND("/",H1458)-1))+1)&amp;"/"&amp;RIGHT(H1458,LEN(H1458)-FIND("/",H1458)), "1/"&amp;IFERROR(VLOOKUP(B1459,'SAÍDA DE VENDAS'!$B$6:$P$500,13,FALSE),"1")))</f>
        <v/>
      </c>
      <c r="I1459" s="35" t="str">
        <f t="shared" si="44"/>
        <v/>
      </c>
      <c r="J1459" s="39" t="str">
        <f>IFERROR(VLOOKUP(B1459,'SAÍDA DE VENDAS'!$B$6:$P$500,15,FALSE),"")</f>
        <v/>
      </c>
      <c r="K1459" s="34" t="str">
        <f t="shared" ca="1" si="45"/>
        <v/>
      </c>
      <c r="L1459" s="34"/>
      <c r="M1459" s="34"/>
    </row>
    <row r="1460" spans="2:13" ht="15" customHeight="1" x14ac:dyDescent="0.3">
      <c r="B1460" s="28" t="str">
        <f>IF(B1459="","", IF(VALUE(LEFT(H1459,FIND("/",H1459)-1)) &lt; VALUE(RIGHT(H1459,LEN(H1459)-FIND("/",H1459))), B1459, IFERROR(INDEX('SAÍDA DE VENDAS'!$B$6:$B$500, MATCH(B1459,'SAÍDA DE VENDAS'!$B$6:$B$500,0)+COUNTIF('SAÍDA DE VENDAS'!$B$6:$B$500, B1459)),"")))</f>
        <v/>
      </c>
      <c r="C1460" s="29">
        <f>IFERROR(VLOOKUP(B1460,'SAÍDA DE VENDAS'!$B$6:$P$500,3,FALSE),"")</f>
        <v>0</v>
      </c>
      <c r="D1460" s="28">
        <f>IFERROR(VLOOKUP(B1460,'SAÍDA DE VENDAS'!$B$6:$P$500,4,FALSE),"")</f>
        <v>0</v>
      </c>
      <c r="E1460" s="28" t="str">
        <f>IFERROR(VLOOKUP(B1460,'SAÍDA DE VENDAS'!$B$6:$P$500,5,FALSE),"")</f>
        <v/>
      </c>
      <c r="F1460" s="28" t="str">
        <f>IF(OR(ISBLANK(B1460),B1460=""), "", IFERROR(INDEX('SAÍDA DE VENDAS'!$H$6:$H$500 &amp; "x " &amp; 'SAÍDA DE VENDAS'!$G$6:$G$500, MATCH(B1460, 'SAÍDA DE VENDAS'!$B$6:$B$500, 0)), "")&amp; IF(COUNTIF('SAÍDA DE VENDAS'!$B$6:$B$500, B1460)&gt;1, " + " &amp; IFERROR(INDEX('SAÍDA DE VENDAS'!$H$6:$H$500 &amp; "x " &amp; 'SAÍDA DE VENDAS'!$G$6:$G$500, MATCH(B1460, 'SAÍDA DE VENDAS'!$B$6:$B$500, 0)+1), ""), "")&amp; IF(COUNTIF('SAÍDA DE VENDAS'!$B$6:$B$500, B1460)&gt;2, " + " &amp; IFERROR(INDEX('SAÍDA DE VENDAS'!$H$6:$H$500 &amp; "x " &amp; 'SAÍDA DE VENDAS'!$G$6:$G$500, MATCH(B1460, 'SAÍDA DE VENDAS'!$B$6:$B$500, 0)+2), ""), "")&amp; IF(COUNTIF('SAÍDA DE VENDAS'!$B$6:$B$500, B1460)&gt;3, " + " &amp; IFERROR(INDEX('SAÍDA DE VENDAS'!$H$6:$H$500 &amp; "x " &amp; 'SAÍDA DE VENDAS'!$G$6:$G$500, MATCH(B1460, 'SAÍDA DE VENDAS'!$B$6:$B$500, 0)+3), ""), "")&amp; IF(COUNTIF('SAÍDA DE VENDAS'!$B$6:$B$500, B1460)&gt;4, " + " &amp; IFERROR(INDEX('SAÍDA DE VENDAS'!$H$6:$H$500 &amp; "x " &amp; 'SAÍDA DE VENDAS'!$G$6:$G$500, MATCH(B1460, 'SAÍDA DE VENDAS'!$B$6:$B$500, 0)+4), ""), "")&amp; IF(COUNTIF('SAÍDA DE VENDAS'!$B$6:$B$500, B1460)&gt;5, " + " &amp; IFERROR(INDEX('SAÍDA DE VENDAS'!$H$6:$H$500 &amp; "x " &amp; 'SAÍDA DE VENDAS'!$G$6:$G$500, MATCH(B1460, 'SAÍDA DE VENDAS'!$B$6:$B$500, 0)+5), ""), ""))</f>
        <v/>
      </c>
      <c r="G1460" s="28">
        <f>IFERROR(VLOOKUP(B1460,'SAÍDA DE VENDAS'!$B$6:$P$500,10,FALSE),"")</f>
        <v>0</v>
      </c>
      <c r="H1460" s="28" t="str">
        <f>IF(OR(ISBLANK(B1460),B1460=""), "", IF(B1460=B1459, (VALUE(LEFT(H1459,FIND("/",H1459)-1))+1)&amp;"/"&amp;RIGHT(H1459,LEN(H1459)-FIND("/",H1459)), "1/"&amp;IFERROR(VLOOKUP(B1460,'SAÍDA DE VENDAS'!$B$6:$P$500,13,FALSE),"1")))</f>
        <v/>
      </c>
      <c r="I1460" s="69" t="str">
        <f t="shared" si="44"/>
        <v/>
      </c>
      <c r="J1460" s="33" t="str">
        <f>IFERROR(VLOOKUP(B1460,'SAÍDA DE VENDAS'!$B$6:$P$500,15,FALSE),"")</f>
        <v/>
      </c>
      <c r="K1460" s="28" t="str">
        <f t="shared" ca="1" si="45"/>
        <v/>
      </c>
      <c r="L1460" s="28"/>
      <c r="M1460" s="28"/>
    </row>
    <row r="1461" spans="2:13" ht="15" customHeight="1" x14ac:dyDescent="0.3">
      <c r="B1461" s="34" t="str">
        <f>IF(B1460="","", IF(VALUE(LEFT(H1460,FIND("/",H1460)-1)) &lt; VALUE(RIGHT(H1460,LEN(H1460)-FIND("/",H1460))), B1460, IFERROR(INDEX('SAÍDA DE VENDAS'!$B$6:$B$500, MATCH(B1460,'SAÍDA DE VENDAS'!$B$6:$B$500,0)+COUNTIF('SAÍDA DE VENDAS'!$B$6:$B$500, B1460)),"")))</f>
        <v/>
      </c>
      <c r="C1461" s="35">
        <f>IFERROR(VLOOKUP(B1461,'SAÍDA DE VENDAS'!$B$6:$P$500,3,FALSE),"")</f>
        <v>0</v>
      </c>
      <c r="D1461" s="34">
        <f>IFERROR(VLOOKUP(B1461,'SAÍDA DE VENDAS'!$B$6:$P$500,4,FALSE),"")</f>
        <v>0</v>
      </c>
      <c r="E1461" s="34" t="str">
        <f>IFERROR(VLOOKUP(B1461,'SAÍDA DE VENDAS'!$B$6:$P$500,5,FALSE),"")</f>
        <v/>
      </c>
      <c r="F1461" s="34" t="str">
        <f>IF(OR(ISBLANK(B1461),B1461=""), "", IFERROR(INDEX('SAÍDA DE VENDAS'!$H$6:$H$500 &amp; "x " &amp; 'SAÍDA DE VENDAS'!$G$6:$G$500, MATCH(B1461, 'SAÍDA DE VENDAS'!$B$6:$B$500, 0)), "")&amp; IF(COUNTIF('SAÍDA DE VENDAS'!$B$6:$B$500, B1461)&gt;1, " + " &amp; IFERROR(INDEX('SAÍDA DE VENDAS'!$H$6:$H$500 &amp; "x " &amp; 'SAÍDA DE VENDAS'!$G$6:$G$500, MATCH(B1461, 'SAÍDA DE VENDAS'!$B$6:$B$500, 0)+1), ""), "")&amp; IF(COUNTIF('SAÍDA DE VENDAS'!$B$6:$B$500, B1461)&gt;2, " + " &amp; IFERROR(INDEX('SAÍDA DE VENDAS'!$H$6:$H$500 &amp; "x " &amp; 'SAÍDA DE VENDAS'!$G$6:$G$500, MATCH(B1461, 'SAÍDA DE VENDAS'!$B$6:$B$500, 0)+2), ""), "")&amp; IF(COUNTIF('SAÍDA DE VENDAS'!$B$6:$B$500, B1461)&gt;3, " + " &amp; IFERROR(INDEX('SAÍDA DE VENDAS'!$H$6:$H$500 &amp; "x " &amp; 'SAÍDA DE VENDAS'!$G$6:$G$500, MATCH(B1461, 'SAÍDA DE VENDAS'!$B$6:$B$500, 0)+3), ""), "")&amp; IF(COUNTIF('SAÍDA DE VENDAS'!$B$6:$B$500, B1461)&gt;4, " + " &amp; IFERROR(INDEX('SAÍDA DE VENDAS'!$H$6:$H$500 &amp; "x " &amp; 'SAÍDA DE VENDAS'!$G$6:$G$500, MATCH(B1461, 'SAÍDA DE VENDAS'!$B$6:$B$500, 0)+4), ""), "")&amp; IF(COUNTIF('SAÍDA DE VENDAS'!$B$6:$B$500, B1461)&gt;5, " + " &amp; IFERROR(INDEX('SAÍDA DE VENDAS'!$H$6:$H$500 &amp; "x " &amp; 'SAÍDA DE VENDAS'!$G$6:$G$500, MATCH(B1461, 'SAÍDA DE VENDAS'!$B$6:$B$500, 0)+5), ""), ""))</f>
        <v/>
      </c>
      <c r="G1461" s="34">
        <f>IFERROR(VLOOKUP(B1461,'SAÍDA DE VENDAS'!$B$6:$P$500,10,FALSE),"")</f>
        <v>0</v>
      </c>
      <c r="H1461" s="34" t="str">
        <f>IF(OR(ISBLANK(B1461),B1461=""), "", IF(B1461=B1460, (VALUE(LEFT(H1460,FIND("/",H1460)-1))+1)&amp;"/"&amp;RIGHT(H1460,LEN(H1460)-FIND("/",H1460)), "1/"&amp;IFERROR(VLOOKUP(B1461,'SAÍDA DE VENDAS'!$B$6:$P$500,13,FALSE),"1")))</f>
        <v/>
      </c>
      <c r="I1461" s="35" t="str">
        <f t="shared" si="44"/>
        <v/>
      </c>
      <c r="J1461" s="39" t="str">
        <f>IFERROR(VLOOKUP(B1461,'SAÍDA DE VENDAS'!$B$6:$P$500,15,FALSE),"")</f>
        <v/>
      </c>
      <c r="K1461" s="34" t="str">
        <f t="shared" ca="1" si="45"/>
        <v/>
      </c>
      <c r="L1461" s="34"/>
      <c r="M1461" s="34"/>
    </row>
    <row r="1462" spans="2:13" ht="15" customHeight="1" x14ac:dyDescent="0.3">
      <c r="B1462" s="28" t="str">
        <f>IF(B1461="","", IF(VALUE(LEFT(H1461,FIND("/",H1461)-1)) &lt; VALUE(RIGHT(H1461,LEN(H1461)-FIND("/",H1461))), B1461, IFERROR(INDEX('SAÍDA DE VENDAS'!$B$6:$B$500, MATCH(B1461,'SAÍDA DE VENDAS'!$B$6:$B$500,0)+COUNTIF('SAÍDA DE VENDAS'!$B$6:$B$500, B1461)),"")))</f>
        <v/>
      </c>
      <c r="C1462" s="29">
        <f>IFERROR(VLOOKUP(B1462,'SAÍDA DE VENDAS'!$B$6:$P$500,3,FALSE),"")</f>
        <v>0</v>
      </c>
      <c r="D1462" s="28">
        <f>IFERROR(VLOOKUP(B1462,'SAÍDA DE VENDAS'!$B$6:$P$500,4,FALSE),"")</f>
        <v>0</v>
      </c>
      <c r="E1462" s="28" t="str">
        <f>IFERROR(VLOOKUP(B1462,'SAÍDA DE VENDAS'!$B$6:$P$500,5,FALSE),"")</f>
        <v/>
      </c>
      <c r="F1462" s="28" t="str">
        <f>IF(OR(ISBLANK(B1462),B1462=""), "", IFERROR(INDEX('SAÍDA DE VENDAS'!$H$6:$H$500 &amp; "x " &amp; 'SAÍDA DE VENDAS'!$G$6:$G$500, MATCH(B1462, 'SAÍDA DE VENDAS'!$B$6:$B$500, 0)), "")&amp; IF(COUNTIF('SAÍDA DE VENDAS'!$B$6:$B$500, B1462)&gt;1, " + " &amp; IFERROR(INDEX('SAÍDA DE VENDAS'!$H$6:$H$500 &amp; "x " &amp; 'SAÍDA DE VENDAS'!$G$6:$G$500, MATCH(B1462, 'SAÍDA DE VENDAS'!$B$6:$B$500, 0)+1), ""), "")&amp; IF(COUNTIF('SAÍDA DE VENDAS'!$B$6:$B$500, B1462)&gt;2, " + " &amp; IFERROR(INDEX('SAÍDA DE VENDAS'!$H$6:$H$500 &amp; "x " &amp; 'SAÍDA DE VENDAS'!$G$6:$G$500, MATCH(B1462, 'SAÍDA DE VENDAS'!$B$6:$B$500, 0)+2), ""), "")&amp; IF(COUNTIF('SAÍDA DE VENDAS'!$B$6:$B$500, B1462)&gt;3, " + " &amp; IFERROR(INDEX('SAÍDA DE VENDAS'!$H$6:$H$500 &amp; "x " &amp; 'SAÍDA DE VENDAS'!$G$6:$G$500, MATCH(B1462, 'SAÍDA DE VENDAS'!$B$6:$B$500, 0)+3), ""), "")&amp; IF(COUNTIF('SAÍDA DE VENDAS'!$B$6:$B$500, B1462)&gt;4, " + " &amp; IFERROR(INDEX('SAÍDA DE VENDAS'!$H$6:$H$500 &amp; "x " &amp; 'SAÍDA DE VENDAS'!$G$6:$G$500, MATCH(B1462, 'SAÍDA DE VENDAS'!$B$6:$B$500, 0)+4), ""), "")&amp; IF(COUNTIF('SAÍDA DE VENDAS'!$B$6:$B$500, B1462)&gt;5, " + " &amp; IFERROR(INDEX('SAÍDA DE VENDAS'!$H$6:$H$500 &amp; "x " &amp; 'SAÍDA DE VENDAS'!$G$6:$G$500, MATCH(B1462, 'SAÍDA DE VENDAS'!$B$6:$B$500, 0)+5), ""), ""))</f>
        <v/>
      </c>
      <c r="G1462" s="28">
        <f>IFERROR(VLOOKUP(B1462,'SAÍDA DE VENDAS'!$B$6:$P$500,10,FALSE),"")</f>
        <v>0</v>
      </c>
      <c r="H1462" s="28" t="str">
        <f>IF(OR(ISBLANK(B1462),B1462=""), "", IF(B1462=B1461, (VALUE(LEFT(H1461,FIND("/",H1461)-1))+1)&amp;"/"&amp;RIGHT(H1461,LEN(H1461)-FIND("/",H1461)), "1/"&amp;IFERROR(VLOOKUP(B1462,'SAÍDA DE VENDAS'!$B$6:$P$500,13,FALSE),"1")))</f>
        <v/>
      </c>
      <c r="I1462" s="69" t="str">
        <f t="shared" si="44"/>
        <v/>
      </c>
      <c r="J1462" s="33" t="str">
        <f>IFERROR(VLOOKUP(B1462,'SAÍDA DE VENDAS'!$B$6:$P$500,15,FALSE),"")</f>
        <v/>
      </c>
      <c r="K1462" s="28" t="str">
        <f t="shared" ca="1" si="45"/>
        <v/>
      </c>
      <c r="L1462" s="28"/>
      <c r="M1462" s="28"/>
    </row>
    <row r="1463" spans="2:13" ht="15" customHeight="1" x14ac:dyDescent="0.3">
      <c r="B1463" s="34" t="str">
        <f>IF(B1462="","", IF(VALUE(LEFT(H1462,FIND("/",H1462)-1)) &lt; VALUE(RIGHT(H1462,LEN(H1462)-FIND("/",H1462))), B1462, IFERROR(INDEX('SAÍDA DE VENDAS'!$B$6:$B$500, MATCH(B1462,'SAÍDA DE VENDAS'!$B$6:$B$500,0)+COUNTIF('SAÍDA DE VENDAS'!$B$6:$B$500, B1462)),"")))</f>
        <v/>
      </c>
      <c r="C1463" s="35">
        <f>IFERROR(VLOOKUP(B1463,'SAÍDA DE VENDAS'!$B$6:$P$500,3,FALSE),"")</f>
        <v>0</v>
      </c>
      <c r="D1463" s="34">
        <f>IFERROR(VLOOKUP(B1463,'SAÍDA DE VENDAS'!$B$6:$P$500,4,FALSE),"")</f>
        <v>0</v>
      </c>
      <c r="E1463" s="34" t="str">
        <f>IFERROR(VLOOKUP(B1463,'SAÍDA DE VENDAS'!$B$6:$P$500,5,FALSE),"")</f>
        <v/>
      </c>
      <c r="F1463" s="34" t="str">
        <f>IF(OR(ISBLANK(B1463),B1463=""), "", IFERROR(INDEX('SAÍDA DE VENDAS'!$H$6:$H$500 &amp; "x " &amp; 'SAÍDA DE VENDAS'!$G$6:$G$500, MATCH(B1463, 'SAÍDA DE VENDAS'!$B$6:$B$500, 0)), "")&amp; IF(COUNTIF('SAÍDA DE VENDAS'!$B$6:$B$500, B1463)&gt;1, " + " &amp; IFERROR(INDEX('SAÍDA DE VENDAS'!$H$6:$H$500 &amp; "x " &amp; 'SAÍDA DE VENDAS'!$G$6:$G$500, MATCH(B1463, 'SAÍDA DE VENDAS'!$B$6:$B$500, 0)+1), ""), "")&amp; IF(COUNTIF('SAÍDA DE VENDAS'!$B$6:$B$500, B1463)&gt;2, " + " &amp; IFERROR(INDEX('SAÍDA DE VENDAS'!$H$6:$H$500 &amp; "x " &amp; 'SAÍDA DE VENDAS'!$G$6:$G$500, MATCH(B1463, 'SAÍDA DE VENDAS'!$B$6:$B$500, 0)+2), ""), "")&amp; IF(COUNTIF('SAÍDA DE VENDAS'!$B$6:$B$500, B1463)&gt;3, " + " &amp; IFERROR(INDEX('SAÍDA DE VENDAS'!$H$6:$H$500 &amp; "x " &amp; 'SAÍDA DE VENDAS'!$G$6:$G$500, MATCH(B1463, 'SAÍDA DE VENDAS'!$B$6:$B$500, 0)+3), ""), "")&amp; IF(COUNTIF('SAÍDA DE VENDAS'!$B$6:$B$500, B1463)&gt;4, " + " &amp; IFERROR(INDEX('SAÍDA DE VENDAS'!$H$6:$H$500 &amp; "x " &amp; 'SAÍDA DE VENDAS'!$G$6:$G$500, MATCH(B1463, 'SAÍDA DE VENDAS'!$B$6:$B$500, 0)+4), ""), "")&amp; IF(COUNTIF('SAÍDA DE VENDAS'!$B$6:$B$500, B1463)&gt;5, " + " &amp; IFERROR(INDEX('SAÍDA DE VENDAS'!$H$6:$H$500 &amp; "x " &amp; 'SAÍDA DE VENDAS'!$G$6:$G$500, MATCH(B1463, 'SAÍDA DE VENDAS'!$B$6:$B$500, 0)+5), ""), ""))</f>
        <v/>
      </c>
      <c r="G1463" s="34">
        <f>IFERROR(VLOOKUP(B1463,'SAÍDA DE VENDAS'!$B$6:$P$500,10,FALSE),"")</f>
        <v>0</v>
      </c>
      <c r="H1463" s="34" t="str">
        <f>IF(OR(ISBLANK(B1463),B1463=""), "", IF(B1463=B1462, (VALUE(LEFT(H1462,FIND("/",H1462)-1))+1)&amp;"/"&amp;RIGHT(H1462,LEN(H1462)-FIND("/",H1462)), "1/"&amp;IFERROR(VLOOKUP(B1463,'SAÍDA DE VENDAS'!$B$6:$P$500,13,FALSE),"1")))</f>
        <v/>
      </c>
      <c r="I1463" s="35" t="str">
        <f t="shared" si="44"/>
        <v/>
      </c>
      <c r="J1463" s="39" t="str">
        <f>IFERROR(VLOOKUP(B1463,'SAÍDA DE VENDAS'!$B$6:$P$500,15,FALSE),"")</f>
        <v/>
      </c>
      <c r="K1463" s="34" t="str">
        <f t="shared" ca="1" si="45"/>
        <v/>
      </c>
      <c r="L1463" s="34"/>
      <c r="M1463" s="34"/>
    </row>
    <row r="1464" spans="2:13" ht="15" customHeight="1" x14ac:dyDescent="0.3">
      <c r="B1464" s="28" t="str">
        <f>IF(B1463="","", IF(VALUE(LEFT(H1463,FIND("/",H1463)-1)) &lt; VALUE(RIGHT(H1463,LEN(H1463)-FIND("/",H1463))), B1463, IFERROR(INDEX('SAÍDA DE VENDAS'!$B$6:$B$500, MATCH(B1463,'SAÍDA DE VENDAS'!$B$6:$B$500,0)+COUNTIF('SAÍDA DE VENDAS'!$B$6:$B$500, B1463)),"")))</f>
        <v/>
      </c>
      <c r="C1464" s="29">
        <f>IFERROR(VLOOKUP(B1464,'SAÍDA DE VENDAS'!$B$6:$P$500,3,FALSE),"")</f>
        <v>0</v>
      </c>
      <c r="D1464" s="28">
        <f>IFERROR(VLOOKUP(B1464,'SAÍDA DE VENDAS'!$B$6:$P$500,4,FALSE),"")</f>
        <v>0</v>
      </c>
      <c r="E1464" s="28" t="str">
        <f>IFERROR(VLOOKUP(B1464,'SAÍDA DE VENDAS'!$B$6:$P$500,5,FALSE),"")</f>
        <v/>
      </c>
      <c r="F1464" s="28" t="str">
        <f>IF(OR(ISBLANK(B1464),B1464=""), "", IFERROR(INDEX('SAÍDA DE VENDAS'!$H$6:$H$500 &amp; "x " &amp; 'SAÍDA DE VENDAS'!$G$6:$G$500, MATCH(B1464, 'SAÍDA DE VENDAS'!$B$6:$B$500, 0)), "")&amp; IF(COUNTIF('SAÍDA DE VENDAS'!$B$6:$B$500, B1464)&gt;1, " + " &amp; IFERROR(INDEX('SAÍDA DE VENDAS'!$H$6:$H$500 &amp; "x " &amp; 'SAÍDA DE VENDAS'!$G$6:$G$500, MATCH(B1464, 'SAÍDA DE VENDAS'!$B$6:$B$500, 0)+1), ""), "")&amp; IF(COUNTIF('SAÍDA DE VENDAS'!$B$6:$B$500, B1464)&gt;2, " + " &amp; IFERROR(INDEX('SAÍDA DE VENDAS'!$H$6:$H$500 &amp; "x " &amp; 'SAÍDA DE VENDAS'!$G$6:$G$500, MATCH(B1464, 'SAÍDA DE VENDAS'!$B$6:$B$500, 0)+2), ""), "")&amp; IF(COUNTIF('SAÍDA DE VENDAS'!$B$6:$B$500, B1464)&gt;3, " + " &amp; IFERROR(INDEX('SAÍDA DE VENDAS'!$H$6:$H$500 &amp; "x " &amp; 'SAÍDA DE VENDAS'!$G$6:$G$500, MATCH(B1464, 'SAÍDA DE VENDAS'!$B$6:$B$500, 0)+3), ""), "")&amp; IF(COUNTIF('SAÍDA DE VENDAS'!$B$6:$B$500, B1464)&gt;4, " + " &amp; IFERROR(INDEX('SAÍDA DE VENDAS'!$H$6:$H$500 &amp; "x " &amp; 'SAÍDA DE VENDAS'!$G$6:$G$500, MATCH(B1464, 'SAÍDA DE VENDAS'!$B$6:$B$500, 0)+4), ""), "")&amp; IF(COUNTIF('SAÍDA DE VENDAS'!$B$6:$B$500, B1464)&gt;5, " + " &amp; IFERROR(INDEX('SAÍDA DE VENDAS'!$H$6:$H$500 &amp; "x " &amp; 'SAÍDA DE VENDAS'!$G$6:$G$500, MATCH(B1464, 'SAÍDA DE VENDAS'!$B$6:$B$500, 0)+5), ""), ""))</f>
        <v/>
      </c>
      <c r="G1464" s="28">
        <f>IFERROR(VLOOKUP(B1464,'SAÍDA DE VENDAS'!$B$6:$P$500,10,FALSE),"")</f>
        <v>0</v>
      </c>
      <c r="H1464" s="28" t="str">
        <f>IF(OR(ISBLANK(B1464),B1464=""), "", IF(B1464=B1463, (VALUE(LEFT(H1463,FIND("/",H1463)-1))+1)&amp;"/"&amp;RIGHT(H1463,LEN(H1463)-FIND("/",H1463)), "1/"&amp;IFERROR(VLOOKUP(B1464,'SAÍDA DE VENDAS'!$B$6:$P$500,13,FALSE),"1")))</f>
        <v/>
      </c>
      <c r="I1464" s="69" t="str">
        <f t="shared" si="44"/>
        <v/>
      </c>
      <c r="J1464" s="33" t="str">
        <f>IFERROR(VLOOKUP(B1464,'SAÍDA DE VENDAS'!$B$6:$P$500,15,FALSE),"")</f>
        <v/>
      </c>
      <c r="K1464" s="28" t="str">
        <f t="shared" ca="1" si="45"/>
        <v/>
      </c>
      <c r="L1464" s="28"/>
      <c r="M1464" s="28"/>
    </row>
    <row r="1465" spans="2:13" ht="15" customHeight="1" x14ac:dyDescent="0.3">
      <c r="B1465" s="34" t="str">
        <f>IF(B1464="","", IF(VALUE(LEFT(H1464,FIND("/",H1464)-1)) &lt; VALUE(RIGHT(H1464,LEN(H1464)-FIND("/",H1464))), B1464, IFERROR(INDEX('SAÍDA DE VENDAS'!$B$6:$B$500, MATCH(B1464,'SAÍDA DE VENDAS'!$B$6:$B$500,0)+COUNTIF('SAÍDA DE VENDAS'!$B$6:$B$500, B1464)),"")))</f>
        <v/>
      </c>
      <c r="C1465" s="35">
        <f>IFERROR(VLOOKUP(B1465,'SAÍDA DE VENDAS'!$B$6:$P$500,3,FALSE),"")</f>
        <v>0</v>
      </c>
      <c r="D1465" s="34">
        <f>IFERROR(VLOOKUP(B1465,'SAÍDA DE VENDAS'!$B$6:$P$500,4,FALSE),"")</f>
        <v>0</v>
      </c>
      <c r="E1465" s="34" t="str">
        <f>IFERROR(VLOOKUP(B1465,'SAÍDA DE VENDAS'!$B$6:$P$500,5,FALSE),"")</f>
        <v/>
      </c>
      <c r="F1465" s="34" t="str">
        <f>IF(OR(ISBLANK(B1465),B1465=""), "", IFERROR(INDEX('SAÍDA DE VENDAS'!$H$6:$H$500 &amp; "x " &amp; 'SAÍDA DE VENDAS'!$G$6:$G$500, MATCH(B1465, 'SAÍDA DE VENDAS'!$B$6:$B$500, 0)), "")&amp; IF(COUNTIF('SAÍDA DE VENDAS'!$B$6:$B$500, B1465)&gt;1, " + " &amp; IFERROR(INDEX('SAÍDA DE VENDAS'!$H$6:$H$500 &amp; "x " &amp; 'SAÍDA DE VENDAS'!$G$6:$G$500, MATCH(B1465, 'SAÍDA DE VENDAS'!$B$6:$B$500, 0)+1), ""), "")&amp; IF(COUNTIF('SAÍDA DE VENDAS'!$B$6:$B$500, B1465)&gt;2, " + " &amp; IFERROR(INDEX('SAÍDA DE VENDAS'!$H$6:$H$500 &amp; "x " &amp; 'SAÍDA DE VENDAS'!$G$6:$G$500, MATCH(B1465, 'SAÍDA DE VENDAS'!$B$6:$B$500, 0)+2), ""), "")&amp; IF(COUNTIF('SAÍDA DE VENDAS'!$B$6:$B$500, B1465)&gt;3, " + " &amp; IFERROR(INDEX('SAÍDA DE VENDAS'!$H$6:$H$500 &amp; "x " &amp; 'SAÍDA DE VENDAS'!$G$6:$G$500, MATCH(B1465, 'SAÍDA DE VENDAS'!$B$6:$B$500, 0)+3), ""), "")&amp; IF(COUNTIF('SAÍDA DE VENDAS'!$B$6:$B$500, B1465)&gt;4, " + " &amp; IFERROR(INDEX('SAÍDA DE VENDAS'!$H$6:$H$500 &amp; "x " &amp; 'SAÍDA DE VENDAS'!$G$6:$G$500, MATCH(B1465, 'SAÍDA DE VENDAS'!$B$6:$B$500, 0)+4), ""), "")&amp; IF(COUNTIF('SAÍDA DE VENDAS'!$B$6:$B$500, B1465)&gt;5, " + " &amp; IFERROR(INDEX('SAÍDA DE VENDAS'!$H$6:$H$500 &amp; "x " &amp; 'SAÍDA DE VENDAS'!$G$6:$G$500, MATCH(B1465, 'SAÍDA DE VENDAS'!$B$6:$B$500, 0)+5), ""), ""))</f>
        <v/>
      </c>
      <c r="G1465" s="34">
        <f>IFERROR(VLOOKUP(B1465,'SAÍDA DE VENDAS'!$B$6:$P$500,10,FALSE),"")</f>
        <v>0</v>
      </c>
      <c r="H1465" s="34" t="str">
        <f>IF(OR(ISBLANK(B1465),B1465=""), "", IF(B1465=B1464, (VALUE(LEFT(H1464,FIND("/",H1464)-1))+1)&amp;"/"&amp;RIGHT(H1464,LEN(H1464)-FIND("/",H1464)), "1/"&amp;IFERROR(VLOOKUP(B1465,'SAÍDA DE VENDAS'!$B$6:$P$500,13,FALSE),"1")))</f>
        <v/>
      </c>
      <c r="I1465" s="35" t="str">
        <f t="shared" si="44"/>
        <v/>
      </c>
      <c r="J1465" s="39" t="str">
        <f>IFERROR(VLOOKUP(B1465,'SAÍDA DE VENDAS'!$B$6:$P$500,15,FALSE),"")</f>
        <v/>
      </c>
      <c r="K1465" s="34" t="str">
        <f t="shared" ca="1" si="45"/>
        <v/>
      </c>
      <c r="L1465" s="34"/>
      <c r="M1465" s="34"/>
    </row>
    <row r="1466" spans="2:13" ht="15" customHeight="1" x14ac:dyDescent="0.3">
      <c r="B1466" s="28" t="str">
        <f>IF(B1465="","", IF(VALUE(LEFT(H1465,FIND("/",H1465)-1)) &lt; VALUE(RIGHT(H1465,LEN(H1465)-FIND("/",H1465))), B1465, IFERROR(INDEX('SAÍDA DE VENDAS'!$B$6:$B$500, MATCH(B1465,'SAÍDA DE VENDAS'!$B$6:$B$500,0)+COUNTIF('SAÍDA DE VENDAS'!$B$6:$B$500, B1465)),"")))</f>
        <v/>
      </c>
      <c r="C1466" s="29">
        <f>IFERROR(VLOOKUP(B1466,'SAÍDA DE VENDAS'!$B$6:$P$500,3,FALSE),"")</f>
        <v>0</v>
      </c>
      <c r="D1466" s="28">
        <f>IFERROR(VLOOKUP(B1466,'SAÍDA DE VENDAS'!$B$6:$P$500,4,FALSE),"")</f>
        <v>0</v>
      </c>
      <c r="E1466" s="28" t="str">
        <f>IFERROR(VLOOKUP(B1466,'SAÍDA DE VENDAS'!$B$6:$P$500,5,FALSE),"")</f>
        <v/>
      </c>
      <c r="F1466" s="28" t="str">
        <f>IF(OR(ISBLANK(B1466),B1466=""), "", IFERROR(INDEX('SAÍDA DE VENDAS'!$H$6:$H$500 &amp; "x " &amp; 'SAÍDA DE VENDAS'!$G$6:$G$500, MATCH(B1466, 'SAÍDA DE VENDAS'!$B$6:$B$500, 0)), "")&amp; IF(COUNTIF('SAÍDA DE VENDAS'!$B$6:$B$500, B1466)&gt;1, " + " &amp; IFERROR(INDEX('SAÍDA DE VENDAS'!$H$6:$H$500 &amp; "x " &amp; 'SAÍDA DE VENDAS'!$G$6:$G$500, MATCH(B1466, 'SAÍDA DE VENDAS'!$B$6:$B$500, 0)+1), ""), "")&amp; IF(COUNTIF('SAÍDA DE VENDAS'!$B$6:$B$500, B1466)&gt;2, " + " &amp; IFERROR(INDEX('SAÍDA DE VENDAS'!$H$6:$H$500 &amp; "x " &amp; 'SAÍDA DE VENDAS'!$G$6:$G$500, MATCH(B1466, 'SAÍDA DE VENDAS'!$B$6:$B$500, 0)+2), ""), "")&amp; IF(COUNTIF('SAÍDA DE VENDAS'!$B$6:$B$500, B1466)&gt;3, " + " &amp; IFERROR(INDEX('SAÍDA DE VENDAS'!$H$6:$H$500 &amp; "x " &amp; 'SAÍDA DE VENDAS'!$G$6:$G$500, MATCH(B1466, 'SAÍDA DE VENDAS'!$B$6:$B$500, 0)+3), ""), "")&amp; IF(COUNTIF('SAÍDA DE VENDAS'!$B$6:$B$500, B1466)&gt;4, " + " &amp; IFERROR(INDEX('SAÍDA DE VENDAS'!$H$6:$H$500 &amp; "x " &amp; 'SAÍDA DE VENDAS'!$G$6:$G$500, MATCH(B1466, 'SAÍDA DE VENDAS'!$B$6:$B$500, 0)+4), ""), "")&amp; IF(COUNTIF('SAÍDA DE VENDAS'!$B$6:$B$500, B1466)&gt;5, " + " &amp; IFERROR(INDEX('SAÍDA DE VENDAS'!$H$6:$H$500 &amp; "x " &amp; 'SAÍDA DE VENDAS'!$G$6:$G$500, MATCH(B1466, 'SAÍDA DE VENDAS'!$B$6:$B$500, 0)+5), ""), ""))</f>
        <v/>
      </c>
      <c r="G1466" s="28">
        <f>IFERROR(VLOOKUP(B1466,'SAÍDA DE VENDAS'!$B$6:$P$500,10,FALSE),"")</f>
        <v>0</v>
      </c>
      <c r="H1466" s="28" t="str">
        <f>IF(OR(ISBLANK(B1466),B1466=""), "", IF(B1466=B1465, (VALUE(LEFT(H1465,FIND("/",H1465)-1))+1)&amp;"/"&amp;RIGHT(H1465,LEN(H1465)-FIND("/",H1465)), "1/"&amp;IFERROR(VLOOKUP(B1466,'SAÍDA DE VENDAS'!$B$6:$P$500,13,FALSE),"1")))</f>
        <v/>
      </c>
      <c r="I1466" s="69" t="str">
        <f t="shared" si="44"/>
        <v/>
      </c>
      <c r="J1466" s="33" t="str">
        <f>IFERROR(VLOOKUP(B1466,'SAÍDA DE VENDAS'!$B$6:$P$500,15,FALSE),"")</f>
        <v/>
      </c>
      <c r="K1466" s="28" t="str">
        <f t="shared" ca="1" si="45"/>
        <v/>
      </c>
      <c r="L1466" s="28"/>
      <c r="M1466" s="28"/>
    </row>
    <row r="1467" spans="2:13" ht="15" customHeight="1" x14ac:dyDescent="0.3">
      <c r="B1467" s="34" t="str">
        <f>IF(B1466="","", IF(VALUE(LEFT(H1466,FIND("/",H1466)-1)) &lt; VALUE(RIGHT(H1466,LEN(H1466)-FIND("/",H1466))), B1466, IFERROR(INDEX('SAÍDA DE VENDAS'!$B$6:$B$500, MATCH(B1466,'SAÍDA DE VENDAS'!$B$6:$B$500,0)+COUNTIF('SAÍDA DE VENDAS'!$B$6:$B$500, B1466)),"")))</f>
        <v/>
      </c>
      <c r="C1467" s="35">
        <f>IFERROR(VLOOKUP(B1467,'SAÍDA DE VENDAS'!$B$6:$P$500,3,FALSE),"")</f>
        <v>0</v>
      </c>
      <c r="D1467" s="34">
        <f>IFERROR(VLOOKUP(B1467,'SAÍDA DE VENDAS'!$B$6:$P$500,4,FALSE),"")</f>
        <v>0</v>
      </c>
      <c r="E1467" s="34" t="str">
        <f>IFERROR(VLOOKUP(B1467,'SAÍDA DE VENDAS'!$B$6:$P$500,5,FALSE),"")</f>
        <v/>
      </c>
      <c r="F1467" s="34" t="str">
        <f>IF(OR(ISBLANK(B1467),B1467=""), "", IFERROR(INDEX('SAÍDA DE VENDAS'!$H$6:$H$500 &amp; "x " &amp; 'SAÍDA DE VENDAS'!$G$6:$G$500, MATCH(B1467, 'SAÍDA DE VENDAS'!$B$6:$B$500, 0)), "")&amp; IF(COUNTIF('SAÍDA DE VENDAS'!$B$6:$B$500, B1467)&gt;1, " + " &amp; IFERROR(INDEX('SAÍDA DE VENDAS'!$H$6:$H$500 &amp; "x " &amp; 'SAÍDA DE VENDAS'!$G$6:$G$500, MATCH(B1467, 'SAÍDA DE VENDAS'!$B$6:$B$500, 0)+1), ""), "")&amp; IF(COUNTIF('SAÍDA DE VENDAS'!$B$6:$B$500, B1467)&gt;2, " + " &amp; IFERROR(INDEX('SAÍDA DE VENDAS'!$H$6:$H$500 &amp; "x " &amp; 'SAÍDA DE VENDAS'!$G$6:$G$500, MATCH(B1467, 'SAÍDA DE VENDAS'!$B$6:$B$500, 0)+2), ""), "")&amp; IF(COUNTIF('SAÍDA DE VENDAS'!$B$6:$B$500, B1467)&gt;3, " + " &amp; IFERROR(INDEX('SAÍDA DE VENDAS'!$H$6:$H$500 &amp; "x " &amp; 'SAÍDA DE VENDAS'!$G$6:$G$500, MATCH(B1467, 'SAÍDA DE VENDAS'!$B$6:$B$500, 0)+3), ""), "")&amp; IF(COUNTIF('SAÍDA DE VENDAS'!$B$6:$B$500, B1467)&gt;4, " + " &amp; IFERROR(INDEX('SAÍDA DE VENDAS'!$H$6:$H$500 &amp; "x " &amp; 'SAÍDA DE VENDAS'!$G$6:$G$500, MATCH(B1467, 'SAÍDA DE VENDAS'!$B$6:$B$500, 0)+4), ""), "")&amp; IF(COUNTIF('SAÍDA DE VENDAS'!$B$6:$B$500, B1467)&gt;5, " + " &amp; IFERROR(INDEX('SAÍDA DE VENDAS'!$H$6:$H$500 &amp; "x " &amp; 'SAÍDA DE VENDAS'!$G$6:$G$500, MATCH(B1467, 'SAÍDA DE VENDAS'!$B$6:$B$500, 0)+5), ""), ""))</f>
        <v/>
      </c>
      <c r="G1467" s="34">
        <f>IFERROR(VLOOKUP(B1467,'SAÍDA DE VENDAS'!$B$6:$P$500,10,FALSE),"")</f>
        <v>0</v>
      </c>
      <c r="H1467" s="34" t="str">
        <f>IF(OR(ISBLANK(B1467),B1467=""), "", IF(B1467=B1466, (VALUE(LEFT(H1466,FIND("/",H1466)-1))+1)&amp;"/"&amp;RIGHT(H1466,LEN(H1466)-FIND("/",H1466)), "1/"&amp;IFERROR(VLOOKUP(B1467,'SAÍDA DE VENDAS'!$B$6:$P$500,13,FALSE),"1")))</f>
        <v/>
      </c>
      <c r="I1467" s="35" t="str">
        <f t="shared" si="44"/>
        <v/>
      </c>
      <c r="J1467" s="39" t="str">
        <f>IFERROR(VLOOKUP(B1467,'SAÍDA DE VENDAS'!$B$6:$P$500,15,FALSE),"")</f>
        <v/>
      </c>
      <c r="K1467" s="34" t="str">
        <f t="shared" ca="1" si="45"/>
        <v/>
      </c>
      <c r="L1467" s="34"/>
      <c r="M1467" s="34"/>
    </row>
    <row r="1468" spans="2:13" ht="15" customHeight="1" x14ac:dyDescent="0.3">
      <c r="B1468" s="28" t="str">
        <f>IF(B1467="","", IF(VALUE(LEFT(H1467,FIND("/",H1467)-1)) &lt; VALUE(RIGHT(H1467,LEN(H1467)-FIND("/",H1467))), B1467, IFERROR(INDEX('SAÍDA DE VENDAS'!$B$6:$B$500, MATCH(B1467,'SAÍDA DE VENDAS'!$B$6:$B$500,0)+COUNTIF('SAÍDA DE VENDAS'!$B$6:$B$500, B1467)),"")))</f>
        <v/>
      </c>
      <c r="C1468" s="29">
        <f>IFERROR(VLOOKUP(B1468,'SAÍDA DE VENDAS'!$B$6:$P$500,3,FALSE),"")</f>
        <v>0</v>
      </c>
      <c r="D1468" s="28">
        <f>IFERROR(VLOOKUP(B1468,'SAÍDA DE VENDAS'!$B$6:$P$500,4,FALSE),"")</f>
        <v>0</v>
      </c>
      <c r="E1468" s="28" t="str">
        <f>IFERROR(VLOOKUP(B1468,'SAÍDA DE VENDAS'!$B$6:$P$500,5,FALSE),"")</f>
        <v/>
      </c>
      <c r="F1468" s="28" t="str">
        <f>IF(OR(ISBLANK(B1468),B1468=""), "", IFERROR(INDEX('SAÍDA DE VENDAS'!$H$6:$H$500 &amp; "x " &amp; 'SAÍDA DE VENDAS'!$G$6:$G$500, MATCH(B1468, 'SAÍDA DE VENDAS'!$B$6:$B$500, 0)), "")&amp; IF(COUNTIF('SAÍDA DE VENDAS'!$B$6:$B$500, B1468)&gt;1, " + " &amp; IFERROR(INDEX('SAÍDA DE VENDAS'!$H$6:$H$500 &amp; "x " &amp; 'SAÍDA DE VENDAS'!$G$6:$G$500, MATCH(B1468, 'SAÍDA DE VENDAS'!$B$6:$B$500, 0)+1), ""), "")&amp; IF(COUNTIF('SAÍDA DE VENDAS'!$B$6:$B$500, B1468)&gt;2, " + " &amp; IFERROR(INDEX('SAÍDA DE VENDAS'!$H$6:$H$500 &amp; "x " &amp; 'SAÍDA DE VENDAS'!$G$6:$G$500, MATCH(B1468, 'SAÍDA DE VENDAS'!$B$6:$B$500, 0)+2), ""), "")&amp; IF(COUNTIF('SAÍDA DE VENDAS'!$B$6:$B$500, B1468)&gt;3, " + " &amp; IFERROR(INDEX('SAÍDA DE VENDAS'!$H$6:$H$500 &amp; "x " &amp; 'SAÍDA DE VENDAS'!$G$6:$G$500, MATCH(B1468, 'SAÍDA DE VENDAS'!$B$6:$B$500, 0)+3), ""), "")&amp; IF(COUNTIF('SAÍDA DE VENDAS'!$B$6:$B$500, B1468)&gt;4, " + " &amp; IFERROR(INDEX('SAÍDA DE VENDAS'!$H$6:$H$500 &amp; "x " &amp; 'SAÍDA DE VENDAS'!$G$6:$G$500, MATCH(B1468, 'SAÍDA DE VENDAS'!$B$6:$B$500, 0)+4), ""), "")&amp; IF(COUNTIF('SAÍDA DE VENDAS'!$B$6:$B$500, B1468)&gt;5, " + " &amp; IFERROR(INDEX('SAÍDA DE VENDAS'!$H$6:$H$500 &amp; "x " &amp; 'SAÍDA DE VENDAS'!$G$6:$G$500, MATCH(B1468, 'SAÍDA DE VENDAS'!$B$6:$B$500, 0)+5), ""), ""))</f>
        <v/>
      </c>
      <c r="G1468" s="28">
        <f>IFERROR(VLOOKUP(B1468,'SAÍDA DE VENDAS'!$B$6:$P$500,10,FALSE),"")</f>
        <v>0</v>
      </c>
      <c r="H1468" s="28" t="str">
        <f>IF(OR(ISBLANK(B1468),B1468=""), "", IF(B1468=B1467, (VALUE(LEFT(H1467,FIND("/",H1467)-1))+1)&amp;"/"&amp;RIGHT(H1467,LEN(H1467)-FIND("/",H1467)), "1/"&amp;IFERROR(VLOOKUP(B1468,'SAÍDA DE VENDAS'!$B$6:$P$500,13,FALSE),"1")))</f>
        <v/>
      </c>
      <c r="I1468" s="69" t="str">
        <f t="shared" si="44"/>
        <v/>
      </c>
      <c r="J1468" s="33" t="str">
        <f>IFERROR(VLOOKUP(B1468,'SAÍDA DE VENDAS'!$B$6:$P$500,15,FALSE),"")</f>
        <v/>
      </c>
      <c r="K1468" s="28" t="str">
        <f t="shared" ca="1" si="45"/>
        <v/>
      </c>
      <c r="L1468" s="28"/>
      <c r="M1468" s="28"/>
    </row>
    <row r="1469" spans="2:13" ht="15" customHeight="1" x14ac:dyDescent="0.3">
      <c r="B1469" s="34" t="str">
        <f>IF(B1468="","", IF(VALUE(LEFT(H1468,FIND("/",H1468)-1)) &lt; VALUE(RIGHT(H1468,LEN(H1468)-FIND("/",H1468))), B1468, IFERROR(INDEX('SAÍDA DE VENDAS'!$B$6:$B$500, MATCH(B1468,'SAÍDA DE VENDAS'!$B$6:$B$500,0)+COUNTIF('SAÍDA DE VENDAS'!$B$6:$B$500, B1468)),"")))</f>
        <v/>
      </c>
      <c r="C1469" s="35">
        <f>IFERROR(VLOOKUP(B1469,'SAÍDA DE VENDAS'!$B$6:$P$500,3,FALSE),"")</f>
        <v>0</v>
      </c>
      <c r="D1469" s="34">
        <f>IFERROR(VLOOKUP(B1469,'SAÍDA DE VENDAS'!$B$6:$P$500,4,FALSE),"")</f>
        <v>0</v>
      </c>
      <c r="E1469" s="34" t="str">
        <f>IFERROR(VLOOKUP(B1469,'SAÍDA DE VENDAS'!$B$6:$P$500,5,FALSE),"")</f>
        <v/>
      </c>
      <c r="F1469" s="34" t="str">
        <f>IF(OR(ISBLANK(B1469),B1469=""), "", IFERROR(INDEX('SAÍDA DE VENDAS'!$H$6:$H$500 &amp; "x " &amp; 'SAÍDA DE VENDAS'!$G$6:$G$500, MATCH(B1469, 'SAÍDA DE VENDAS'!$B$6:$B$500, 0)), "")&amp; IF(COUNTIF('SAÍDA DE VENDAS'!$B$6:$B$500, B1469)&gt;1, " + " &amp; IFERROR(INDEX('SAÍDA DE VENDAS'!$H$6:$H$500 &amp; "x " &amp; 'SAÍDA DE VENDAS'!$G$6:$G$500, MATCH(B1469, 'SAÍDA DE VENDAS'!$B$6:$B$500, 0)+1), ""), "")&amp; IF(COUNTIF('SAÍDA DE VENDAS'!$B$6:$B$500, B1469)&gt;2, " + " &amp; IFERROR(INDEX('SAÍDA DE VENDAS'!$H$6:$H$500 &amp; "x " &amp; 'SAÍDA DE VENDAS'!$G$6:$G$500, MATCH(B1469, 'SAÍDA DE VENDAS'!$B$6:$B$500, 0)+2), ""), "")&amp; IF(COUNTIF('SAÍDA DE VENDAS'!$B$6:$B$500, B1469)&gt;3, " + " &amp; IFERROR(INDEX('SAÍDA DE VENDAS'!$H$6:$H$500 &amp; "x " &amp; 'SAÍDA DE VENDAS'!$G$6:$G$500, MATCH(B1469, 'SAÍDA DE VENDAS'!$B$6:$B$500, 0)+3), ""), "")&amp; IF(COUNTIF('SAÍDA DE VENDAS'!$B$6:$B$500, B1469)&gt;4, " + " &amp; IFERROR(INDEX('SAÍDA DE VENDAS'!$H$6:$H$500 &amp; "x " &amp; 'SAÍDA DE VENDAS'!$G$6:$G$500, MATCH(B1469, 'SAÍDA DE VENDAS'!$B$6:$B$500, 0)+4), ""), "")&amp; IF(COUNTIF('SAÍDA DE VENDAS'!$B$6:$B$500, B1469)&gt;5, " + " &amp; IFERROR(INDEX('SAÍDA DE VENDAS'!$H$6:$H$500 &amp; "x " &amp; 'SAÍDA DE VENDAS'!$G$6:$G$500, MATCH(B1469, 'SAÍDA DE VENDAS'!$B$6:$B$500, 0)+5), ""), ""))</f>
        <v/>
      </c>
      <c r="G1469" s="34">
        <f>IFERROR(VLOOKUP(B1469,'SAÍDA DE VENDAS'!$B$6:$P$500,10,FALSE),"")</f>
        <v>0</v>
      </c>
      <c r="H1469" s="34" t="str">
        <f>IF(OR(ISBLANK(B1469),B1469=""), "", IF(B1469=B1468, (VALUE(LEFT(H1468,FIND("/",H1468)-1))+1)&amp;"/"&amp;RIGHT(H1468,LEN(H1468)-FIND("/",H1468)), "1/"&amp;IFERROR(VLOOKUP(B1469,'SAÍDA DE VENDAS'!$B$6:$P$500,13,FALSE),"1")))</f>
        <v/>
      </c>
      <c r="I1469" s="35" t="str">
        <f t="shared" si="44"/>
        <v/>
      </c>
      <c r="J1469" s="39" t="str">
        <f>IFERROR(VLOOKUP(B1469,'SAÍDA DE VENDAS'!$B$6:$P$500,15,FALSE),"")</f>
        <v/>
      </c>
      <c r="K1469" s="34" t="str">
        <f t="shared" ca="1" si="45"/>
        <v/>
      </c>
      <c r="L1469" s="34"/>
      <c r="M1469" s="34"/>
    </row>
    <row r="1470" spans="2:13" ht="15" customHeight="1" x14ac:dyDescent="0.3">
      <c r="B1470" s="28" t="str">
        <f>IF(B1469="","", IF(VALUE(LEFT(H1469,FIND("/",H1469)-1)) &lt; VALUE(RIGHT(H1469,LEN(H1469)-FIND("/",H1469))), B1469, IFERROR(INDEX('SAÍDA DE VENDAS'!$B$6:$B$500, MATCH(B1469,'SAÍDA DE VENDAS'!$B$6:$B$500,0)+COUNTIF('SAÍDA DE VENDAS'!$B$6:$B$500, B1469)),"")))</f>
        <v/>
      </c>
      <c r="C1470" s="29">
        <f>IFERROR(VLOOKUP(B1470,'SAÍDA DE VENDAS'!$B$6:$P$500,3,FALSE),"")</f>
        <v>0</v>
      </c>
      <c r="D1470" s="28">
        <f>IFERROR(VLOOKUP(B1470,'SAÍDA DE VENDAS'!$B$6:$P$500,4,FALSE),"")</f>
        <v>0</v>
      </c>
      <c r="E1470" s="28" t="str">
        <f>IFERROR(VLOOKUP(B1470,'SAÍDA DE VENDAS'!$B$6:$P$500,5,FALSE),"")</f>
        <v/>
      </c>
      <c r="F1470" s="28" t="str">
        <f>IF(OR(ISBLANK(B1470),B1470=""), "", IFERROR(INDEX('SAÍDA DE VENDAS'!$H$6:$H$500 &amp; "x " &amp; 'SAÍDA DE VENDAS'!$G$6:$G$500, MATCH(B1470, 'SAÍDA DE VENDAS'!$B$6:$B$500, 0)), "")&amp; IF(COUNTIF('SAÍDA DE VENDAS'!$B$6:$B$500, B1470)&gt;1, " + " &amp; IFERROR(INDEX('SAÍDA DE VENDAS'!$H$6:$H$500 &amp; "x " &amp; 'SAÍDA DE VENDAS'!$G$6:$G$500, MATCH(B1470, 'SAÍDA DE VENDAS'!$B$6:$B$500, 0)+1), ""), "")&amp; IF(COUNTIF('SAÍDA DE VENDAS'!$B$6:$B$500, B1470)&gt;2, " + " &amp; IFERROR(INDEX('SAÍDA DE VENDAS'!$H$6:$H$500 &amp; "x " &amp; 'SAÍDA DE VENDAS'!$G$6:$G$500, MATCH(B1470, 'SAÍDA DE VENDAS'!$B$6:$B$500, 0)+2), ""), "")&amp; IF(COUNTIF('SAÍDA DE VENDAS'!$B$6:$B$500, B1470)&gt;3, " + " &amp; IFERROR(INDEX('SAÍDA DE VENDAS'!$H$6:$H$500 &amp; "x " &amp; 'SAÍDA DE VENDAS'!$G$6:$G$500, MATCH(B1470, 'SAÍDA DE VENDAS'!$B$6:$B$500, 0)+3), ""), "")&amp; IF(COUNTIF('SAÍDA DE VENDAS'!$B$6:$B$500, B1470)&gt;4, " + " &amp; IFERROR(INDEX('SAÍDA DE VENDAS'!$H$6:$H$500 &amp; "x " &amp; 'SAÍDA DE VENDAS'!$G$6:$G$500, MATCH(B1470, 'SAÍDA DE VENDAS'!$B$6:$B$500, 0)+4), ""), "")&amp; IF(COUNTIF('SAÍDA DE VENDAS'!$B$6:$B$500, B1470)&gt;5, " + " &amp; IFERROR(INDEX('SAÍDA DE VENDAS'!$H$6:$H$500 &amp; "x " &amp; 'SAÍDA DE VENDAS'!$G$6:$G$500, MATCH(B1470, 'SAÍDA DE VENDAS'!$B$6:$B$500, 0)+5), ""), ""))</f>
        <v/>
      </c>
      <c r="G1470" s="28">
        <f>IFERROR(VLOOKUP(B1470,'SAÍDA DE VENDAS'!$B$6:$P$500,10,FALSE),"")</f>
        <v>0</v>
      </c>
      <c r="H1470" s="28" t="str">
        <f>IF(OR(ISBLANK(B1470),B1470=""), "", IF(B1470=B1469, (VALUE(LEFT(H1469,FIND("/",H1469)-1))+1)&amp;"/"&amp;RIGHT(H1469,LEN(H1469)-FIND("/",H1469)), "1/"&amp;IFERROR(VLOOKUP(B1470,'SAÍDA DE VENDAS'!$B$6:$P$500,13,FALSE),"1")))</f>
        <v/>
      </c>
      <c r="I1470" s="69" t="str">
        <f t="shared" si="44"/>
        <v/>
      </c>
      <c r="J1470" s="33" t="str">
        <f>IFERROR(VLOOKUP(B1470,'SAÍDA DE VENDAS'!$B$6:$P$500,15,FALSE),"")</f>
        <v/>
      </c>
      <c r="K1470" s="28" t="str">
        <f t="shared" ca="1" si="45"/>
        <v/>
      </c>
      <c r="L1470" s="28"/>
      <c r="M1470" s="28"/>
    </row>
    <row r="1471" spans="2:13" ht="15" customHeight="1" x14ac:dyDescent="0.3">
      <c r="B1471" s="34" t="str">
        <f>IF(B1470="","", IF(VALUE(LEFT(H1470,FIND("/",H1470)-1)) &lt; VALUE(RIGHT(H1470,LEN(H1470)-FIND("/",H1470))), B1470, IFERROR(INDEX('SAÍDA DE VENDAS'!$B$6:$B$500, MATCH(B1470,'SAÍDA DE VENDAS'!$B$6:$B$500,0)+COUNTIF('SAÍDA DE VENDAS'!$B$6:$B$500, B1470)),"")))</f>
        <v/>
      </c>
      <c r="C1471" s="35">
        <f>IFERROR(VLOOKUP(B1471,'SAÍDA DE VENDAS'!$B$6:$P$500,3,FALSE),"")</f>
        <v>0</v>
      </c>
      <c r="D1471" s="34">
        <f>IFERROR(VLOOKUP(B1471,'SAÍDA DE VENDAS'!$B$6:$P$500,4,FALSE),"")</f>
        <v>0</v>
      </c>
      <c r="E1471" s="34" t="str">
        <f>IFERROR(VLOOKUP(B1471,'SAÍDA DE VENDAS'!$B$6:$P$500,5,FALSE),"")</f>
        <v/>
      </c>
      <c r="F1471" s="34" t="str">
        <f>IF(OR(ISBLANK(B1471),B1471=""), "", IFERROR(INDEX('SAÍDA DE VENDAS'!$H$6:$H$500 &amp; "x " &amp; 'SAÍDA DE VENDAS'!$G$6:$G$500, MATCH(B1471, 'SAÍDA DE VENDAS'!$B$6:$B$500, 0)), "")&amp; IF(COUNTIF('SAÍDA DE VENDAS'!$B$6:$B$500, B1471)&gt;1, " + " &amp; IFERROR(INDEX('SAÍDA DE VENDAS'!$H$6:$H$500 &amp; "x " &amp; 'SAÍDA DE VENDAS'!$G$6:$G$500, MATCH(B1471, 'SAÍDA DE VENDAS'!$B$6:$B$500, 0)+1), ""), "")&amp; IF(COUNTIF('SAÍDA DE VENDAS'!$B$6:$B$500, B1471)&gt;2, " + " &amp; IFERROR(INDEX('SAÍDA DE VENDAS'!$H$6:$H$500 &amp; "x " &amp; 'SAÍDA DE VENDAS'!$G$6:$G$500, MATCH(B1471, 'SAÍDA DE VENDAS'!$B$6:$B$500, 0)+2), ""), "")&amp; IF(COUNTIF('SAÍDA DE VENDAS'!$B$6:$B$500, B1471)&gt;3, " + " &amp; IFERROR(INDEX('SAÍDA DE VENDAS'!$H$6:$H$500 &amp; "x " &amp; 'SAÍDA DE VENDAS'!$G$6:$G$500, MATCH(B1471, 'SAÍDA DE VENDAS'!$B$6:$B$500, 0)+3), ""), "")&amp; IF(COUNTIF('SAÍDA DE VENDAS'!$B$6:$B$500, B1471)&gt;4, " + " &amp; IFERROR(INDEX('SAÍDA DE VENDAS'!$H$6:$H$500 &amp; "x " &amp; 'SAÍDA DE VENDAS'!$G$6:$G$500, MATCH(B1471, 'SAÍDA DE VENDAS'!$B$6:$B$500, 0)+4), ""), "")&amp; IF(COUNTIF('SAÍDA DE VENDAS'!$B$6:$B$500, B1471)&gt;5, " + " &amp; IFERROR(INDEX('SAÍDA DE VENDAS'!$H$6:$H$500 &amp; "x " &amp; 'SAÍDA DE VENDAS'!$G$6:$G$500, MATCH(B1471, 'SAÍDA DE VENDAS'!$B$6:$B$500, 0)+5), ""), ""))</f>
        <v/>
      </c>
      <c r="G1471" s="34">
        <f>IFERROR(VLOOKUP(B1471,'SAÍDA DE VENDAS'!$B$6:$P$500,10,FALSE),"")</f>
        <v>0</v>
      </c>
      <c r="H1471" s="34" t="str">
        <f>IF(OR(ISBLANK(B1471),B1471=""), "", IF(B1471=B1470, (VALUE(LEFT(H1470,FIND("/",H1470)-1))+1)&amp;"/"&amp;RIGHT(H1470,LEN(H1470)-FIND("/",H1470)), "1/"&amp;IFERROR(VLOOKUP(B1471,'SAÍDA DE VENDAS'!$B$6:$P$500,13,FALSE),"1")))</f>
        <v/>
      </c>
      <c r="I1471" s="35" t="str">
        <f t="shared" si="44"/>
        <v/>
      </c>
      <c r="J1471" s="39" t="str">
        <f>IFERROR(VLOOKUP(B1471,'SAÍDA DE VENDAS'!$B$6:$P$500,15,FALSE),"")</f>
        <v/>
      </c>
      <c r="K1471" s="34" t="str">
        <f t="shared" ca="1" si="45"/>
        <v/>
      </c>
      <c r="L1471" s="34"/>
      <c r="M1471" s="34"/>
    </row>
    <row r="1472" spans="2:13" ht="15" customHeight="1" x14ac:dyDescent="0.3">
      <c r="B1472" s="28" t="str">
        <f>IF(B1471="","", IF(VALUE(LEFT(H1471,FIND("/",H1471)-1)) &lt; VALUE(RIGHT(H1471,LEN(H1471)-FIND("/",H1471))), B1471, IFERROR(INDEX('SAÍDA DE VENDAS'!$B$6:$B$500, MATCH(B1471,'SAÍDA DE VENDAS'!$B$6:$B$500,0)+COUNTIF('SAÍDA DE VENDAS'!$B$6:$B$500, B1471)),"")))</f>
        <v/>
      </c>
      <c r="C1472" s="29">
        <f>IFERROR(VLOOKUP(B1472,'SAÍDA DE VENDAS'!$B$6:$P$500,3,FALSE),"")</f>
        <v>0</v>
      </c>
      <c r="D1472" s="28">
        <f>IFERROR(VLOOKUP(B1472,'SAÍDA DE VENDAS'!$B$6:$P$500,4,FALSE),"")</f>
        <v>0</v>
      </c>
      <c r="E1472" s="28" t="str">
        <f>IFERROR(VLOOKUP(B1472,'SAÍDA DE VENDAS'!$B$6:$P$500,5,FALSE),"")</f>
        <v/>
      </c>
      <c r="F1472" s="28" t="str">
        <f>IF(OR(ISBLANK(B1472),B1472=""), "", IFERROR(INDEX('SAÍDA DE VENDAS'!$H$6:$H$500 &amp; "x " &amp; 'SAÍDA DE VENDAS'!$G$6:$G$500, MATCH(B1472, 'SAÍDA DE VENDAS'!$B$6:$B$500, 0)), "")&amp; IF(COUNTIF('SAÍDA DE VENDAS'!$B$6:$B$500, B1472)&gt;1, " + " &amp; IFERROR(INDEX('SAÍDA DE VENDAS'!$H$6:$H$500 &amp; "x " &amp; 'SAÍDA DE VENDAS'!$G$6:$G$500, MATCH(B1472, 'SAÍDA DE VENDAS'!$B$6:$B$500, 0)+1), ""), "")&amp; IF(COUNTIF('SAÍDA DE VENDAS'!$B$6:$B$500, B1472)&gt;2, " + " &amp; IFERROR(INDEX('SAÍDA DE VENDAS'!$H$6:$H$500 &amp; "x " &amp; 'SAÍDA DE VENDAS'!$G$6:$G$500, MATCH(B1472, 'SAÍDA DE VENDAS'!$B$6:$B$500, 0)+2), ""), "")&amp; IF(COUNTIF('SAÍDA DE VENDAS'!$B$6:$B$500, B1472)&gt;3, " + " &amp; IFERROR(INDEX('SAÍDA DE VENDAS'!$H$6:$H$500 &amp; "x " &amp; 'SAÍDA DE VENDAS'!$G$6:$G$500, MATCH(B1472, 'SAÍDA DE VENDAS'!$B$6:$B$500, 0)+3), ""), "")&amp; IF(COUNTIF('SAÍDA DE VENDAS'!$B$6:$B$500, B1472)&gt;4, " + " &amp; IFERROR(INDEX('SAÍDA DE VENDAS'!$H$6:$H$500 &amp; "x " &amp; 'SAÍDA DE VENDAS'!$G$6:$G$500, MATCH(B1472, 'SAÍDA DE VENDAS'!$B$6:$B$500, 0)+4), ""), "")&amp; IF(COUNTIF('SAÍDA DE VENDAS'!$B$6:$B$500, B1472)&gt;5, " + " &amp; IFERROR(INDEX('SAÍDA DE VENDAS'!$H$6:$H$500 &amp; "x " &amp; 'SAÍDA DE VENDAS'!$G$6:$G$500, MATCH(B1472, 'SAÍDA DE VENDAS'!$B$6:$B$500, 0)+5), ""), ""))</f>
        <v/>
      </c>
      <c r="G1472" s="28">
        <f>IFERROR(VLOOKUP(B1472,'SAÍDA DE VENDAS'!$B$6:$P$500,10,FALSE),"")</f>
        <v>0</v>
      </c>
      <c r="H1472" s="28" t="str">
        <f>IF(OR(ISBLANK(B1472),B1472=""), "", IF(B1472=B1471, (VALUE(LEFT(H1471,FIND("/",H1471)-1))+1)&amp;"/"&amp;RIGHT(H1471,LEN(H1471)-FIND("/",H1471)), "1/"&amp;IFERROR(VLOOKUP(B1472,'SAÍDA DE VENDAS'!$B$6:$P$500,13,FALSE),"1")))</f>
        <v/>
      </c>
      <c r="I1472" s="69" t="str">
        <f t="shared" si="44"/>
        <v/>
      </c>
      <c r="J1472" s="33" t="str">
        <f>IFERROR(VLOOKUP(B1472,'SAÍDA DE VENDAS'!$B$6:$P$500,15,FALSE),"")</f>
        <v/>
      </c>
      <c r="K1472" s="28" t="str">
        <f t="shared" ca="1" si="45"/>
        <v/>
      </c>
      <c r="L1472" s="28"/>
      <c r="M1472" s="28"/>
    </row>
    <row r="1473" spans="2:13" ht="15" customHeight="1" x14ac:dyDescent="0.3">
      <c r="B1473" s="34" t="str">
        <f>IF(B1472="","", IF(VALUE(LEFT(H1472,FIND("/",H1472)-1)) &lt; VALUE(RIGHT(H1472,LEN(H1472)-FIND("/",H1472))), B1472, IFERROR(INDEX('SAÍDA DE VENDAS'!$B$6:$B$500, MATCH(B1472,'SAÍDA DE VENDAS'!$B$6:$B$500,0)+COUNTIF('SAÍDA DE VENDAS'!$B$6:$B$500, B1472)),"")))</f>
        <v/>
      </c>
      <c r="C1473" s="35">
        <f>IFERROR(VLOOKUP(B1473,'SAÍDA DE VENDAS'!$B$6:$P$500,3,FALSE),"")</f>
        <v>0</v>
      </c>
      <c r="D1473" s="34">
        <f>IFERROR(VLOOKUP(B1473,'SAÍDA DE VENDAS'!$B$6:$P$500,4,FALSE),"")</f>
        <v>0</v>
      </c>
      <c r="E1473" s="34" t="str">
        <f>IFERROR(VLOOKUP(B1473,'SAÍDA DE VENDAS'!$B$6:$P$500,5,FALSE),"")</f>
        <v/>
      </c>
      <c r="F1473" s="34" t="str">
        <f>IF(OR(ISBLANK(B1473),B1473=""), "", IFERROR(INDEX('SAÍDA DE VENDAS'!$H$6:$H$500 &amp; "x " &amp; 'SAÍDA DE VENDAS'!$G$6:$G$500, MATCH(B1473, 'SAÍDA DE VENDAS'!$B$6:$B$500, 0)), "")&amp; IF(COUNTIF('SAÍDA DE VENDAS'!$B$6:$B$500, B1473)&gt;1, " + " &amp; IFERROR(INDEX('SAÍDA DE VENDAS'!$H$6:$H$500 &amp; "x " &amp; 'SAÍDA DE VENDAS'!$G$6:$G$500, MATCH(B1473, 'SAÍDA DE VENDAS'!$B$6:$B$500, 0)+1), ""), "")&amp; IF(COUNTIF('SAÍDA DE VENDAS'!$B$6:$B$500, B1473)&gt;2, " + " &amp; IFERROR(INDEX('SAÍDA DE VENDAS'!$H$6:$H$500 &amp; "x " &amp; 'SAÍDA DE VENDAS'!$G$6:$G$500, MATCH(B1473, 'SAÍDA DE VENDAS'!$B$6:$B$500, 0)+2), ""), "")&amp; IF(COUNTIF('SAÍDA DE VENDAS'!$B$6:$B$500, B1473)&gt;3, " + " &amp; IFERROR(INDEX('SAÍDA DE VENDAS'!$H$6:$H$500 &amp; "x " &amp; 'SAÍDA DE VENDAS'!$G$6:$G$500, MATCH(B1473, 'SAÍDA DE VENDAS'!$B$6:$B$500, 0)+3), ""), "")&amp; IF(COUNTIF('SAÍDA DE VENDAS'!$B$6:$B$500, B1473)&gt;4, " + " &amp; IFERROR(INDEX('SAÍDA DE VENDAS'!$H$6:$H$500 &amp; "x " &amp; 'SAÍDA DE VENDAS'!$G$6:$G$500, MATCH(B1473, 'SAÍDA DE VENDAS'!$B$6:$B$500, 0)+4), ""), "")&amp; IF(COUNTIF('SAÍDA DE VENDAS'!$B$6:$B$500, B1473)&gt;5, " + " &amp; IFERROR(INDEX('SAÍDA DE VENDAS'!$H$6:$H$500 &amp; "x " &amp; 'SAÍDA DE VENDAS'!$G$6:$G$500, MATCH(B1473, 'SAÍDA DE VENDAS'!$B$6:$B$500, 0)+5), ""), ""))</f>
        <v/>
      </c>
      <c r="G1473" s="34">
        <f>IFERROR(VLOOKUP(B1473,'SAÍDA DE VENDAS'!$B$6:$P$500,10,FALSE),"")</f>
        <v>0</v>
      </c>
      <c r="H1473" s="34" t="str">
        <f>IF(OR(ISBLANK(B1473),B1473=""), "", IF(B1473=B1472, (VALUE(LEFT(H1472,FIND("/",H1472)-1))+1)&amp;"/"&amp;RIGHT(H1472,LEN(H1472)-FIND("/",H1472)), "1/"&amp;IFERROR(VLOOKUP(B1473,'SAÍDA DE VENDAS'!$B$6:$P$500,13,FALSE),"1")))</f>
        <v/>
      </c>
      <c r="I1473" s="35" t="str">
        <f t="shared" si="44"/>
        <v/>
      </c>
      <c r="J1473" s="39" t="str">
        <f>IFERROR(VLOOKUP(B1473,'SAÍDA DE VENDAS'!$B$6:$P$500,15,FALSE),"")</f>
        <v/>
      </c>
      <c r="K1473" s="34" t="str">
        <f t="shared" ca="1" si="45"/>
        <v/>
      </c>
      <c r="L1473" s="34"/>
      <c r="M1473" s="34"/>
    </row>
    <row r="1474" spans="2:13" ht="15" customHeight="1" x14ac:dyDescent="0.3">
      <c r="B1474" s="28" t="str">
        <f>IF(B1473="","", IF(VALUE(LEFT(H1473,FIND("/",H1473)-1)) &lt; VALUE(RIGHT(H1473,LEN(H1473)-FIND("/",H1473))), B1473, IFERROR(INDEX('SAÍDA DE VENDAS'!$B$6:$B$500, MATCH(B1473,'SAÍDA DE VENDAS'!$B$6:$B$500,0)+COUNTIF('SAÍDA DE VENDAS'!$B$6:$B$500, B1473)),"")))</f>
        <v/>
      </c>
      <c r="C1474" s="29">
        <f>IFERROR(VLOOKUP(B1474,'SAÍDA DE VENDAS'!$B$6:$P$500,3,FALSE),"")</f>
        <v>0</v>
      </c>
      <c r="D1474" s="28">
        <f>IFERROR(VLOOKUP(B1474,'SAÍDA DE VENDAS'!$B$6:$P$500,4,FALSE),"")</f>
        <v>0</v>
      </c>
      <c r="E1474" s="28" t="str">
        <f>IFERROR(VLOOKUP(B1474,'SAÍDA DE VENDAS'!$B$6:$P$500,5,FALSE),"")</f>
        <v/>
      </c>
      <c r="F1474" s="28" t="str">
        <f>IF(OR(ISBLANK(B1474),B1474=""), "", IFERROR(INDEX('SAÍDA DE VENDAS'!$H$6:$H$500 &amp; "x " &amp; 'SAÍDA DE VENDAS'!$G$6:$G$500, MATCH(B1474, 'SAÍDA DE VENDAS'!$B$6:$B$500, 0)), "")&amp; IF(COUNTIF('SAÍDA DE VENDAS'!$B$6:$B$500, B1474)&gt;1, " + " &amp; IFERROR(INDEX('SAÍDA DE VENDAS'!$H$6:$H$500 &amp; "x " &amp; 'SAÍDA DE VENDAS'!$G$6:$G$500, MATCH(B1474, 'SAÍDA DE VENDAS'!$B$6:$B$500, 0)+1), ""), "")&amp; IF(COUNTIF('SAÍDA DE VENDAS'!$B$6:$B$500, B1474)&gt;2, " + " &amp; IFERROR(INDEX('SAÍDA DE VENDAS'!$H$6:$H$500 &amp; "x " &amp; 'SAÍDA DE VENDAS'!$G$6:$G$500, MATCH(B1474, 'SAÍDA DE VENDAS'!$B$6:$B$500, 0)+2), ""), "")&amp; IF(COUNTIF('SAÍDA DE VENDAS'!$B$6:$B$500, B1474)&gt;3, " + " &amp; IFERROR(INDEX('SAÍDA DE VENDAS'!$H$6:$H$500 &amp; "x " &amp; 'SAÍDA DE VENDAS'!$G$6:$G$500, MATCH(B1474, 'SAÍDA DE VENDAS'!$B$6:$B$500, 0)+3), ""), "")&amp; IF(COUNTIF('SAÍDA DE VENDAS'!$B$6:$B$500, B1474)&gt;4, " + " &amp; IFERROR(INDEX('SAÍDA DE VENDAS'!$H$6:$H$500 &amp; "x " &amp; 'SAÍDA DE VENDAS'!$G$6:$G$500, MATCH(B1474, 'SAÍDA DE VENDAS'!$B$6:$B$500, 0)+4), ""), "")&amp; IF(COUNTIF('SAÍDA DE VENDAS'!$B$6:$B$500, B1474)&gt;5, " + " &amp; IFERROR(INDEX('SAÍDA DE VENDAS'!$H$6:$H$500 &amp; "x " &amp; 'SAÍDA DE VENDAS'!$G$6:$G$500, MATCH(B1474, 'SAÍDA DE VENDAS'!$B$6:$B$500, 0)+5), ""), ""))</f>
        <v/>
      </c>
      <c r="G1474" s="28">
        <f>IFERROR(VLOOKUP(B1474,'SAÍDA DE VENDAS'!$B$6:$P$500,10,FALSE),"")</f>
        <v>0</v>
      </c>
      <c r="H1474" s="28" t="str">
        <f>IF(OR(ISBLANK(B1474),B1474=""), "", IF(B1474=B1473, (VALUE(LEFT(H1473,FIND("/",H1473)-1))+1)&amp;"/"&amp;RIGHT(H1473,LEN(H1473)-FIND("/",H1473)), "1/"&amp;IFERROR(VLOOKUP(B1474,'SAÍDA DE VENDAS'!$B$6:$P$500,13,FALSE),"1")))</f>
        <v/>
      </c>
      <c r="I1474" s="69" t="str">
        <f t="shared" si="44"/>
        <v/>
      </c>
      <c r="J1474" s="33" t="str">
        <f>IFERROR(VLOOKUP(B1474,'SAÍDA DE VENDAS'!$B$6:$P$500,15,FALSE),"")</f>
        <v/>
      </c>
      <c r="K1474" s="28" t="str">
        <f t="shared" ca="1" si="45"/>
        <v/>
      </c>
      <c r="L1474" s="28"/>
      <c r="M1474" s="28"/>
    </row>
    <row r="1475" spans="2:13" ht="15" customHeight="1" x14ac:dyDescent="0.3">
      <c r="B1475" s="34" t="str">
        <f>IF(B1474="","", IF(VALUE(LEFT(H1474,FIND("/",H1474)-1)) &lt; VALUE(RIGHT(H1474,LEN(H1474)-FIND("/",H1474))), B1474, IFERROR(INDEX('SAÍDA DE VENDAS'!$B$6:$B$500, MATCH(B1474,'SAÍDA DE VENDAS'!$B$6:$B$500,0)+COUNTIF('SAÍDA DE VENDAS'!$B$6:$B$500, B1474)),"")))</f>
        <v/>
      </c>
      <c r="C1475" s="35">
        <f>IFERROR(VLOOKUP(B1475,'SAÍDA DE VENDAS'!$B$6:$P$500,3,FALSE),"")</f>
        <v>0</v>
      </c>
      <c r="D1475" s="34">
        <f>IFERROR(VLOOKUP(B1475,'SAÍDA DE VENDAS'!$B$6:$P$500,4,FALSE),"")</f>
        <v>0</v>
      </c>
      <c r="E1475" s="34" t="str">
        <f>IFERROR(VLOOKUP(B1475,'SAÍDA DE VENDAS'!$B$6:$P$500,5,FALSE),"")</f>
        <v/>
      </c>
      <c r="F1475" s="34" t="str">
        <f>IF(OR(ISBLANK(B1475),B1475=""), "", IFERROR(INDEX('SAÍDA DE VENDAS'!$H$6:$H$500 &amp; "x " &amp; 'SAÍDA DE VENDAS'!$G$6:$G$500, MATCH(B1475, 'SAÍDA DE VENDAS'!$B$6:$B$500, 0)), "")&amp; IF(COUNTIF('SAÍDA DE VENDAS'!$B$6:$B$500, B1475)&gt;1, " + " &amp; IFERROR(INDEX('SAÍDA DE VENDAS'!$H$6:$H$500 &amp; "x " &amp; 'SAÍDA DE VENDAS'!$G$6:$G$500, MATCH(B1475, 'SAÍDA DE VENDAS'!$B$6:$B$500, 0)+1), ""), "")&amp; IF(COUNTIF('SAÍDA DE VENDAS'!$B$6:$B$500, B1475)&gt;2, " + " &amp; IFERROR(INDEX('SAÍDA DE VENDAS'!$H$6:$H$500 &amp; "x " &amp; 'SAÍDA DE VENDAS'!$G$6:$G$500, MATCH(B1475, 'SAÍDA DE VENDAS'!$B$6:$B$500, 0)+2), ""), "")&amp; IF(COUNTIF('SAÍDA DE VENDAS'!$B$6:$B$500, B1475)&gt;3, " + " &amp; IFERROR(INDEX('SAÍDA DE VENDAS'!$H$6:$H$500 &amp; "x " &amp; 'SAÍDA DE VENDAS'!$G$6:$G$500, MATCH(B1475, 'SAÍDA DE VENDAS'!$B$6:$B$500, 0)+3), ""), "")&amp; IF(COUNTIF('SAÍDA DE VENDAS'!$B$6:$B$500, B1475)&gt;4, " + " &amp; IFERROR(INDEX('SAÍDA DE VENDAS'!$H$6:$H$500 &amp; "x " &amp; 'SAÍDA DE VENDAS'!$G$6:$G$500, MATCH(B1475, 'SAÍDA DE VENDAS'!$B$6:$B$500, 0)+4), ""), "")&amp; IF(COUNTIF('SAÍDA DE VENDAS'!$B$6:$B$500, B1475)&gt;5, " + " &amp; IFERROR(INDEX('SAÍDA DE VENDAS'!$H$6:$H$500 &amp; "x " &amp; 'SAÍDA DE VENDAS'!$G$6:$G$500, MATCH(B1475, 'SAÍDA DE VENDAS'!$B$6:$B$500, 0)+5), ""), ""))</f>
        <v/>
      </c>
      <c r="G1475" s="34">
        <f>IFERROR(VLOOKUP(B1475,'SAÍDA DE VENDAS'!$B$6:$P$500,10,FALSE),"")</f>
        <v>0</v>
      </c>
      <c r="H1475" s="34" t="str">
        <f>IF(OR(ISBLANK(B1475),B1475=""), "", IF(B1475=B1474, (VALUE(LEFT(H1474,FIND("/",H1474)-1))+1)&amp;"/"&amp;RIGHT(H1474,LEN(H1474)-FIND("/",H1474)), "1/"&amp;IFERROR(VLOOKUP(B1475,'SAÍDA DE VENDAS'!$B$6:$P$500,13,FALSE),"1")))</f>
        <v/>
      </c>
      <c r="I1475" s="35" t="str">
        <f t="shared" si="44"/>
        <v/>
      </c>
      <c r="J1475" s="39" t="str">
        <f>IFERROR(VLOOKUP(B1475,'SAÍDA DE VENDAS'!$B$6:$P$500,15,FALSE),"")</f>
        <v/>
      </c>
      <c r="K1475" s="34" t="str">
        <f t="shared" ca="1" si="45"/>
        <v/>
      </c>
      <c r="L1475" s="34"/>
      <c r="M1475" s="34"/>
    </row>
    <row r="1476" spans="2:13" ht="15" customHeight="1" x14ac:dyDescent="0.3">
      <c r="B1476" s="28" t="str">
        <f>IF(B1475="","", IF(VALUE(LEFT(H1475,FIND("/",H1475)-1)) &lt; VALUE(RIGHT(H1475,LEN(H1475)-FIND("/",H1475))), B1475, IFERROR(INDEX('SAÍDA DE VENDAS'!$B$6:$B$500, MATCH(B1475,'SAÍDA DE VENDAS'!$B$6:$B$500,0)+COUNTIF('SAÍDA DE VENDAS'!$B$6:$B$500, B1475)),"")))</f>
        <v/>
      </c>
      <c r="C1476" s="29">
        <f>IFERROR(VLOOKUP(B1476,'SAÍDA DE VENDAS'!$B$6:$P$500,3,FALSE),"")</f>
        <v>0</v>
      </c>
      <c r="D1476" s="28">
        <f>IFERROR(VLOOKUP(B1476,'SAÍDA DE VENDAS'!$B$6:$P$500,4,FALSE),"")</f>
        <v>0</v>
      </c>
      <c r="E1476" s="28" t="str">
        <f>IFERROR(VLOOKUP(B1476,'SAÍDA DE VENDAS'!$B$6:$P$500,5,FALSE),"")</f>
        <v/>
      </c>
      <c r="F1476" s="28" t="str">
        <f>IF(OR(ISBLANK(B1476),B1476=""), "", IFERROR(INDEX('SAÍDA DE VENDAS'!$H$6:$H$500 &amp; "x " &amp; 'SAÍDA DE VENDAS'!$G$6:$G$500, MATCH(B1476, 'SAÍDA DE VENDAS'!$B$6:$B$500, 0)), "")&amp; IF(COUNTIF('SAÍDA DE VENDAS'!$B$6:$B$500, B1476)&gt;1, " + " &amp; IFERROR(INDEX('SAÍDA DE VENDAS'!$H$6:$H$500 &amp; "x " &amp; 'SAÍDA DE VENDAS'!$G$6:$G$500, MATCH(B1476, 'SAÍDA DE VENDAS'!$B$6:$B$500, 0)+1), ""), "")&amp; IF(COUNTIF('SAÍDA DE VENDAS'!$B$6:$B$500, B1476)&gt;2, " + " &amp; IFERROR(INDEX('SAÍDA DE VENDAS'!$H$6:$H$500 &amp; "x " &amp; 'SAÍDA DE VENDAS'!$G$6:$G$500, MATCH(B1476, 'SAÍDA DE VENDAS'!$B$6:$B$500, 0)+2), ""), "")&amp; IF(COUNTIF('SAÍDA DE VENDAS'!$B$6:$B$500, B1476)&gt;3, " + " &amp; IFERROR(INDEX('SAÍDA DE VENDAS'!$H$6:$H$500 &amp; "x " &amp; 'SAÍDA DE VENDAS'!$G$6:$G$500, MATCH(B1476, 'SAÍDA DE VENDAS'!$B$6:$B$500, 0)+3), ""), "")&amp; IF(COUNTIF('SAÍDA DE VENDAS'!$B$6:$B$500, B1476)&gt;4, " + " &amp; IFERROR(INDEX('SAÍDA DE VENDAS'!$H$6:$H$500 &amp; "x " &amp; 'SAÍDA DE VENDAS'!$G$6:$G$500, MATCH(B1476, 'SAÍDA DE VENDAS'!$B$6:$B$500, 0)+4), ""), "")&amp; IF(COUNTIF('SAÍDA DE VENDAS'!$B$6:$B$500, B1476)&gt;5, " + " &amp; IFERROR(INDEX('SAÍDA DE VENDAS'!$H$6:$H$500 &amp; "x " &amp; 'SAÍDA DE VENDAS'!$G$6:$G$500, MATCH(B1476, 'SAÍDA DE VENDAS'!$B$6:$B$500, 0)+5), ""), ""))</f>
        <v/>
      </c>
      <c r="G1476" s="28">
        <f>IFERROR(VLOOKUP(B1476,'SAÍDA DE VENDAS'!$B$6:$P$500,10,FALSE),"")</f>
        <v>0</v>
      </c>
      <c r="H1476" s="28" t="str">
        <f>IF(OR(ISBLANK(B1476),B1476=""), "", IF(B1476=B1475, (VALUE(LEFT(H1475,FIND("/",H1475)-1))+1)&amp;"/"&amp;RIGHT(H1475,LEN(H1475)-FIND("/",H1475)), "1/"&amp;IFERROR(VLOOKUP(B1476,'SAÍDA DE VENDAS'!$B$6:$P$500,13,FALSE),"1")))</f>
        <v/>
      </c>
      <c r="I1476" s="69" t="str">
        <f t="shared" si="44"/>
        <v/>
      </c>
      <c r="J1476" s="33" t="str">
        <f>IFERROR(VLOOKUP(B1476,'SAÍDA DE VENDAS'!$B$6:$P$500,15,FALSE),"")</f>
        <v/>
      </c>
      <c r="K1476" s="28" t="str">
        <f t="shared" ca="1" si="45"/>
        <v/>
      </c>
      <c r="L1476" s="28"/>
      <c r="M1476" s="28"/>
    </row>
    <row r="1477" spans="2:13" ht="15" customHeight="1" x14ac:dyDescent="0.3">
      <c r="B1477" s="34" t="str">
        <f>IF(B1476="","", IF(VALUE(LEFT(H1476,FIND("/",H1476)-1)) &lt; VALUE(RIGHT(H1476,LEN(H1476)-FIND("/",H1476))), B1476, IFERROR(INDEX('SAÍDA DE VENDAS'!$B$6:$B$500, MATCH(B1476,'SAÍDA DE VENDAS'!$B$6:$B$500,0)+COUNTIF('SAÍDA DE VENDAS'!$B$6:$B$500, B1476)),"")))</f>
        <v/>
      </c>
      <c r="C1477" s="35">
        <f>IFERROR(VLOOKUP(B1477,'SAÍDA DE VENDAS'!$B$6:$P$500,3,FALSE),"")</f>
        <v>0</v>
      </c>
      <c r="D1477" s="34">
        <f>IFERROR(VLOOKUP(B1477,'SAÍDA DE VENDAS'!$B$6:$P$500,4,FALSE),"")</f>
        <v>0</v>
      </c>
      <c r="E1477" s="34" t="str">
        <f>IFERROR(VLOOKUP(B1477,'SAÍDA DE VENDAS'!$B$6:$P$500,5,FALSE),"")</f>
        <v/>
      </c>
      <c r="F1477" s="34" t="str">
        <f>IF(OR(ISBLANK(B1477),B1477=""), "", IFERROR(INDEX('SAÍDA DE VENDAS'!$H$6:$H$500 &amp; "x " &amp; 'SAÍDA DE VENDAS'!$G$6:$G$500, MATCH(B1477, 'SAÍDA DE VENDAS'!$B$6:$B$500, 0)), "")&amp; IF(COUNTIF('SAÍDA DE VENDAS'!$B$6:$B$500, B1477)&gt;1, " + " &amp; IFERROR(INDEX('SAÍDA DE VENDAS'!$H$6:$H$500 &amp; "x " &amp; 'SAÍDA DE VENDAS'!$G$6:$G$500, MATCH(B1477, 'SAÍDA DE VENDAS'!$B$6:$B$500, 0)+1), ""), "")&amp; IF(COUNTIF('SAÍDA DE VENDAS'!$B$6:$B$500, B1477)&gt;2, " + " &amp; IFERROR(INDEX('SAÍDA DE VENDAS'!$H$6:$H$500 &amp; "x " &amp; 'SAÍDA DE VENDAS'!$G$6:$G$500, MATCH(B1477, 'SAÍDA DE VENDAS'!$B$6:$B$500, 0)+2), ""), "")&amp; IF(COUNTIF('SAÍDA DE VENDAS'!$B$6:$B$500, B1477)&gt;3, " + " &amp; IFERROR(INDEX('SAÍDA DE VENDAS'!$H$6:$H$500 &amp; "x " &amp; 'SAÍDA DE VENDAS'!$G$6:$G$500, MATCH(B1477, 'SAÍDA DE VENDAS'!$B$6:$B$500, 0)+3), ""), "")&amp; IF(COUNTIF('SAÍDA DE VENDAS'!$B$6:$B$500, B1477)&gt;4, " + " &amp; IFERROR(INDEX('SAÍDA DE VENDAS'!$H$6:$H$500 &amp; "x " &amp; 'SAÍDA DE VENDAS'!$G$6:$G$500, MATCH(B1477, 'SAÍDA DE VENDAS'!$B$6:$B$500, 0)+4), ""), "")&amp; IF(COUNTIF('SAÍDA DE VENDAS'!$B$6:$B$500, B1477)&gt;5, " + " &amp; IFERROR(INDEX('SAÍDA DE VENDAS'!$H$6:$H$500 &amp; "x " &amp; 'SAÍDA DE VENDAS'!$G$6:$G$500, MATCH(B1477, 'SAÍDA DE VENDAS'!$B$6:$B$500, 0)+5), ""), ""))</f>
        <v/>
      </c>
      <c r="G1477" s="34">
        <f>IFERROR(VLOOKUP(B1477,'SAÍDA DE VENDAS'!$B$6:$P$500,10,FALSE),"")</f>
        <v>0</v>
      </c>
      <c r="H1477" s="34" t="str">
        <f>IF(OR(ISBLANK(B1477),B1477=""), "", IF(B1477=B1476, (VALUE(LEFT(H1476,FIND("/",H1476)-1))+1)&amp;"/"&amp;RIGHT(H1476,LEN(H1476)-FIND("/",H1476)), "1/"&amp;IFERROR(VLOOKUP(B1477,'SAÍDA DE VENDAS'!$B$6:$P$500,13,FALSE),"1")))</f>
        <v/>
      </c>
      <c r="I1477" s="35" t="str">
        <f t="shared" si="44"/>
        <v/>
      </c>
      <c r="J1477" s="39" t="str">
        <f>IFERROR(VLOOKUP(B1477,'SAÍDA DE VENDAS'!$B$6:$P$500,15,FALSE),"")</f>
        <v/>
      </c>
      <c r="K1477" s="34" t="str">
        <f t="shared" ca="1" si="45"/>
        <v/>
      </c>
      <c r="L1477" s="34"/>
      <c r="M1477" s="34"/>
    </row>
    <row r="1478" spans="2:13" ht="15" customHeight="1" x14ac:dyDescent="0.3">
      <c r="B1478" s="28" t="str">
        <f>IF(B1477="","", IF(VALUE(LEFT(H1477,FIND("/",H1477)-1)) &lt; VALUE(RIGHT(H1477,LEN(H1477)-FIND("/",H1477))), B1477, IFERROR(INDEX('SAÍDA DE VENDAS'!$B$6:$B$500, MATCH(B1477,'SAÍDA DE VENDAS'!$B$6:$B$500,0)+COUNTIF('SAÍDA DE VENDAS'!$B$6:$B$500, B1477)),"")))</f>
        <v/>
      </c>
      <c r="C1478" s="29">
        <f>IFERROR(VLOOKUP(B1478,'SAÍDA DE VENDAS'!$B$6:$P$500,3,FALSE),"")</f>
        <v>0</v>
      </c>
      <c r="D1478" s="28">
        <f>IFERROR(VLOOKUP(B1478,'SAÍDA DE VENDAS'!$B$6:$P$500,4,FALSE),"")</f>
        <v>0</v>
      </c>
      <c r="E1478" s="28" t="str">
        <f>IFERROR(VLOOKUP(B1478,'SAÍDA DE VENDAS'!$B$6:$P$500,5,FALSE),"")</f>
        <v/>
      </c>
      <c r="F1478" s="28" t="str">
        <f>IF(OR(ISBLANK(B1478),B1478=""), "", IFERROR(INDEX('SAÍDA DE VENDAS'!$H$6:$H$500 &amp; "x " &amp; 'SAÍDA DE VENDAS'!$G$6:$G$500, MATCH(B1478, 'SAÍDA DE VENDAS'!$B$6:$B$500, 0)), "")&amp; IF(COUNTIF('SAÍDA DE VENDAS'!$B$6:$B$500, B1478)&gt;1, " + " &amp; IFERROR(INDEX('SAÍDA DE VENDAS'!$H$6:$H$500 &amp; "x " &amp; 'SAÍDA DE VENDAS'!$G$6:$G$500, MATCH(B1478, 'SAÍDA DE VENDAS'!$B$6:$B$500, 0)+1), ""), "")&amp; IF(COUNTIF('SAÍDA DE VENDAS'!$B$6:$B$500, B1478)&gt;2, " + " &amp; IFERROR(INDEX('SAÍDA DE VENDAS'!$H$6:$H$500 &amp; "x " &amp; 'SAÍDA DE VENDAS'!$G$6:$G$500, MATCH(B1478, 'SAÍDA DE VENDAS'!$B$6:$B$500, 0)+2), ""), "")&amp; IF(COUNTIF('SAÍDA DE VENDAS'!$B$6:$B$500, B1478)&gt;3, " + " &amp; IFERROR(INDEX('SAÍDA DE VENDAS'!$H$6:$H$500 &amp; "x " &amp; 'SAÍDA DE VENDAS'!$G$6:$G$500, MATCH(B1478, 'SAÍDA DE VENDAS'!$B$6:$B$500, 0)+3), ""), "")&amp; IF(COUNTIF('SAÍDA DE VENDAS'!$B$6:$B$500, B1478)&gt;4, " + " &amp; IFERROR(INDEX('SAÍDA DE VENDAS'!$H$6:$H$500 &amp; "x " &amp; 'SAÍDA DE VENDAS'!$G$6:$G$500, MATCH(B1478, 'SAÍDA DE VENDAS'!$B$6:$B$500, 0)+4), ""), "")&amp; IF(COUNTIF('SAÍDA DE VENDAS'!$B$6:$B$500, B1478)&gt;5, " + " &amp; IFERROR(INDEX('SAÍDA DE VENDAS'!$H$6:$H$500 &amp; "x " &amp; 'SAÍDA DE VENDAS'!$G$6:$G$500, MATCH(B1478, 'SAÍDA DE VENDAS'!$B$6:$B$500, 0)+5), ""), ""))</f>
        <v/>
      </c>
      <c r="G1478" s="28">
        <f>IFERROR(VLOOKUP(B1478,'SAÍDA DE VENDAS'!$B$6:$P$500,10,FALSE),"")</f>
        <v>0</v>
      </c>
      <c r="H1478" s="28" t="str">
        <f>IF(OR(ISBLANK(B1478),B1478=""), "", IF(B1478=B1477, (VALUE(LEFT(H1477,FIND("/",H1477)-1))+1)&amp;"/"&amp;RIGHT(H1477,LEN(H1477)-FIND("/",H1477)), "1/"&amp;IFERROR(VLOOKUP(B1478,'SAÍDA DE VENDAS'!$B$6:$P$500,13,FALSE),"1")))</f>
        <v/>
      </c>
      <c r="I1478" s="69" t="str">
        <f t="shared" ref="I1478:I1499" si="46">IF(OR(ISBLANK(B1478), B1478="", C1478=""), "", C1478 + (IFERROR(VALUE(LEFT(H1478, FIND("/", H1478)-1)), 1) * 30))</f>
        <v/>
      </c>
      <c r="J1478" s="33" t="str">
        <f>IFERROR(VLOOKUP(B1478,'SAÍDA DE VENDAS'!$B$6:$P$500,15,FALSE),"")</f>
        <v/>
      </c>
      <c r="K1478" s="28" t="str">
        <f t="shared" ref="K1478:K1499" ca="1" si="47">IF(B1478="","", IF(OR(G1478="À Vista", L1478&lt;&gt;""), "Pago", IF(AND(I1478&lt;&gt;"", I1478&lt;TODAY()), "Atrasado", "Pendente")))</f>
        <v/>
      </c>
      <c r="L1478" s="28"/>
      <c r="M1478" s="28"/>
    </row>
    <row r="1479" spans="2:13" ht="15" customHeight="1" x14ac:dyDescent="0.3">
      <c r="B1479" s="34" t="str">
        <f>IF(B1478="","", IF(VALUE(LEFT(H1478,FIND("/",H1478)-1)) &lt; VALUE(RIGHT(H1478,LEN(H1478)-FIND("/",H1478))), B1478, IFERROR(INDEX('SAÍDA DE VENDAS'!$B$6:$B$500, MATCH(B1478,'SAÍDA DE VENDAS'!$B$6:$B$500,0)+COUNTIF('SAÍDA DE VENDAS'!$B$6:$B$500, B1478)),"")))</f>
        <v/>
      </c>
      <c r="C1479" s="35">
        <f>IFERROR(VLOOKUP(B1479,'SAÍDA DE VENDAS'!$B$6:$P$500,3,FALSE),"")</f>
        <v>0</v>
      </c>
      <c r="D1479" s="34">
        <f>IFERROR(VLOOKUP(B1479,'SAÍDA DE VENDAS'!$B$6:$P$500,4,FALSE),"")</f>
        <v>0</v>
      </c>
      <c r="E1479" s="34" t="str">
        <f>IFERROR(VLOOKUP(B1479,'SAÍDA DE VENDAS'!$B$6:$P$500,5,FALSE),"")</f>
        <v/>
      </c>
      <c r="F1479" s="34" t="str">
        <f>IF(OR(ISBLANK(B1479),B1479=""), "", IFERROR(INDEX('SAÍDA DE VENDAS'!$H$6:$H$500 &amp; "x " &amp; 'SAÍDA DE VENDAS'!$G$6:$G$500, MATCH(B1479, 'SAÍDA DE VENDAS'!$B$6:$B$500, 0)), "")&amp; IF(COUNTIF('SAÍDA DE VENDAS'!$B$6:$B$500, B1479)&gt;1, " + " &amp; IFERROR(INDEX('SAÍDA DE VENDAS'!$H$6:$H$500 &amp; "x " &amp; 'SAÍDA DE VENDAS'!$G$6:$G$500, MATCH(B1479, 'SAÍDA DE VENDAS'!$B$6:$B$500, 0)+1), ""), "")&amp; IF(COUNTIF('SAÍDA DE VENDAS'!$B$6:$B$500, B1479)&gt;2, " + " &amp; IFERROR(INDEX('SAÍDA DE VENDAS'!$H$6:$H$500 &amp; "x " &amp; 'SAÍDA DE VENDAS'!$G$6:$G$500, MATCH(B1479, 'SAÍDA DE VENDAS'!$B$6:$B$500, 0)+2), ""), "")&amp; IF(COUNTIF('SAÍDA DE VENDAS'!$B$6:$B$500, B1479)&gt;3, " + " &amp; IFERROR(INDEX('SAÍDA DE VENDAS'!$H$6:$H$500 &amp; "x " &amp; 'SAÍDA DE VENDAS'!$G$6:$G$500, MATCH(B1479, 'SAÍDA DE VENDAS'!$B$6:$B$500, 0)+3), ""), "")&amp; IF(COUNTIF('SAÍDA DE VENDAS'!$B$6:$B$500, B1479)&gt;4, " + " &amp; IFERROR(INDEX('SAÍDA DE VENDAS'!$H$6:$H$500 &amp; "x " &amp; 'SAÍDA DE VENDAS'!$G$6:$G$500, MATCH(B1479, 'SAÍDA DE VENDAS'!$B$6:$B$500, 0)+4), ""), "")&amp; IF(COUNTIF('SAÍDA DE VENDAS'!$B$6:$B$500, B1479)&gt;5, " + " &amp; IFERROR(INDEX('SAÍDA DE VENDAS'!$H$6:$H$500 &amp; "x " &amp; 'SAÍDA DE VENDAS'!$G$6:$G$500, MATCH(B1479, 'SAÍDA DE VENDAS'!$B$6:$B$500, 0)+5), ""), ""))</f>
        <v/>
      </c>
      <c r="G1479" s="34">
        <f>IFERROR(VLOOKUP(B1479,'SAÍDA DE VENDAS'!$B$6:$P$500,10,FALSE),"")</f>
        <v>0</v>
      </c>
      <c r="H1479" s="34" t="str">
        <f>IF(OR(ISBLANK(B1479),B1479=""), "", IF(B1479=B1478, (VALUE(LEFT(H1478,FIND("/",H1478)-1))+1)&amp;"/"&amp;RIGHT(H1478,LEN(H1478)-FIND("/",H1478)), "1/"&amp;IFERROR(VLOOKUP(B1479,'SAÍDA DE VENDAS'!$B$6:$P$500,13,FALSE),"1")))</f>
        <v/>
      </c>
      <c r="I1479" s="35" t="str">
        <f t="shared" si="46"/>
        <v/>
      </c>
      <c r="J1479" s="39" t="str">
        <f>IFERROR(VLOOKUP(B1479,'SAÍDA DE VENDAS'!$B$6:$P$500,15,FALSE),"")</f>
        <v/>
      </c>
      <c r="K1479" s="34" t="str">
        <f t="shared" ca="1" si="47"/>
        <v/>
      </c>
      <c r="L1479" s="34"/>
      <c r="M1479" s="34"/>
    </row>
    <row r="1480" spans="2:13" ht="15" customHeight="1" x14ac:dyDescent="0.3">
      <c r="B1480" s="28" t="str">
        <f>IF(B1479="","", IF(VALUE(LEFT(H1479,FIND("/",H1479)-1)) &lt; VALUE(RIGHT(H1479,LEN(H1479)-FIND("/",H1479))), B1479, IFERROR(INDEX('SAÍDA DE VENDAS'!$B$6:$B$500, MATCH(B1479,'SAÍDA DE VENDAS'!$B$6:$B$500,0)+COUNTIF('SAÍDA DE VENDAS'!$B$6:$B$500, B1479)),"")))</f>
        <v/>
      </c>
      <c r="C1480" s="29">
        <f>IFERROR(VLOOKUP(B1480,'SAÍDA DE VENDAS'!$B$6:$P$500,3,FALSE),"")</f>
        <v>0</v>
      </c>
      <c r="D1480" s="28">
        <f>IFERROR(VLOOKUP(B1480,'SAÍDA DE VENDAS'!$B$6:$P$500,4,FALSE),"")</f>
        <v>0</v>
      </c>
      <c r="E1480" s="28" t="str">
        <f>IFERROR(VLOOKUP(B1480,'SAÍDA DE VENDAS'!$B$6:$P$500,5,FALSE),"")</f>
        <v/>
      </c>
      <c r="F1480" s="28" t="str">
        <f>IF(OR(ISBLANK(B1480),B1480=""), "", IFERROR(INDEX('SAÍDA DE VENDAS'!$H$6:$H$500 &amp; "x " &amp; 'SAÍDA DE VENDAS'!$G$6:$G$500, MATCH(B1480, 'SAÍDA DE VENDAS'!$B$6:$B$500, 0)), "")&amp; IF(COUNTIF('SAÍDA DE VENDAS'!$B$6:$B$500, B1480)&gt;1, " + " &amp; IFERROR(INDEX('SAÍDA DE VENDAS'!$H$6:$H$500 &amp; "x " &amp; 'SAÍDA DE VENDAS'!$G$6:$G$500, MATCH(B1480, 'SAÍDA DE VENDAS'!$B$6:$B$500, 0)+1), ""), "")&amp; IF(COUNTIF('SAÍDA DE VENDAS'!$B$6:$B$500, B1480)&gt;2, " + " &amp; IFERROR(INDEX('SAÍDA DE VENDAS'!$H$6:$H$500 &amp; "x " &amp; 'SAÍDA DE VENDAS'!$G$6:$G$500, MATCH(B1480, 'SAÍDA DE VENDAS'!$B$6:$B$500, 0)+2), ""), "")&amp; IF(COUNTIF('SAÍDA DE VENDAS'!$B$6:$B$500, B1480)&gt;3, " + " &amp; IFERROR(INDEX('SAÍDA DE VENDAS'!$H$6:$H$500 &amp; "x " &amp; 'SAÍDA DE VENDAS'!$G$6:$G$500, MATCH(B1480, 'SAÍDA DE VENDAS'!$B$6:$B$500, 0)+3), ""), "")&amp; IF(COUNTIF('SAÍDA DE VENDAS'!$B$6:$B$500, B1480)&gt;4, " + " &amp; IFERROR(INDEX('SAÍDA DE VENDAS'!$H$6:$H$500 &amp; "x " &amp; 'SAÍDA DE VENDAS'!$G$6:$G$500, MATCH(B1480, 'SAÍDA DE VENDAS'!$B$6:$B$500, 0)+4), ""), "")&amp; IF(COUNTIF('SAÍDA DE VENDAS'!$B$6:$B$500, B1480)&gt;5, " + " &amp; IFERROR(INDEX('SAÍDA DE VENDAS'!$H$6:$H$500 &amp; "x " &amp; 'SAÍDA DE VENDAS'!$G$6:$G$500, MATCH(B1480, 'SAÍDA DE VENDAS'!$B$6:$B$500, 0)+5), ""), ""))</f>
        <v/>
      </c>
      <c r="G1480" s="28">
        <f>IFERROR(VLOOKUP(B1480,'SAÍDA DE VENDAS'!$B$6:$P$500,10,FALSE),"")</f>
        <v>0</v>
      </c>
      <c r="H1480" s="28" t="str">
        <f>IF(OR(ISBLANK(B1480),B1480=""), "", IF(B1480=B1479, (VALUE(LEFT(H1479,FIND("/",H1479)-1))+1)&amp;"/"&amp;RIGHT(H1479,LEN(H1479)-FIND("/",H1479)), "1/"&amp;IFERROR(VLOOKUP(B1480,'SAÍDA DE VENDAS'!$B$6:$P$500,13,FALSE),"1")))</f>
        <v/>
      </c>
      <c r="I1480" s="69" t="str">
        <f t="shared" si="46"/>
        <v/>
      </c>
      <c r="J1480" s="33" t="str">
        <f>IFERROR(VLOOKUP(B1480,'SAÍDA DE VENDAS'!$B$6:$P$500,15,FALSE),"")</f>
        <v/>
      </c>
      <c r="K1480" s="28" t="str">
        <f t="shared" ca="1" si="47"/>
        <v/>
      </c>
      <c r="L1480" s="28"/>
      <c r="M1480" s="28"/>
    </row>
    <row r="1481" spans="2:13" ht="15" customHeight="1" x14ac:dyDescent="0.3">
      <c r="B1481" s="34" t="str">
        <f>IF(B1480="","", IF(VALUE(LEFT(H1480,FIND("/",H1480)-1)) &lt; VALUE(RIGHT(H1480,LEN(H1480)-FIND("/",H1480))), B1480, IFERROR(INDEX('SAÍDA DE VENDAS'!$B$6:$B$500, MATCH(B1480,'SAÍDA DE VENDAS'!$B$6:$B$500,0)+COUNTIF('SAÍDA DE VENDAS'!$B$6:$B$500, B1480)),"")))</f>
        <v/>
      </c>
      <c r="C1481" s="35">
        <f>IFERROR(VLOOKUP(B1481,'SAÍDA DE VENDAS'!$B$6:$P$500,3,FALSE),"")</f>
        <v>0</v>
      </c>
      <c r="D1481" s="34">
        <f>IFERROR(VLOOKUP(B1481,'SAÍDA DE VENDAS'!$B$6:$P$500,4,FALSE),"")</f>
        <v>0</v>
      </c>
      <c r="E1481" s="34" t="str">
        <f>IFERROR(VLOOKUP(B1481,'SAÍDA DE VENDAS'!$B$6:$P$500,5,FALSE),"")</f>
        <v/>
      </c>
      <c r="F1481" s="34" t="str">
        <f>IF(OR(ISBLANK(B1481),B1481=""), "", IFERROR(INDEX('SAÍDA DE VENDAS'!$H$6:$H$500 &amp; "x " &amp; 'SAÍDA DE VENDAS'!$G$6:$G$500, MATCH(B1481, 'SAÍDA DE VENDAS'!$B$6:$B$500, 0)), "")&amp; IF(COUNTIF('SAÍDA DE VENDAS'!$B$6:$B$500, B1481)&gt;1, " + " &amp; IFERROR(INDEX('SAÍDA DE VENDAS'!$H$6:$H$500 &amp; "x " &amp; 'SAÍDA DE VENDAS'!$G$6:$G$500, MATCH(B1481, 'SAÍDA DE VENDAS'!$B$6:$B$500, 0)+1), ""), "")&amp; IF(COUNTIF('SAÍDA DE VENDAS'!$B$6:$B$500, B1481)&gt;2, " + " &amp; IFERROR(INDEX('SAÍDA DE VENDAS'!$H$6:$H$500 &amp; "x " &amp; 'SAÍDA DE VENDAS'!$G$6:$G$500, MATCH(B1481, 'SAÍDA DE VENDAS'!$B$6:$B$500, 0)+2), ""), "")&amp; IF(COUNTIF('SAÍDA DE VENDAS'!$B$6:$B$500, B1481)&gt;3, " + " &amp; IFERROR(INDEX('SAÍDA DE VENDAS'!$H$6:$H$500 &amp; "x " &amp; 'SAÍDA DE VENDAS'!$G$6:$G$500, MATCH(B1481, 'SAÍDA DE VENDAS'!$B$6:$B$500, 0)+3), ""), "")&amp; IF(COUNTIF('SAÍDA DE VENDAS'!$B$6:$B$500, B1481)&gt;4, " + " &amp; IFERROR(INDEX('SAÍDA DE VENDAS'!$H$6:$H$500 &amp; "x " &amp; 'SAÍDA DE VENDAS'!$G$6:$G$500, MATCH(B1481, 'SAÍDA DE VENDAS'!$B$6:$B$500, 0)+4), ""), "")&amp; IF(COUNTIF('SAÍDA DE VENDAS'!$B$6:$B$500, B1481)&gt;5, " + " &amp; IFERROR(INDEX('SAÍDA DE VENDAS'!$H$6:$H$500 &amp; "x " &amp; 'SAÍDA DE VENDAS'!$G$6:$G$500, MATCH(B1481, 'SAÍDA DE VENDAS'!$B$6:$B$500, 0)+5), ""), ""))</f>
        <v/>
      </c>
      <c r="G1481" s="34">
        <f>IFERROR(VLOOKUP(B1481,'SAÍDA DE VENDAS'!$B$6:$P$500,10,FALSE),"")</f>
        <v>0</v>
      </c>
      <c r="H1481" s="34" t="str">
        <f>IF(OR(ISBLANK(B1481),B1481=""), "", IF(B1481=B1480, (VALUE(LEFT(H1480,FIND("/",H1480)-1))+1)&amp;"/"&amp;RIGHT(H1480,LEN(H1480)-FIND("/",H1480)), "1/"&amp;IFERROR(VLOOKUP(B1481,'SAÍDA DE VENDAS'!$B$6:$P$500,13,FALSE),"1")))</f>
        <v/>
      </c>
      <c r="I1481" s="35" t="str">
        <f t="shared" si="46"/>
        <v/>
      </c>
      <c r="J1481" s="39" t="str">
        <f>IFERROR(VLOOKUP(B1481,'SAÍDA DE VENDAS'!$B$6:$P$500,15,FALSE),"")</f>
        <v/>
      </c>
      <c r="K1481" s="34" t="str">
        <f t="shared" ca="1" si="47"/>
        <v/>
      </c>
      <c r="L1481" s="34"/>
      <c r="M1481" s="34"/>
    </row>
    <row r="1482" spans="2:13" ht="15" customHeight="1" x14ac:dyDescent="0.3">
      <c r="B1482" s="28" t="str">
        <f>IF(B1481="","", IF(VALUE(LEFT(H1481,FIND("/",H1481)-1)) &lt; VALUE(RIGHT(H1481,LEN(H1481)-FIND("/",H1481))), B1481, IFERROR(INDEX('SAÍDA DE VENDAS'!$B$6:$B$500, MATCH(B1481,'SAÍDA DE VENDAS'!$B$6:$B$500,0)+COUNTIF('SAÍDA DE VENDAS'!$B$6:$B$500, B1481)),"")))</f>
        <v/>
      </c>
      <c r="C1482" s="29">
        <f>IFERROR(VLOOKUP(B1482,'SAÍDA DE VENDAS'!$B$6:$P$500,3,FALSE),"")</f>
        <v>0</v>
      </c>
      <c r="D1482" s="28">
        <f>IFERROR(VLOOKUP(B1482,'SAÍDA DE VENDAS'!$B$6:$P$500,4,FALSE),"")</f>
        <v>0</v>
      </c>
      <c r="E1482" s="28" t="str">
        <f>IFERROR(VLOOKUP(B1482,'SAÍDA DE VENDAS'!$B$6:$P$500,5,FALSE),"")</f>
        <v/>
      </c>
      <c r="F1482" s="28" t="str">
        <f>IF(OR(ISBLANK(B1482),B1482=""), "", IFERROR(INDEX('SAÍDA DE VENDAS'!$H$6:$H$500 &amp; "x " &amp; 'SAÍDA DE VENDAS'!$G$6:$G$500, MATCH(B1482, 'SAÍDA DE VENDAS'!$B$6:$B$500, 0)), "")&amp; IF(COUNTIF('SAÍDA DE VENDAS'!$B$6:$B$500, B1482)&gt;1, " + " &amp; IFERROR(INDEX('SAÍDA DE VENDAS'!$H$6:$H$500 &amp; "x " &amp; 'SAÍDA DE VENDAS'!$G$6:$G$500, MATCH(B1482, 'SAÍDA DE VENDAS'!$B$6:$B$500, 0)+1), ""), "")&amp; IF(COUNTIF('SAÍDA DE VENDAS'!$B$6:$B$500, B1482)&gt;2, " + " &amp; IFERROR(INDEX('SAÍDA DE VENDAS'!$H$6:$H$500 &amp; "x " &amp; 'SAÍDA DE VENDAS'!$G$6:$G$500, MATCH(B1482, 'SAÍDA DE VENDAS'!$B$6:$B$500, 0)+2), ""), "")&amp; IF(COUNTIF('SAÍDA DE VENDAS'!$B$6:$B$500, B1482)&gt;3, " + " &amp; IFERROR(INDEX('SAÍDA DE VENDAS'!$H$6:$H$500 &amp; "x " &amp; 'SAÍDA DE VENDAS'!$G$6:$G$500, MATCH(B1482, 'SAÍDA DE VENDAS'!$B$6:$B$500, 0)+3), ""), "")&amp; IF(COUNTIF('SAÍDA DE VENDAS'!$B$6:$B$500, B1482)&gt;4, " + " &amp; IFERROR(INDEX('SAÍDA DE VENDAS'!$H$6:$H$500 &amp; "x " &amp; 'SAÍDA DE VENDAS'!$G$6:$G$500, MATCH(B1482, 'SAÍDA DE VENDAS'!$B$6:$B$500, 0)+4), ""), "")&amp; IF(COUNTIF('SAÍDA DE VENDAS'!$B$6:$B$500, B1482)&gt;5, " + " &amp; IFERROR(INDEX('SAÍDA DE VENDAS'!$H$6:$H$500 &amp; "x " &amp; 'SAÍDA DE VENDAS'!$G$6:$G$500, MATCH(B1482, 'SAÍDA DE VENDAS'!$B$6:$B$500, 0)+5), ""), ""))</f>
        <v/>
      </c>
      <c r="G1482" s="28">
        <f>IFERROR(VLOOKUP(B1482,'SAÍDA DE VENDAS'!$B$6:$P$500,10,FALSE),"")</f>
        <v>0</v>
      </c>
      <c r="H1482" s="28" t="str">
        <f>IF(OR(ISBLANK(B1482),B1482=""), "", IF(B1482=B1481, (VALUE(LEFT(H1481,FIND("/",H1481)-1))+1)&amp;"/"&amp;RIGHT(H1481,LEN(H1481)-FIND("/",H1481)), "1/"&amp;IFERROR(VLOOKUP(B1482,'SAÍDA DE VENDAS'!$B$6:$P$500,13,FALSE),"1")))</f>
        <v/>
      </c>
      <c r="I1482" s="69" t="str">
        <f t="shared" si="46"/>
        <v/>
      </c>
      <c r="J1482" s="33" t="str">
        <f>IFERROR(VLOOKUP(B1482,'SAÍDA DE VENDAS'!$B$6:$P$500,15,FALSE),"")</f>
        <v/>
      </c>
      <c r="K1482" s="28" t="str">
        <f t="shared" ca="1" si="47"/>
        <v/>
      </c>
      <c r="L1482" s="28"/>
      <c r="M1482" s="28"/>
    </row>
    <row r="1483" spans="2:13" ht="15" customHeight="1" x14ac:dyDescent="0.3">
      <c r="B1483" s="34" t="str">
        <f>IF(B1482="","", IF(VALUE(LEFT(H1482,FIND("/",H1482)-1)) &lt; VALUE(RIGHT(H1482,LEN(H1482)-FIND("/",H1482))), B1482, IFERROR(INDEX('SAÍDA DE VENDAS'!$B$6:$B$500, MATCH(B1482,'SAÍDA DE VENDAS'!$B$6:$B$500,0)+COUNTIF('SAÍDA DE VENDAS'!$B$6:$B$500, B1482)),"")))</f>
        <v/>
      </c>
      <c r="C1483" s="35">
        <f>IFERROR(VLOOKUP(B1483,'SAÍDA DE VENDAS'!$B$6:$P$500,3,FALSE),"")</f>
        <v>0</v>
      </c>
      <c r="D1483" s="34">
        <f>IFERROR(VLOOKUP(B1483,'SAÍDA DE VENDAS'!$B$6:$P$500,4,FALSE),"")</f>
        <v>0</v>
      </c>
      <c r="E1483" s="34" t="str">
        <f>IFERROR(VLOOKUP(B1483,'SAÍDA DE VENDAS'!$B$6:$P$500,5,FALSE),"")</f>
        <v/>
      </c>
      <c r="F1483" s="34" t="str">
        <f>IF(OR(ISBLANK(B1483),B1483=""), "", IFERROR(INDEX('SAÍDA DE VENDAS'!$H$6:$H$500 &amp; "x " &amp; 'SAÍDA DE VENDAS'!$G$6:$G$500, MATCH(B1483, 'SAÍDA DE VENDAS'!$B$6:$B$500, 0)), "")&amp; IF(COUNTIF('SAÍDA DE VENDAS'!$B$6:$B$500, B1483)&gt;1, " + " &amp; IFERROR(INDEX('SAÍDA DE VENDAS'!$H$6:$H$500 &amp; "x " &amp; 'SAÍDA DE VENDAS'!$G$6:$G$500, MATCH(B1483, 'SAÍDA DE VENDAS'!$B$6:$B$500, 0)+1), ""), "")&amp; IF(COUNTIF('SAÍDA DE VENDAS'!$B$6:$B$500, B1483)&gt;2, " + " &amp; IFERROR(INDEX('SAÍDA DE VENDAS'!$H$6:$H$500 &amp; "x " &amp; 'SAÍDA DE VENDAS'!$G$6:$G$500, MATCH(B1483, 'SAÍDA DE VENDAS'!$B$6:$B$500, 0)+2), ""), "")&amp; IF(COUNTIF('SAÍDA DE VENDAS'!$B$6:$B$500, B1483)&gt;3, " + " &amp; IFERROR(INDEX('SAÍDA DE VENDAS'!$H$6:$H$500 &amp; "x " &amp; 'SAÍDA DE VENDAS'!$G$6:$G$500, MATCH(B1483, 'SAÍDA DE VENDAS'!$B$6:$B$500, 0)+3), ""), "")&amp; IF(COUNTIF('SAÍDA DE VENDAS'!$B$6:$B$500, B1483)&gt;4, " + " &amp; IFERROR(INDEX('SAÍDA DE VENDAS'!$H$6:$H$500 &amp; "x " &amp; 'SAÍDA DE VENDAS'!$G$6:$G$500, MATCH(B1483, 'SAÍDA DE VENDAS'!$B$6:$B$500, 0)+4), ""), "")&amp; IF(COUNTIF('SAÍDA DE VENDAS'!$B$6:$B$500, B1483)&gt;5, " + " &amp; IFERROR(INDEX('SAÍDA DE VENDAS'!$H$6:$H$500 &amp; "x " &amp; 'SAÍDA DE VENDAS'!$G$6:$G$500, MATCH(B1483, 'SAÍDA DE VENDAS'!$B$6:$B$500, 0)+5), ""), ""))</f>
        <v/>
      </c>
      <c r="G1483" s="34">
        <f>IFERROR(VLOOKUP(B1483,'SAÍDA DE VENDAS'!$B$6:$P$500,10,FALSE),"")</f>
        <v>0</v>
      </c>
      <c r="H1483" s="34" t="str">
        <f>IF(OR(ISBLANK(B1483),B1483=""), "", IF(B1483=B1482, (VALUE(LEFT(H1482,FIND("/",H1482)-1))+1)&amp;"/"&amp;RIGHT(H1482,LEN(H1482)-FIND("/",H1482)), "1/"&amp;IFERROR(VLOOKUP(B1483,'SAÍDA DE VENDAS'!$B$6:$P$500,13,FALSE),"1")))</f>
        <v/>
      </c>
      <c r="I1483" s="35" t="str">
        <f t="shared" si="46"/>
        <v/>
      </c>
      <c r="J1483" s="39" t="str">
        <f>IFERROR(VLOOKUP(B1483,'SAÍDA DE VENDAS'!$B$6:$P$500,15,FALSE),"")</f>
        <v/>
      </c>
      <c r="K1483" s="34" t="str">
        <f t="shared" ca="1" si="47"/>
        <v/>
      </c>
      <c r="L1483" s="34"/>
      <c r="M1483" s="34"/>
    </row>
    <row r="1484" spans="2:13" ht="15" customHeight="1" x14ac:dyDescent="0.3">
      <c r="B1484" s="28" t="str">
        <f>IF(B1483="","", IF(VALUE(LEFT(H1483,FIND("/",H1483)-1)) &lt; VALUE(RIGHT(H1483,LEN(H1483)-FIND("/",H1483))), B1483, IFERROR(INDEX('SAÍDA DE VENDAS'!$B$6:$B$500, MATCH(B1483,'SAÍDA DE VENDAS'!$B$6:$B$500,0)+COUNTIF('SAÍDA DE VENDAS'!$B$6:$B$500, B1483)),"")))</f>
        <v/>
      </c>
      <c r="C1484" s="29">
        <f>IFERROR(VLOOKUP(B1484,'SAÍDA DE VENDAS'!$B$6:$P$500,3,FALSE),"")</f>
        <v>0</v>
      </c>
      <c r="D1484" s="28">
        <f>IFERROR(VLOOKUP(B1484,'SAÍDA DE VENDAS'!$B$6:$P$500,4,FALSE),"")</f>
        <v>0</v>
      </c>
      <c r="E1484" s="28" t="str">
        <f>IFERROR(VLOOKUP(B1484,'SAÍDA DE VENDAS'!$B$6:$P$500,5,FALSE),"")</f>
        <v/>
      </c>
      <c r="F1484" s="28" t="str">
        <f>IF(OR(ISBLANK(B1484),B1484=""), "", IFERROR(INDEX('SAÍDA DE VENDAS'!$H$6:$H$500 &amp; "x " &amp; 'SAÍDA DE VENDAS'!$G$6:$G$500, MATCH(B1484, 'SAÍDA DE VENDAS'!$B$6:$B$500, 0)), "")&amp; IF(COUNTIF('SAÍDA DE VENDAS'!$B$6:$B$500, B1484)&gt;1, " + " &amp; IFERROR(INDEX('SAÍDA DE VENDAS'!$H$6:$H$500 &amp; "x " &amp; 'SAÍDA DE VENDAS'!$G$6:$G$500, MATCH(B1484, 'SAÍDA DE VENDAS'!$B$6:$B$500, 0)+1), ""), "")&amp; IF(COUNTIF('SAÍDA DE VENDAS'!$B$6:$B$500, B1484)&gt;2, " + " &amp; IFERROR(INDEX('SAÍDA DE VENDAS'!$H$6:$H$500 &amp; "x " &amp; 'SAÍDA DE VENDAS'!$G$6:$G$500, MATCH(B1484, 'SAÍDA DE VENDAS'!$B$6:$B$500, 0)+2), ""), "")&amp; IF(COUNTIF('SAÍDA DE VENDAS'!$B$6:$B$500, B1484)&gt;3, " + " &amp; IFERROR(INDEX('SAÍDA DE VENDAS'!$H$6:$H$500 &amp; "x " &amp; 'SAÍDA DE VENDAS'!$G$6:$G$500, MATCH(B1484, 'SAÍDA DE VENDAS'!$B$6:$B$500, 0)+3), ""), "")&amp; IF(COUNTIF('SAÍDA DE VENDAS'!$B$6:$B$500, B1484)&gt;4, " + " &amp; IFERROR(INDEX('SAÍDA DE VENDAS'!$H$6:$H$500 &amp; "x " &amp; 'SAÍDA DE VENDAS'!$G$6:$G$500, MATCH(B1484, 'SAÍDA DE VENDAS'!$B$6:$B$500, 0)+4), ""), "")&amp; IF(COUNTIF('SAÍDA DE VENDAS'!$B$6:$B$500, B1484)&gt;5, " + " &amp; IFERROR(INDEX('SAÍDA DE VENDAS'!$H$6:$H$500 &amp; "x " &amp; 'SAÍDA DE VENDAS'!$G$6:$G$500, MATCH(B1484, 'SAÍDA DE VENDAS'!$B$6:$B$500, 0)+5), ""), ""))</f>
        <v/>
      </c>
      <c r="G1484" s="28">
        <f>IFERROR(VLOOKUP(B1484,'SAÍDA DE VENDAS'!$B$6:$P$500,10,FALSE),"")</f>
        <v>0</v>
      </c>
      <c r="H1484" s="28" t="str">
        <f>IF(OR(ISBLANK(B1484),B1484=""), "", IF(B1484=B1483, (VALUE(LEFT(H1483,FIND("/",H1483)-1))+1)&amp;"/"&amp;RIGHT(H1483,LEN(H1483)-FIND("/",H1483)), "1/"&amp;IFERROR(VLOOKUP(B1484,'SAÍDA DE VENDAS'!$B$6:$P$500,13,FALSE),"1")))</f>
        <v/>
      </c>
      <c r="I1484" s="69" t="str">
        <f t="shared" si="46"/>
        <v/>
      </c>
      <c r="J1484" s="33" t="str">
        <f>IFERROR(VLOOKUP(B1484,'SAÍDA DE VENDAS'!$B$6:$P$500,15,FALSE),"")</f>
        <v/>
      </c>
      <c r="K1484" s="28" t="str">
        <f t="shared" ca="1" si="47"/>
        <v/>
      </c>
      <c r="L1484" s="28"/>
      <c r="M1484" s="28"/>
    </row>
    <row r="1485" spans="2:13" ht="15" customHeight="1" x14ac:dyDescent="0.3">
      <c r="B1485" s="34" t="str">
        <f>IF(B1484="","", IF(VALUE(LEFT(H1484,FIND("/",H1484)-1)) &lt; VALUE(RIGHT(H1484,LEN(H1484)-FIND("/",H1484))), B1484, IFERROR(INDEX('SAÍDA DE VENDAS'!$B$6:$B$500, MATCH(B1484,'SAÍDA DE VENDAS'!$B$6:$B$500,0)+COUNTIF('SAÍDA DE VENDAS'!$B$6:$B$500, B1484)),"")))</f>
        <v/>
      </c>
      <c r="C1485" s="35">
        <f>IFERROR(VLOOKUP(B1485,'SAÍDA DE VENDAS'!$B$6:$P$500,3,FALSE),"")</f>
        <v>0</v>
      </c>
      <c r="D1485" s="34">
        <f>IFERROR(VLOOKUP(B1485,'SAÍDA DE VENDAS'!$B$6:$P$500,4,FALSE),"")</f>
        <v>0</v>
      </c>
      <c r="E1485" s="34" t="str">
        <f>IFERROR(VLOOKUP(B1485,'SAÍDA DE VENDAS'!$B$6:$P$500,5,FALSE),"")</f>
        <v/>
      </c>
      <c r="F1485" s="34" t="str">
        <f>IF(OR(ISBLANK(B1485),B1485=""), "", IFERROR(INDEX('SAÍDA DE VENDAS'!$H$6:$H$500 &amp; "x " &amp; 'SAÍDA DE VENDAS'!$G$6:$G$500, MATCH(B1485, 'SAÍDA DE VENDAS'!$B$6:$B$500, 0)), "")&amp; IF(COUNTIF('SAÍDA DE VENDAS'!$B$6:$B$500, B1485)&gt;1, " + " &amp; IFERROR(INDEX('SAÍDA DE VENDAS'!$H$6:$H$500 &amp; "x " &amp; 'SAÍDA DE VENDAS'!$G$6:$G$500, MATCH(B1485, 'SAÍDA DE VENDAS'!$B$6:$B$500, 0)+1), ""), "")&amp; IF(COUNTIF('SAÍDA DE VENDAS'!$B$6:$B$500, B1485)&gt;2, " + " &amp; IFERROR(INDEX('SAÍDA DE VENDAS'!$H$6:$H$500 &amp; "x " &amp; 'SAÍDA DE VENDAS'!$G$6:$G$500, MATCH(B1485, 'SAÍDA DE VENDAS'!$B$6:$B$500, 0)+2), ""), "")&amp; IF(COUNTIF('SAÍDA DE VENDAS'!$B$6:$B$500, B1485)&gt;3, " + " &amp; IFERROR(INDEX('SAÍDA DE VENDAS'!$H$6:$H$500 &amp; "x " &amp; 'SAÍDA DE VENDAS'!$G$6:$G$500, MATCH(B1485, 'SAÍDA DE VENDAS'!$B$6:$B$500, 0)+3), ""), "")&amp; IF(COUNTIF('SAÍDA DE VENDAS'!$B$6:$B$500, B1485)&gt;4, " + " &amp; IFERROR(INDEX('SAÍDA DE VENDAS'!$H$6:$H$500 &amp; "x " &amp; 'SAÍDA DE VENDAS'!$G$6:$G$500, MATCH(B1485, 'SAÍDA DE VENDAS'!$B$6:$B$500, 0)+4), ""), "")&amp; IF(COUNTIF('SAÍDA DE VENDAS'!$B$6:$B$500, B1485)&gt;5, " + " &amp; IFERROR(INDEX('SAÍDA DE VENDAS'!$H$6:$H$500 &amp; "x " &amp; 'SAÍDA DE VENDAS'!$G$6:$G$500, MATCH(B1485, 'SAÍDA DE VENDAS'!$B$6:$B$500, 0)+5), ""), ""))</f>
        <v/>
      </c>
      <c r="G1485" s="34">
        <f>IFERROR(VLOOKUP(B1485,'SAÍDA DE VENDAS'!$B$6:$P$500,10,FALSE),"")</f>
        <v>0</v>
      </c>
      <c r="H1485" s="34" t="str">
        <f>IF(OR(ISBLANK(B1485),B1485=""), "", IF(B1485=B1484, (VALUE(LEFT(H1484,FIND("/",H1484)-1))+1)&amp;"/"&amp;RIGHT(H1484,LEN(H1484)-FIND("/",H1484)), "1/"&amp;IFERROR(VLOOKUP(B1485,'SAÍDA DE VENDAS'!$B$6:$P$500,13,FALSE),"1")))</f>
        <v/>
      </c>
      <c r="I1485" s="35" t="str">
        <f t="shared" si="46"/>
        <v/>
      </c>
      <c r="J1485" s="39" t="str">
        <f>IFERROR(VLOOKUP(B1485,'SAÍDA DE VENDAS'!$B$6:$P$500,15,FALSE),"")</f>
        <v/>
      </c>
      <c r="K1485" s="34" t="str">
        <f t="shared" ca="1" si="47"/>
        <v/>
      </c>
      <c r="L1485" s="34"/>
      <c r="M1485" s="34"/>
    </row>
    <row r="1486" spans="2:13" ht="15" customHeight="1" x14ac:dyDescent="0.3">
      <c r="B1486" s="28" t="str">
        <f>IF(B1485="","", IF(VALUE(LEFT(H1485,FIND("/",H1485)-1)) &lt; VALUE(RIGHT(H1485,LEN(H1485)-FIND("/",H1485))), B1485, IFERROR(INDEX('SAÍDA DE VENDAS'!$B$6:$B$500, MATCH(B1485,'SAÍDA DE VENDAS'!$B$6:$B$500,0)+COUNTIF('SAÍDA DE VENDAS'!$B$6:$B$500, B1485)),"")))</f>
        <v/>
      </c>
      <c r="C1486" s="29">
        <f>IFERROR(VLOOKUP(B1486,'SAÍDA DE VENDAS'!$B$6:$P$500,3,FALSE),"")</f>
        <v>0</v>
      </c>
      <c r="D1486" s="28">
        <f>IFERROR(VLOOKUP(B1486,'SAÍDA DE VENDAS'!$B$6:$P$500,4,FALSE),"")</f>
        <v>0</v>
      </c>
      <c r="E1486" s="28" t="str">
        <f>IFERROR(VLOOKUP(B1486,'SAÍDA DE VENDAS'!$B$6:$P$500,5,FALSE),"")</f>
        <v/>
      </c>
      <c r="F1486" s="28" t="str">
        <f>IF(OR(ISBLANK(B1486),B1486=""), "", IFERROR(INDEX('SAÍDA DE VENDAS'!$H$6:$H$500 &amp; "x " &amp; 'SAÍDA DE VENDAS'!$G$6:$G$500, MATCH(B1486, 'SAÍDA DE VENDAS'!$B$6:$B$500, 0)), "")&amp; IF(COUNTIF('SAÍDA DE VENDAS'!$B$6:$B$500, B1486)&gt;1, " + " &amp; IFERROR(INDEX('SAÍDA DE VENDAS'!$H$6:$H$500 &amp; "x " &amp; 'SAÍDA DE VENDAS'!$G$6:$G$500, MATCH(B1486, 'SAÍDA DE VENDAS'!$B$6:$B$500, 0)+1), ""), "")&amp; IF(COUNTIF('SAÍDA DE VENDAS'!$B$6:$B$500, B1486)&gt;2, " + " &amp; IFERROR(INDEX('SAÍDA DE VENDAS'!$H$6:$H$500 &amp; "x " &amp; 'SAÍDA DE VENDAS'!$G$6:$G$500, MATCH(B1486, 'SAÍDA DE VENDAS'!$B$6:$B$500, 0)+2), ""), "")&amp; IF(COUNTIF('SAÍDA DE VENDAS'!$B$6:$B$500, B1486)&gt;3, " + " &amp; IFERROR(INDEX('SAÍDA DE VENDAS'!$H$6:$H$500 &amp; "x " &amp; 'SAÍDA DE VENDAS'!$G$6:$G$500, MATCH(B1486, 'SAÍDA DE VENDAS'!$B$6:$B$500, 0)+3), ""), "")&amp; IF(COUNTIF('SAÍDA DE VENDAS'!$B$6:$B$500, B1486)&gt;4, " + " &amp; IFERROR(INDEX('SAÍDA DE VENDAS'!$H$6:$H$500 &amp; "x " &amp; 'SAÍDA DE VENDAS'!$G$6:$G$500, MATCH(B1486, 'SAÍDA DE VENDAS'!$B$6:$B$500, 0)+4), ""), "")&amp; IF(COUNTIF('SAÍDA DE VENDAS'!$B$6:$B$500, B1486)&gt;5, " + " &amp; IFERROR(INDEX('SAÍDA DE VENDAS'!$H$6:$H$500 &amp; "x " &amp; 'SAÍDA DE VENDAS'!$G$6:$G$500, MATCH(B1486, 'SAÍDA DE VENDAS'!$B$6:$B$500, 0)+5), ""), ""))</f>
        <v/>
      </c>
      <c r="G1486" s="28">
        <f>IFERROR(VLOOKUP(B1486,'SAÍDA DE VENDAS'!$B$6:$P$500,10,FALSE),"")</f>
        <v>0</v>
      </c>
      <c r="H1486" s="28" t="str">
        <f>IF(OR(ISBLANK(B1486),B1486=""), "", IF(B1486=B1485, (VALUE(LEFT(H1485,FIND("/",H1485)-1))+1)&amp;"/"&amp;RIGHT(H1485,LEN(H1485)-FIND("/",H1485)), "1/"&amp;IFERROR(VLOOKUP(B1486,'SAÍDA DE VENDAS'!$B$6:$P$500,13,FALSE),"1")))</f>
        <v/>
      </c>
      <c r="I1486" s="69" t="str">
        <f t="shared" si="46"/>
        <v/>
      </c>
      <c r="J1486" s="33" t="str">
        <f>IFERROR(VLOOKUP(B1486,'SAÍDA DE VENDAS'!$B$6:$P$500,15,FALSE),"")</f>
        <v/>
      </c>
      <c r="K1486" s="28" t="str">
        <f t="shared" ca="1" si="47"/>
        <v/>
      </c>
      <c r="L1486" s="28"/>
      <c r="M1486" s="28"/>
    </row>
    <row r="1487" spans="2:13" ht="15" customHeight="1" x14ac:dyDescent="0.3">
      <c r="B1487" s="34" t="str">
        <f>IF(B1486="","", IF(VALUE(LEFT(H1486,FIND("/",H1486)-1)) &lt; VALUE(RIGHT(H1486,LEN(H1486)-FIND("/",H1486))), B1486, IFERROR(INDEX('SAÍDA DE VENDAS'!$B$6:$B$500, MATCH(B1486,'SAÍDA DE VENDAS'!$B$6:$B$500,0)+COUNTIF('SAÍDA DE VENDAS'!$B$6:$B$500, B1486)),"")))</f>
        <v/>
      </c>
      <c r="C1487" s="35">
        <f>IFERROR(VLOOKUP(B1487,'SAÍDA DE VENDAS'!$B$6:$P$500,3,FALSE),"")</f>
        <v>0</v>
      </c>
      <c r="D1487" s="34">
        <f>IFERROR(VLOOKUP(B1487,'SAÍDA DE VENDAS'!$B$6:$P$500,4,FALSE),"")</f>
        <v>0</v>
      </c>
      <c r="E1487" s="34" t="str">
        <f>IFERROR(VLOOKUP(B1487,'SAÍDA DE VENDAS'!$B$6:$P$500,5,FALSE),"")</f>
        <v/>
      </c>
      <c r="F1487" s="34" t="str">
        <f>IF(OR(ISBLANK(B1487),B1487=""), "", IFERROR(INDEX('SAÍDA DE VENDAS'!$H$6:$H$500 &amp; "x " &amp; 'SAÍDA DE VENDAS'!$G$6:$G$500, MATCH(B1487, 'SAÍDA DE VENDAS'!$B$6:$B$500, 0)), "")&amp; IF(COUNTIF('SAÍDA DE VENDAS'!$B$6:$B$500, B1487)&gt;1, " + " &amp; IFERROR(INDEX('SAÍDA DE VENDAS'!$H$6:$H$500 &amp; "x " &amp; 'SAÍDA DE VENDAS'!$G$6:$G$500, MATCH(B1487, 'SAÍDA DE VENDAS'!$B$6:$B$500, 0)+1), ""), "")&amp; IF(COUNTIF('SAÍDA DE VENDAS'!$B$6:$B$500, B1487)&gt;2, " + " &amp; IFERROR(INDEX('SAÍDA DE VENDAS'!$H$6:$H$500 &amp; "x " &amp; 'SAÍDA DE VENDAS'!$G$6:$G$500, MATCH(B1487, 'SAÍDA DE VENDAS'!$B$6:$B$500, 0)+2), ""), "")&amp; IF(COUNTIF('SAÍDA DE VENDAS'!$B$6:$B$500, B1487)&gt;3, " + " &amp; IFERROR(INDEX('SAÍDA DE VENDAS'!$H$6:$H$500 &amp; "x " &amp; 'SAÍDA DE VENDAS'!$G$6:$G$500, MATCH(B1487, 'SAÍDA DE VENDAS'!$B$6:$B$500, 0)+3), ""), "")&amp; IF(COUNTIF('SAÍDA DE VENDAS'!$B$6:$B$500, B1487)&gt;4, " + " &amp; IFERROR(INDEX('SAÍDA DE VENDAS'!$H$6:$H$500 &amp; "x " &amp; 'SAÍDA DE VENDAS'!$G$6:$G$500, MATCH(B1487, 'SAÍDA DE VENDAS'!$B$6:$B$500, 0)+4), ""), "")&amp; IF(COUNTIF('SAÍDA DE VENDAS'!$B$6:$B$500, B1487)&gt;5, " + " &amp; IFERROR(INDEX('SAÍDA DE VENDAS'!$H$6:$H$500 &amp; "x " &amp; 'SAÍDA DE VENDAS'!$G$6:$G$500, MATCH(B1487, 'SAÍDA DE VENDAS'!$B$6:$B$500, 0)+5), ""), ""))</f>
        <v/>
      </c>
      <c r="G1487" s="34">
        <f>IFERROR(VLOOKUP(B1487,'SAÍDA DE VENDAS'!$B$6:$P$500,10,FALSE),"")</f>
        <v>0</v>
      </c>
      <c r="H1487" s="34" t="str">
        <f>IF(OR(ISBLANK(B1487),B1487=""), "", IF(B1487=B1486, (VALUE(LEFT(H1486,FIND("/",H1486)-1))+1)&amp;"/"&amp;RIGHT(H1486,LEN(H1486)-FIND("/",H1486)), "1/"&amp;IFERROR(VLOOKUP(B1487,'SAÍDA DE VENDAS'!$B$6:$P$500,13,FALSE),"1")))</f>
        <v/>
      </c>
      <c r="I1487" s="35" t="str">
        <f t="shared" si="46"/>
        <v/>
      </c>
      <c r="J1487" s="39" t="str">
        <f>IFERROR(VLOOKUP(B1487,'SAÍDA DE VENDAS'!$B$6:$P$500,15,FALSE),"")</f>
        <v/>
      </c>
      <c r="K1487" s="34" t="str">
        <f t="shared" ca="1" si="47"/>
        <v/>
      </c>
      <c r="L1487" s="34"/>
      <c r="M1487" s="34"/>
    </row>
    <row r="1488" spans="2:13" ht="15" customHeight="1" x14ac:dyDescent="0.3">
      <c r="B1488" s="28" t="str">
        <f>IF(B1487="","", IF(VALUE(LEFT(H1487,FIND("/",H1487)-1)) &lt; VALUE(RIGHT(H1487,LEN(H1487)-FIND("/",H1487))), B1487, IFERROR(INDEX('SAÍDA DE VENDAS'!$B$6:$B$500, MATCH(B1487,'SAÍDA DE VENDAS'!$B$6:$B$500,0)+COUNTIF('SAÍDA DE VENDAS'!$B$6:$B$500, B1487)),"")))</f>
        <v/>
      </c>
      <c r="C1488" s="29">
        <f>IFERROR(VLOOKUP(B1488,'SAÍDA DE VENDAS'!$B$6:$P$500,3,FALSE),"")</f>
        <v>0</v>
      </c>
      <c r="D1488" s="28">
        <f>IFERROR(VLOOKUP(B1488,'SAÍDA DE VENDAS'!$B$6:$P$500,4,FALSE),"")</f>
        <v>0</v>
      </c>
      <c r="E1488" s="28" t="str">
        <f>IFERROR(VLOOKUP(B1488,'SAÍDA DE VENDAS'!$B$6:$P$500,5,FALSE),"")</f>
        <v/>
      </c>
      <c r="F1488" s="28" t="str">
        <f>IF(OR(ISBLANK(B1488),B1488=""), "", IFERROR(INDEX('SAÍDA DE VENDAS'!$H$6:$H$500 &amp; "x " &amp; 'SAÍDA DE VENDAS'!$G$6:$G$500, MATCH(B1488, 'SAÍDA DE VENDAS'!$B$6:$B$500, 0)), "")&amp; IF(COUNTIF('SAÍDA DE VENDAS'!$B$6:$B$500, B1488)&gt;1, " + " &amp; IFERROR(INDEX('SAÍDA DE VENDAS'!$H$6:$H$500 &amp; "x " &amp; 'SAÍDA DE VENDAS'!$G$6:$G$500, MATCH(B1488, 'SAÍDA DE VENDAS'!$B$6:$B$500, 0)+1), ""), "")&amp; IF(COUNTIF('SAÍDA DE VENDAS'!$B$6:$B$500, B1488)&gt;2, " + " &amp; IFERROR(INDEX('SAÍDA DE VENDAS'!$H$6:$H$500 &amp; "x " &amp; 'SAÍDA DE VENDAS'!$G$6:$G$500, MATCH(B1488, 'SAÍDA DE VENDAS'!$B$6:$B$500, 0)+2), ""), "")&amp; IF(COUNTIF('SAÍDA DE VENDAS'!$B$6:$B$500, B1488)&gt;3, " + " &amp; IFERROR(INDEX('SAÍDA DE VENDAS'!$H$6:$H$500 &amp; "x " &amp; 'SAÍDA DE VENDAS'!$G$6:$G$500, MATCH(B1488, 'SAÍDA DE VENDAS'!$B$6:$B$500, 0)+3), ""), "")&amp; IF(COUNTIF('SAÍDA DE VENDAS'!$B$6:$B$500, B1488)&gt;4, " + " &amp; IFERROR(INDEX('SAÍDA DE VENDAS'!$H$6:$H$500 &amp; "x " &amp; 'SAÍDA DE VENDAS'!$G$6:$G$500, MATCH(B1488, 'SAÍDA DE VENDAS'!$B$6:$B$500, 0)+4), ""), "")&amp; IF(COUNTIF('SAÍDA DE VENDAS'!$B$6:$B$500, B1488)&gt;5, " + " &amp; IFERROR(INDEX('SAÍDA DE VENDAS'!$H$6:$H$500 &amp; "x " &amp; 'SAÍDA DE VENDAS'!$G$6:$G$500, MATCH(B1488, 'SAÍDA DE VENDAS'!$B$6:$B$500, 0)+5), ""), ""))</f>
        <v/>
      </c>
      <c r="G1488" s="28">
        <f>IFERROR(VLOOKUP(B1488,'SAÍDA DE VENDAS'!$B$6:$P$500,10,FALSE),"")</f>
        <v>0</v>
      </c>
      <c r="H1488" s="28" t="str">
        <f>IF(OR(ISBLANK(B1488),B1488=""), "", IF(B1488=B1487, (VALUE(LEFT(H1487,FIND("/",H1487)-1))+1)&amp;"/"&amp;RIGHT(H1487,LEN(H1487)-FIND("/",H1487)), "1/"&amp;IFERROR(VLOOKUP(B1488,'SAÍDA DE VENDAS'!$B$6:$P$500,13,FALSE),"1")))</f>
        <v/>
      </c>
      <c r="I1488" s="69" t="str">
        <f t="shared" si="46"/>
        <v/>
      </c>
      <c r="J1488" s="33" t="str">
        <f>IFERROR(VLOOKUP(B1488,'SAÍDA DE VENDAS'!$B$6:$P$500,15,FALSE),"")</f>
        <v/>
      </c>
      <c r="K1488" s="28" t="str">
        <f t="shared" ca="1" si="47"/>
        <v/>
      </c>
      <c r="L1488" s="28"/>
      <c r="M1488" s="28"/>
    </row>
    <row r="1489" spans="2:13" ht="15" customHeight="1" x14ac:dyDescent="0.3">
      <c r="B1489" s="34" t="str">
        <f>IF(B1488="","", IF(VALUE(LEFT(H1488,FIND("/",H1488)-1)) &lt; VALUE(RIGHT(H1488,LEN(H1488)-FIND("/",H1488))), B1488, IFERROR(INDEX('SAÍDA DE VENDAS'!$B$6:$B$500, MATCH(B1488,'SAÍDA DE VENDAS'!$B$6:$B$500,0)+COUNTIF('SAÍDA DE VENDAS'!$B$6:$B$500, B1488)),"")))</f>
        <v/>
      </c>
      <c r="C1489" s="35">
        <f>IFERROR(VLOOKUP(B1489,'SAÍDA DE VENDAS'!$B$6:$P$500,3,FALSE),"")</f>
        <v>0</v>
      </c>
      <c r="D1489" s="34">
        <f>IFERROR(VLOOKUP(B1489,'SAÍDA DE VENDAS'!$B$6:$P$500,4,FALSE),"")</f>
        <v>0</v>
      </c>
      <c r="E1489" s="34" t="str">
        <f>IFERROR(VLOOKUP(B1489,'SAÍDA DE VENDAS'!$B$6:$P$500,5,FALSE),"")</f>
        <v/>
      </c>
      <c r="F1489" s="34" t="str">
        <f>IF(OR(ISBLANK(B1489),B1489=""), "", IFERROR(INDEX('SAÍDA DE VENDAS'!$H$6:$H$500 &amp; "x " &amp; 'SAÍDA DE VENDAS'!$G$6:$G$500, MATCH(B1489, 'SAÍDA DE VENDAS'!$B$6:$B$500, 0)), "")&amp; IF(COUNTIF('SAÍDA DE VENDAS'!$B$6:$B$500, B1489)&gt;1, " + " &amp; IFERROR(INDEX('SAÍDA DE VENDAS'!$H$6:$H$500 &amp; "x " &amp; 'SAÍDA DE VENDAS'!$G$6:$G$500, MATCH(B1489, 'SAÍDA DE VENDAS'!$B$6:$B$500, 0)+1), ""), "")&amp; IF(COUNTIF('SAÍDA DE VENDAS'!$B$6:$B$500, B1489)&gt;2, " + " &amp; IFERROR(INDEX('SAÍDA DE VENDAS'!$H$6:$H$500 &amp; "x " &amp; 'SAÍDA DE VENDAS'!$G$6:$G$500, MATCH(B1489, 'SAÍDA DE VENDAS'!$B$6:$B$500, 0)+2), ""), "")&amp; IF(COUNTIF('SAÍDA DE VENDAS'!$B$6:$B$500, B1489)&gt;3, " + " &amp; IFERROR(INDEX('SAÍDA DE VENDAS'!$H$6:$H$500 &amp; "x " &amp; 'SAÍDA DE VENDAS'!$G$6:$G$500, MATCH(B1489, 'SAÍDA DE VENDAS'!$B$6:$B$500, 0)+3), ""), "")&amp; IF(COUNTIF('SAÍDA DE VENDAS'!$B$6:$B$500, B1489)&gt;4, " + " &amp; IFERROR(INDEX('SAÍDA DE VENDAS'!$H$6:$H$500 &amp; "x " &amp; 'SAÍDA DE VENDAS'!$G$6:$G$500, MATCH(B1489, 'SAÍDA DE VENDAS'!$B$6:$B$500, 0)+4), ""), "")&amp; IF(COUNTIF('SAÍDA DE VENDAS'!$B$6:$B$500, B1489)&gt;5, " + " &amp; IFERROR(INDEX('SAÍDA DE VENDAS'!$H$6:$H$500 &amp; "x " &amp; 'SAÍDA DE VENDAS'!$G$6:$G$500, MATCH(B1489, 'SAÍDA DE VENDAS'!$B$6:$B$500, 0)+5), ""), ""))</f>
        <v/>
      </c>
      <c r="G1489" s="34">
        <f>IFERROR(VLOOKUP(B1489,'SAÍDA DE VENDAS'!$B$6:$P$500,10,FALSE),"")</f>
        <v>0</v>
      </c>
      <c r="H1489" s="34" t="str">
        <f>IF(OR(ISBLANK(B1489),B1489=""), "", IF(B1489=B1488, (VALUE(LEFT(H1488,FIND("/",H1488)-1))+1)&amp;"/"&amp;RIGHT(H1488,LEN(H1488)-FIND("/",H1488)), "1/"&amp;IFERROR(VLOOKUP(B1489,'SAÍDA DE VENDAS'!$B$6:$P$500,13,FALSE),"1")))</f>
        <v/>
      </c>
      <c r="I1489" s="35" t="str">
        <f t="shared" si="46"/>
        <v/>
      </c>
      <c r="J1489" s="39" t="str">
        <f>IFERROR(VLOOKUP(B1489,'SAÍDA DE VENDAS'!$B$6:$P$500,15,FALSE),"")</f>
        <v/>
      </c>
      <c r="K1489" s="34" t="str">
        <f t="shared" ca="1" si="47"/>
        <v/>
      </c>
      <c r="L1489" s="34"/>
      <c r="M1489" s="34"/>
    </row>
    <row r="1490" spans="2:13" ht="15" customHeight="1" x14ac:dyDescent="0.3">
      <c r="B1490" s="28" t="str">
        <f>IF(B1489="","", IF(VALUE(LEFT(H1489,FIND("/",H1489)-1)) &lt; VALUE(RIGHT(H1489,LEN(H1489)-FIND("/",H1489))), B1489, IFERROR(INDEX('SAÍDA DE VENDAS'!$B$6:$B$500, MATCH(B1489,'SAÍDA DE VENDAS'!$B$6:$B$500,0)+COUNTIF('SAÍDA DE VENDAS'!$B$6:$B$500, B1489)),"")))</f>
        <v/>
      </c>
      <c r="C1490" s="29">
        <f>IFERROR(VLOOKUP(B1490,'SAÍDA DE VENDAS'!$B$6:$P$500,3,FALSE),"")</f>
        <v>0</v>
      </c>
      <c r="D1490" s="28">
        <f>IFERROR(VLOOKUP(B1490,'SAÍDA DE VENDAS'!$B$6:$P$500,4,FALSE),"")</f>
        <v>0</v>
      </c>
      <c r="E1490" s="28" t="str">
        <f>IFERROR(VLOOKUP(B1490,'SAÍDA DE VENDAS'!$B$6:$P$500,5,FALSE),"")</f>
        <v/>
      </c>
      <c r="F1490" s="28" t="str">
        <f>IF(OR(ISBLANK(B1490),B1490=""), "", IFERROR(INDEX('SAÍDA DE VENDAS'!$H$6:$H$500 &amp; "x " &amp; 'SAÍDA DE VENDAS'!$G$6:$G$500, MATCH(B1490, 'SAÍDA DE VENDAS'!$B$6:$B$500, 0)), "")&amp; IF(COUNTIF('SAÍDA DE VENDAS'!$B$6:$B$500, B1490)&gt;1, " + " &amp; IFERROR(INDEX('SAÍDA DE VENDAS'!$H$6:$H$500 &amp; "x " &amp; 'SAÍDA DE VENDAS'!$G$6:$G$500, MATCH(B1490, 'SAÍDA DE VENDAS'!$B$6:$B$500, 0)+1), ""), "")&amp; IF(COUNTIF('SAÍDA DE VENDAS'!$B$6:$B$500, B1490)&gt;2, " + " &amp; IFERROR(INDEX('SAÍDA DE VENDAS'!$H$6:$H$500 &amp; "x " &amp; 'SAÍDA DE VENDAS'!$G$6:$G$500, MATCH(B1490, 'SAÍDA DE VENDAS'!$B$6:$B$500, 0)+2), ""), "")&amp; IF(COUNTIF('SAÍDA DE VENDAS'!$B$6:$B$500, B1490)&gt;3, " + " &amp; IFERROR(INDEX('SAÍDA DE VENDAS'!$H$6:$H$500 &amp; "x " &amp; 'SAÍDA DE VENDAS'!$G$6:$G$500, MATCH(B1490, 'SAÍDA DE VENDAS'!$B$6:$B$500, 0)+3), ""), "")&amp; IF(COUNTIF('SAÍDA DE VENDAS'!$B$6:$B$500, B1490)&gt;4, " + " &amp; IFERROR(INDEX('SAÍDA DE VENDAS'!$H$6:$H$500 &amp; "x " &amp; 'SAÍDA DE VENDAS'!$G$6:$G$500, MATCH(B1490, 'SAÍDA DE VENDAS'!$B$6:$B$500, 0)+4), ""), "")&amp; IF(COUNTIF('SAÍDA DE VENDAS'!$B$6:$B$500, B1490)&gt;5, " + " &amp; IFERROR(INDEX('SAÍDA DE VENDAS'!$H$6:$H$500 &amp; "x " &amp; 'SAÍDA DE VENDAS'!$G$6:$G$500, MATCH(B1490, 'SAÍDA DE VENDAS'!$B$6:$B$500, 0)+5), ""), ""))</f>
        <v/>
      </c>
      <c r="G1490" s="28">
        <f>IFERROR(VLOOKUP(B1490,'SAÍDA DE VENDAS'!$B$6:$P$500,10,FALSE),"")</f>
        <v>0</v>
      </c>
      <c r="H1490" s="28" t="str">
        <f>IF(OR(ISBLANK(B1490),B1490=""), "", IF(B1490=B1489, (VALUE(LEFT(H1489,FIND("/",H1489)-1))+1)&amp;"/"&amp;RIGHT(H1489,LEN(H1489)-FIND("/",H1489)), "1/"&amp;IFERROR(VLOOKUP(B1490,'SAÍDA DE VENDAS'!$B$6:$P$500,13,FALSE),"1")))</f>
        <v/>
      </c>
      <c r="I1490" s="69" t="str">
        <f t="shared" si="46"/>
        <v/>
      </c>
      <c r="J1490" s="33" t="str">
        <f>IFERROR(VLOOKUP(B1490,'SAÍDA DE VENDAS'!$B$6:$P$500,15,FALSE),"")</f>
        <v/>
      </c>
      <c r="K1490" s="28" t="str">
        <f t="shared" ca="1" si="47"/>
        <v/>
      </c>
      <c r="L1490" s="28"/>
      <c r="M1490" s="28"/>
    </row>
    <row r="1491" spans="2:13" ht="15" customHeight="1" x14ac:dyDescent="0.3">
      <c r="B1491" s="34" t="str">
        <f>IF(B1490="","", IF(VALUE(LEFT(H1490,FIND("/",H1490)-1)) &lt; VALUE(RIGHT(H1490,LEN(H1490)-FIND("/",H1490))), B1490, IFERROR(INDEX('SAÍDA DE VENDAS'!$B$6:$B$500, MATCH(B1490,'SAÍDA DE VENDAS'!$B$6:$B$500,0)+COUNTIF('SAÍDA DE VENDAS'!$B$6:$B$500, B1490)),"")))</f>
        <v/>
      </c>
      <c r="C1491" s="35">
        <f>IFERROR(VLOOKUP(B1491,'SAÍDA DE VENDAS'!$B$6:$P$500,3,FALSE),"")</f>
        <v>0</v>
      </c>
      <c r="D1491" s="34">
        <f>IFERROR(VLOOKUP(B1491,'SAÍDA DE VENDAS'!$B$6:$P$500,4,FALSE),"")</f>
        <v>0</v>
      </c>
      <c r="E1491" s="34" t="str">
        <f>IFERROR(VLOOKUP(B1491,'SAÍDA DE VENDAS'!$B$6:$P$500,5,FALSE),"")</f>
        <v/>
      </c>
      <c r="F1491" s="34" t="str">
        <f>IF(OR(ISBLANK(B1491),B1491=""), "", IFERROR(INDEX('SAÍDA DE VENDAS'!$H$6:$H$500 &amp; "x " &amp; 'SAÍDA DE VENDAS'!$G$6:$G$500, MATCH(B1491, 'SAÍDA DE VENDAS'!$B$6:$B$500, 0)), "")&amp; IF(COUNTIF('SAÍDA DE VENDAS'!$B$6:$B$500, B1491)&gt;1, " + " &amp; IFERROR(INDEX('SAÍDA DE VENDAS'!$H$6:$H$500 &amp; "x " &amp; 'SAÍDA DE VENDAS'!$G$6:$G$500, MATCH(B1491, 'SAÍDA DE VENDAS'!$B$6:$B$500, 0)+1), ""), "")&amp; IF(COUNTIF('SAÍDA DE VENDAS'!$B$6:$B$500, B1491)&gt;2, " + " &amp; IFERROR(INDEX('SAÍDA DE VENDAS'!$H$6:$H$500 &amp; "x " &amp; 'SAÍDA DE VENDAS'!$G$6:$G$500, MATCH(B1491, 'SAÍDA DE VENDAS'!$B$6:$B$500, 0)+2), ""), "")&amp; IF(COUNTIF('SAÍDA DE VENDAS'!$B$6:$B$500, B1491)&gt;3, " + " &amp; IFERROR(INDEX('SAÍDA DE VENDAS'!$H$6:$H$500 &amp; "x " &amp; 'SAÍDA DE VENDAS'!$G$6:$G$500, MATCH(B1491, 'SAÍDA DE VENDAS'!$B$6:$B$500, 0)+3), ""), "")&amp; IF(COUNTIF('SAÍDA DE VENDAS'!$B$6:$B$500, B1491)&gt;4, " + " &amp; IFERROR(INDEX('SAÍDA DE VENDAS'!$H$6:$H$500 &amp; "x " &amp; 'SAÍDA DE VENDAS'!$G$6:$G$500, MATCH(B1491, 'SAÍDA DE VENDAS'!$B$6:$B$500, 0)+4), ""), "")&amp; IF(COUNTIF('SAÍDA DE VENDAS'!$B$6:$B$500, B1491)&gt;5, " + " &amp; IFERROR(INDEX('SAÍDA DE VENDAS'!$H$6:$H$500 &amp; "x " &amp; 'SAÍDA DE VENDAS'!$G$6:$G$500, MATCH(B1491, 'SAÍDA DE VENDAS'!$B$6:$B$500, 0)+5), ""), ""))</f>
        <v/>
      </c>
      <c r="G1491" s="34">
        <f>IFERROR(VLOOKUP(B1491,'SAÍDA DE VENDAS'!$B$6:$P$500,10,FALSE),"")</f>
        <v>0</v>
      </c>
      <c r="H1491" s="34" t="str">
        <f>IF(OR(ISBLANK(B1491),B1491=""), "", IF(B1491=B1490, (VALUE(LEFT(H1490,FIND("/",H1490)-1))+1)&amp;"/"&amp;RIGHT(H1490,LEN(H1490)-FIND("/",H1490)), "1/"&amp;IFERROR(VLOOKUP(B1491,'SAÍDA DE VENDAS'!$B$6:$P$500,13,FALSE),"1")))</f>
        <v/>
      </c>
      <c r="I1491" s="35" t="str">
        <f t="shared" si="46"/>
        <v/>
      </c>
      <c r="J1491" s="39" t="str">
        <f>IFERROR(VLOOKUP(B1491,'SAÍDA DE VENDAS'!$B$6:$P$500,15,FALSE),"")</f>
        <v/>
      </c>
      <c r="K1491" s="34" t="str">
        <f t="shared" ca="1" si="47"/>
        <v/>
      </c>
      <c r="L1491" s="34"/>
      <c r="M1491" s="34"/>
    </row>
    <row r="1492" spans="2:13" ht="15" customHeight="1" x14ac:dyDescent="0.3">
      <c r="B1492" s="28" t="str">
        <f>IF(B1491="","", IF(VALUE(LEFT(H1491,FIND("/",H1491)-1)) &lt; VALUE(RIGHT(H1491,LEN(H1491)-FIND("/",H1491))), B1491, IFERROR(INDEX('SAÍDA DE VENDAS'!$B$6:$B$500, MATCH(B1491,'SAÍDA DE VENDAS'!$B$6:$B$500,0)+COUNTIF('SAÍDA DE VENDAS'!$B$6:$B$500, B1491)),"")))</f>
        <v/>
      </c>
      <c r="C1492" s="29">
        <f>IFERROR(VLOOKUP(B1492,'SAÍDA DE VENDAS'!$B$6:$P$500,3,FALSE),"")</f>
        <v>0</v>
      </c>
      <c r="D1492" s="28">
        <f>IFERROR(VLOOKUP(B1492,'SAÍDA DE VENDAS'!$B$6:$P$500,4,FALSE),"")</f>
        <v>0</v>
      </c>
      <c r="E1492" s="28" t="str">
        <f>IFERROR(VLOOKUP(B1492,'SAÍDA DE VENDAS'!$B$6:$P$500,5,FALSE),"")</f>
        <v/>
      </c>
      <c r="F1492" s="28" t="str">
        <f>IF(OR(ISBLANK(B1492),B1492=""), "", IFERROR(INDEX('SAÍDA DE VENDAS'!$H$6:$H$500 &amp; "x " &amp; 'SAÍDA DE VENDAS'!$G$6:$G$500, MATCH(B1492, 'SAÍDA DE VENDAS'!$B$6:$B$500, 0)), "")&amp; IF(COUNTIF('SAÍDA DE VENDAS'!$B$6:$B$500, B1492)&gt;1, " + " &amp; IFERROR(INDEX('SAÍDA DE VENDAS'!$H$6:$H$500 &amp; "x " &amp; 'SAÍDA DE VENDAS'!$G$6:$G$500, MATCH(B1492, 'SAÍDA DE VENDAS'!$B$6:$B$500, 0)+1), ""), "")&amp; IF(COUNTIF('SAÍDA DE VENDAS'!$B$6:$B$500, B1492)&gt;2, " + " &amp; IFERROR(INDEX('SAÍDA DE VENDAS'!$H$6:$H$500 &amp; "x " &amp; 'SAÍDA DE VENDAS'!$G$6:$G$500, MATCH(B1492, 'SAÍDA DE VENDAS'!$B$6:$B$500, 0)+2), ""), "")&amp; IF(COUNTIF('SAÍDA DE VENDAS'!$B$6:$B$500, B1492)&gt;3, " + " &amp; IFERROR(INDEX('SAÍDA DE VENDAS'!$H$6:$H$500 &amp; "x " &amp; 'SAÍDA DE VENDAS'!$G$6:$G$500, MATCH(B1492, 'SAÍDA DE VENDAS'!$B$6:$B$500, 0)+3), ""), "")&amp; IF(COUNTIF('SAÍDA DE VENDAS'!$B$6:$B$500, B1492)&gt;4, " + " &amp; IFERROR(INDEX('SAÍDA DE VENDAS'!$H$6:$H$500 &amp; "x " &amp; 'SAÍDA DE VENDAS'!$G$6:$G$500, MATCH(B1492, 'SAÍDA DE VENDAS'!$B$6:$B$500, 0)+4), ""), "")&amp; IF(COUNTIF('SAÍDA DE VENDAS'!$B$6:$B$500, B1492)&gt;5, " + " &amp; IFERROR(INDEX('SAÍDA DE VENDAS'!$H$6:$H$500 &amp; "x " &amp; 'SAÍDA DE VENDAS'!$G$6:$G$500, MATCH(B1492, 'SAÍDA DE VENDAS'!$B$6:$B$500, 0)+5), ""), ""))</f>
        <v/>
      </c>
      <c r="G1492" s="28">
        <f>IFERROR(VLOOKUP(B1492,'SAÍDA DE VENDAS'!$B$6:$P$500,10,FALSE),"")</f>
        <v>0</v>
      </c>
      <c r="H1492" s="28" t="str">
        <f>IF(OR(ISBLANK(B1492),B1492=""), "", IF(B1492=B1491, (VALUE(LEFT(H1491,FIND("/",H1491)-1))+1)&amp;"/"&amp;RIGHT(H1491,LEN(H1491)-FIND("/",H1491)), "1/"&amp;IFERROR(VLOOKUP(B1492,'SAÍDA DE VENDAS'!$B$6:$P$500,13,FALSE),"1")))</f>
        <v/>
      </c>
      <c r="I1492" s="69" t="str">
        <f t="shared" si="46"/>
        <v/>
      </c>
      <c r="J1492" s="33" t="str">
        <f>IFERROR(VLOOKUP(B1492,'SAÍDA DE VENDAS'!$B$6:$P$500,15,FALSE),"")</f>
        <v/>
      </c>
      <c r="K1492" s="28" t="str">
        <f t="shared" ca="1" si="47"/>
        <v/>
      </c>
      <c r="L1492" s="28"/>
      <c r="M1492" s="28"/>
    </row>
    <row r="1493" spans="2:13" ht="15" customHeight="1" x14ac:dyDescent="0.3">
      <c r="B1493" s="34" t="str">
        <f>IF(B1492="","", IF(VALUE(LEFT(H1492,FIND("/",H1492)-1)) &lt; VALUE(RIGHT(H1492,LEN(H1492)-FIND("/",H1492))), B1492, IFERROR(INDEX('SAÍDA DE VENDAS'!$B$6:$B$500, MATCH(B1492,'SAÍDA DE VENDAS'!$B$6:$B$500,0)+COUNTIF('SAÍDA DE VENDAS'!$B$6:$B$500, B1492)),"")))</f>
        <v/>
      </c>
      <c r="C1493" s="35">
        <f>IFERROR(VLOOKUP(B1493,'SAÍDA DE VENDAS'!$B$6:$P$500,3,FALSE),"")</f>
        <v>0</v>
      </c>
      <c r="D1493" s="34">
        <f>IFERROR(VLOOKUP(B1493,'SAÍDA DE VENDAS'!$B$6:$P$500,4,FALSE),"")</f>
        <v>0</v>
      </c>
      <c r="E1493" s="34" t="str">
        <f>IFERROR(VLOOKUP(B1493,'SAÍDA DE VENDAS'!$B$6:$P$500,5,FALSE),"")</f>
        <v/>
      </c>
      <c r="F1493" s="34" t="str">
        <f>IF(OR(ISBLANK(B1493),B1493=""), "", IFERROR(INDEX('SAÍDA DE VENDAS'!$H$6:$H$500 &amp; "x " &amp; 'SAÍDA DE VENDAS'!$G$6:$G$500, MATCH(B1493, 'SAÍDA DE VENDAS'!$B$6:$B$500, 0)), "")&amp; IF(COUNTIF('SAÍDA DE VENDAS'!$B$6:$B$500, B1493)&gt;1, " + " &amp; IFERROR(INDEX('SAÍDA DE VENDAS'!$H$6:$H$500 &amp; "x " &amp; 'SAÍDA DE VENDAS'!$G$6:$G$500, MATCH(B1493, 'SAÍDA DE VENDAS'!$B$6:$B$500, 0)+1), ""), "")&amp; IF(COUNTIF('SAÍDA DE VENDAS'!$B$6:$B$500, B1493)&gt;2, " + " &amp; IFERROR(INDEX('SAÍDA DE VENDAS'!$H$6:$H$500 &amp; "x " &amp; 'SAÍDA DE VENDAS'!$G$6:$G$500, MATCH(B1493, 'SAÍDA DE VENDAS'!$B$6:$B$500, 0)+2), ""), "")&amp; IF(COUNTIF('SAÍDA DE VENDAS'!$B$6:$B$500, B1493)&gt;3, " + " &amp; IFERROR(INDEX('SAÍDA DE VENDAS'!$H$6:$H$500 &amp; "x " &amp; 'SAÍDA DE VENDAS'!$G$6:$G$500, MATCH(B1493, 'SAÍDA DE VENDAS'!$B$6:$B$500, 0)+3), ""), "")&amp; IF(COUNTIF('SAÍDA DE VENDAS'!$B$6:$B$500, B1493)&gt;4, " + " &amp; IFERROR(INDEX('SAÍDA DE VENDAS'!$H$6:$H$500 &amp; "x " &amp; 'SAÍDA DE VENDAS'!$G$6:$G$500, MATCH(B1493, 'SAÍDA DE VENDAS'!$B$6:$B$500, 0)+4), ""), "")&amp; IF(COUNTIF('SAÍDA DE VENDAS'!$B$6:$B$500, B1493)&gt;5, " + " &amp; IFERROR(INDEX('SAÍDA DE VENDAS'!$H$6:$H$500 &amp; "x " &amp; 'SAÍDA DE VENDAS'!$G$6:$G$500, MATCH(B1493, 'SAÍDA DE VENDAS'!$B$6:$B$500, 0)+5), ""), ""))</f>
        <v/>
      </c>
      <c r="G1493" s="34">
        <f>IFERROR(VLOOKUP(B1493,'SAÍDA DE VENDAS'!$B$6:$P$500,10,FALSE),"")</f>
        <v>0</v>
      </c>
      <c r="H1493" s="34" t="str">
        <f>IF(OR(ISBLANK(B1493),B1493=""), "", IF(B1493=B1492, (VALUE(LEFT(H1492,FIND("/",H1492)-1))+1)&amp;"/"&amp;RIGHT(H1492,LEN(H1492)-FIND("/",H1492)), "1/"&amp;IFERROR(VLOOKUP(B1493,'SAÍDA DE VENDAS'!$B$6:$P$500,13,FALSE),"1")))</f>
        <v/>
      </c>
      <c r="I1493" s="35" t="str">
        <f t="shared" si="46"/>
        <v/>
      </c>
      <c r="J1493" s="39" t="str">
        <f>IFERROR(VLOOKUP(B1493,'SAÍDA DE VENDAS'!$B$6:$P$500,15,FALSE),"")</f>
        <v/>
      </c>
      <c r="K1493" s="34" t="str">
        <f t="shared" ca="1" si="47"/>
        <v/>
      </c>
      <c r="L1493" s="34"/>
      <c r="M1493" s="34"/>
    </row>
    <row r="1494" spans="2:13" ht="15" customHeight="1" x14ac:dyDescent="0.3">
      <c r="B1494" s="28" t="str">
        <f>IF(B1493="","", IF(VALUE(LEFT(H1493,FIND("/",H1493)-1)) &lt; VALUE(RIGHT(H1493,LEN(H1493)-FIND("/",H1493))), B1493, IFERROR(INDEX('SAÍDA DE VENDAS'!$B$6:$B$500, MATCH(B1493,'SAÍDA DE VENDAS'!$B$6:$B$500,0)+COUNTIF('SAÍDA DE VENDAS'!$B$6:$B$500, B1493)),"")))</f>
        <v/>
      </c>
      <c r="C1494" s="29">
        <f>IFERROR(VLOOKUP(B1494,'SAÍDA DE VENDAS'!$B$6:$P$500,3,FALSE),"")</f>
        <v>0</v>
      </c>
      <c r="D1494" s="28">
        <f>IFERROR(VLOOKUP(B1494,'SAÍDA DE VENDAS'!$B$6:$P$500,4,FALSE),"")</f>
        <v>0</v>
      </c>
      <c r="E1494" s="28" t="str">
        <f>IFERROR(VLOOKUP(B1494,'SAÍDA DE VENDAS'!$B$6:$P$500,5,FALSE),"")</f>
        <v/>
      </c>
      <c r="F1494" s="28" t="str">
        <f>IF(OR(ISBLANK(B1494),B1494=""), "", IFERROR(INDEX('SAÍDA DE VENDAS'!$H$6:$H$500 &amp; "x " &amp; 'SAÍDA DE VENDAS'!$G$6:$G$500, MATCH(B1494, 'SAÍDA DE VENDAS'!$B$6:$B$500, 0)), "")&amp; IF(COUNTIF('SAÍDA DE VENDAS'!$B$6:$B$500, B1494)&gt;1, " + " &amp; IFERROR(INDEX('SAÍDA DE VENDAS'!$H$6:$H$500 &amp; "x " &amp; 'SAÍDA DE VENDAS'!$G$6:$G$500, MATCH(B1494, 'SAÍDA DE VENDAS'!$B$6:$B$500, 0)+1), ""), "")&amp; IF(COUNTIF('SAÍDA DE VENDAS'!$B$6:$B$500, B1494)&gt;2, " + " &amp; IFERROR(INDEX('SAÍDA DE VENDAS'!$H$6:$H$500 &amp; "x " &amp; 'SAÍDA DE VENDAS'!$G$6:$G$500, MATCH(B1494, 'SAÍDA DE VENDAS'!$B$6:$B$500, 0)+2), ""), "")&amp; IF(COUNTIF('SAÍDA DE VENDAS'!$B$6:$B$500, B1494)&gt;3, " + " &amp; IFERROR(INDEX('SAÍDA DE VENDAS'!$H$6:$H$500 &amp; "x " &amp; 'SAÍDA DE VENDAS'!$G$6:$G$500, MATCH(B1494, 'SAÍDA DE VENDAS'!$B$6:$B$500, 0)+3), ""), "")&amp; IF(COUNTIF('SAÍDA DE VENDAS'!$B$6:$B$500, B1494)&gt;4, " + " &amp; IFERROR(INDEX('SAÍDA DE VENDAS'!$H$6:$H$500 &amp; "x " &amp; 'SAÍDA DE VENDAS'!$G$6:$G$500, MATCH(B1494, 'SAÍDA DE VENDAS'!$B$6:$B$500, 0)+4), ""), "")&amp; IF(COUNTIF('SAÍDA DE VENDAS'!$B$6:$B$500, B1494)&gt;5, " + " &amp; IFERROR(INDEX('SAÍDA DE VENDAS'!$H$6:$H$500 &amp; "x " &amp; 'SAÍDA DE VENDAS'!$G$6:$G$500, MATCH(B1494, 'SAÍDA DE VENDAS'!$B$6:$B$500, 0)+5), ""), ""))</f>
        <v/>
      </c>
      <c r="G1494" s="28">
        <f>IFERROR(VLOOKUP(B1494,'SAÍDA DE VENDAS'!$B$6:$P$500,10,FALSE),"")</f>
        <v>0</v>
      </c>
      <c r="H1494" s="28" t="str">
        <f>IF(OR(ISBLANK(B1494),B1494=""), "", IF(B1494=B1493, (VALUE(LEFT(H1493,FIND("/",H1493)-1))+1)&amp;"/"&amp;RIGHT(H1493,LEN(H1493)-FIND("/",H1493)), "1/"&amp;IFERROR(VLOOKUP(B1494,'SAÍDA DE VENDAS'!$B$6:$P$500,13,FALSE),"1")))</f>
        <v/>
      </c>
      <c r="I1494" s="69" t="str">
        <f t="shared" si="46"/>
        <v/>
      </c>
      <c r="J1494" s="33" t="str">
        <f>IFERROR(VLOOKUP(B1494,'SAÍDA DE VENDAS'!$B$6:$P$500,15,FALSE),"")</f>
        <v/>
      </c>
      <c r="K1494" s="28" t="str">
        <f t="shared" ca="1" si="47"/>
        <v/>
      </c>
      <c r="L1494" s="28"/>
      <c r="M1494" s="28"/>
    </row>
    <row r="1495" spans="2:13" ht="15" customHeight="1" x14ac:dyDescent="0.3">
      <c r="B1495" s="34" t="str">
        <f>IF(B1494="","", IF(VALUE(LEFT(H1494,FIND("/",H1494)-1)) &lt; VALUE(RIGHT(H1494,LEN(H1494)-FIND("/",H1494))), B1494, IFERROR(INDEX('SAÍDA DE VENDAS'!$B$6:$B$500, MATCH(B1494,'SAÍDA DE VENDAS'!$B$6:$B$500,0)+COUNTIF('SAÍDA DE VENDAS'!$B$6:$B$500, B1494)),"")))</f>
        <v/>
      </c>
      <c r="C1495" s="35">
        <f>IFERROR(VLOOKUP(B1495,'SAÍDA DE VENDAS'!$B$6:$P$500,3,FALSE),"")</f>
        <v>0</v>
      </c>
      <c r="D1495" s="34">
        <f>IFERROR(VLOOKUP(B1495,'SAÍDA DE VENDAS'!$B$6:$P$500,4,FALSE),"")</f>
        <v>0</v>
      </c>
      <c r="E1495" s="34" t="str">
        <f>IFERROR(VLOOKUP(B1495,'SAÍDA DE VENDAS'!$B$6:$P$500,5,FALSE),"")</f>
        <v/>
      </c>
      <c r="F1495" s="34" t="str">
        <f>IF(OR(ISBLANK(B1495),B1495=""), "", IFERROR(INDEX('SAÍDA DE VENDAS'!$H$6:$H$500 &amp; "x " &amp; 'SAÍDA DE VENDAS'!$G$6:$G$500, MATCH(B1495, 'SAÍDA DE VENDAS'!$B$6:$B$500, 0)), "")&amp; IF(COUNTIF('SAÍDA DE VENDAS'!$B$6:$B$500, B1495)&gt;1, " + " &amp; IFERROR(INDEX('SAÍDA DE VENDAS'!$H$6:$H$500 &amp; "x " &amp; 'SAÍDA DE VENDAS'!$G$6:$G$500, MATCH(B1495, 'SAÍDA DE VENDAS'!$B$6:$B$500, 0)+1), ""), "")&amp; IF(COUNTIF('SAÍDA DE VENDAS'!$B$6:$B$500, B1495)&gt;2, " + " &amp; IFERROR(INDEX('SAÍDA DE VENDAS'!$H$6:$H$500 &amp; "x " &amp; 'SAÍDA DE VENDAS'!$G$6:$G$500, MATCH(B1495, 'SAÍDA DE VENDAS'!$B$6:$B$500, 0)+2), ""), "")&amp; IF(COUNTIF('SAÍDA DE VENDAS'!$B$6:$B$500, B1495)&gt;3, " + " &amp; IFERROR(INDEX('SAÍDA DE VENDAS'!$H$6:$H$500 &amp; "x " &amp; 'SAÍDA DE VENDAS'!$G$6:$G$500, MATCH(B1495, 'SAÍDA DE VENDAS'!$B$6:$B$500, 0)+3), ""), "")&amp; IF(COUNTIF('SAÍDA DE VENDAS'!$B$6:$B$500, B1495)&gt;4, " + " &amp; IFERROR(INDEX('SAÍDA DE VENDAS'!$H$6:$H$500 &amp; "x " &amp; 'SAÍDA DE VENDAS'!$G$6:$G$500, MATCH(B1495, 'SAÍDA DE VENDAS'!$B$6:$B$500, 0)+4), ""), "")&amp; IF(COUNTIF('SAÍDA DE VENDAS'!$B$6:$B$500, B1495)&gt;5, " + " &amp; IFERROR(INDEX('SAÍDA DE VENDAS'!$H$6:$H$500 &amp; "x " &amp; 'SAÍDA DE VENDAS'!$G$6:$G$500, MATCH(B1495, 'SAÍDA DE VENDAS'!$B$6:$B$500, 0)+5), ""), ""))</f>
        <v/>
      </c>
      <c r="G1495" s="34">
        <f>IFERROR(VLOOKUP(B1495,'SAÍDA DE VENDAS'!$B$6:$P$500,10,FALSE),"")</f>
        <v>0</v>
      </c>
      <c r="H1495" s="34" t="str">
        <f>IF(OR(ISBLANK(B1495),B1495=""), "", IF(B1495=B1494, (VALUE(LEFT(H1494,FIND("/",H1494)-1))+1)&amp;"/"&amp;RIGHT(H1494,LEN(H1494)-FIND("/",H1494)), "1/"&amp;IFERROR(VLOOKUP(B1495,'SAÍDA DE VENDAS'!$B$6:$P$500,13,FALSE),"1")))</f>
        <v/>
      </c>
      <c r="I1495" s="35" t="str">
        <f t="shared" si="46"/>
        <v/>
      </c>
      <c r="J1495" s="39" t="str">
        <f>IFERROR(VLOOKUP(B1495,'SAÍDA DE VENDAS'!$B$6:$P$500,15,FALSE),"")</f>
        <v/>
      </c>
      <c r="K1495" s="34" t="str">
        <f t="shared" ca="1" si="47"/>
        <v/>
      </c>
      <c r="L1495" s="34"/>
      <c r="M1495" s="34"/>
    </row>
    <row r="1496" spans="2:13" ht="15" customHeight="1" x14ac:dyDescent="0.3">
      <c r="B1496" s="28" t="str">
        <f>IF(B1495="","", IF(VALUE(LEFT(H1495,FIND("/",H1495)-1)) &lt; VALUE(RIGHT(H1495,LEN(H1495)-FIND("/",H1495))), B1495, IFERROR(INDEX('SAÍDA DE VENDAS'!$B$6:$B$500, MATCH(B1495,'SAÍDA DE VENDAS'!$B$6:$B$500,0)+COUNTIF('SAÍDA DE VENDAS'!$B$6:$B$500, B1495)),"")))</f>
        <v/>
      </c>
      <c r="C1496" s="29">
        <f>IFERROR(VLOOKUP(B1496,'SAÍDA DE VENDAS'!$B$6:$P$500,3,FALSE),"")</f>
        <v>0</v>
      </c>
      <c r="D1496" s="28">
        <f>IFERROR(VLOOKUP(B1496,'SAÍDA DE VENDAS'!$B$6:$P$500,4,FALSE),"")</f>
        <v>0</v>
      </c>
      <c r="E1496" s="28" t="str">
        <f>IFERROR(VLOOKUP(B1496,'SAÍDA DE VENDAS'!$B$6:$P$500,5,FALSE),"")</f>
        <v/>
      </c>
      <c r="F1496" s="28" t="str">
        <f>IF(OR(ISBLANK(B1496),B1496=""), "", IFERROR(INDEX('SAÍDA DE VENDAS'!$H$6:$H$500 &amp; "x " &amp; 'SAÍDA DE VENDAS'!$G$6:$G$500, MATCH(B1496, 'SAÍDA DE VENDAS'!$B$6:$B$500, 0)), "")&amp; IF(COUNTIF('SAÍDA DE VENDAS'!$B$6:$B$500, B1496)&gt;1, " + " &amp; IFERROR(INDEX('SAÍDA DE VENDAS'!$H$6:$H$500 &amp; "x " &amp; 'SAÍDA DE VENDAS'!$G$6:$G$500, MATCH(B1496, 'SAÍDA DE VENDAS'!$B$6:$B$500, 0)+1), ""), "")&amp; IF(COUNTIF('SAÍDA DE VENDAS'!$B$6:$B$500, B1496)&gt;2, " + " &amp; IFERROR(INDEX('SAÍDA DE VENDAS'!$H$6:$H$500 &amp; "x " &amp; 'SAÍDA DE VENDAS'!$G$6:$G$500, MATCH(B1496, 'SAÍDA DE VENDAS'!$B$6:$B$500, 0)+2), ""), "")&amp; IF(COUNTIF('SAÍDA DE VENDAS'!$B$6:$B$500, B1496)&gt;3, " + " &amp; IFERROR(INDEX('SAÍDA DE VENDAS'!$H$6:$H$500 &amp; "x " &amp; 'SAÍDA DE VENDAS'!$G$6:$G$500, MATCH(B1496, 'SAÍDA DE VENDAS'!$B$6:$B$500, 0)+3), ""), "")&amp; IF(COUNTIF('SAÍDA DE VENDAS'!$B$6:$B$500, B1496)&gt;4, " + " &amp; IFERROR(INDEX('SAÍDA DE VENDAS'!$H$6:$H$500 &amp; "x " &amp; 'SAÍDA DE VENDAS'!$G$6:$G$500, MATCH(B1496, 'SAÍDA DE VENDAS'!$B$6:$B$500, 0)+4), ""), "")&amp; IF(COUNTIF('SAÍDA DE VENDAS'!$B$6:$B$500, B1496)&gt;5, " + " &amp; IFERROR(INDEX('SAÍDA DE VENDAS'!$H$6:$H$500 &amp; "x " &amp; 'SAÍDA DE VENDAS'!$G$6:$G$500, MATCH(B1496, 'SAÍDA DE VENDAS'!$B$6:$B$500, 0)+5), ""), ""))</f>
        <v/>
      </c>
      <c r="G1496" s="28">
        <f>IFERROR(VLOOKUP(B1496,'SAÍDA DE VENDAS'!$B$6:$P$500,10,FALSE),"")</f>
        <v>0</v>
      </c>
      <c r="H1496" s="28" t="str">
        <f>IF(OR(ISBLANK(B1496),B1496=""), "", IF(B1496=B1495, (VALUE(LEFT(H1495,FIND("/",H1495)-1))+1)&amp;"/"&amp;RIGHT(H1495,LEN(H1495)-FIND("/",H1495)), "1/"&amp;IFERROR(VLOOKUP(B1496,'SAÍDA DE VENDAS'!$B$6:$P$500,13,FALSE),"1")))</f>
        <v/>
      </c>
      <c r="I1496" s="69" t="str">
        <f t="shared" si="46"/>
        <v/>
      </c>
      <c r="J1496" s="33" t="str">
        <f>IFERROR(VLOOKUP(B1496,'SAÍDA DE VENDAS'!$B$6:$P$500,15,FALSE),"")</f>
        <v/>
      </c>
      <c r="K1496" s="28" t="str">
        <f t="shared" ca="1" si="47"/>
        <v/>
      </c>
      <c r="L1496" s="28"/>
      <c r="M1496" s="28"/>
    </row>
    <row r="1497" spans="2:13" ht="15" customHeight="1" x14ac:dyDescent="0.3">
      <c r="B1497" s="34" t="str">
        <f>IF(B1496="","", IF(VALUE(LEFT(H1496,FIND("/",H1496)-1)) &lt; VALUE(RIGHT(H1496,LEN(H1496)-FIND("/",H1496))), B1496, IFERROR(INDEX('SAÍDA DE VENDAS'!$B$6:$B$500, MATCH(B1496,'SAÍDA DE VENDAS'!$B$6:$B$500,0)+COUNTIF('SAÍDA DE VENDAS'!$B$6:$B$500, B1496)),"")))</f>
        <v/>
      </c>
      <c r="C1497" s="35">
        <f>IFERROR(VLOOKUP(B1497,'SAÍDA DE VENDAS'!$B$6:$P$500,3,FALSE),"")</f>
        <v>0</v>
      </c>
      <c r="D1497" s="34">
        <f>IFERROR(VLOOKUP(B1497,'SAÍDA DE VENDAS'!$B$6:$P$500,4,FALSE),"")</f>
        <v>0</v>
      </c>
      <c r="E1497" s="34" t="str">
        <f>IFERROR(VLOOKUP(B1497,'SAÍDA DE VENDAS'!$B$6:$P$500,5,FALSE),"")</f>
        <v/>
      </c>
      <c r="F1497" s="34" t="str">
        <f>IF(OR(ISBLANK(B1497),B1497=""), "", IFERROR(INDEX('SAÍDA DE VENDAS'!$H$6:$H$500 &amp; "x " &amp; 'SAÍDA DE VENDAS'!$G$6:$G$500, MATCH(B1497, 'SAÍDA DE VENDAS'!$B$6:$B$500, 0)), "")&amp; IF(COUNTIF('SAÍDA DE VENDAS'!$B$6:$B$500, B1497)&gt;1, " + " &amp; IFERROR(INDEX('SAÍDA DE VENDAS'!$H$6:$H$500 &amp; "x " &amp; 'SAÍDA DE VENDAS'!$G$6:$G$500, MATCH(B1497, 'SAÍDA DE VENDAS'!$B$6:$B$500, 0)+1), ""), "")&amp; IF(COUNTIF('SAÍDA DE VENDAS'!$B$6:$B$500, B1497)&gt;2, " + " &amp; IFERROR(INDEX('SAÍDA DE VENDAS'!$H$6:$H$500 &amp; "x " &amp; 'SAÍDA DE VENDAS'!$G$6:$G$500, MATCH(B1497, 'SAÍDA DE VENDAS'!$B$6:$B$500, 0)+2), ""), "")&amp; IF(COUNTIF('SAÍDA DE VENDAS'!$B$6:$B$500, B1497)&gt;3, " + " &amp; IFERROR(INDEX('SAÍDA DE VENDAS'!$H$6:$H$500 &amp; "x " &amp; 'SAÍDA DE VENDAS'!$G$6:$G$500, MATCH(B1497, 'SAÍDA DE VENDAS'!$B$6:$B$500, 0)+3), ""), "")&amp; IF(COUNTIF('SAÍDA DE VENDAS'!$B$6:$B$500, B1497)&gt;4, " + " &amp; IFERROR(INDEX('SAÍDA DE VENDAS'!$H$6:$H$500 &amp; "x " &amp; 'SAÍDA DE VENDAS'!$G$6:$G$500, MATCH(B1497, 'SAÍDA DE VENDAS'!$B$6:$B$500, 0)+4), ""), "")&amp; IF(COUNTIF('SAÍDA DE VENDAS'!$B$6:$B$500, B1497)&gt;5, " + " &amp; IFERROR(INDEX('SAÍDA DE VENDAS'!$H$6:$H$500 &amp; "x " &amp; 'SAÍDA DE VENDAS'!$G$6:$G$500, MATCH(B1497, 'SAÍDA DE VENDAS'!$B$6:$B$500, 0)+5), ""), ""))</f>
        <v/>
      </c>
      <c r="G1497" s="34">
        <f>IFERROR(VLOOKUP(B1497,'SAÍDA DE VENDAS'!$B$6:$P$500,10,FALSE),"")</f>
        <v>0</v>
      </c>
      <c r="H1497" s="34" t="str">
        <f>IF(OR(ISBLANK(B1497),B1497=""), "", IF(B1497=B1496, (VALUE(LEFT(H1496,FIND("/",H1496)-1))+1)&amp;"/"&amp;RIGHT(H1496,LEN(H1496)-FIND("/",H1496)), "1/"&amp;IFERROR(VLOOKUP(B1497,'SAÍDA DE VENDAS'!$B$6:$P$500,13,FALSE),"1")))</f>
        <v/>
      </c>
      <c r="I1497" s="35" t="str">
        <f t="shared" si="46"/>
        <v/>
      </c>
      <c r="J1497" s="39" t="str">
        <f>IFERROR(VLOOKUP(B1497,'SAÍDA DE VENDAS'!$B$6:$P$500,15,FALSE),"")</f>
        <v/>
      </c>
      <c r="K1497" s="34" t="str">
        <f t="shared" ca="1" si="47"/>
        <v/>
      </c>
      <c r="L1497" s="34"/>
      <c r="M1497" s="34"/>
    </row>
    <row r="1498" spans="2:13" ht="15" customHeight="1" x14ac:dyDescent="0.3">
      <c r="B1498" s="28" t="str">
        <f>IF(B1497="","", IF(VALUE(LEFT(H1497,FIND("/",H1497)-1)) &lt; VALUE(RIGHT(H1497,LEN(H1497)-FIND("/",H1497))), B1497, IFERROR(INDEX('SAÍDA DE VENDAS'!$B$6:$B$500, MATCH(B1497,'SAÍDA DE VENDAS'!$B$6:$B$500,0)+COUNTIF('SAÍDA DE VENDAS'!$B$6:$B$500, B1497)),"")))</f>
        <v/>
      </c>
      <c r="C1498" s="29">
        <f>IFERROR(VLOOKUP(B1498,'SAÍDA DE VENDAS'!$B$6:$P$500,3,FALSE),"")</f>
        <v>0</v>
      </c>
      <c r="D1498" s="28">
        <f>IFERROR(VLOOKUP(B1498,'SAÍDA DE VENDAS'!$B$6:$P$500,4,FALSE),"")</f>
        <v>0</v>
      </c>
      <c r="E1498" s="28" t="str">
        <f>IFERROR(VLOOKUP(B1498,'SAÍDA DE VENDAS'!$B$6:$P$500,5,FALSE),"")</f>
        <v/>
      </c>
      <c r="F1498" s="28" t="str">
        <f>IF(OR(ISBLANK(B1498),B1498=""), "", IFERROR(INDEX('SAÍDA DE VENDAS'!$H$6:$H$500 &amp; "x " &amp; 'SAÍDA DE VENDAS'!$G$6:$G$500, MATCH(B1498, 'SAÍDA DE VENDAS'!$B$6:$B$500, 0)), "")&amp; IF(COUNTIF('SAÍDA DE VENDAS'!$B$6:$B$500, B1498)&gt;1, " + " &amp; IFERROR(INDEX('SAÍDA DE VENDAS'!$H$6:$H$500 &amp; "x " &amp; 'SAÍDA DE VENDAS'!$G$6:$G$500, MATCH(B1498, 'SAÍDA DE VENDAS'!$B$6:$B$500, 0)+1), ""), "")&amp; IF(COUNTIF('SAÍDA DE VENDAS'!$B$6:$B$500, B1498)&gt;2, " + " &amp; IFERROR(INDEX('SAÍDA DE VENDAS'!$H$6:$H$500 &amp; "x " &amp; 'SAÍDA DE VENDAS'!$G$6:$G$500, MATCH(B1498, 'SAÍDA DE VENDAS'!$B$6:$B$500, 0)+2), ""), "")&amp; IF(COUNTIF('SAÍDA DE VENDAS'!$B$6:$B$500, B1498)&gt;3, " + " &amp; IFERROR(INDEX('SAÍDA DE VENDAS'!$H$6:$H$500 &amp; "x " &amp; 'SAÍDA DE VENDAS'!$G$6:$G$500, MATCH(B1498, 'SAÍDA DE VENDAS'!$B$6:$B$500, 0)+3), ""), "")&amp; IF(COUNTIF('SAÍDA DE VENDAS'!$B$6:$B$500, B1498)&gt;4, " + " &amp; IFERROR(INDEX('SAÍDA DE VENDAS'!$H$6:$H$500 &amp; "x " &amp; 'SAÍDA DE VENDAS'!$G$6:$G$500, MATCH(B1498, 'SAÍDA DE VENDAS'!$B$6:$B$500, 0)+4), ""), "")&amp; IF(COUNTIF('SAÍDA DE VENDAS'!$B$6:$B$500, B1498)&gt;5, " + " &amp; IFERROR(INDEX('SAÍDA DE VENDAS'!$H$6:$H$500 &amp; "x " &amp; 'SAÍDA DE VENDAS'!$G$6:$G$500, MATCH(B1498, 'SAÍDA DE VENDAS'!$B$6:$B$500, 0)+5), ""), ""))</f>
        <v/>
      </c>
      <c r="G1498" s="28">
        <f>IFERROR(VLOOKUP(B1498,'SAÍDA DE VENDAS'!$B$6:$P$500,10,FALSE),"")</f>
        <v>0</v>
      </c>
      <c r="H1498" s="28" t="str">
        <f>IF(OR(ISBLANK(B1498),B1498=""), "", IF(B1498=B1497, (VALUE(LEFT(H1497,FIND("/",H1497)-1))+1)&amp;"/"&amp;RIGHT(H1497,LEN(H1497)-FIND("/",H1497)), "1/"&amp;IFERROR(VLOOKUP(B1498,'SAÍDA DE VENDAS'!$B$6:$P$500,13,FALSE),"1")))</f>
        <v/>
      </c>
      <c r="I1498" s="69" t="str">
        <f t="shared" si="46"/>
        <v/>
      </c>
      <c r="J1498" s="33" t="str">
        <f>IFERROR(VLOOKUP(B1498,'SAÍDA DE VENDAS'!$B$6:$P$500,15,FALSE),"")</f>
        <v/>
      </c>
      <c r="K1498" s="28" t="str">
        <f t="shared" ca="1" si="47"/>
        <v/>
      </c>
      <c r="L1498" s="28"/>
      <c r="M1498" s="28"/>
    </row>
    <row r="1499" spans="2:13" ht="15" customHeight="1" x14ac:dyDescent="0.3">
      <c r="B1499" s="34" t="str">
        <f>IF(B1498="","", IF(VALUE(LEFT(H1498,FIND("/",H1498)-1)) &lt; VALUE(RIGHT(H1498,LEN(H1498)-FIND("/",H1498))), B1498, IFERROR(INDEX('SAÍDA DE VENDAS'!$B$6:$B$500, MATCH(B1498,'SAÍDA DE VENDAS'!$B$6:$B$500,0)+COUNTIF('SAÍDA DE VENDAS'!$B$6:$B$500, B1498)),"")))</f>
        <v/>
      </c>
      <c r="C1499" s="35">
        <f>IFERROR(VLOOKUP(B1499,'SAÍDA DE VENDAS'!$B$6:$P$500,3,FALSE),"")</f>
        <v>0</v>
      </c>
      <c r="D1499" s="34">
        <f>IFERROR(VLOOKUP(B1499,'SAÍDA DE VENDAS'!$B$6:$P$500,4,FALSE),"")</f>
        <v>0</v>
      </c>
      <c r="E1499" s="34" t="str">
        <f>IFERROR(VLOOKUP(B1499,'SAÍDA DE VENDAS'!$B$6:$P$500,5,FALSE),"")</f>
        <v/>
      </c>
      <c r="F1499" s="34" t="str">
        <f>IF(OR(ISBLANK(B1499),B1499=""), "", IFERROR(INDEX('SAÍDA DE VENDAS'!$H$6:$H$500 &amp; "x " &amp; 'SAÍDA DE VENDAS'!$G$6:$G$500, MATCH(B1499, 'SAÍDA DE VENDAS'!$B$6:$B$500, 0)), "")&amp; IF(COUNTIF('SAÍDA DE VENDAS'!$B$6:$B$500, B1499)&gt;1, " + " &amp; IFERROR(INDEX('SAÍDA DE VENDAS'!$H$6:$H$500 &amp; "x " &amp; 'SAÍDA DE VENDAS'!$G$6:$G$500, MATCH(B1499, 'SAÍDA DE VENDAS'!$B$6:$B$500, 0)+1), ""), "")&amp; IF(COUNTIF('SAÍDA DE VENDAS'!$B$6:$B$500, B1499)&gt;2, " + " &amp; IFERROR(INDEX('SAÍDA DE VENDAS'!$H$6:$H$500 &amp; "x " &amp; 'SAÍDA DE VENDAS'!$G$6:$G$500, MATCH(B1499, 'SAÍDA DE VENDAS'!$B$6:$B$500, 0)+2), ""), "")&amp; IF(COUNTIF('SAÍDA DE VENDAS'!$B$6:$B$500, B1499)&gt;3, " + " &amp; IFERROR(INDEX('SAÍDA DE VENDAS'!$H$6:$H$500 &amp; "x " &amp; 'SAÍDA DE VENDAS'!$G$6:$G$500, MATCH(B1499, 'SAÍDA DE VENDAS'!$B$6:$B$500, 0)+3), ""), "")&amp; IF(COUNTIF('SAÍDA DE VENDAS'!$B$6:$B$500, B1499)&gt;4, " + " &amp; IFERROR(INDEX('SAÍDA DE VENDAS'!$H$6:$H$500 &amp; "x " &amp; 'SAÍDA DE VENDAS'!$G$6:$G$500, MATCH(B1499, 'SAÍDA DE VENDAS'!$B$6:$B$500, 0)+4), ""), "")&amp; IF(COUNTIF('SAÍDA DE VENDAS'!$B$6:$B$500, B1499)&gt;5, " + " &amp; IFERROR(INDEX('SAÍDA DE VENDAS'!$H$6:$H$500 &amp; "x " &amp; 'SAÍDA DE VENDAS'!$G$6:$G$500, MATCH(B1499, 'SAÍDA DE VENDAS'!$B$6:$B$500, 0)+5), ""), ""))</f>
        <v/>
      </c>
      <c r="G1499" s="34">
        <f>IFERROR(VLOOKUP(B1499,'SAÍDA DE VENDAS'!$B$6:$P$500,10,FALSE),"")</f>
        <v>0</v>
      </c>
      <c r="H1499" s="34" t="str">
        <f>IF(OR(ISBLANK(B1499),B1499=""), "", IF(B1499=B1498, (VALUE(LEFT(H1498,FIND("/",H1498)-1))+1)&amp;"/"&amp;RIGHT(H1498,LEN(H1498)-FIND("/",H1498)), "1/"&amp;IFERROR(VLOOKUP(B1499,'SAÍDA DE VENDAS'!$B$6:$P$500,13,FALSE),"1")))</f>
        <v/>
      </c>
      <c r="I1499" s="35" t="str">
        <f t="shared" si="46"/>
        <v/>
      </c>
      <c r="J1499" s="39" t="str">
        <f>IFERROR(VLOOKUP(B1499,'SAÍDA DE VENDAS'!$B$6:$P$500,15,FALSE),"")</f>
        <v/>
      </c>
      <c r="K1499" s="34" t="str">
        <f t="shared" ca="1" si="47"/>
        <v/>
      </c>
      <c r="L1499" s="34"/>
      <c r="M1499" s="34"/>
    </row>
  </sheetData>
  <conditionalFormatting sqref="I6:I1500">
    <cfRule type="cellIs" dxfId="4" priority="5" operator="equal">
      <formula>"Atrasado"</formula>
    </cfRule>
  </conditionalFormatting>
  <conditionalFormatting sqref="K1:K1048576">
    <cfRule type="containsText" dxfId="3" priority="1" operator="containsText" text="ATRASADO">
      <formula>NOT(ISERROR(SEARCH("ATRASADO",K1)))</formula>
    </cfRule>
    <cfRule type="containsText" dxfId="2" priority="2" operator="containsText" text="PENDENTE">
      <formula>NOT(ISERROR(SEARCH("PENDENTE",K1)))</formula>
    </cfRule>
    <cfRule type="containsText" dxfId="1" priority="3" operator="containsText" text="PAGO">
      <formula>NOT(ISERROR(SEARCH("PAGO",K1)))</formula>
    </cfRule>
  </conditionalFormatting>
  <conditionalFormatting sqref="K6:K1500">
    <cfRule type="cellIs" dxfId="0" priority="4" operator="equal">
      <formula>"Atrasado"</formula>
    </cfRule>
  </conditionalFormatting>
  <dataValidations count="1">
    <dataValidation type="list" sqref="K6:K1500" xr:uid="{00000000-0002-0000-0300-000000000000}">
      <formula1>"Pago, Pendente, Atrasado"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15"/>
  <sheetViews>
    <sheetView tabSelected="1" workbookViewId="0">
      <selection activeCell="D17" sqref="D17"/>
    </sheetView>
  </sheetViews>
  <sheetFormatPr defaultRowHeight="14.4" x14ac:dyDescent="0.3"/>
  <cols>
    <col min="1" max="1" width="15" customWidth="1"/>
    <col min="2" max="8" width="22" customWidth="1"/>
  </cols>
  <sheetData>
    <row r="2" spans="2:8" ht="24.6" customHeight="1" x14ac:dyDescent="0.45">
      <c r="B2" s="44" t="s">
        <v>1316</v>
      </c>
    </row>
    <row r="3" spans="2:8" ht="15" customHeight="1" x14ac:dyDescent="0.35">
      <c r="B3" s="2" t="s">
        <v>1317</v>
      </c>
    </row>
    <row r="4" spans="2:8" ht="19.8" customHeight="1" x14ac:dyDescent="0.45">
      <c r="B4" s="3" t="s">
        <v>1318</v>
      </c>
      <c r="E4" s="10">
        <f ca="1">SUM(E6:E100)</f>
        <v>0</v>
      </c>
    </row>
    <row r="5" spans="2:8" ht="16.8" x14ac:dyDescent="0.3">
      <c r="B5" s="27" t="s">
        <v>6</v>
      </c>
      <c r="C5" s="27" t="s">
        <v>1319</v>
      </c>
      <c r="D5" s="27" t="s">
        <v>1320</v>
      </c>
      <c r="E5" s="27" t="s">
        <v>1321</v>
      </c>
      <c r="F5" s="27" t="s">
        <v>1322</v>
      </c>
      <c r="G5" s="27" t="s">
        <v>1323</v>
      </c>
      <c r="H5" s="27" t="s">
        <v>1324</v>
      </c>
    </row>
    <row r="6" spans="2:8" ht="16.8" customHeight="1" x14ac:dyDescent="0.4">
      <c r="B6" s="45" t="s">
        <v>20</v>
      </c>
      <c r="C6" s="46" t="str">
        <f>IFERROR(VLOOKUP(B6, 'CADASTRO DE CLIENTES'!$C$6:$E$500, 3, FALSE), "")</f>
        <v>18 99818-0064</v>
      </c>
      <c r="D6" s="46">
        <f ca="1">COUNTIFS('CONTROLE DE PARCELAS'!$D$6:$D$1500, B6, 'CONTROLE DE PARCELAS'!$K$6:$K$1500, "Atrasado")</f>
        <v>0</v>
      </c>
      <c r="E6" s="47">
        <f ca="1">SUMIFS('CONTROLE DE PARCELAS'!$J$6:$J$1500, 'CONTROLE DE PARCELAS'!$D$6:$D$1500, B6, 'CONTROLE DE PARCELAS'!$K$6:$K$1500, "Atrasado")</f>
        <v>0</v>
      </c>
      <c r="F6" s="46">
        <f ca="1">COUNTIFS('CONTROLE DE PARCELAS'!$D$6:$D$1500, B6, 'CONTROLE DE PARCELAS'!$K$6:$K$1500, "Pendente")</f>
        <v>1</v>
      </c>
      <c r="G6" s="31">
        <f ca="1">SUMIFS('CONTROLE DE PARCELAS'!$J$6:$J$1500, 'CONTROLE DE PARCELAS'!$D$6:$D$1500, B6, 'CONTROLE DE PARCELAS'!$K$6:$K$1500, "Pendente")</f>
        <v>159.9</v>
      </c>
      <c r="H6" s="32">
        <f t="shared" ref="H6:H14" ca="1" si="0">E6+G6</f>
        <v>159.9</v>
      </c>
    </row>
    <row r="7" spans="2:8" ht="16.8" customHeight="1" x14ac:dyDescent="0.4">
      <c r="B7" s="48" t="s">
        <v>24</v>
      </c>
      <c r="C7" s="36" t="str">
        <f>IFERROR(VLOOKUP(B7, 'CADASTRO DE CLIENTES'!$C$6:$E$500, 3, FALSE), "")</f>
        <v>18 93500-1704</v>
      </c>
      <c r="D7" s="36">
        <f ca="1">COUNTIFS('CONTROLE DE PARCELAS'!$D$6:$D$1500, B7, 'CONTROLE DE PARCELAS'!$K$6:$K$1500, "Atrasado")</f>
        <v>0</v>
      </c>
      <c r="E7" s="37">
        <f ca="1">SUMIFS('CONTROLE DE PARCELAS'!$J$6:$J$1500, 'CONTROLE DE PARCELAS'!$D$6:$D$1500, B7, 'CONTROLE DE PARCELAS'!$K$6:$K$1500, "Atrasado")</f>
        <v>0</v>
      </c>
      <c r="F7" s="49">
        <f ca="1">COUNTIFS('CONTROLE DE PARCELAS'!$D$6:$D$1500, B7, 'CONTROLE DE PARCELAS'!$K$6:$K$1500, "Pendente")</f>
        <v>0</v>
      </c>
      <c r="G7" s="37">
        <f ca="1">SUMIFS('CONTROLE DE PARCELAS'!$J$6:$J$1500, 'CONTROLE DE PARCELAS'!$D$6:$D$1500, B7, 'CONTROLE DE PARCELAS'!$K$6:$K$1500, "Pendente")</f>
        <v>0</v>
      </c>
      <c r="H7" s="38">
        <f t="shared" ca="1" si="0"/>
        <v>0</v>
      </c>
    </row>
    <row r="8" spans="2:8" ht="16.8" customHeight="1" x14ac:dyDescent="0.4">
      <c r="B8" s="50" t="s">
        <v>27</v>
      </c>
      <c r="C8" s="30" t="str">
        <f>IFERROR(VLOOKUP(B8, 'CADASTRO DE CLIENTES'!$C$6:$E$500, 3, FALSE), "")</f>
        <v>18 99745-2150</v>
      </c>
      <c r="D8" s="30">
        <f ca="1">COUNTIFS('CONTROLE DE PARCELAS'!$D$6:$D$1500, B8, 'CONTROLE DE PARCELAS'!$K$6:$K$1500, "Atrasado")</f>
        <v>0</v>
      </c>
      <c r="E8" s="31">
        <f ca="1">SUMIFS('CONTROLE DE PARCELAS'!$J$6:$J$1500, 'CONTROLE DE PARCELAS'!$D$6:$D$1500, B8, 'CONTROLE DE PARCELAS'!$K$6:$K$1500, "Atrasado")</f>
        <v>0</v>
      </c>
      <c r="F8" s="51">
        <f ca="1">COUNTIFS('CONTROLE DE PARCELAS'!$D$6:$D$1500, B8, 'CONTROLE DE PARCELAS'!$K$6:$K$1500, "Pendente")</f>
        <v>0</v>
      </c>
      <c r="G8" s="31">
        <f ca="1">SUMIFS('CONTROLE DE PARCELAS'!$J$6:$J$1500, 'CONTROLE DE PARCELAS'!$D$6:$D$1500, B8, 'CONTROLE DE PARCELAS'!$K$6:$K$1500, "Pendente")</f>
        <v>0</v>
      </c>
      <c r="H8" s="32">
        <f t="shared" ca="1" si="0"/>
        <v>0</v>
      </c>
    </row>
    <row r="9" spans="2:8" ht="16.8" customHeight="1" x14ac:dyDescent="0.4">
      <c r="B9" s="48" t="s">
        <v>30</v>
      </c>
      <c r="C9" s="36" t="str">
        <f>IFERROR(VLOOKUP(B9, 'CADASTRO DE CLIENTES'!$C$6:$E$500, 3, FALSE), "")</f>
        <v>18 99800-5512</v>
      </c>
      <c r="D9" s="36">
        <f ca="1">COUNTIFS('CONTROLE DE PARCELAS'!$D$6:$D$1500, B9, 'CONTROLE DE PARCELAS'!$K$6:$K$1500, "Atrasado")</f>
        <v>0</v>
      </c>
      <c r="E9" s="37">
        <f ca="1">SUMIFS('CONTROLE DE PARCELAS'!$J$6:$J$1500, 'CONTROLE DE PARCELAS'!$D$6:$D$1500, B9, 'CONTROLE DE PARCELAS'!$K$6:$K$1500, "Atrasado")</f>
        <v>0</v>
      </c>
      <c r="F9" s="49">
        <f ca="1">COUNTIFS('CONTROLE DE PARCELAS'!$D$6:$D$1500, B9, 'CONTROLE DE PARCELAS'!$K$6:$K$1500, "Pendente")</f>
        <v>1</v>
      </c>
      <c r="G9" s="37">
        <f ca="1">SUMIFS('CONTROLE DE PARCELAS'!$J$6:$J$1500, 'CONTROLE DE PARCELAS'!$D$6:$D$1500, B9, 'CONTROLE DE PARCELAS'!$K$6:$K$1500, "Pendente")</f>
        <v>39.9</v>
      </c>
      <c r="H9" s="38">
        <f t="shared" ca="1" si="0"/>
        <v>39.9</v>
      </c>
    </row>
    <row r="10" spans="2:8" ht="16.8" customHeight="1" x14ac:dyDescent="0.4">
      <c r="B10" s="50" t="s">
        <v>35</v>
      </c>
      <c r="C10" s="30" t="str">
        <f>IFERROR(VLOOKUP(B10, 'CADASTRO DE CLIENTES'!$C$6:$E$500, 3, FALSE), "")</f>
        <v>18 98205-2963</v>
      </c>
      <c r="D10" s="30">
        <f ca="1">COUNTIFS('CONTROLE DE PARCELAS'!$D$6:$D$1500, B10, 'CONTROLE DE PARCELAS'!$K$6:$K$1500, "Atrasado")</f>
        <v>0</v>
      </c>
      <c r="E10" s="31">
        <f ca="1">SUMIFS('CONTROLE DE PARCELAS'!$J$6:$J$1500, 'CONTROLE DE PARCELAS'!$D$6:$D$1500, B10, 'CONTROLE DE PARCELAS'!$K$6:$K$1500, "Atrasado")</f>
        <v>0</v>
      </c>
      <c r="F10" s="51">
        <f ca="1">COUNTIFS('CONTROLE DE PARCELAS'!$D$6:$D$1500, B10, 'CONTROLE DE PARCELAS'!$K$6:$K$1500, "Pendente")</f>
        <v>2</v>
      </c>
      <c r="G10" s="31">
        <f ca="1">SUMIFS('CONTROLE DE PARCELAS'!$J$6:$J$1500, 'CONTROLE DE PARCELAS'!$D$6:$D$1500, B10, 'CONTROLE DE PARCELAS'!$K$6:$K$1500, "Pendente")</f>
        <v>149.69999999999999</v>
      </c>
      <c r="H10" s="32">
        <f t="shared" ca="1" si="0"/>
        <v>149.69999999999999</v>
      </c>
    </row>
    <row r="11" spans="2:8" ht="16.8" customHeight="1" x14ac:dyDescent="0.4">
      <c r="B11" s="48" t="s">
        <v>37</v>
      </c>
      <c r="C11" s="36">
        <f>IFERROR(VLOOKUP(B11, 'CADASTRO DE CLIENTES'!$C$6:$E$500, 3, FALSE), "")</f>
        <v>0</v>
      </c>
      <c r="D11" s="36">
        <f ca="1">COUNTIFS('CONTROLE DE PARCELAS'!$D$6:$D$1500, B11, 'CONTROLE DE PARCELAS'!$K$6:$K$1500, "Atrasado")</f>
        <v>0</v>
      </c>
      <c r="E11" s="37">
        <f ca="1">SUMIFS('CONTROLE DE PARCELAS'!$J$6:$J$1500, 'CONTROLE DE PARCELAS'!$D$6:$D$1500, B11, 'CONTROLE DE PARCELAS'!$K$6:$K$1500, "Atrasado")</f>
        <v>0</v>
      </c>
      <c r="F11" s="49">
        <f ca="1">COUNTIFS('CONTROLE DE PARCELAS'!$D$6:$D$1500, B11, 'CONTROLE DE PARCELAS'!$K$6:$K$1500, "Pendente")</f>
        <v>1</v>
      </c>
      <c r="G11" s="37">
        <f ca="1">SUMIFS('CONTROLE DE PARCELAS'!$J$6:$J$1500, 'CONTROLE DE PARCELAS'!$D$6:$D$1500, B11, 'CONTROLE DE PARCELAS'!$K$6:$K$1500, "Pendente")</f>
        <v>239.9</v>
      </c>
      <c r="H11" s="38">
        <f t="shared" ca="1" si="0"/>
        <v>239.9</v>
      </c>
    </row>
    <row r="12" spans="2:8" ht="16.8" customHeight="1" x14ac:dyDescent="0.4">
      <c r="B12" s="50" t="s">
        <v>40</v>
      </c>
      <c r="C12" s="30">
        <f>IFERROR(VLOOKUP(B12, 'CADASTRO DE CLIENTES'!$C$6:$E$500, 3, FALSE), "")</f>
        <v>0</v>
      </c>
      <c r="D12" s="30">
        <f ca="1">COUNTIFS('CONTROLE DE PARCELAS'!$D$6:$D$1500, B12, 'CONTROLE DE PARCELAS'!$K$6:$K$1500, "Atrasado")</f>
        <v>0</v>
      </c>
      <c r="E12" s="31">
        <f ca="1">SUMIFS('CONTROLE DE PARCELAS'!$J$6:$J$1500, 'CONTROLE DE PARCELAS'!$D$6:$D$1500, B12, 'CONTROLE DE PARCELAS'!$K$6:$K$1500, "Atrasado")</f>
        <v>0</v>
      </c>
      <c r="F12" s="51">
        <f ca="1">COUNTIFS('CONTROLE DE PARCELAS'!$D$6:$D$1500, B12, 'CONTROLE DE PARCELAS'!$K$6:$K$1500, "Pendente")</f>
        <v>3</v>
      </c>
      <c r="G12" s="31">
        <f ca="1">SUMIFS('CONTROLE DE PARCELAS'!$J$6:$J$1500, 'CONTROLE DE PARCELAS'!$D$6:$D$1500, B12, 'CONTROLE DE PARCELAS'!$K$6:$K$1500, "Pendente")</f>
        <v>209.70000000000002</v>
      </c>
      <c r="H12" s="32">
        <f t="shared" ca="1" si="0"/>
        <v>209.70000000000002</v>
      </c>
    </row>
    <row r="13" spans="2:8" ht="16.8" x14ac:dyDescent="0.4">
      <c r="B13" s="48" t="s">
        <v>43</v>
      </c>
      <c r="C13" s="36">
        <f>IFERROR(VLOOKUP(B13, 'CADASTRO DE CLIENTES'!$C$6:$E$500, 3, FALSE), "")</f>
        <v>0</v>
      </c>
      <c r="D13" s="36">
        <f ca="1">COUNTIFS('CONTROLE DE PARCELAS'!$D$6:$D$1500, B13, 'CONTROLE DE PARCELAS'!$K$6:$K$1500, "Atrasado")</f>
        <v>0</v>
      </c>
      <c r="E13" s="37">
        <f ca="1">SUMIFS('CONTROLE DE PARCELAS'!$J$6:$J$1500, 'CONTROLE DE PARCELAS'!$D$6:$D$1500, B13, 'CONTROLE DE PARCELAS'!$K$6:$K$1500, "Atrasado")</f>
        <v>0</v>
      </c>
      <c r="F13" s="49">
        <f ca="1">COUNTIFS('CONTROLE DE PARCELAS'!$D$6:$D$1500, B13, 'CONTROLE DE PARCELAS'!$K$6:$K$1500, "Pendente")</f>
        <v>2</v>
      </c>
      <c r="G13" s="37">
        <f ca="1">SUMIFS('CONTROLE DE PARCELAS'!$J$6:$J$1500, 'CONTROLE DE PARCELAS'!$D$6:$D$1500, B13, 'CONTROLE DE PARCELAS'!$K$6:$K$1500, "Pendente")</f>
        <v>169.8</v>
      </c>
      <c r="H13" s="38">
        <f t="shared" ca="1" si="0"/>
        <v>169.8</v>
      </c>
    </row>
    <row r="14" spans="2:8" ht="16.8" x14ac:dyDescent="0.4">
      <c r="B14" s="50" t="s">
        <v>49</v>
      </c>
      <c r="C14" s="30">
        <f>IFERROR(VLOOKUP(B14, 'CADASTRO DE CLIENTES'!$C$6:$E$500, 3, FALSE), "")</f>
        <v>0</v>
      </c>
      <c r="D14" s="30">
        <f ca="1">COUNTIFS('CONTROLE DE PARCELAS'!$D$6:$D$1500, B14, 'CONTROLE DE PARCELAS'!$K$6:$K$1500, "Atrasado")</f>
        <v>0</v>
      </c>
      <c r="E14" s="31">
        <f ca="1">SUMIFS('CONTROLE DE PARCELAS'!$J$6:$J$1500, 'CONTROLE DE PARCELAS'!$D$6:$D$1500, B14, 'CONTROLE DE PARCELAS'!$K$6:$K$1500, "Atrasado")</f>
        <v>0</v>
      </c>
      <c r="F14" s="51">
        <f ca="1">COUNTIFS('CONTROLE DE PARCELAS'!$D$6:$D$1500, B14, 'CONTROLE DE PARCELAS'!$K$6:$K$1500, "Pendente")</f>
        <v>3</v>
      </c>
      <c r="G14" s="31">
        <f ca="1">SUMIFS('CONTROLE DE PARCELAS'!$J$6:$J$1500, 'CONTROLE DE PARCELAS'!$D$6:$D$1500, B14, 'CONTROLE DE PARCELAS'!$K$6:$K$1500, "Pendente")</f>
        <v>501.40000000000009</v>
      </c>
      <c r="H14" s="32">
        <f t="shared" ca="1" si="0"/>
        <v>501.40000000000009</v>
      </c>
    </row>
    <row r="15" spans="2:8" ht="16.8" x14ac:dyDescent="0.4">
      <c r="B15" s="52" t="s">
        <v>1325</v>
      </c>
      <c r="C15" s="43" t="str">
        <f>IFERROR(VLOOKUP(B15, 'CADASTRO DE CLIENTES'!$C$6:$E$500, 3, FALSE), "")</f>
        <v/>
      </c>
      <c r="D15" s="53">
        <f ca="1">SUM(D6:D14)</f>
        <v>0</v>
      </c>
      <c r="E15" s="38">
        <f ca="1">SUM(E6:E14)</f>
        <v>0</v>
      </c>
      <c r="F15" s="54">
        <f ca="1">SUM(F6:F14)</f>
        <v>13</v>
      </c>
      <c r="G15" s="32">
        <f ca="1">SUM(G6:G14)</f>
        <v>1470.3000000000002</v>
      </c>
      <c r="H15" s="32">
        <f ca="1">SUM(H6:H14)</f>
        <v>1470.3000000000002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CADASTRO DE MATERIAL</vt:lpstr>
      <vt:lpstr>CADASTRO DE CLIENTES</vt:lpstr>
      <vt:lpstr>SAÍDA DE VENDAS</vt:lpstr>
      <vt:lpstr>CONTROLE DE PARCELAS</vt:lpstr>
      <vt:lpstr>CLIENTES EM ATRASO (DASHBOARD)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ayronmedeiroszamboni@gmail.com</cp:lastModifiedBy>
  <dcterms:created xsi:type="dcterms:W3CDTF">2026-10-10T16:46:57Z</dcterms:created>
  <dcterms:modified xsi:type="dcterms:W3CDTF">2026-10-12T18:04:18Z</dcterms:modified>
</cp:coreProperties>
</file>